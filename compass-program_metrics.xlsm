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8.xml" ContentType="application/vnd.openxmlformats-officedocument.drawing+xml"/>
  <Override PartName="/xl/charts/chart25.xml" ContentType="application/vnd.openxmlformats-officedocument.drawingml.chart+xml"/>
  <Override PartName="/xl/drawings/drawing19.xml" ContentType="application/vnd.openxmlformats-officedocument.drawing+xml"/>
  <Override PartName="/xl/charts/chart26.xml" ContentType="application/vnd.openxmlformats-officedocument.drawingml.chart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drawings/drawing23.xml" ContentType="application/vnd.openxmlformats-officedocument.drawing+xml"/>
  <Override PartName="/xl/charts/chart30.xml" ContentType="application/vnd.openxmlformats-officedocument.drawingml.chart+xml"/>
  <Override PartName="/xl/drawings/drawing24.xml" ContentType="application/vnd.openxmlformats-officedocument.drawing+xml"/>
  <Override PartName="/xl/charts/chart31.xml" ContentType="application/vnd.openxmlformats-officedocument.drawingml.chart+xml"/>
  <Override PartName="/xl/drawings/drawing25.xml" ContentType="application/vnd.openxmlformats-officedocument.drawing+xml"/>
  <Override PartName="/xl/charts/chart32.xml" ContentType="application/vnd.openxmlformats-officedocument.drawingml.chart+xml"/>
  <Override PartName="/xl/drawings/drawing26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drawings/drawing33.xml" ContentType="application/vnd.openxmlformats-officedocument.drawing+xml"/>
  <Override PartName="/xl/charts/chart47.xml" ContentType="application/vnd.openxmlformats-officedocument.drawingml.chart+xml"/>
  <Override PartName="/xl/drawings/drawing34.xml" ContentType="application/vnd.openxmlformats-officedocument.drawing+xml"/>
  <Override PartName="/xl/charts/chart4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4290" yWindow="30" windowWidth="19440" windowHeight="11040" tabRatio="609" firstSheet="3" activeTab="9"/>
  </bookViews>
  <sheets>
    <sheet name="Settings" sheetId="11" r:id="rId1"/>
    <sheet name="Log" sheetId="18" r:id="rId2"/>
    <sheet name="Infos" sheetId="15" r:id="rId3"/>
    <sheet name="181204 features" sheetId="57" r:id="rId4"/>
    <sheet name="181204 stories" sheetId="56" r:id="rId5"/>
    <sheet name="181203 features" sheetId="35" r:id="rId6"/>
    <sheet name="181203 stories" sheetId="33" r:id="rId7"/>
    <sheet name="181129 stories" sheetId="24" r:id="rId8"/>
    <sheet name="181129 features" sheetId="23" r:id="rId9"/>
    <sheet name="Roadmap" sheetId="59" r:id="rId10"/>
    <sheet name="Program " sheetId="31" r:id="rId11"/>
    <sheet name="Features Progress" sheetId="13" r:id="rId12"/>
    <sheet name="Enablers Progress" sheetId="19" r:id="rId13"/>
    <sheet name="CF (Features #)" sheetId="9" r:id="rId14"/>
    <sheet name="CF (Enablers #)" sheetId="30" r:id="rId15"/>
    <sheet name="CF (Stories #)" sheetId="26" r:id="rId16"/>
    <sheet name="CF (Features SP)" sheetId="27" r:id="rId17"/>
    <sheet name="CF (Enablers SP)" sheetId="29" r:id="rId18"/>
    <sheet name="CF (Stories SP)" sheetId="28" r:id="rId19"/>
    <sheet name="PI Burn Down (SP)" sheetId="32" r:id="rId20"/>
    <sheet name="Team A" sheetId="45" r:id="rId21"/>
    <sheet name="A - Features Progress" sheetId="36" r:id="rId22"/>
    <sheet name="A - Enablers Progress" sheetId="58" r:id="rId23"/>
    <sheet name="A - CF (Features #)" sheetId="38" r:id="rId24"/>
    <sheet name="A - CF (Enablers #)" sheetId="39" r:id="rId25"/>
    <sheet name="A - CF (Stories #)" sheetId="40" r:id="rId26"/>
    <sheet name="A - CF (Features SP)" sheetId="41" r:id="rId27"/>
    <sheet name="A - CF (Enablers SP)" sheetId="42" r:id="rId28"/>
    <sheet name="A - CF (Stories SP)" sheetId="43" r:id="rId29"/>
    <sheet name="A - PI Burn Down (SP)" sheetId="44" r:id="rId30"/>
    <sheet name="Team B" sheetId="46" r:id="rId31"/>
    <sheet name="B - Features Progress" sheetId="47" r:id="rId32"/>
    <sheet name="B - Enablers Progress" sheetId="48" r:id="rId33"/>
    <sheet name="B - CF (Features #)" sheetId="49" r:id="rId34"/>
    <sheet name="B - CF (Enablers #)" sheetId="50" r:id="rId35"/>
    <sheet name="B - CF (Stories #)" sheetId="51" r:id="rId36"/>
    <sheet name="B - CF (Features SP)" sheetId="52" r:id="rId37"/>
    <sheet name="B - CF (Enablers SP)" sheetId="53" r:id="rId38"/>
    <sheet name="B - CF (Stories SP)" sheetId="54" r:id="rId39"/>
    <sheet name="B - PI Burn Down (SP)" sheetId="55" r:id="rId40"/>
  </sheets>
  <functionGroups builtInGroupCount="17"/>
  <externalReferences>
    <externalReference r:id="rId41"/>
  </externalReferences>
  <definedNames>
    <definedName name="Actual_Days_Remaining">IF(COUNT('[1]Resource Allocation'!$C$9:$DA$9),OFFSET('[1]Resource Allocation'!$B$2,COUNTA('[1]Resource Allocation'!$B$3:$B$31987),1,1,COUNT('[1]Resource Allocation'!$C$9:$DA$9)),0)</definedName>
    <definedName name="Commitment">OFFSET('[1]Actual Allocation'!$A$2,1,0,COUNTA('[1]Actual Allocation'!$A$3:$A$32011)-1,3)</definedName>
    <definedName name="Desired_Trend">IF(COUNT('[1]Sprint Information'!$B$51:$CZ$51),OFFSET('[1]Sprint Information'!$B$51,0,0,1,COUNT('[1]Sprint Information'!$B$51:$CZ$51)),0)</definedName>
    <definedName name="Held_Standup">'[1]Sprint Information'!$B$52:$CZ$52</definedName>
    <definedName name="Individual_Base">OFFSET('[1]Sprint Information'!$B$54,0,0,1,COUNT('[1]Sprint Information'!$B$54:$CZ$54))</definedName>
    <definedName name="ListOfTeams" localSheetId="24">#REF!</definedName>
    <definedName name="ListOfTeams" localSheetId="27">#REF!</definedName>
    <definedName name="ListOfTeams" localSheetId="23">#REF!</definedName>
    <definedName name="ListOfTeams" localSheetId="26">#REF!</definedName>
    <definedName name="ListOfTeams" localSheetId="25">#REF!</definedName>
    <definedName name="ListOfTeams" localSheetId="28">#REF!</definedName>
    <definedName name="ListOfTeams" localSheetId="22">#REF!</definedName>
    <definedName name="ListOfTeams" localSheetId="21">#REF!</definedName>
    <definedName name="ListOfTeams" localSheetId="29">#REF!</definedName>
    <definedName name="ListOfTeams" localSheetId="34">#REF!</definedName>
    <definedName name="ListOfTeams" localSheetId="37">#REF!</definedName>
    <definedName name="ListOfTeams" localSheetId="33">#REF!</definedName>
    <definedName name="ListOfTeams" localSheetId="36">#REF!</definedName>
    <definedName name="ListOfTeams" localSheetId="35">#REF!</definedName>
    <definedName name="ListOfTeams" localSheetId="38">#REF!</definedName>
    <definedName name="ListOfTeams" localSheetId="32">#REF!</definedName>
    <definedName name="ListOfTeams" localSheetId="31">#REF!</definedName>
    <definedName name="ListOfTeams" localSheetId="39">#REF!</definedName>
    <definedName name="ListOfTeams" localSheetId="14">#REF!</definedName>
    <definedName name="ListOfTeams" localSheetId="17">#REF!</definedName>
    <definedName name="ListOfTeams" localSheetId="16">#REF!</definedName>
    <definedName name="ListOfTeams" localSheetId="15">#REF!</definedName>
    <definedName name="ListOfTeams" localSheetId="18">#REF!</definedName>
    <definedName name="ListOfTeams" localSheetId="12">#REF!</definedName>
    <definedName name="ListOfTeams" localSheetId="20">#REF!</definedName>
    <definedName name="ListOfTeams" localSheetId="30">#REF!</definedName>
    <definedName name="ListOfTeams">#REF!</definedName>
    <definedName name="Lower_Trend" localSheetId="29">IF(COUNT('A - PI Burn Down (SP)'!Progress)&lt;2,0,OFFSET('[1]Sprint Information'!$B$59,0,0,1,COUNT('[1]Sprint Information'!$59:$59)))</definedName>
    <definedName name="Lower_Trend" localSheetId="39">IF(COUNT('B - PI Burn Down (SP)'!Progress)&lt;2,0,OFFSET('[1]Sprint Information'!$B$59,0,0,1,COUNT('[1]Sprint Information'!$59:$59)))</definedName>
    <definedName name="Lower_Trend">IF(COUNT(Progress)&lt;2,0,OFFSET('[1]Sprint Information'!$B$59,0,0,1,COUNT('[1]Sprint Information'!$59:$59)))</definedName>
    <definedName name="Number_Tasks">'[1]Sprint Information'!$B$50</definedName>
    <definedName name="Postponed">OFFSET('[1]Burn Down'!$F$1,2,0,Number_Tasks,1)</definedName>
    <definedName name="Postponed_Values">'[1]Sprint Information'!$B$53:$C$53</definedName>
    <definedName name="_xlnm.Print_Area" localSheetId="10">'Program '!$A$1:$AQ$70</definedName>
    <definedName name="_xlnm.Print_Area" localSheetId="20">'Team A'!$A$1:$AQ$70</definedName>
    <definedName name="_xlnm.Print_Area" localSheetId="30">'Team B'!$A$1:$AQ$70</definedName>
    <definedName name="Progress" localSheetId="29">IF(COUNT('A - PI Burn Down (SP)'!$E$2:$E$53)&lt;2,0,OFFSET('A - PI Burn Down (SP)'!$E$2,0,0,COUNT('A - PI Burn Down (SP)'!$E$2:$E$53),1))</definedName>
    <definedName name="Progress" localSheetId="39">IF(COUNT('B - PI Burn Down (SP)'!$E$2:$E$53)&lt;2,0,OFFSET('B - PI Burn Down (SP)'!$E$2,0,0,COUNT('B - PI Burn Down (SP)'!$E$2:$E$53),1))</definedName>
    <definedName name="Progress">IF(COUNT('PI Burn Down (SP)'!$E$2:$E$53)&lt;2,0,OFFSET('PI Burn Down (SP)'!$E$2,0,0,COUNT('PI Burn Down (SP)'!$E$2:$E$53),1))</definedName>
    <definedName name="Resource">OFFSET('[1]Resource Allocation'!$B$2,1,0,COUNTA('[1]Resource Allocation'!$B$3:$B$31987)-1,1)</definedName>
    <definedName name="Resource01_Burn">OFFSET('[1]Actual Allocation'!$D$3,0,0,1,COUNT('[1]Actual Allocation'!$D$3:$DB$3))</definedName>
    <definedName name="Resource02_Burn">OFFSET('[1]Actual Allocation'!$D$4,0,0,1,COUNT('[1]Actual Allocation'!$D$4:$DB$4))</definedName>
    <definedName name="Resource03_Burn">OFFSET('[1]Actual Allocation'!$D$5,0,0,1,COUNT('[1]Actual Allocation'!$D$5:$DB$5))</definedName>
    <definedName name="Resource04_Burn">OFFSET('[1]Actual Allocation'!$D$6,0,0,1,COUNT('[1]Actual Allocation'!$D$6:$DB$6))</definedName>
    <definedName name="Resource05_Burn">OFFSET('[1]Actual Allocation'!$D$7,0,0,1,COUNT('[1]Actual Allocation'!$D$7:$DB$7))</definedName>
    <definedName name="Resource06_Burn">OFFSET('[1]Actual Allocation'!$D$8,0,0,1,COUNT('[1]Actual Allocation'!$D$8:$DB$8))</definedName>
    <definedName name="Resource07_Burn">OFFSET('[1]Actual Allocation'!$D$9,0,0,1,COUNT('[1]Actual Allocation'!$D$9:$DB$9))</definedName>
    <definedName name="Resource08_Burn">OFFSET('[1]Actual Allocation'!$D$10,0,0,1,COUNT('[1]Actual Allocation'!$D$10:$DB$10))</definedName>
    <definedName name="Resource09_Burn">OFFSET('[1]Actual Allocation'!$D$11,0,0,1,COUNT('[1]Actual Allocation'!$D$11:$DB$11))</definedName>
    <definedName name="Resource10_Burn">OFFSET('[1]Actual Allocation'!$D$12,0,0,1,COUNT('[1]Actual Allocation'!$D$12:$DB$12))</definedName>
    <definedName name="Resource11_Burn">OFFSET('[1]Actual Allocation'!$D$13,0,0,1,COUNT('[1]Actual Allocation'!$D$13:$DB$13))</definedName>
    <definedName name="Resource12_Burn">OFFSET('[1]Actual Allocation'!$D$14,0,0,1,COUNT('[1]Actual Allocation'!$D$14:$DB$14))</definedName>
    <definedName name="Resource13_Burn">OFFSET('[1]Actual Allocation'!$D$15,0,0,1,COUNT('[1]Actual Allocation'!$D$15:$DB$15))</definedName>
    <definedName name="Resource14_Burn">OFFSET('[1]Actual Allocation'!$D$16,0,0,1,COUNT('[1]Actual Allocation'!$D$16:$DB$16))</definedName>
    <definedName name="Resource15_Burn">OFFSET('[1]Actual Allocation'!$D$17,0,0,1,COUNT('[1]Actual Allocation'!$D$17:$DB$17))</definedName>
    <definedName name="Resource16_Burn">OFFSET('[1]Actual Allocation'!$D$18,0,0,1,COUNT('[1]Actual Allocation'!$D$18:$DB$18))</definedName>
    <definedName name="Resource17_Burn">OFFSET('[1]Actual Allocation'!$D$19,0,0,1,COUNT('[1]Actual Allocation'!$D$19:$DB$19))</definedName>
    <definedName name="Resource18_Burn">OFFSET('[1]Actual Allocation'!$D$20,0,0,1,COUNT('[1]Actual Allocation'!$D$20:$DB$20))</definedName>
    <definedName name="Resource19_Burn">OFFSET('[1]Actual Allocation'!$D$21,0,0,1,COUNT('[1]Actual Allocation'!$D$21:$DB$21))</definedName>
    <definedName name="Resource20_Burn">OFFSET('[1]Actual Allocation'!$D$22,0,0,1,COUNT('[1]Actual Allocation'!$D$22:$DB$22))</definedName>
    <definedName name="Resource21_Burn">OFFSET('[1]Actual Allocation'!$D$23,0,0,1,COUNT('[1]Actual Allocation'!$D$23:$DB$23))</definedName>
    <definedName name="Resource22_Burn">OFFSET('[1]Actual Allocation'!$D$24,0,0,1,COUNT('[1]Actual Allocation'!$D$24:$DB$24))</definedName>
    <definedName name="Resource23_Burn">OFFSET('[1]Actual Allocation'!$D$25,0,0,1,COUNT('[1]Actual Allocation'!$D$26:$DB$26))</definedName>
    <definedName name="Resource24_Burn">OFFSET('[1]Actual Allocation'!$D$26,0,0,1,COUNT('[1]Actual Allocation'!$D$26:$DB$26))</definedName>
    <definedName name="Resource25_Burn">OFFSET('[1]Actual Allocation'!$D$27,0,0,1,COUNT('[1]Actual Allocation'!$D$27:$DB$27))</definedName>
    <definedName name="Resource26_Burn">OFFSET('[1]Actual Allocation'!$D$28,0,0,1,COUNT('[1]Actual Allocation'!$D$3:$DB$28))</definedName>
    <definedName name="Resource27_Burn">OFFSET('[1]Actual Allocation'!$D$29,0,0,1,COUNT('[1]Actual Allocation'!$D$29:$DB$29))</definedName>
    <definedName name="Resource28_Burn">OFFSET('[1]Actual Allocation'!$D$30,0,0,1,COUNT('[1]Actual Allocation'!$D$30:$DB$30))</definedName>
    <definedName name="Resource29_Burn">OFFSET('[1]Actual Allocation'!$D$31,0,0,1,COUNT('[1]Actual Allocation'!$D$31:$DB$31))</definedName>
    <definedName name="Resource30_Burn">OFFSET('[1]Actual Allocation'!$D$32,0,0,1,COUNT('[1]Actual Allocation'!$D$32:$DB$32))</definedName>
    <definedName name="Scope_Change" localSheetId="29">IF(COUNT('A - PI Burn Down (SP)'!Progress)&lt;2,0,ABS(OFFSET('A - PI Burn Down (SP)'!$F$2,0,0,COUNT('A - PI Burn Down (SP)'!$F$2:$F$53),1))*-1)</definedName>
    <definedName name="Scope_Change" localSheetId="39">IF(COUNT('B - PI Burn Down (SP)'!Progress)&lt;2,0,ABS(OFFSET('B - PI Burn Down (SP)'!$F$2,0,0,COUNT('B - PI Burn Down (SP)'!$F$2:$F$53),1))*-1)</definedName>
    <definedName name="Scope_Change">IF(COUNT(Progress)&lt;2,0,ABS(OFFSET('PI Burn Down (SP)'!$F$2,0,0,COUNT('PI Burn Down (SP)'!$F$2:$F$53),1))*-1)</definedName>
    <definedName name="Sprint_Length">'[1]Sprint Information'!$B$1</definedName>
    <definedName name="Task_Owner">OFFSET('[1]Burn Down'!$C$2,1,0,Number_Tasks,1)</definedName>
    <definedName name="Upper_Trend" localSheetId="29">IF(COUNT('A - PI Burn Down (SP)'!Progress)&lt;2,0,OFFSET('[1]Sprint Information'!$B$58,0,0,1,COUNT('[1]Sprint Information'!$58:$58)))</definedName>
    <definedName name="Upper_Trend" localSheetId="39">IF(COUNT('B - PI Burn Down (SP)'!Progress)&lt;2,0,OFFSET('[1]Sprint Information'!$B$58,0,0,1,COUNT('[1]Sprint Information'!$58:$58)))</definedName>
    <definedName name="Upper_Trend">IF(COUNT(Progress)&lt;2,0,OFFSET('[1]Sprint Information'!$B$58,0,0,1,COUNT('[1]Sprint Information'!$58:$58)))</definedName>
    <definedName name="Work_Hours_in_Day">'[1]Sprint Information'!$B$2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" i="19" l="1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4" i="19"/>
  <c r="F2" i="19"/>
  <c r="E2" i="19"/>
  <c r="G2" i="19"/>
  <c r="G58" i="13"/>
  <c r="G57" i="13"/>
  <c r="G56" i="13"/>
  <c r="G55" i="13"/>
  <c r="G54" i="13"/>
  <c r="G53" i="13"/>
  <c r="G52" i="13"/>
  <c r="G51" i="13"/>
  <c r="G50" i="13"/>
  <c r="G49" i="13"/>
  <c r="G48" i="13"/>
  <c r="G47" i="13"/>
  <c r="G46" i="13"/>
  <c r="G45" i="13"/>
  <c r="G44" i="13"/>
  <c r="G43" i="13"/>
  <c r="G42" i="13"/>
  <c r="G41" i="13"/>
  <c r="G40" i="13"/>
  <c r="G39" i="13"/>
  <c r="G38" i="13"/>
  <c r="G37" i="13"/>
  <c r="G36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G4" i="13"/>
  <c r="E2" i="13"/>
  <c r="F2" i="13"/>
  <c r="G2" i="13"/>
  <c r="F2" i="47"/>
  <c r="E2" i="47"/>
  <c r="F2" i="58"/>
  <c r="E2" i="58"/>
  <c r="F2" i="36"/>
  <c r="E2" i="36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D6" i="58"/>
  <c r="D5" i="58"/>
  <c r="D4" i="58"/>
  <c r="C53" i="55"/>
  <c r="F53" i="55"/>
  <c r="C52" i="55"/>
  <c r="F52" i="55"/>
  <c r="C7" i="55"/>
  <c r="C12" i="55"/>
  <c r="C17" i="55"/>
  <c r="C22" i="55"/>
  <c r="C27" i="55"/>
  <c r="C32" i="55"/>
  <c r="C37" i="55"/>
  <c r="C42" i="55"/>
  <c r="C47" i="55"/>
  <c r="C48" i="55"/>
  <c r="C49" i="55"/>
  <c r="C50" i="55"/>
  <c r="C51" i="55"/>
  <c r="F51" i="55"/>
  <c r="D2" i="55"/>
  <c r="D3" i="55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D35" i="55"/>
  <c r="D36" i="55"/>
  <c r="D37" i="55"/>
  <c r="D38" i="55"/>
  <c r="D39" i="55"/>
  <c r="D40" i="55"/>
  <c r="D41" i="55"/>
  <c r="D42" i="55"/>
  <c r="D43" i="55"/>
  <c r="D44" i="55"/>
  <c r="D45" i="55"/>
  <c r="D46" i="55"/>
  <c r="D47" i="55"/>
  <c r="D48" i="55"/>
  <c r="D49" i="55"/>
  <c r="D50" i="55"/>
  <c r="D51" i="55"/>
  <c r="A3" i="55"/>
  <c r="A4" i="55"/>
  <c r="A5" i="55"/>
  <c r="A6" i="55"/>
  <c r="A7" i="55"/>
  <c r="A8" i="55"/>
  <c r="A9" i="55"/>
  <c r="A10" i="55"/>
  <c r="A11" i="55"/>
  <c r="A12" i="55"/>
  <c r="A13" i="55"/>
  <c r="A14" i="55"/>
  <c r="A15" i="55"/>
  <c r="A16" i="55"/>
  <c r="A17" i="55"/>
  <c r="A18" i="55"/>
  <c r="A19" i="55"/>
  <c r="A20" i="55"/>
  <c r="A21" i="55"/>
  <c r="A22" i="55"/>
  <c r="A23" i="55"/>
  <c r="A24" i="55"/>
  <c r="A25" i="55"/>
  <c r="A26" i="55"/>
  <c r="A27" i="55"/>
  <c r="A28" i="55"/>
  <c r="A29" i="55"/>
  <c r="A30" i="55"/>
  <c r="A31" i="55"/>
  <c r="A32" i="55"/>
  <c r="A33" i="55"/>
  <c r="A34" i="55"/>
  <c r="A35" i="55"/>
  <c r="A36" i="55"/>
  <c r="A37" i="55"/>
  <c r="A38" i="55"/>
  <c r="A39" i="55"/>
  <c r="A40" i="55"/>
  <c r="A41" i="55"/>
  <c r="A42" i="55"/>
  <c r="A43" i="55"/>
  <c r="A44" i="55"/>
  <c r="A45" i="55"/>
  <c r="A46" i="55"/>
  <c r="A47" i="55"/>
  <c r="A48" i="55"/>
  <c r="A49" i="55"/>
  <c r="A50" i="55"/>
  <c r="A51" i="55"/>
  <c r="F50" i="55"/>
  <c r="F49" i="55"/>
  <c r="F48" i="55"/>
  <c r="F47" i="55"/>
  <c r="C43" i="55"/>
  <c r="C44" i="55"/>
  <c r="C45" i="55"/>
  <c r="C46" i="55"/>
  <c r="F46" i="55"/>
  <c r="F45" i="55"/>
  <c r="F44" i="55"/>
  <c r="F43" i="55"/>
  <c r="F42" i="55"/>
  <c r="C38" i="55"/>
  <c r="C39" i="55"/>
  <c r="C40" i="55"/>
  <c r="C41" i="55"/>
  <c r="F41" i="55"/>
  <c r="F40" i="55"/>
  <c r="F39" i="55"/>
  <c r="F38" i="55"/>
  <c r="F37" i="55"/>
  <c r="C33" i="55"/>
  <c r="C34" i="55"/>
  <c r="C35" i="55"/>
  <c r="C36" i="55"/>
  <c r="F36" i="55"/>
  <c r="F35" i="55"/>
  <c r="F34" i="55"/>
  <c r="F33" i="55"/>
  <c r="F32" i="55"/>
  <c r="C28" i="55"/>
  <c r="C29" i="55"/>
  <c r="C30" i="55"/>
  <c r="C31" i="55"/>
  <c r="F31" i="55"/>
  <c r="F30" i="55"/>
  <c r="F29" i="55"/>
  <c r="F28" i="55"/>
  <c r="F27" i="55"/>
  <c r="C23" i="55"/>
  <c r="C24" i="55"/>
  <c r="C25" i="55"/>
  <c r="C26" i="55"/>
  <c r="F26" i="55"/>
  <c r="F25" i="55"/>
  <c r="F24" i="55"/>
  <c r="F23" i="55"/>
  <c r="F22" i="55"/>
  <c r="C18" i="55"/>
  <c r="C19" i="55"/>
  <c r="C20" i="55"/>
  <c r="C21" i="55"/>
  <c r="F21" i="55"/>
  <c r="F20" i="55"/>
  <c r="F19" i="55"/>
  <c r="F18" i="55"/>
  <c r="F17" i="55"/>
  <c r="C13" i="55"/>
  <c r="C14" i="55"/>
  <c r="C15" i="55"/>
  <c r="C16" i="55"/>
  <c r="F16" i="55"/>
  <c r="F15" i="55"/>
  <c r="F14" i="55"/>
  <c r="F13" i="55"/>
  <c r="F12" i="55"/>
  <c r="C8" i="55"/>
  <c r="C9" i="55"/>
  <c r="C10" i="55"/>
  <c r="C11" i="55"/>
  <c r="F11" i="55"/>
  <c r="F10" i="55"/>
  <c r="F9" i="55"/>
  <c r="F8" i="55"/>
  <c r="F7" i="55"/>
  <c r="C3" i="55"/>
  <c r="C4" i="55"/>
  <c r="C5" i="55"/>
  <c r="C6" i="55"/>
  <c r="F6" i="55"/>
  <c r="K1" i="55"/>
  <c r="L1" i="55"/>
  <c r="M1" i="55"/>
  <c r="N1" i="55"/>
  <c r="O1" i="55"/>
  <c r="P1" i="55"/>
  <c r="Q1" i="55"/>
  <c r="Q2" i="55"/>
  <c r="P2" i="55"/>
  <c r="O2" i="55"/>
  <c r="N2" i="55"/>
  <c r="M2" i="55"/>
  <c r="L2" i="55"/>
  <c r="K2" i="55"/>
  <c r="F2" i="55"/>
  <c r="C7" i="54"/>
  <c r="C12" i="54"/>
  <c r="C17" i="54"/>
  <c r="C22" i="54"/>
  <c r="C27" i="54"/>
  <c r="C32" i="54"/>
  <c r="C37" i="54"/>
  <c r="C42" i="54"/>
  <c r="C47" i="54"/>
  <c r="C48" i="54"/>
  <c r="C49" i="54"/>
  <c r="C50" i="54"/>
  <c r="C51" i="54"/>
  <c r="A3" i="54"/>
  <c r="A4" i="54"/>
  <c r="A5" i="54"/>
  <c r="A6" i="54"/>
  <c r="A7" i="54"/>
  <c r="A8" i="54"/>
  <c r="A9" i="54"/>
  <c r="A10" i="54"/>
  <c r="A11" i="54"/>
  <c r="A12" i="54"/>
  <c r="A13" i="54"/>
  <c r="A14" i="54"/>
  <c r="A15" i="54"/>
  <c r="A16" i="54"/>
  <c r="A17" i="54"/>
  <c r="A18" i="54"/>
  <c r="A19" i="54"/>
  <c r="A20" i="54"/>
  <c r="A21" i="54"/>
  <c r="A22" i="54"/>
  <c r="A23" i="54"/>
  <c r="A24" i="54"/>
  <c r="A25" i="54"/>
  <c r="A26" i="54"/>
  <c r="A27" i="54"/>
  <c r="A28" i="54"/>
  <c r="A29" i="54"/>
  <c r="A30" i="54"/>
  <c r="A31" i="54"/>
  <c r="A32" i="54"/>
  <c r="A33" i="54"/>
  <c r="A34" i="54"/>
  <c r="A35" i="54"/>
  <c r="A36" i="54"/>
  <c r="A37" i="54"/>
  <c r="A38" i="54"/>
  <c r="A39" i="54"/>
  <c r="A40" i="54"/>
  <c r="A41" i="54"/>
  <c r="A42" i="54"/>
  <c r="A43" i="54"/>
  <c r="A44" i="54"/>
  <c r="A45" i="54"/>
  <c r="A46" i="54"/>
  <c r="A47" i="54"/>
  <c r="A48" i="54"/>
  <c r="A49" i="54"/>
  <c r="A50" i="54"/>
  <c r="A51" i="54"/>
  <c r="C43" i="54"/>
  <c r="C44" i="54"/>
  <c r="C45" i="54"/>
  <c r="C46" i="54"/>
  <c r="C38" i="54"/>
  <c r="C39" i="54"/>
  <c r="C40" i="54"/>
  <c r="C41" i="54"/>
  <c r="C33" i="54"/>
  <c r="C34" i="54"/>
  <c r="C35" i="54"/>
  <c r="C36" i="54"/>
  <c r="C28" i="54"/>
  <c r="C29" i="54"/>
  <c r="C30" i="54"/>
  <c r="C31" i="54"/>
  <c r="C23" i="54"/>
  <c r="C24" i="54"/>
  <c r="C25" i="54"/>
  <c r="C26" i="54"/>
  <c r="C18" i="54"/>
  <c r="C19" i="54"/>
  <c r="C20" i="54"/>
  <c r="C21" i="54"/>
  <c r="C13" i="54"/>
  <c r="C14" i="54"/>
  <c r="C15" i="54"/>
  <c r="C16" i="54"/>
  <c r="C8" i="54"/>
  <c r="C9" i="54"/>
  <c r="C10" i="54"/>
  <c r="C11" i="54"/>
  <c r="C3" i="54"/>
  <c r="C4" i="54"/>
  <c r="C5" i="54"/>
  <c r="C6" i="54"/>
  <c r="C7" i="53"/>
  <c r="C12" i="53"/>
  <c r="C17" i="53"/>
  <c r="C22" i="53"/>
  <c r="C27" i="53"/>
  <c r="C32" i="53"/>
  <c r="C37" i="53"/>
  <c r="C42" i="53"/>
  <c r="C47" i="53"/>
  <c r="C48" i="53"/>
  <c r="C49" i="53"/>
  <c r="C50" i="53"/>
  <c r="C51" i="53"/>
  <c r="A3" i="53"/>
  <c r="A4" i="53"/>
  <c r="A5" i="53"/>
  <c r="A6" i="53"/>
  <c r="A7" i="53"/>
  <c r="A8" i="53"/>
  <c r="A9" i="53"/>
  <c r="A10" i="53"/>
  <c r="A11" i="53"/>
  <c r="A12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40" i="53"/>
  <c r="A41" i="53"/>
  <c r="A42" i="53"/>
  <c r="A43" i="53"/>
  <c r="A44" i="53"/>
  <c r="A45" i="53"/>
  <c r="A46" i="53"/>
  <c r="A47" i="53"/>
  <c r="A48" i="53"/>
  <c r="A49" i="53"/>
  <c r="A50" i="53"/>
  <c r="A51" i="53"/>
  <c r="C43" i="53"/>
  <c r="C44" i="53"/>
  <c r="C45" i="53"/>
  <c r="C46" i="53"/>
  <c r="C38" i="53"/>
  <c r="C39" i="53"/>
  <c r="C40" i="53"/>
  <c r="C41" i="53"/>
  <c r="C33" i="53"/>
  <c r="C34" i="53"/>
  <c r="C35" i="53"/>
  <c r="C36" i="53"/>
  <c r="C28" i="53"/>
  <c r="C29" i="53"/>
  <c r="C30" i="53"/>
  <c r="C31" i="53"/>
  <c r="C23" i="53"/>
  <c r="C24" i="53"/>
  <c r="C25" i="53"/>
  <c r="C26" i="53"/>
  <c r="C18" i="53"/>
  <c r="C19" i="53"/>
  <c r="C20" i="53"/>
  <c r="C21" i="53"/>
  <c r="C13" i="53"/>
  <c r="C14" i="53"/>
  <c r="C15" i="53"/>
  <c r="C16" i="53"/>
  <c r="C8" i="53"/>
  <c r="C9" i="53"/>
  <c r="C10" i="53"/>
  <c r="C11" i="53"/>
  <c r="C3" i="53"/>
  <c r="C4" i="53"/>
  <c r="C5" i="53"/>
  <c r="C6" i="53"/>
  <c r="C7" i="52"/>
  <c r="C12" i="52"/>
  <c r="C17" i="52"/>
  <c r="C22" i="52"/>
  <c r="C27" i="52"/>
  <c r="C32" i="52"/>
  <c r="C37" i="52"/>
  <c r="C42" i="52"/>
  <c r="C47" i="52"/>
  <c r="C48" i="52"/>
  <c r="C49" i="52"/>
  <c r="C50" i="52"/>
  <c r="C51" i="52"/>
  <c r="A3" i="52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45" i="52"/>
  <c r="A46" i="52"/>
  <c r="A47" i="52"/>
  <c r="A48" i="52"/>
  <c r="A49" i="52"/>
  <c r="A50" i="52"/>
  <c r="A51" i="52"/>
  <c r="C43" i="52"/>
  <c r="C44" i="52"/>
  <c r="C45" i="52"/>
  <c r="C46" i="52"/>
  <c r="C38" i="52"/>
  <c r="C39" i="52"/>
  <c r="C40" i="52"/>
  <c r="C41" i="52"/>
  <c r="C33" i="52"/>
  <c r="C34" i="52"/>
  <c r="C35" i="52"/>
  <c r="C36" i="52"/>
  <c r="C28" i="52"/>
  <c r="C29" i="52"/>
  <c r="C30" i="52"/>
  <c r="C31" i="52"/>
  <c r="C23" i="52"/>
  <c r="C24" i="52"/>
  <c r="C25" i="52"/>
  <c r="C26" i="52"/>
  <c r="C18" i="52"/>
  <c r="C19" i="52"/>
  <c r="C20" i="52"/>
  <c r="C21" i="52"/>
  <c r="C13" i="52"/>
  <c r="C14" i="52"/>
  <c r="C15" i="52"/>
  <c r="C16" i="52"/>
  <c r="C8" i="52"/>
  <c r="C9" i="52"/>
  <c r="C10" i="52"/>
  <c r="C11" i="52"/>
  <c r="C3" i="52"/>
  <c r="C4" i="52"/>
  <c r="C5" i="52"/>
  <c r="C6" i="52"/>
  <c r="C7" i="51"/>
  <c r="C12" i="51"/>
  <c r="C17" i="51"/>
  <c r="C22" i="51"/>
  <c r="C27" i="51"/>
  <c r="C32" i="51"/>
  <c r="C37" i="51"/>
  <c r="C42" i="51"/>
  <c r="C47" i="51"/>
  <c r="C48" i="51"/>
  <c r="C49" i="51"/>
  <c r="C50" i="51"/>
  <c r="C51" i="51"/>
  <c r="A3" i="51"/>
  <c r="A4" i="51"/>
  <c r="A5" i="51"/>
  <c r="A6" i="51"/>
  <c r="A7" i="51"/>
  <c r="A8" i="51"/>
  <c r="A9" i="51"/>
  <c r="A10" i="51"/>
  <c r="A11" i="51"/>
  <c r="A12" i="51"/>
  <c r="A13" i="51"/>
  <c r="A14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C43" i="51"/>
  <c r="C44" i="51"/>
  <c r="C45" i="51"/>
  <c r="C46" i="51"/>
  <c r="C38" i="51"/>
  <c r="C39" i="51"/>
  <c r="C40" i="51"/>
  <c r="C41" i="51"/>
  <c r="C33" i="51"/>
  <c r="C34" i="51"/>
  <c r="C35" i="51"/>
  <c r="C36" i="51"/>
  <c r="C28" i="51"/>
  <c r="C29" i="51"/>
  <c r="C30" i="51"/>
  <c r="C31" i="51"/>
  <c r="C23" i="51"/>
  <c r="C24" i="51"/>
  <c r="C25" i="51"/>
  <c r="C26" i="51"/>
  <c r="C18" i="51"/>
  <c r="C19" i="51"/>
  <c r="C20" i="51"/>
  <c r="C21" i="51"/>
  <c r="C13" i="51"/>
  <c r="C14" i="51"/>
  <c r="C15" i="51"/>
  <c r="C16" i="51"/>
  <c r="C8" i="51"/>
  <c r="C9" i="51"/>
  <c r="C10" i="51"/>
  <c r="C11" i="51"/>
  <c r="C3" i="51"/>
  <c r="C4" i="51"/>
  <c r="C5" i="51"/>
  <c r="C6" i="51"/>
  <c r="C7" i="50"/>
  <c r="C12" i="50"/>
  <c r="C17" i="50"/>
  <c r="C22" i="50"/>
  <c r="C27" i="50"/>
  <c r="C32" i="50"/>
  <c r="C37" i="50"/>
  <c r="C42" i="50"/>
  <c r="C47" i="50"/>
  <c r="C48" i="50"/>
  <c r="C49" i="50"/>
  <c r="C50" i="50"/>
  <c r="C51" i="50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C43" i="50"/>
  <c r="C44" i="50"/>
  <c r="C45" i="50"/>
  <c r="C46" i="50"/>
  <c r="C38" i="50"/>
  <c r="C39" i="50"/>
  <c r="C40" i="50"/>
  <c r="C41" i="50"/>
  <c r="C33" i="50"/>
  <c r="C34" i="50"/>
  <c r="C35" i="50"/>
  <c r="C36" i="50"/>
  <c r="C28" i="50"/>
  <c r="C29" i="50"/>
  <c r="C30" i="50"/>
  <c r="C31" i="50"/>
  <c r="C23" i="50"/>
  <c r="C24" i="50"/>
  <c r="C25" i="50"/>
  <c r="C26" i="50"/>
  <c r="C18" i="50"/>
  <c r="C19" i="50"/>
  <c r="C20" i="50"/>
  <c r="C21" i="50"/>
  <c r="C13" i="50"/>
  <c r="C14" i="50"/>
  <c r="C15" i="50"/>
  <c r="C16" i="50"/>
  <c r="C8" i="50"/>
  <c r="C9" i="50"/>
  <c r="C10" i="50"/>
  <c r="C11" i="50"/>
  <c r="C3" i="50"/>
  <c r="C4" i="50"/>
  <c r="C5" i="50"/>
  <c r="C6" i="50"/>
  <c r="C7" i="49"/>
  <c r="C12" i="49"/>
  <c r="C17" i="49"/>
  <c r="C22" i="49"/>
  <c r="C27" i="49"/>
  <c r="C32" i="49"/>
  <c r="C37" i="49"/>
  <c r="C42" i="49"/>
  <c r="C47" i="49"/>
  <c r="C48" i="49"/>
  <c r="C49" i="49"/>
  <c r="C50" i="49"/>
  <c r="C51" i="49"/>
  <c r="A3" i="49"/>
  <c r="A4" i="49"/>
  <c r="A5" i="49"/>
  <c r="A6" i="49"/>
  <c r="A7" i="49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32" i="49"/>
  <c r="A33" i="49"/>
  <c r="A34" i="49"/>
  <c r="A35" i="49"/>
  <c r="A36" i="49"/>
  <c r="A37" i="49"/>
  <c r="A38" i="49"/>
  <c r="A39" i="49"/>
  <c r="A40" i="49"/>
  <c r="A41" i="49"/>
  <c r="A42" i="49"/>
  <c r="A43" i="49"/>
  <c r="A44" i="49"/>
  <c r="A45" i="49"/>
  <c r="A46" i="49"/>
  <c r="A47" i="49"/>
  <c r="A48" i="49"/>
  <c r="A49" i="49"/>
  <c r="A50" i="49"/>
  <c r="A51" i="49"/>
  <c r="C43" i="49"/>
  <c r="C44" i="49"/>
  <c r="C45" i="49"/>
  <c r="C46" i="49"/>
  <c r="C38" i="49"/>
  <c r="C39" i="49"/>
  <c r="C40" i="49"/>
  <c r="C41" i="49"/>
  <c r="C33" i="49"/>
  <c r="C34" i="49"/>
  <c r="C35" i="49"/>
  <c r="C36" i="49"/>
  <c r="C28" i="49"/>
  <c r="C29" i="49"/>
  <c r="C30" i="49"/>
  <c r="C31" i="49"/>
  <c r="C23" i="49"/>
  <c r="C24" i="49"/>
  <c r="C25" i="49"/>
  <c r="C26" i="49"/>
  <c r="C18" i="49"/>
  <c r="C19" i="49"/>
  <c r="C20" i="49"/>
  <c r="C21" i="49"/>
  <c r="C13" i="49"/>
  <c r="C14" i="49"/>
  <c r="C15" i="49"/>
  <c r="C16" i="49"/>
  <c r="C8" i="49"/>
  <c r="C9" i="49"/>
  <c r="C10" i="49"/>
  <c r="C11" i="49"/>
  <c r="C3" i="49"/>
  <c r="C4" i="49"/>
  <c r="C5" i="49"/>
  <c r="C6" i="49"/>
  <c r="D57" i="48"/>
  <c r="D56" i="48"/>
  <c r="D55" i="48"/>
  <c r="D54" i="48"/>
  <c r="D53" i="48"/>
  <c r="D52" i="48"/>
  <c r="D51" i="48"/>
  <c r="D50" i="48"/>
  <c r="D49" i="48"/>
  <c r="D48" i="48"/>
  <c r="D47" i="48"/>
  <c r="D46" i="48"/>
  <c r="D45" i="48"/>
  <c r="D44" i="48"/>
  <c r="D43" i="48"/>
  <c r="D42" i="48"/>
  <c r="D41" i="48"/>
  <c r="D40" i="48"/>
  <c r="D39" i="48"/>
  <c r="D38" i="48"/>
  <c r="D37" i="48"/>
  <c r="D36" i="48"/>
  <c r="D35" i="48"/>
  <c r="D34" i="48"/>
  <c r="D33" i="48"/>
  <c r="D32" i="48"/>
  <c r="D31" i="48"/>
  <c r="D30" i="48"/>
  <c r="D29" i="48"/>
  <c r="D28" i="48"/>
  <c r="D27" i="48"/>
  <c r="D26" i="48"/>
  <c r="D25" i="48"/>
  <c r="D24" i="48"/>
  <c r="D23" i="48"/>
  <c r="D22" i="48"/>
  <c r="D21" i="48"/>
  <c r="D20" i="48"/>
  <c r="D19" i="48"/>
  <c r="D18" i="48"/>
  <c r="D17" i="48"/>
  <c r="D16" i="48"/>
  <c r="D15" i="48"/>
  <c r="D14" i="48"/>
  <c r="D13" i="48"/>
  <c r="D12" i="48"/>
  <c r="D11" i="48"/>
  <c r="D10" i="48"/>
  <c r="D9" i="48"/>
  <c r="D8" i="48"/>
  <c r="D7" i="48"/>
  <c r="D6" i="48"/>
  <c r="D5" i="48"/>
  <c r="D4" i="48"/>
  <c r="F2" i="48"/>
  <c r="E2" i="48"/>
  <c r="D58" i="47"/>
  <c r="D57" i="47"/>
  <c r="D56" i="47"/>
  <c r="D55" i="47"/>
  <c r="D54" i="47"/>
  <c r="D53" i="47"/>
  <c r="D52" i="47"/>
  <c r="D51" i="47"/>
  <c r="D50" i="47"/>
  <c r="D49" i="47"/>
  <c r="D48" i="47"/>
  <c r="D47" i="47"/>
  <c r="D46" i="47"/>
  <c r="D45" i="47"/>
  <c r="D44" i="47"/>
  <c r="D43" i="47"/>
  <c r="D42" i="47"/>
  <c r="D41" i="47"/>
  <c r="D40" i="47"/>
  <c r="D39" i="47"/>
  <c r="D38" i="47"/>
  <c r="D37" i="47"/>
  <c r="D36" i="47"/>
  <c r="D35" i="47"/>
  <c r="D34" i="47"/>
  <c r="D33" i="47"/>
  <c r="D32" i="47"/>
  <c r="D31" i="47"/>
  <c r="D30" i="47"/>
  <c r="D29" i="47"/>
  <c r="D28" i="47"/>
  <c r="D27" i="47"/>
  <c r="D26" i="47"/>
  <c r="D25" i="47"/>
  <c r="D24" i="47"/>
  <c r="D23" i="47"/>
  <c r="D22" i="47"/>
  <c r="D21" i="47"/>
  <c r="D20" i="47"/>
  <c r="D19" i="47"/>
  <c r="D18" i="47"/>
  <c r="D17" i="47"/>
  <c r="D16" i="47"/>
  <c r="D15" i="47"/>
  <c r="D14" i="47"/>
  <c r="D13" i="47"/>
  <c r="D12" i="47"/>
  <c r="D11" i="47"/>
  <c r="D10" i="47"/>
  <c r="D9" i="47"/>
  <c r="D8" i="47"/>
  <c r="D7" i="47"/>
  <c r="D6" i="47"/>
  <c r="D5" i="47"/>
  <c r="D4" i="47"/>
  <c r="F37" i="44"/>
  <c r="C53" i="44"/>
  <c r="F53" i="44"/>
  <c r="C52" i="44"/>
  <c r="F52" i="44"/>
  <c r="C7" i="44"/>
  <c r="C12" i="44"/>
  <c r="C17" i="44"/>
  <c r="C22" i="44"/>
  <c r="C27" i="44"/>
  <c r="C32" i="44"/>
  <c r="C37" i="44"/>
  <c r="C42" i="44"/>
  <c r="C47" i="44"/>
  <c r="C48" i="44"/>
  <c r="C49" i="44"/>
  <c r="C50" i="44"/>
  <c r="C51" i="44"/>
  <c r="F51" i="44"/>
  <c r="D2" i="44"/>
  <c r="D3" i="44"/>
  <c r="D4" i="44"/>
  <c r="D5" i="44"/>
  <c r="D6" i="44"/>
  <c r="D7" i="44"/>
  <c r="D8" i="44"/>
  <c r="D9" i="44"/>
  <c r="D10" i="44"/>
  <c r="D11" i="44"/>
  <c r="D12" i="44"/>
  <c r="D13" i="44"/>
  <c r="D14" i="44"/>
  <c r="D15" i="44"/>
  <c r="D16" i="44"/>
  <c r="D17" i="44"/>
  <c r="D18" i="44"/>
  <c r="D19" i="44"/>
  <c r="D20" i="44"/>
  <c r="D21" i="44"/>
  <c r="D22" i="44"/>
  <c r="D23" i="44"/>
  <c r="D24" i="44"/>
  <c r="D25" i="44"/>
  <c r="D26" i="44"/>
  <c r="D27" i="44"/>
  <c r="D28" i="44"/>
  <c r="D29" i="44"/>
  <c r="D30" i="44"/>
  <c r="D31" i="44"/>
  <c r="D32" i="44"/>
  <c r="D33" i="44"/>
  <c r="D34" i="44"/>
  <c r="D35" i="44"/>
  <c r="D36" i="44"/>
  <c r="D37" i="44"/>
  <c r="D38" i="44"/>
  <c r="D39" i="44"/>
  <c r="D40" i="44"/>
  <c r="D41" i="44"/>
  <c r="D42" i="44"/>
  <c r="D43" i="44"/>
  <c r="D44" i="44"/>
  <c r="D45" i="44"/>
  <c r="D46" i="44"/>
  <c r="D47" i="44"/>
  <c r="D48" i="44"/>
  <c r="D49" i="44"/>
  <c r="D50" i="44"/>
  <c r="D51" i="44"/>
  <c r="A3" i="44"/>
  <c r="A4" i="44"/>
  <c r="A5" i="44"/>
  <c r="A6" i="44"/>
  <c r="A7" i="44"/>
  <c r="A8" i="44"/>
  <c r="A9" i="44"/>
  <c r="A10" i="44"/>
  <c r="A11" i="44"/>
  <c r="A12" i="44"/>
  <c r="A13" i="44"/>
  <c r="A14" i="44"/>
  <c r="A15" i="44"/>
  <c r="A16" i="44"/>
  <c r="A17" i="44"/>
  <c r="A18" i="44"/>
  <c r="A19" i="44"/>
  <c r="A20" i="44"/>
  <c r="A21" i="44"/>
  <c r="A22" i="44"/>
  <c r="A23" i="44"/>
  <c r="A24" i="44"/>
  <c r="A25" i="44"/>
  <c r="A26" i="44"/>
  <c r="A27" i="44"/>
  <c r="A28" i="44"/>
  <c r="A29" i="44"/>
  <c r="A30" i="44"/>
  <c r="A31" i="44"/>
  <c r="A32" i="44"/>
  <c r="A33" i="44"/>
  <c r="A34" i="44"/>
  <c r="A35" i="44"/>
  <c r="A36" i="44"/>
  <c r="A37" i="44"/>
  <c r="A38" i="44"/>
  <c r="A39" i="44"/>
  <c r="A40" i="44"/>
  <c r="A41" i="44"/>
  <c r="A42" i="44"/>
  <c r="A43" i="44"/>
  <c r="A44" i="44"/>
  <c r="A45" i="44"/>
  <c r="A46" i="44"/>
  <c r="A47" i="44"/>
  <c r="A48" i="44"/>
  <c r="A49" i="44"/>
  <c r="A50" i="44"/>
  <c r="A51" i="44"/>
  <c r="F50" i="44"/>
  <c r="F49" i="44"/>
  <c r="F48" i="44"/>
  <c r="F47" i="44"/>
  <c r="C43" i="44"/>
  <c r="C44" i="44"/>
  <c r="C45" i="44"/>
  <c r="C46" i="44"/>
  <c r="F46" i="44"/>
  <c r="F45" i="44"/>
  <c r="F44" i="44"/>
  <c r="F43" i="44"/>
  <c r="F42" i="44"/>
  <c r="C38" i="44"/>
  <c r="C39" i="44"/>
  <c r="C40" i="44"/>
  <c r="C41" i="44"/>
  <c r="F41" i="44"/>
  <c r="F40" i="44"/>
  <c r="F39" i="44"/>
  <c r="F38" i="44"/>
  <c r="C33" i="44"/>
  <c r="C34" i="44"/>
  <c r="C35" i="44"/>
  <c r="C36" i="44"/>
  <c r="F36" i="44"/>
  <c r="F35" i="44"/>
  <c r="F34" i="44"/>
  <c r="F33" i="44"/>
  <c r="F32" i="44"/>
  <c r="C28" i="44"/>
  <c r="C29" i="44"/>
  <c r="C30" i="44"/>
  <c r="C31" i="44"/>
  <c r="F31" i="44"/>
  <c r="F30" i="44"/>
  <c r="F29" i="44"/>
  <c r="F28" i="44"/>
  <c r="F27" i="44"/>
  <c r="C23" i="44"/>
  <c r="C24" i="44"/>
  <c r="C25" i="44"/>
  <c r="C26" i="44"/>
  <c r="F26" i="44"/>
  <c r="F25" i="44"/>
  <c r="F24" i="44"/>
  <c r="F23" i="44"/>
  <c r="F22" i="44"/>
  <c r="C18" i="44"/>
  <c r="C19" i="44"/>
  <c r="C20" i="44"/>
  <c r="C21" i="44"/>
  <c r="F21" i="44"/>
  <c r="F20" i="44"/>
  <c r="F19" i="44"/>
  <c r="F18" i="44"/>
  <c r="F17" i="44"/>
  <c r="C13" i="44"/>
  <c r="C14" i="44"/>
  <c r="C15" i="44"/>
  <c r="C16" i="44"/>
  <c r="F16" i="44"/>
  <c r="F15" i="44"/>
  <c r="F14" i="44"/>
  <c r="F13" i="44"/>
  <c r="F12" i="44"/>
  <c r="C8" i="44"/>
  <c r="C9" i="44"/>
  <c r="C10" i="44"/>
  <c r="C11" i="44"/>
  <c r="F11" i="44"/>
  <c r="F10" i="44"/>
  <c r="F9" i="44"/>
  <c r="F8" i="44"/>
  <c r="F7" i="44"/>
  <c r="C3" i="44"/>
  <c r="C4" i="44"/>
  <c r="C5" i="44"/>
  <c r="C6" i="44"/>
  <c r="F6" i="44"/>
  <c r="K1" i="44"/>
  <c r="L1" i="44"/>
  <c r="M1" i="44"/>
  <c r="N1" i="44"/>
  <c r="O1" i="44"/>
  <c r="P1" i="44"/>
  <c r="Q1" i="44"/>
  <c r="Q2" i="44"/>
  <c r="P2" i="44"/>
  <c r="O2" i="44"/>
  <c r="N2" i="44"/>
  <c r="M2" i="44"/>
  <c r="L2" i="44"/>
  <c r="K2" i="44"/>
  <c r="F2" i="44"/>
  <c r="C7" i="43"/>
  <c r="C12" i="43"/>
  <c r="C17" i="43"/>
  <c r="C22" i="43"/>
  <c r="C27" i="43"/>
  <c r="C32" i="43"/>
  <c r="C37" i="43"/>
  <c r="C42" i="43"/>
  <c r="C47" i="43"/>
  <c r="C48" i="43"/>
  <c r="C49" i="43"/>
  <c r="C50" i="43"/>
  <c r="C51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C43" i="43"/>
  <c r="C44" i="43"/>
  <c r="C45" i="43"/>
  <c r="C46" i="43"/>
  <c r="C38" i="43"/>
  <c r="C39" i="43"/>
  <c r="C40" i="43"/>
  <c r="C41" i="43"/>
  <c r="C33" i="43"/>
  <c r="C34" i="43"/>
  <c r="C35" i="43"/>
  <c r="C36" i="43"/>
  <c r="C28" i="43"/>
  <c r="C29" i="43"/>
  <c r="C30" i="43"/>
  <c r="C31" i="43"/>
  <c r="C23" i="43"/>
  <c r="C24" i="43"/>
  <c r="C25" i="43"/>
  <c r="C26" i="43"/>
  <c r="C18" i="43"/>
  <c r="C19" i="43"/>
  <c r="C20" i="43"/>
  <c r="C21" i="43"/>
  <c r="C13" i="43"/>
  <c r="C14" i="43"/>
  <c r="C15" i="43"/>
  <c r="C16" i="43"/>
  <c r="C8" i="43"/>
  <c r="C9" i="43"/>
  <c r="C10" i="43"/>
  <c r="C11" i="43"/>
  <c r="C3" i="43"/>
  <c r="C4" i="43"/>
  <c r="C5" i="43"/>
  <c r="C6" i="43"/>
  <c r="C7" i="42"/>
  <c r="C12" i="42"/>
  <c r="C17" i="42"/>
  <c r="C22" i="42"/>
  <c r="C27" i="42"/>
  <c r="C32" i="42"/>
  <c r="C37" i="42"/>
  <c r="C42" i="42"/>
  <c r="C47" i="42"/>
  <c r="C48" i="42"/>
  <c r="C49" i="42"/>
  <c r="C50" i="42"/>
  <c r="C51" i="42"/>
  <c r="A3" i="42"/>
  <c r="A4" i="42"/>
  <c r="A5" i="42"/>
  <c r="A6" i="42"/>
  <c r="A7" i="42"/>
  <c r="A8" i="42"/>
  <c r="A9" i="42"/>
  <c r="A10" i="42"/>
  <c r="A11" i="42"/>
  <c r="A12" i="42"/>
  <c r="A13" i="42"/>
  <c r="A14" i="42"/>
  <c r="A15" i="42"/>
  <c r="A16" i="42"/>
  <c r="A17" i="42"/>
  <c r="A18" i="42"/>
  <c r="A19" i="42"/>
  <c r="A20" i="42"/>
  <c r="A21" i="42"/>
  <c r="A22" i="42"/>
  <c r="A23" i="42"/>
  <c r="A24" i="42"/>
  <c r="A25" i="42"/>
  <c r="A26" i="42"/>
  <c r="A27" i="42"/>
  <c r="A28" i="42"/>
  <c r="A29" i="42"/>
  <c r="A30" i="42"/>
  <c r="A31" i="42"/>
  <c r="A32" i="42"/>
  <c r="A33" i="42"/>
  <c r="A34" i="42"/>
  <c r="A35" i="42"/>
  <c r="A3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A49" i="42"/>
  <c r="A50" i="42"/>
  <c r="A51" i="42"/>
  <c r="C43" i="42"/>
  <c r="C44" i="42"/>
  <c r="C45" i="42"/>
  <c r="C46" i="42"/>
  <c r="C38" i="42"/>
  <c r="C39" i="42"/>
  <c r="C40" i="42"/>
  <c r="C41" i="42"/>
  <c r="C33" i="42"/>
  <c r="C34" i="42"/>
  <c r="C35" i="42"/>
  <c r="C36" i="42"/>
  <c r="C28" i="42"/>
  <c r="C29" i="42"/>
  <c r="C30" i="42"/>
  <c r="C31" i="42"/>
  <c r="C23" i="42"/>
  <c r="C24" i="42"/>
  <c r="C25" i="42"/>
  <c r="C26" i="42"/>
  <c r="C18" i="42"/>
  <c r="C19" i="42"/>
  <c r="C20" i="42"/>
  <c r="C21" i="42"/>
  <c r="C13" i="42"/>
  <c r="C14" i="42"/>
  <c r="C15" i="42"/>
  <c r="C16" i="42"/>
  <c r="C8" i="42"/>
  <c r="C9" i="42"/>
  <c r="C10" i="42"/>
  <c r="C11" i="42"/>
  <c r="C3" i="42"/>
  <c r="C4" i="42"/>
  <c r="C5" i="42"/>
  <c r="C6" i="42"/>
  <c r="C7" i="41"/>
  <c r="C12" i="41"/>
  <c r="C17" i="41"/>
  <c r="C22" i="41"/>
  <c r="C27" i="41"/>
  <c r="C32" i="41"/>
  <c r="C37" i="41"/>
  <c r="C42" i="41"/>
  <c r="C47" i="41"/>
  <c r="C48" i="41"/>
  <c r="C49" i="41"/>
  <c r="C50" i="41"/>
  <c r="C51" i="41"/>
  <c r="A3" i="41"/>
  <c r="A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C43" i="41"/>
  <c r="C44" i="41"/>
  <c r="C45" i="41"/>
  <c r="C46" i="41"/>
  <c r="C38" i="41"/>
  <c r="C39" i="41"/>
  <c r="C40" i="41"/>
  <c r="C41" i="41"/>
  <c r="C33" i="41"/>
  <c r="C34" i="41"/>
  <c r="C35" i="41"/>
  <c r="C36" i="41"/>
  <c r="C28" i="41"/>
  <c r="C29" i="41"/>
  <c r="C30" i="41"/>
  <c r="C31" i="41"/>
  <c r="C23" i="41"/>
  <c r="C24" i="41"/>
  <c r="C25" i="41"/>
  <c r="C26" i="41"/>
  <c r="C18" i="41"/>
  <c r="C19" i="41"/>
  <c r="C20" i="41"/>
  <c r="C21" i="41"/>
  <c r="C13" i="41"/>
  <c r="C14" i="41"/>
  <c r="C15" i="41"/>
  <c r="C16" i="41"/>
  <c r="C8" i="41"/>
  <c r="C9" i="41"/>
  <c r="C10" i="41"/>
  <c r="C11" i="41"/>
  <c r="C3" i="41"/>
  <c r="C4" i="41"/>
  <c r="C5" i="41"/>
  <c r="C6" i="41"/>
  <c r="C7" i="40"/>
  <c r="C12" i="40"/>
  <c r="C17" i="40"/>
  <c r="C22" i="40"/>
  <c r="C27" i="40"/>
  <c r="C32" i="40"/>
  <c r="C37" i="40"/>
  <c r="C42" i="40"/>
  <c r="C47" i="40"/>
  <c r="C48" i="40"/>
  <c r="C49" i="40"/>
  <c r="C50" i="40"/>
  <c r="C51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21" i="40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C43" i="40"/>
  <c r="C44" i="40"/>
  <c r="C45" i="40"/>
  <c r="C46" i="40"/>
  <c r="C38" i="40"/>
  <c r="C39" i="40"/>
  <c r="C40" i="40"/>
  <c r="C41" i="40"/>
  <c r="C33" i="40"/>
  <c r="C34" i="40"/>
  <c r="C35" i="40"/>
  <c r="C36" i="40"/>
  <c r="C28" i="40"/>
  <c r="C29" i="40"/>
  <c r="C30" i="40"/>
  <c r="C31" i="40"/>
  <c r="C23" i="40"/>
  <c r="C24" i="40"/>
  <c r="C25" i="40"/>
  <c r="C26" i="40"/>
  <c r="C18" i="40"/>
  <c r="C19" i="40"/>
  <c r="C20" i="40"/>
  <c r="C21" i="40"/>
  <c r="C13" i="40"/>
  <c r="C14" i="40"/>
  <c r="C15" i="40"/>
  <c r="C16" i="40"/>
  <c r="C8" i="40"/>
  <c r="C9" i="40"/>
  <c r="C10" i="40"/>
  <c r="C11" i="40"/>
  <c r="C3" i="40"/>
  <c r="C4" i="40"/>
  <c r="C5" i="40"/>
  <c r="C6" i="40"/>
  <c r="C7" i="39"/>
  <c r="C12" i="39"/>
  <c r="C17" i="39"/>
  <c r="C22" i="39"/>
  <c r="C27" i="39"/>
  <c r="C32" i="39"/>
  <c r="C37" i="39"/>
  <c r="C42" i="39"/>
  <c r="C47" i="39"/>
  <c r="C48" i="39"/>
  <c r="C49" i="39"/>
  <c r="C50" i="39"/>
  <c r="C5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C43" i="39"/>
  <c r="C44" i="39"/>
  <c r="C45" i="39"/>
  <c r="C46" i="39"/>
  <c r="C38" i="39"/>
  <c r="C39" i="39"/>
  <c r="C40" i="39"/>
  <c r="C41" i="39"/>
  <c r="C33" i="39"/>
  <c r="C34" i="39"/>
  <c r="C35" i="39"/>
  <c r="C36" i="39"/>
  <c r="C28" i="39"/>
  <c r="C29" i="39"/>
  <c r="C30" i="39"/>
  <c r="C31" i="39"/>
  <c r="C23" i="39"/>
  <c r="C24" i="39"/>
  <c r="C25" i="39"/>
  <c r="C26" i="39"/>
  <c r="C18" i="39"/>
  <c r="C19" i="39"/>
  <c r="C20" i="39"/>
  <c r="C21" i="39"/>
  <c r="C13" i="39"/>
  <c r="C14" i="39"/>
  <c r="C15" i="39"/>
  <c r="C16" i="39"/>
  <c r="C8" i="39"/>
  <c r="C9" i="39"/>
  <c r="C10" i="39"/>
  <c r="C11" i="39"/>
  <c r="C3" i="39"/>
  <c r="C4" i="39"/>
  <c r="C5" i="39"/>
  <c r="C6" i="39"/>
  <c r="C7" i="38"/>
  <c r="C12" i="38"/>
  <c r="C17" i="38"/>
  <c r="C22" i="38"/>
  <c r="C27" i="38"/>
  <c r="C32" i="38"/>
  <c r="C37" i="38"/>
  <c r="C42" i="38"/>
  <c r="C47" i="38"/>
  <c r="C48" i="38"/>
  <c r="C49" i="38"/>
  <c r="C50" i="38"/>
  <c r="C51" i="38"/>
  <c r="A3" i="38"/>
  <c r="A4" i="38"/>
  <c r="A5" i="38"/>
  <c r="A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C43" i="38"/>
  <c r="C44" i="38"/>
  <c r="C45" i="38"/>
  <c r="C46" i="38"/>
  <c r="C38" i="38"/>
  <c r="C39" i="38"/>
  <c r="C40" i="38"/>
  <c r="C41" i="38"/>
  <c r="C33" i="38"/>
  <c r="C34" i="38"/>
  <c r="C35" i="38"/>
  <c r="C36" i="38"/>
  <c r="C28" i="38"/>
  <c r="C29" i="38"/>
  <c r="C30" i="38"/>
  <c r="C31" i="38"/>
  <c r="C23" i="38"/>
  <c r="C24" i="38"/>
  <c r="C25" i="38"/>
  <c r="C26" i="38"/>
  <c r="C18" i="38"/>
  <c r="C19" i="38"/>
  <c r="C20" i="38"/>
  <c r="C21" i="38"/>
  <c r="C13" i="38"/>
  <c r="C14" i="38"/>
  <c r="C15" i="38"/>
  <c r="C16" i="38"/>
  <c r="C8" i="38"/>
  <c r="C9" i="38"/>
  <c r="C10" i="38"/>
  <c r="C11" i="38"/>
  <c r="C3" i="38"/>
  <c r="C4" i="38"/>
  <c r="C5" i="38"/>
  <c r="C6" i="38"/>
  <c r="D58" i="36"/>
  <c r="D57" i="36"/>
  <c r="D56" i="36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D6" i="36"/>
  <c r="D5" i="36"/>
  <c r="D4" i="36"/>
  <c r="D2" i="32"/>
  <c r="D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8" i="32"/>
  <c r="D39" i="32"/>
  <c r="D40" i="32"/>
  <c r="D41" i="32"/>
  <c r="D42" i="32"/>
  <c r="D43" i="32"/>
  <c r="D44" i="32"/>
  <c r="D45" i="32"/>
  <c r="D46" i="32"/>
  <c r="D47" i="32"/>
  <c r="D48" i="32"/>
  <c r="D49" i="32"/>
  <c r="D50" i="32"/>
  <c r="D51" i="32"/>
  <c r="K1" i="32"/>
  <c r="L1" i="32"/>
  <c r="M1" i="32"/>
  <c r="N1" i="32"/>
  <c r="O1" i="32"/>
  <c r="P1" i="32"/>
  <c r="Q1" i="32"/>
  <c r="Q2" i="32"/>
  <c r="P2" i="32"/>
  <c r="O2" i="32"/>
  <c r="N2" i="32"/>
  <c r="M2" i="32"/>
  <c r="L2" i="32"/>
  <c r="K2" i="32"/>
  <c r="C7" i="32"/>
  <c r="C12" i="32"/>
  <c r="C17" i="32"/>
  <c r="C22" i="32"/>
  <c r="C27" i="32"/>
  <c r="C32" i="32"/>
  <c r="C37" i="32"/>
  <c r="C42" i="32"/>
  <c r="C47" i="32"/>
  <c r="C48" i="32"/>
  <c r="C49" i="32"/>
  <c r="C50" i="32"/>
  <c r="C51" i="32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C43" i="32"/>
  <c r="C44" i="32"/>
  <c r="C45" i="32"/>
  <c r="C46" i="32"/>
  <c r="C38" i="32"/>
  <c r="C39" i="32"/>
  <c r="C40" i="32"/>
  <c r="C41" i="32"/>
  <c r="C33" i="32"/>
  <c r="C34" i="32"/>
  <c r="C35" i="32"/>
  <c r="C36" i="32"/>
  <c r="C28" i="32"/>
  <c r="C29" i="32"/>
  <c r="C30" i="32"/>
  <c r="C31" i="32"/>
  <c r="C23" i="32"/>
  <c r="C24" i="32"/>
  <c r="C25" i="32"/>
  <c r="C26" i="32"/>
  <c r="C18" i="32"/>
  <c r="C19" i="32"/>
  <c r="C20" i="32"/>
  <c r="C21" i="32"/>
  <c r="C13" i="32"/>
  <c r="C14" i="32"/>
  <c r="C15" i="32"/>
  <c r="C16" i="32"/>
  <c r="C8" i="32"/>
  <c r="C9" i="32"/>
  <c r="C10" i="32"/>
  <c r="C11" i="32"/>
  <c r="C3" i="32"/>
  <c r="C4" i="32"/>
  <c r="C5" i="32"/>
  <c r="C6" i="32"/>
  <c r="C53" i="32"/>
  <c r="F53" i="32"/>
  <c r="C52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" i="32"/>
  <c r="C7" i="30"/>
  <c r="C12" i="30"/>
  <c r="C17" i="30"/>
  <c r="C22" i="30"/>
  <c r="C27" i="30"/>
  <c r="C32" i="30"/>
  <c r="C37" i="30"/>
  <c r="C42" i="30"/>
  <c r="C47" i="30"/>
  <c r="C48" i="30"/>
  <c r="C49" i="30"/>
  <c r="C50" i="30"/>
  <c r="C51" i="30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C43" i="30"/>
  <c r="C44" i="30"/>
  <c r="C45" i="30"/>
  <c r="C46" i="30"/>
  <c r="C38" i="30"/>
  <c r="C39" i="30"/>
  <c r="C40" i="30"/>
  <c r="C41" i="30"/>
  <c r="C33" i="30"/>
  <c r="C34" i="30"/>
  <c r="C35" i="30"/>
  <c r="C36" i="30"/>
  <c r="C28" i="30"/>
  <c r="C29" i="30"/>
  <c r="C30" i="30"/>
  <c r="C31" i="30"/>
  <c r="C23" i="30"/>
  <c r="C24" i="30"/>
  <c r="C25" i="30"/>
  <c r="C26" i="30"/>
  <c r="C18" i="30"/>
  <c r="C19" i="30"/>
  <c r="C20" i="30"/>
  <c r="C21" i="30"/>
  <c r="C13" i="30"/>
  <c r="C14" i="30"/>
  <c r="C15" i="30"/>
  <c r="C16" i="30"/>
  <c r="C8" i="30"/>
  <c r="C9" i="30"/>
  <c r="C10" i="30"/>
  <c r="C11" i="30"/>
  <c r="C3" i="30"/>
  <c r="C4" i="30"/>
  <c r="C5" i="30"/>
  <c r="C6" i="30"/>
  <c r="C7" i="29"/>
  <c r="C12" i="29"/>
  <c r="C17" i="29"/>
  <c r="C22" i="29"/>
  <c r="C27" i="29"/>
  <c r="C32" i="29"/>
  <c r="C37" i="29"/>
  <c r="C42" i="29"/>
  <c r="C47" i="29"/>
  <c r="C48" i="29"/>
  <c r="C49" i="29"/>
  <c r="C50" i="29"/>
  <c r="C51" i="29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C43" i="29"/>
  <c r="C44" i="29"/>
  <c r="C45" i="29"/>
  <c r="C46" i="29"/>
  <c r="C38" i="29"/>
  <c r="C39" i="29"/>
  <c r="C40" i="29"/>
  <c r="C41" i="29"/>
  <c r="C33" i="29"/>
  <c r="C34" i="29"/>
  <c r="C35" i="29"/>
  <c r="C36" i="29"/>
  <c r="C28" i="29"/>
  <c r="C29" i="29"/>
  <c r="C30" i="29"/>
  <c r="C31" i="29"/>
  <c r="C23" i="29"/>
  <c r="C24" i="29"/>
  <c r="C25" i="29"/>
  <c r="C26" i="29"/>
  <c r="C18" i="29"/>
  <c r="C19" i="29"/>
  <c r="C20" i="29"/>
  <c r="C21" i="29"/>
  <c r="C13" i="29"/>
  <c r="C14" i="29"/>
  <c r="C15" i="29"/>
  <c r="C16" i="29"/>
  <c r="C8" i="29"/>
  <c r="C9" i="29"/>
  <c r="C10" i="29"/>
  <c r="C11" i="29"/>
  <c r="C3" i="29"/>
  <c r="C4" i="29"/>
  <c r="C5" i="29"/>
  <c r="C6" i="29"/>
  <c r="C7" i="28"/>
  <c r="C12" i="28"/>
  <c r="C17" i="28"/>
  <c r="C22" i="28"/>
  <c r="C27" i="28"/>
  <c r="C32" i="28"/>
  <c r="C37" i="28"/>
  <c r="C42" i="28"/>
  <c r="C47" i="28"/>
  <c r="C48" i="28"/>
  <c r="C49" i="28"/>
  <c r="C50" i="28"/>
  <c r="C51" i="28"/>
  <c r="A3" i="28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C43" i="28"/>
  <c r="C44" i="28"/>
  <c r="C45" i="28"/>
  <c r="C46" i="28"/>
  <c r="C38" i="28"/>
  <c r="C39" i="28"/>
  <c r="C40" i="28"/>
  <c r="C41" i="28"/>
  <c r="C33" i="28"/>
  <c r="C34" i="28"/>
  <c r="C35" i="28"/>
  <c r="C36" i="28"/>
  <c r="C28" i="28"/>
  <c r="C29" i="28"/>
  <c r="C30" i="28"/>
  <c r="C31" i="28"/>
  <c r="C23" i="28"/>
  <c r="C24" i="28"/>
  <c r="C25" i="28"/>
  <c r="C26" i="28"/>
  <c r="C18" i="28"/>
  <c r="C19" i="28"/>
  <c r="C20" i="28"/>
  <c r="C21" i="28"/>
  <c r="C13" i="28"/>
  <c r="C14" i="28"/>
  <c r="C15" i="28"/>
  <c r="C16" i="28"/>
  <c r="C8" i="28"/>
  <c r="C9" i="28"/>
  <c r="C10" i="28"/>
  <c r="C11" i="28"/>
  <c r="C3" i="28"/>
  <c r="C4" i="28"/>
  <c r="C5" i="28"/>
  <c r="C6" i="28"/>
  <c r="C7" i="27"/>
  <c r="C12" i="27"/>
  <c r="C17" i="27"/>
  <c r="C22" i="27"/>
  <c r="C27" i="27"/>
  <c r="C32" i="27"/>
  <c r="C37" i="27"/>
  <c r="C42" i="27"/>
  <c r="C47" i="27"/>
  <c r="C48" i="27"/>
  <c r="C49" i="27"/>
  <c r="C50" i="27"/>
  <c r="C51" i="27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C43" i="27"/>
  <c r="C44" i="27"/>
  <c r="C45" i="27"/>
  <c r="C46" i="27"/>
  <c r="C38" i="27"/>
  <c r="C39" i="27"/>
  <c r="C40" i="27"/>
  <c r="C41" i="27"/>
  <c r="C33" i="27"/>
  <c r="C34" i="27"/>
  <c r="C35" i="27"/>
  <c r="C36" i="27"/>
  <c r="C28" i="27"/>
  <c r="C29" i="27"/>
  <c r="C30" i="27"/>
  <c r="C31" i="27"/>
  <c r="C23" i="27"/>
  <c r="C24" i="27"/>
  <c r="C25" i="27"/>
  <c r="C26" i="27"/>
  <c r="C18" i="27"/>
  <c r="C19" i="27"/>
  <c r="C20" i="27"/>
  <c r="C21" i="27"/>
  <c r="C13" i="27"/>
  <c r="C14" i="27"/>
  <c r="C15" i="27"/>
  <c r="C16" i="27"/>
  <c r="C8" i="27"/>
  <c r="C9" i="27"/>
  <c r="C10" i="27"/>
  <c r="C11" i="27"/>
  <c r="C3" i="27"/>
  <c r="C4" i="27"/>
  <c r="C5" i="27"/>
  <c r="C6" i="27"/>
  <c r="C7" i="26"/>
  <c r="C12" i="26"/>
  <c r="C17" i="26"/>
  <c r="C22" i="26"/>
  <c r="C27" i="26"/>
  <c r="C32" i="26"/>
  <c r="C37" i="26"/>
  <c r="C42" i="26"/>
  <c r="C47" i="26"/>
  <c r="C48" i="26"/>
  <c r="C49" i="26"/>
  <c r="C50" i="26"/>
  <c r="C51" i="26"/>
  <c r="A3" i="26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47" i="26"/>
  <c r="A48" i="26"/>
  <c r="A49" i="26"/>
  <c r="A50" i="26"/>
  <c r="A51" i="26"/>
  <c r="C43" i="26"/>
  <c r="C44" i="26"/>
  <c r="C45" i="26"/>
  <c r="C46" i="26"/>
  <c r="C38" i="26"/>
  <c r="C39" i="26"/>
  <c r="C40" i="26"/>
  <c r="C41" i="26"/>
  <c r="C33" i="26"/>
  <c r="C34" i="26"/>
  <c r="C35" i="26"/>
  <c r="C36" i="26"/>
  <c r="C28" i="26"/>
  <c r="C29" i="26"/>
  <c r="C30" i="26"/>
  <c r="C31" i="26"/>
  <c r="C23" i="26"/>
  <c r="C24" i="26"/>
  <c r="C25" i="26"/>
  <c r="C26" i="26"/>
  <c r="C18" i="26"/>
  <c r="C19" i="26"/>
  <c r="C20" i="26"/>
  <c r="C21" i="26"/>
  <c r="C13" i="26"/>
  <c r="C14" i="26"/>
  <c r="C15" i="26"/>
  <c r="C16" i="26"/>
  <c r="C8" i="26"/>
  <c r="C9" i="26"/>
  <c r="C10" i="26"/>
  <c r="C11" i="26"/>
  <c r="C3" i="26"/>
  <c r="C4" i="26"/>
  <c r="C5" i="26"/>
  <c r="C6" i="26"/>
  <c r="C47" i="9"/>
  <c r="C42" i="9"/>
  <c r="C37" i="9"/>
  <c r="C32" i="9"/>
  <c r="C27" i="9"/>
  <c r="C22" i="9"/>
  <c r="C17" i="9"/>
  <c r="C12" i="9"/>
  <c r="C7" i="9"/>
  <c r="C3" i="9"/>
  <c r="C4" i="9"/>
  <c r="C5" i="9"/>
  <c r="C6" i="9"/>
  <c r="C8" i="9"/>
  <c r="C9" i="9"/>
  <c r="C10" i="9"/>
  <c r="C11" i="9"/>
  <c r="C13" i="9"/>
  <c r="C14" i="9"/>
  <c r="C15" i="9"/>
  <c r="C16" i="9"/>
  <c r="C18" i="9"/>
  <c r="C19" i="9"/>
  <c r="C20" i="9"/>
  <c r="C21" i="9"/>
  <c r="C23" i="9"/>
  <c r="C24" i="9"/>
  <c r="C25" i="9"/>
  <c r="C26" i="9"/>
  <c r="C28" i="9"/>
  <c r="C29" i="9"/>
  <c r="C30" i="9"/>
  <c r="C31" i="9"/>
  <c r="C33" i="9"/>
  <c r="C34" i="9"/>
  <c r="C35" i="9"/>
  <c r="C36" i="9"/>
  <c r="C38" i="9"/>
  <c r="C39" i="9"/>
  <c r="C40" i="9"/>
  <c r="C41" i="9"/>
  <c r="C43" i="9"/>
  <c r="C44" i="9"/>
  <c r="C45" i="9"/>
  <c r="C46" i="9"/>
  <c r="C48" i="9"/>
  <c r="C49" i="9"/>
  <c r="C50" i="9"/>
  <c r="C51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9" i="19"/>
  <c r="D5" i="19"/>
  <c r="D7" i="19"/>
  <c r="D6" i="19"/>
  <c r="D10" i="19"/>
  <c r="D4" i="19"/>
  <c r="D8" i="19"/>
  <c r="D58" i="13"/>
  <c r="D57" i="13"/>
  <c r="D56" i="13"/>
  <c r="D55" i="13"/>
  <c r="D54" i="13"/>
  <c r="D53" i="13"/>
  <c r="D52" i="13"/>
  <c r="D51" i="13"/>
  <c r="D50" i="13"/>
  <c r="D49" i="13"/>
  <c r="D20" i="13"/>
  <c r="D33" i="13"/>
  <c r="D19" i="13"/>
  <c r="D17" i="13"/>
  <c r="D25" i="13"/>
  <c r="D39" i="13"/>
  <c r="D14" i="13"/>
  <c r="D13" i="13"/>
  <c r="D37" i="13"/>
  <c r="D38" i="13"/>
  <c r="D31" i="13"/>
  <c r="D36" i="13"/>
  <c r="D5" i="13"/>
  <c r="D6" i="13"/>
  <c r="D35" i="13"/>
  <c r="D44" i="13"/>
  <c r="D43" i="13"/>
  <c r="D30" i="13"/>
  <c r="D40" i="13"/>
  <c r="D21" i="13"/>
  <c r="D26" i="13"/>
  <c r="D8" i="13"/>
  <c r="D32" i="13"/>
  <c r="D23" i="13"/>
  <c r="D12" i="13"/>
  <c r="D24" i="13"/>
  <c r="D9" i="13"/>
  <c r="D18" i="13"/>
  <c r="D34" i="13"/>
  <c r="D42" i="13"/>
  <c r="D15" i="13"/>
  <c r="D28" i="13"/>
  <c r="D48" i="13"/>
  <c r="D7" i="13"/>
  <c r="D41" i="13"/>
  <c r="D4" i="13"/>
  <c r="D22" i="13"/>
  <c r="D10" i="13"/>
  <c r="D27" i="13"/>
  <c r="D46" i="13"/>
  <c r="D47" i="13"/>
  <c r="D16" i="13"/>
  <c r="D45" i="13"/>
  <c r="D29" i="13"/>
  <c r="D11" i="13"/>
</calcChain>
</file>

<file path=xl/sharedStrings.xml><?xml version="1.0" encoding="utf-8"?>
<sst xmlns="http://schemas.openxmlformats.org/spreadsheetml/2006/main" count="6803" uniqueCount="1572">
  <si>
    <t>Feature</t>
  </si>
  <si>
    <t>Planned Story Points</t>
  </si>
  <si>
    <t>Completed Story Points</t>
  </si>
  <si>
    <t>Date</t>
  </si>
  <si>
    <t>Issue Type</t>
  </si>
  <si>
    <t>Status</t>
  </si>
  <si>
    <t>Key</t>
  </si>
  <si>
    <t>Fix Version/s</t>
  </si>
  <si>
    <t>Story Points</t>
  </si>
  <si>
    <t>Job Size</t>
  </si>
  <si>
    <t>Time Criticality</t>
  </si>
  <si>
    <t>Linked Issues</t>
  </si>
  <si>
    <t>Story</t>
  </si>
  <si>
    <t>Open</t>
  </si>
  <si>
    <t>In Progress</t>
  </si>
  <si>
    <t>Done</t>
  </si>
  <si>
    <t>In review</t>
  </si>
  <si>
    <t>Canceled</t>
  </si>
  <si>
    <t>New Feature</t>
  </si>
  <si>
    <t>Implementing</t>
  </si>
  <si>
    <t>Approved</t>
  </si>
  <si>
    <t>Draft</t>
  </si>
  <si>
    <t>Waiting For Approval</t>
  </si>
  <si>
    <t>Integrating</t>
  </si>
  <si>
    <t>Enabler</t>
  </si>
  <si>
    <t>Testing</t>
  </si>
  <si>
    <t>Data sheet</t>
  </si>
  <si>
    <t>ID</t>
  </si>
  <si>
    <t>Team</t>
  </si>
  <si>
    <t>Team A name</t>
  </si>
  <si>
    <t>Team A project space key(s)</t>
  </si>
  <si>
    <t>Team B name</t>
  </si>
  <si>
    <t>Team B project space key(s)</t>
  </si>
  <si>
    <t>Team C project space key(s)</t>
  </si>
  <si>
    <t>Team C name</t>
  </si>
  <si>
    <t>Team D name</t>
  </si>
  <si>
    <t>Team D project space key(s)</t>
  </si>
  <si>
    <t>Team E name</t>
  </si>
  <si>
    <t>Team E project space key(s)</t>
  </si>
  <si>
    <t>Team F name</t>
  </si>
  <si>
    <t>Team F project space key(s)</t>
  </si>
  <si>
    <t>Team G name</t>
  </si>
  <si>
    <t>Team G project space key(s)</t>
  </si>
  <si>
    <t>Team H name</t>
  </si>
  <si>
    <t>Team H project space key(s)</t>
  </si>
  <si>
    <t>Team I name</t>
  </si>
  <si>
    <t>Team I project space key(s)</t>
  </si>
  <si>
    <t>Team J name</t>
  </si>
  <si>
    <t>Team J project space key(s)</t>
  </si>
  <si>
    <t>Number of planning items</t>
  </si>
  <si>
    <t>MWP, EUI</t>
  </si>
  <si>
    <t>Risk Reduction</t>
  </si>
  <si>
    <t>Business Value</t>
  </si>
  <si>
    <t>Sprint</t>
  </si>
  <si>
    <t>Summary</t>
  </si>
  <si>
    <t>Number of stories:</t>
  </si>
  <si>
    <t>Number of features:</t>
  </si>
  <si>
    <t xml:space="preserve">Number of enablers: </t>
  </si>
  <si>
    <t>Iteration  #1 Ids</t>
  </si>
  <si>
    <t>Iteration  #2 Ids</t>
  </si>
  <si>
    <t>Iteration  #3 Ids</t>
  </si>
  <si>
    <t>Iteration  #4 Ids</t>
  </si>
  <si>
    <t>Iteration  #5 Ids</t>
  </si>
  <si>
    <t>CC Process Centre PI4 It4, CC Portoflio Manager PI4 It4, Comp Corp RTD PI4 It4, Comp Corp REGIO PI4 It4, EC eUI My Workplace PI9 It4, COMCORP-PMO-4.4</t>
  </si>
  <si>
    <t>CC Process Centre PI4 It1, CC Portoflio Manager PI4 It1, Comp Corp RTD PI4 It1, Comp Corp REGIO PI4 It1, EC eUI My Workplace PI9 It1, COMCORP-PMO-4.1</t>
  </si>
  <si>
    <t>CC Process Centre PI4 It2, CC Portoflio Manager PI4 It2, Comp Corp RTD PI4 It2, Comp Corp REGIO PI4 It2, EC eUI My Workplace PI9 It2, COMCORP-PMO-4.2</t>
  </si>
  <si>
    <t>CC Process Centre PI4 It3, CC Portoflio Manager PI4 It3, Comp Corp RTD PI4 It3, Comp Corp REGIO PI4 It3, EC eUI My Workplace PI9 It3, COMCORP-PMO-4.3</t>
  </si>
  <si>
    <t>CC Process Centre PI4 It5, CC Portoflio Manager PI4 It5, Comp Corp RTD PI4 It5, Comp Corp REGIO PI4 It5, EC eUI My Workplace PI9 It5, COMCORP-PMO-4.5</t>
  </si>
  <si>
    <t>Action: Session Management</t>
  </si>
  <si>
    <t>TSKACTION-217</t>
  </si>
  <si>
    <t>COMPCORP-PI4</t>
  </si>
  <si>
    <t>Comp Corp RTD PI3 It4, Comp Corp RTD PI4 It3</t>
  </si>
  <si>
    <t>COMPASS-273, COMPASS-270, COMPASS-271, COMPASS-272, TSKACTION-271, TSKACTION-216, TSKACTION-237, COMPASS-228, COMPASS-229, TSKACTION-218, COMPCORP-104</t>
  </si>
  <si>
    <t>As CCTG, I want to view all the Risks and follow the status</t>
  </si>
  <si>
    <t>CCPMO-46</t>
  </si>
  <si>
    <t>COMCORP-PMO-4.1</t>
  </si>
  <si>
    <t>CCPMO-76</t>
  </si>
  <si>
    <t>Creating QA queries</t>
  </si>
  <si>
    <t>CCPMO-59</t>
  </si>
  <si>
    <t>Writting Jira rules</t>
  </si>
  <si>
    <t>CCPMO-58</t>
  </si>
  <si>
    <t>Provide pre/post operation callbacks to business</t>
  </si>
  <si>
    <t>CCDOCLIST-165</t>
  </si>
  <si>
    <t>Comp Corp RTD PI4 It2</t>
  </si>
  <si>
    <t>CCDOCLIST-166, CCDOCLIST-167</t>
  </si>
  <si>
    <t>Configuration library adoption support</t>
  </si>
  <si>
    <t>CCADMIN-43</t>
  </si>
  <si>
    <t>Comp Corp REGIO PI4 It1</t>
  </si>
  <si>
    <t>CCADMIN-42</t>
  </si>
  <si>
    <t>Integrate with zookeeper</t>
  </si>
  <si>
    <t>CCADMIN-47</t>
  </si>
  <si>
    <t>CCADMIN-44</t>
  </si>
  <si>
    <t>Provide data to zookeeper</t>
  </si>
  <si>
    <t>CCADMIN-46</t>
  </si>
  <si>
    <t>REST services for managing consultations - mock</t>
  </si>
  <si>
    <t>INTERCOM-57</t>
  </si>
  <si>
    <t>INTERCOM-54</t>
  </si>
  <si>
    <t>UI for creating consultation</t>
  </si>
  <si>
    <t>INTERCOM-56</t>
  </si>
  <si>
    <t>Update the maven archetype for microservices</t>
  </si>
  <si>
    <t>INTERCOM-53</t>
  </si>
  <si>
    <t>INTERCOM-52</t>
  </si>
  <si>
    <t>Use codes for labels inside the UI</t>
  </si>
  <si>
    <t>CCADMIN-48</t>
  </si>
  <si>
    <t>Zookeeper data model for micro-services</t>
  </si>
  <si>
    <t>CCADMIN-45</t>
  </si>
  <si>
    <t>Closed</t>
  </si>
  <si>
    <t>Filter process based on current user's organisation portfolio</t>
  </si>
  <si>
    <t>PROCESS-108</t>
  </si>
  <si>
    <t>CC Process Centre PI4 It1, CC Process Centre PI4 It2, CC Process Centre PI4 It3</t>
  </si>
  <si>
    <t>PROCESS-44</t>
  </si>
  <si>
    <t>Filter processes based on current user assets</t>
  </si>
  <si>
    <t>PROCESS-76</t>
  </si>
  <si>
    <t>COMPCORP-PI3, COMPCORP-PI4</t>
  </si>
  <si>
    <t>CC Process Centre PI4 It1</t>
  </si>
  <si>
    <t>Filter processes based on user portfolio assignments</t>
  </si>
  <si>
    <t>PROCESS-108, PROCESS-76</t>
  </si>
  <si>
    <t>Improve search performance (elastic search)</t>
  </si>
  <si>
    <t>PROCESS-92</t>
  </si>
  <si>
    <t>PROCESS-115, PROCESS-94</t>
  </si>
  <si>
    <t>Support specific attributes based on taxonomy</t>
  </si>
  <si>
    <t>PROCESS-75</t>
  </si>
  <si>
    <t>PROCESS-48, PROCESS-49, PROCESS-120, PROCESS-121, PROCESS-80, EUI-1318</t>
  </si>
  <si>
    <t>User impersonation</t>
  </si>
  <si>
    <t>PROCESS-107</t>
  </si>
  <si>
    <t>PROCESS-96, PROCESS-104</t>
  </si>
  <si>
    <t>Adapt the filters to align with the harmonized UX guidelines</t>
  </si>
  <si>
    <t>PROCESS-109</t>
  </si>
  <si>
    <t>CC Process Centre PI4 It2, CC Process Centre PI4 It3</t>
  </si>
  <si>
    <t>PROCESS-33</t>
  </si>
  <si>
    <t>Back-end integration with the translation service</t>
  </si>
  <si>
    <t>PROCESS-112</t>
  </si>
  <si>
    <t>CC Process Centre PI4 It2, CC Process Centre PI4 It3, CC Process Centre PI4 It4</t>
  </si>
  <si>
    <t>PROCESS-95</t>
  </si>
  <si>
    <t>Back-end integration with the user organisation repository</t>
  </si>
  <si>
    <t>PROCESS-111</t>
  </si>
  <si>
    <t>Manual configuration of metroline mapping file (json)</t>
  </si>
  <si>
    <t>PROCESS-128</t>
  </si>
  <si>
    <t>CC Process Centre PI4 It2, CC Process Centre PI4 It4</t>
  </si>
  <si>
    <t>Refactoring of process type following addition of taxonomy events</t>
  </si>
  <si>
    <t>PROCESS-129</t>
  </si>
  <si>
    <t>UI integration with the user organisation repository</t>
  </si>
  <si>
    <t>PROCESS-110</t>
  </si>
  <si>
    <t>Reduce the number of process result list views to a single one</t>
  </si>
  <si>
    <t>PROCESS-113</t>
  </si>
  <si>
    <t>CC Process Centre PI4 It3</t>
  </si>
  <si>
    <t>Integrate internationalization service</t>
  </si>
  <si>
    <t>PFM-143</t>
  </si>
  <si>
    <t>CC Portfolio Manager PI4 It1, CC Portfolio Manager PI4 It2, CC Portfolio Manager PI4 It3, CC Portfolio Manager PI4 It4</t>
  </si>
  <si>
    <t>PFM-125</t>
  </si>
  <si>
    <t>Retrieve portfolio item id's for connected user</t>
  </si>
  <si>
    <t>PFM-142</t>
  </si>
  <si>
    <t>CC Portfolio Manager PI4 It1</t>
  </si>
  <si>
    <t>PFM-144</t>
  </si>
  <si>
    <t>CC Portfolio Manager PI4 It1, CC Portfolio Manager PI4 It2</t>
  </si>
  <si>
    <t>PFM-126</t>
  </si>
  <si>
    <t>Alignment with the new naming : Asset changes to Portfolio Item</t>
  </si>
  <si>
    <t>PFM-155</t>
  </si>
  <si>
    <t>CC Portfolio Manager PI4 It2</t>
  </si>
  <si>
    <t>PFM-131</t>
  </si>
  <si>
    <t>Confidential items are visible only for assignees</t>
  </si>
  <si>
    <t>PFM-160</t>
  </si>
  <si>
    <t>FiltersUX review</t>
  </si>
  <si>
    <t>PFM-147</t>
  </si>
  <si>
    <t>CC Portfolio Manager PI4 It2, CC Portfolio Manager PI4 It3, CC Portfolio Manager PI4 It4</t>
  </si>
  <si>
    <t>Result list UX review</t>
  </si>
  <si>
    <t>PFM-146</t>
  </si>
  <si>
    <t>Integration of user organisation repository</t>
  </si>
  <si>
    <t>PFM-148</t>
  </si>
  <si>
    <t>CC Portfolio Manager PI4 It3</t>
  </si>
  <si>
    <t>Specific attributes: UI</t>
  </si>
  <si>
    <t>PFM-151</t>
  </si>
  <si>
    <t>CC Portfolio Manager PI4 It3, CC Portfolio Manager PI4 It4</t>
  </si>
  <si>
    <t>PFM-78</t>
  </si>
  <si>
    <t>Specific attributes: back end</t>
  </si>
  <si>
    <t>PFM-150</t>
  </si>
  <si>
    <t>Specific attributes: support events</t>
  </si>
  <si>
    <t>PFM-149</t>
  </si>
  <si>
    <t>As an user I want to be able to see my full user name when posting a comment</t>
  </si>
  <si>
    <t>INTERCOM-60</t>
  </si>
  <si>
    <t>Comp Corp REGIO PI4 It2</t>
  </si>
  <si>
    <t>INTERCOM-59</t>
  </si>
  <si>
    <t>Configuration library adoption support - sprint 2</t>
  </si>
  <si>
    <t>CCADMIN-51</t>
  </si>
  <si>
    <t>REST services for managing consultations - real</t>
  </si>
  <si>
    <t>INTERCOM-58</t>
  </si>
  <si>
    <t>Claim Wave tasks from Compass Corporate</t>
  </si>
  <si>
    <t>WAVECC-43</t>
  </si>
  <si>
    <t>Comp Corp REGIO PI4 It3</t>
  </si>
  <si>
    <t>WAVECC-44, WAVECC-42</t>
  </si>
  <si>
    <t>Configuration library adoption support - sprint 3</t>
  </si>
  <si>
    <t>INTERCOM-65</t>
  </si>
  <si>
    <t>Consultations visible in task details</t>
  </si>
  <si>
    <t>INTERCOM-64</t>
  </si>
  <si>
    <t>Create new configuration from the Admin Tool</t>
  </si>
  <si>
    <t>CCADMIN-52</t>
  </si>
  <si>
    <t>Integrate Admin tool with OpenID connect</t>
  </si>
  <si>
    <t>CCADMIN-56</t>
  </si>
  <si>
    <t>CCADMIN-55</t>
  </si>
  <si>
    <t>Migrate system configuration to Spring Cloud Config</t>
  </si>
  <si>
    <t>INTERCOM-70</t>
  </si>
  <si>
    <t>INTERCOM-71</t>
  </si>
  <si>
    <t>Refactor read-only mode for consultation</t>
  </si>
  <si>
    <t>INTERCOM-74</t>
  </si>
  <si>
    <t>INTERCOM-75</t>
  </si>
  <si>
    <t>Support for multiple configuration types for the same microservice</t>
  </si>
  <si>
    <t>CCADMIN-53</t>
  </si>
  <si>
    <t>Support for parallel tasks</t>
  </si>
  <si>
    <t>INTERCOM-73</t>
  </si>
  <si>
    <t>INTERCOM-72</t>
  </si>
  <si>
    <t>Internationalization</t>
  </si>
  <si>
    <t>CCARCHITEC-37</t>
  </si>
  <si>
    <t>EC eUI My Workplace PI9 It4</t>
  </si>
  <si>
    <t>COMPCORP-114, CCARCHITEC-64, COMPCORP-123, CCARCHITEC-42</t>
  </si>
  <si>
    <t>Internationalization of the application for the data provided by the system</t>
  </si>
  <si>
    <t>COMPCORP-114</t>
  </si>
  <si>
    <t>COMPCORP-112, CCARCHITEC-37, CCARCHITEC-49</t>
  </si>
  <si>
    <t>Adoption of OpenID security model</t>
  </si>
  <si>
    <t>CCTASK-533</t>
  </si>
  <si>
    <t>Comp Corp RTD PI4 It3</t>
  </si>
  <si>
    <t>CCDOCLIST-183, CCTASK-567, COMPCORP-112</t>
  </si>
  <si>
    <t>Configuration of presentation - compact view</t>
  </si>
  <si>
    <t>CCDOCLIST-156</t>
  </si>
  <si>
    <t>CCDOCLIST-161</t>
  </si>
  <si>
    <t>Document list read-only mode</t>
  </si>
  <si>
    <t>CCDOCLIST-19</t>
  </si>
  <si>
    <t>CCDOCLIST-117, CCDOCLIST-163, CCDOCLIST-169, COMPCORP-102</t>
  </si>
  <si>
    <t>Filter the Document List at runtime (backend)</t>
  </si>
  <si>
    <t>CCDOCLIST-157</t>
  </si>
  <si>
    <t>CCDOCLIST-159</t>
  </si>
  <si>
    <t>OpenID Adoption (JWT) - TC, TD, TAX</t>
  </si>
  <si>
    <t>CCTASK-567</t>
  </si>
  <si>
    <t>multiple references for taxonomy node</t>
  </si>
  <si>
    <t>CCTASK-564</t>
  </si>
  <si>
    <t>CCTASK-519</t>
  </si>
  <si>
    <t>Adapt elastic search index</t>
  </si>
  <si>
    <t>PROCESS-115</t>
  </si>
  <si>
    <t>CC Process Centre PI4 It4</t>
  </si>
  <si>
    <t>Align with user organisation repository and elastic search integration</t>
  </si>
  <si>
    <t>PROCESS-116</t>
  </si>
  <si>
    <t>PROCESS-125, PROCESS-95</t>
  </si>
  <si>
    <t>Provide an hierarchical view for the result list of processes</t>
  </si>
  <si>
    <t>PROCESS-114</t>
  </si>
  <si>
    <t>Retrieve info for item dashboard</t>
  </si>
  <si>
    <t>PFM-152</t>
  </si>
  <si>
    <t>CC Portfolio Manager PI4 It4</t>
  </si>
  <si>
    <t>PFM-83</t>
  </si>
  <si>
    <t>Explaining cumulative flow diagram interpretation</t>
  </si>
  <si>
    <t>CCPMO-62</t>
  </si>
  <si>
    <t>COMCORP-PMO-4.2</t>
  </si>
  <si>
    <t>CCPMO-77</t>
  </si>
  <si>
    <t>Refactoring Bees Dashboard</t>
  </si>
  <si>
    <t>CCPMO-119</t>
  </si>
  <si>
    <t>CCPMO-79, CCPMO-76</t>
  </si>
  <si>
    <t>Refactoring Goats Dashboard</t>
  </si>
  <si>
    <t>CCPMO-87</t>
  </si>
  <si>
    <t>Refactoring Guardians Dashboard</t>
  </si>
  <si>
    <t>CCPMO-95</t>
  </si>
  <si>
    <t>Refactoring Minions Dashboard</t>
  </si>
  <si>
    <t>CCPMO-79</t>
  </si>
  <si>
    <t>CCPMO-87, CCPMO-95, CCPMO-119, CCPMO-103, CCPMO-111, CCPMO-76</t>
  </si>
  <si>
    <t>Refactoring Panthers Dashboard</t>
  </si>
  <si>
    <t>CCPMO-103</t>
  </si>
  <si>
    <t>Refactoring RTD Dashboard</t>
  </si>
  <si>
    <t>CCPMO-111</t>
  </si>
  <si>
    <t>Open Wave tasks from TaskCenter</t>
  </si>
  <si>
    <t>WAVECC-35</t>
  </si>
  <si>
    <t>Comp Corp REGIO PI4 It4</t>
  </si>
  <si>
    <t>CCTASK-504, WAVECC-34</t>
  </si>
  <si>
    <t>REST services for cancelling consultations</t>
  </si>
  <si>
    <t>INTERCOM-66</t>
  </si>
  <si>
    <t>Readiness for translation service</t>
  </si>
  <si>
    <t>CCTASK-534</t>
  </si>
  <si>
    <t>Delegations &amp; Filtering</t>
  </si>
  <si>
    <t>CCTASK-542</t>
  </si>
  <si>
    <t>Configuration management</t>
  </si>
  <si>
    <t>CCDOCLIST-17</t>
  </si>
  <si>
    <t>Comp Corp RTD PI3 It5</t>
  </si>
  <si>
    <t>CCDOCLIST-56</t>
  </si>
  <si>
    <t>Configuration override</t>
  </si>
  <si>
    <t>CCDOCLIST-27</t>
  </si>
  <si>
    <t>CCDOCLIST-63, CCDOCLIST-151, COMPCORP-100, COMPCORP-102</t>
  </si>
  <si>
    <t>Manage document encryption</t>
  </si>
  <si>
    <t>CCDOCLIST-25</t>
  </si>
  <si>
    <t>CCDOCLIST-122, COMPCORP-100</t>
  </si>
  <si>
    <t>Translation Service</t>
  </si>
  <si>
    <t>CCARCHITEC-49</t>
  </si>
  <si>
    <t>Comp Corp Architec PI3 It3</t>
  </si>
  <si>
    <t>COMPCORP-114, CCARCHITEC-64, MWP-565, MWP-566, COMPCORP-123, CCARCHITEC-42</t>
  </si>
  <si>
    <t>Action: Parallel Actors / Support task</t>
  </si>
  <si>
    <t>TSKACTION-245</t>
  </si>
  <si>
    <t>Comp Corp RTD PI4 It4</t>
  </si>
  <si>
    <t>TSKACTION-260, TSKACTION-261, TSKACTION-262, TSKACTION-263, TSKACTION-264, TSKACTION-259</t>
  </si>
  <si>
    <t>Integration with Config Admin</t>
  </si>
  <si>
    <t>CCDOCLIST-181</t>
  </si>
  <si>
    <t>CCDOCLIST-186, CCTASK-579</t>
  </si>
  <si>
    <t>CCTASK-579</t>
  </si>
  <si>
    <t>CCTASK-561, CCDOCLIST-181, CCTASK-536</t>
  </si>
  <si>
    <t>SSE Bridge</t>
  </si>
  <si>
    <t>CCTASK-527</t>
  </si>
  <si>
    <t>CCDOCLIST-184, CCTASK-591, CCTASK-584, CCTASK-423</t>
  </si>
  <si>
    <t>Signature on Outcome</t>
  </si>
  <si>
    <t>CCTASK-272</t>
  </si>
  <si>
    <t>CCDOCLIST-171, CCTASK-550, CCTASK-552, CCTASK-540, CCTASK-551, CCTASK-553</t>
  </si>
  <si>
    <t>Taxonomy multiple references and events (for ProcessCentre)</t>
  </si>
  <si>
    <t>CCTASK-564, CCTASK-562, EUI-1318, MWP-441</t>
  </si>
  <si>
    <t>The client should be able to refresh the configuration of a given instance when a business variable changes</t>
  </si>
  <si>
    <t>CCDOCLIST-174</t>
  </si>
  <si>
    <t>CCDOCLIST-173, CCDOCLIST-172</t>
  </si>
  <si>
    <t>UX - Post Checks (error handling on task complete)</t>
  </si>
  <si>
    <t>CCTASK-476</t>
  </si>
  <si>
    <t>CCTASK-47, CCTASK-455, CCTASK-291</t>
  </si>
  <si>
    <t>Adapt the UI for user active tasks</t>
  </si>
  <si>
    <t>PROCESS-117</t>
  </si>
  <si>
    <t>CC Process Centre PI4 It5</t>
  </si>
  <si>
    <t>PROCESS-98</t>
  </si>
  <si>
    <t>Listen to events related to task claimed/assigned</t>
  </si>
  <si>
    <t>PROCESS-118</t>
  </si>
  <si>
    <t>Retrieve the active tasks for logged in users</t>
  </si>
  <si>
    <t>PROCESS-119</t>
  </si>
  <si>
    <t>Specific attribute storage for process instances</t>
  </si>
  <si>
    <t>PROCESS-120</t>
  </si>
  <si>
    <t>Specific attributes UI filters</t>
  </si>
  <si>
    <t>PROCESS-121</t>
  </si>
  <si>
    <t>Specific attributes filtering back end service</t>
  </si>
  <si>
    <t>PROCESS-122</t>
  </si>
  <si>
    <t>UI for consultation answering task</t>
  </si>
  <si>
    <t>INTERCOM-67</t>
  </si>
  <si>
    <t>Comp Corp REGIO PI4 It5</t>
  </si>
  <si>
    <t>INTERCOM-55</t>
  </si>
  <si>
    <t>Action: Document review/download link</t>
  </si>
  <si>
    <t>TSKACTION-56</t>
  </si>
  <si>
    <t>TSKACTION-257, TSKACTION-258</t>
  </si>
  <si>
    <t>Answer Consultation</t>
  </si>
  <si>
    <t>INTERCOM-67, CCADMIN-50</t>
  </si>
  <si>
    <t>Automated Program Metrics Update</t>
  </si>
  <si>
    <t>CCPMO-129</t>
  </si>
  <si>
    <t>Cheat Sheet (Program)</t>
  </si>
  <si>
    <t>Cheat Sheets (Team)</t>
  </si>
  <si>
    <t>CCPMO-63</t>
  </si>
  <si>
    <t>Claim/unclaim Wave tasks from Compass Corporate</t>
  </si>
  <si>
    <t>WAVECC-42</t>
  </si>
  <si>
    <t>WAVECC-44, WAVECC-43, WAVECC-39</t>
  </si>
  <si>
    <t>CCADMIN-43, CCADMIN-51, INTERCOM-65, CCADMIN-41</t>
  </si>
  <si>
    <t>Create Consultations</t>
  </si>
  <si>
    <t>INTERCOM-56, INTERCOM-57, INTERCOM-58, INTERCOM-64, CCADMIN-50</t>
  </si>
  <si>
    <t>Define/remove a relation and its nature between two assets (by external systems)</t>
  </si>
  <si>
    <t>PFM-82</t>
  </si>
  <si>
    <t>PFM-70</t>
  </si>
  <si>
    <t>Display a list of processes (widget) in MyWorkPlace with generic and specific attributes</t>
  </si>
  <si>
    <t>PROCESS-48</t>
  </si>
  <si>
    <t>Externalize configuration</t>
  </si>
  <si>
    <t>INTERCOM-70, INTERCOM-51</t>
  </si>
  <si>
    <t>Filter process by "my" active tasks</t>
  </si>
  <si>
    <t>PROCESS-117, PROCESS-118, PROCESS-119</t>
  </si>
  <si>
    <t>Foundation stabilization</t>
  </si>
  <si>
    <t>PFM-143, PFM-148</t>
  </si>
  <si>
    <t>PROCESS-116, PROCESS-112, PROCESS-110, PROCESS-111</t>
  </si>
  <si>
    <t>Harmonization of User Experience</t>
  </si>
  <si>
    <t>COMPCORP-PI2, COMPCORP-PI4</t>
  </si>
  <si>
    <t>PROCESS-114, PROCESS-109, PROCESS-113, MWP-441</t>
  </si>
  <si>
    <t>Impersonation</t>
  </si>
  <si>
    <t>CCTASK-532</t>
  </si>
  <si>
    <t>Mandatory documents</t>
  </si>
  <si>
    <t>CCDOCLIST-116</t>
  </si>
  <si>
    <t>CCDOCLIST-139, CCDOCLIST-140, COMPCORP-102</t>
  </si>
  <si>
    <t>Open Wave tasks</t>
  </si>
  <si>
    <t>WAVECC-34</t>
  </si>
  <si>
    <t>WAVECC-35, WAVECC-39</t>
  </si>
  <si>
    <t>Program Monitoring Dashboard</t>
  </si>
  <si>
    <t>CCPMO-87, CCPMO-95, CCPMO-119, CCPMO-79, CCPMO-103, CCPMO-111, CCPMO-46, CCPMO-58, CCPMO-59</t>
  </si>
  <si>
    <t>Read only mode for Consultations</t>
  </si>
  <si>
    <t>INTERCOM-74, INTERCOM-51</t>
  </si>
  <si>
    <t>Secure Admin Tool</t>
  </si>
  <si>
    <t>CCADMIN-56, CCADMIN-39</t>
  </si>
  <si>
    <t>Secure Process Centre by filtering processes according to logged user</t>
  </si>
  <si>
    <t>PROCESS-125</t>
  </si>
  <si>
    <t>Service catalog</t>
  </si>
  <si>
    <t>CCADMIN-45, CCADMIN-46, CCADMIN-47, CCADMIN-52, CCADMIN-53, CCADMIN-40</t>
  </si>
  <si>
    <t>Show full user name</t>
  </si>
  <si>
    <t>INTERCOM-60, INTERCOM-51</t>
  </si>
  <si>
    <t>Task Detail UX Refactoring</t>
  </si>
  <si>
    <t>CCTASK-512</t>
  </si>
  <si>
    <t>TSKACTION-246, COMPCORP-104</t>
  </si>
  <si>
    <t>Taxonomy link to CCM2</t>
  </si>
  <si>
    <t>CCTASK-518</t>
  </si>
  <si>
    <t>CCTASK-537, CCTASK-538</t>
  </si>
  <si>
    <t>UX harmonisation</t>
  </si>
  <si>
    <t>PFM-146, PFM-147, PFM-155, MWP-544, PFM-145, MWP-441</t>
  </si>
  <si>
    <t>Unclaim Wave tasks from Compass Corporate</t>
  </si>
  <si>
    <t>WAVECC-44</t>
  </si>
  <si>
    <t>WAVECC-43, WAVECC-42</t>
  </si>
  <si>
    <t>User Impersonation</t>
  </si>
  <si>
    <t>PFM-144, MWP-550</t>
  </si>
  <si>
    <t>PROCESS-96</t>
  </si>
  <si>
    <t>PROCESS-107, MWP-550</t>
  </si>
  <si>
    <t>View dashboard of multiple assets in MyWorkPlace aggregated by asset types.</t>
  </si>
  <si>
    <t>PFM-59</t>
  </si>
  <si>
    <t>Busy Bees</t>
  </si>
  <si>
    <t>RTD</t>
  </si>
  <si>
    <t>Pink Panthers</t>
  </si>
  <si>
    <t>Guardians of the Temple</t>
  </si>
  <si>
    <t>Scape Goats</t>
  </si>
  <si>
    <t>Minions</t>
  </si>
  <si>
    <t>CCPMO</t>
  </si>
  <si>
    <t>CCDOCLIST, CCTASK, TSKACTION, COMPASS</t>
  </si>
  <si>
    <t>PFM, PROCESS</t>
  </si>
  <si>
    <t>CCINFRAEC, CCARCHITEC</t>
  </si>
  <si>
    <t>Number of stories without parents:</t>
  </si>
  <si>
    <t>Number of possible missing stories (for features):</t>
  </si>
  <si>
    <t>Number of possible missing stories (for enablers):</t>
  </si>
  <si>
    <t>ART</t>
  </si>
  <si>
    <t>COMPCORP</t>
  </si>
  <si>
    <t>INTERCOM, WAVECC, CCADMIN</t>
  </si>
  <si>
    <t>Day</t>
  </si>
  <si>
    <t>Funnel</t>
  </si>
  <si>
    <t>Analyzing</t>
  </si>
  <si>
    <t>Backlog</t>
  </si>
  <si>
    <t>Validating on Staging</t>
  </si>
  <si>
    <t>Deploying to production</t>
  </si>
  <si>
    <t>Releasing</t>
  </si>
  <si>
    <t>Mon</t>
  </si>
  <si>
    <t>Tue</t>
  </si>
  <si>
    <t>Wed</t>
  </si>
  <si>
    <t>Thu</t>
  </si>
  <si>
    <t>Fri</t>
  </si>
  <si>
    <t>CITnet Jira</t>
  </si>
  <si>
    <t>Progress</t>
  </si>
  <si>
    <t>Σ Remaining Estimate</t>
  </si>
  <si>
    <t>Σ Original Estimate</t>
  </si>
  <si>
    <t>WAVECC-28</t>
  </si>
  <si>
    <t>Project refactor</t>
  </si>
  <si>
    <t>Program Increment 3</t>
  </si>
  <si>
    <t>INTERCOM-37</t>
  </si>
  <si>
    <t>Comp Corp REGIO PI3 It5</t>
  </si>
  <si>
    <t>WAVECC-26</t>
  </si>
  <si>
    <t>Project cleanup</t>
  </si>
  <si>
    <t>WAVECC-25</t>
  </si>
  <si>
    <t>Interacting with Wave from Compass Corporate</t>
  </si>
  <si>
    <t>WAVECC-11</t>
  </si>
  <si>
    <t>WAVECC-7</t>
  </si>
  <si>
    <t>Adapt to new message format in TaskCenter</t>
  </si>
  <si>
    <t>COMPCORP-PI3</t>
  </si>
  <si>
    <t>Comp Corp REGIO PI3 It3</t>
  </si>
  <si>
    <t>WAVECC-6</t>
  </si>
  <si>
    <t>As a user I would like to see information about wave processes in Process Centre metroline</t>
  </si>
  <si>
    <t>WAVECC-10</t>
  </si>
  <si>
    <t>Comp Corp REGIO PI3 It4</t>
  </si>
  <si>
    <t>PROCESS-90</t>
  </si>
  <si>
    <t>Display processes related to a specific asset</t>
  </si>
  <si>
    <t>PROCESS-89</t>
  </si>
  <si>
    <t>Display ongoing tasks related to a process</t>
  </si>
  <si>
    <t>CC Process Centre PI3 It4</t>
  </si>
  <si>
    <t>PROCESS-86</t>
  </si>
  <si>
    <t>Asset Live Feeding (for enabling search on asset attributes)</t>
  </si>
  <si>
    <t>CC Process Centre PI3 It2, CC Process Centre PI3 It3, CC Process Centre PI3 It4</t>
  </si>
  <si>
    <t>PROCESS-74</t>
  </si>
  <si>
    <t>Pin the station in which the process is currently</t>
  </si>
  <si>
    <t>PROCESS-72</t>
  </si>
  <si>
    <t>CC Process Centre PI3 It3</t>
  </si>
  <si>
    <t>PROCESS-49</t>
  </si>
  <si>
    <t>Filter processes on specific attributes</t>
  </si>
  <si>
    <t>PFM-116</t>
  </si>
  <si>
    <t>Integrate Asset Taxonomy</t>
  </si>
  <si>
    <t>CC Portfolio Manager PI3 It3, CC Portfolio Manager PI3 It4, CC Portfolio Manager PI3 It5</t>
  </si>
  <si>
    <t>PFM-114</t>
  </si>
  <si>
    <t>Browse assets belonging to organisation the user logged in belongs</t>
  </si>
  <si>
    <t>PFM-45</t>
  </si>
  <si>
    <t>CC Portfolio Manager PI3 It3, CC Portfolio Manager PI3 It4</t>
  </si>
  <si>
    <t>PFM-110</t>
  </si>
  <si>
    <t>Elastic Search integration</t>
  </si>
  <si>
    <t>CC Portfolio Manager PI3 It2, CC Portfolio Manager PI3 It3</t>
  </si>
  <si>
    <t>PFM-92</t>
  </si>
  <si>
    <t>User Authentication for MyWorkPlace (OpenId integration)</t>
  </si>
  <si>
    <t>PFM-90</t>
  </si>
  <si>
    <t>PFM-91</t>
  </si>
  <si>
    <t>User Authentication for MyWorkplace (API gateway)</t>
  </si>
  <si>
    <t>CC Portfolio Manager PI3 It1</t>
  </si>
  <si>
    <t>PFM-87</t>
  </si>
  <si>
    <t>Asset Picker</t>
  </si>
  <si>
    <t>PFM-86</t>
  </si>
  <si>
    <t>CC Portfolio Manager PI3 It5</t>
  </si>
  <si>
    <t>PFM-81</t>
  </si>
  <si>
    <t>Live feed support for assets</t>
  </si>
  <si>
    <t>PFM-80</t>
  </si>
  <si>
    <t>CC Portfolio Manager PI3 It2</t>
  </si>
  <si>
    <t>PFM-73</t>
  </si>
  <si>
    <t>Browse assets based on alert level</t>
  </si>
  <si>
    <t>PFM-76</t>
  </si>
  <si>
    <t>PFM-71</t>
  </si>
  <si>
    <t>Update asset specific attributes (by external systems)</t>
  </si>
  <si>
    <t>CC Portfolio Manager PI3 It4, CC Portfolio Manager PI3 It5</t>
  </si>
  <si>
    <t>PFM-69</t>
  </si>
  <si>
    <t>Register an asset with specific attributes (by external systems)</t>
  </si>
  <si>
    <t>PFM-68</t>
  </si>
  <si>
    <t>Register asset type specific attributes (by external systems)</t>
  </si>
  <si>
    <t>CC Portfolio Manager PI3 It2, CC Portfolio Manager PI3 It3, CC Portfolio Manager PI3 It4, CC Portfolio Manager PI3 It5</t>
  </si>
  <si>
    <t>PFM-64</t>
  </si>
  <si>
    <t>Update alert status of an asset (by external systems)</t>
  </si>
  <si>
    <t>PFM-63</t>
  </si>
  <si>
    <t>Define users favourite asset (by external systems)</t>
  </si>
  <si>
    <t>PFM-77</t>
  </si>
  <si>
    <t>PFM-56</t>
  </si>
  <si>
    <t>Navigate from Portfolio to asset card in MyWorkPlace (widget provided by asset register system)</t>
  </si>
  <si>
    <t>PFM-121, PFM-79</t>
  </si>
  <si>
    <t>PFM-54</t>
  </si>
  <si>
    <t>Navigate from Portfolio to asset related ongoing processes in MyWorkPlace</t>
  </si>
  <si>
    <t>PFM-79</t>
  </si>
  <si>
    <t>PFM-53</t>
  </si>
  <si>
    <t>Browse asset responsible individual and organisation and their respective roles in MyWorkPlace</t>
  </si>
  <si>
    <t>PFM-84</t>
  </si>
  <si>
    <t>PFM-52</t>
  </si>
  <si>
    <t>View specific attributes in asset mini-card in MyWorkPlace</t>
  </si>
  <si>
    <t>PFM-51</t>
  </si>
  <si>
    <t>View generic attributes in asset mini-card in MyWorkPlace</t>
  </si>
  <si>
    <t>PFM-50</t>
  </si>
  <si>
    <t>Browse my favourite assets</t>
  </si>
  <si>
    <t>PFM-49</t>
  </si>
  <si>
    <t>Define my favourite assets</t>
  </si>
  <si>
    <t>PFM-8</t>
  </si>
  <si>
    <t>As a user I would like to see my assets in MWP</t>
  </si>
  <si>
    <t>COMPCORP-PI2</t>
  </si>
  <si>
    <t>MWP-368, MWP-264</t>
  </si>
  <si>
    <t>Portfolio Manager PI 2 Iter 4</t>
  </si>
  <si>
    <t>INTERCOM-43</t>
  </si>
  <si>
    <t>Microservice compliance review</t>
  </si>
  <si>
    <t>INTERCOM-41</t>
  </si>
  <si>
    <t>Use Protobuf format instead of JSON</t>
  </si>
  <si>
    <t>INTERCOM-36</t>
  </si>
  <si>
    <t>Publishing events</t>
  </si>
  <si>
    <t>CCTASK-522</t>
  </si>
  <si>
    <t>prepare reference flow for test automation</t>
  </si>
  <si>
    <t>CCTASK-455</t>
  </si>
  <si>
    <t>task completion depends on business checks</t>
  </si>
  <si>
    <t>CCTASK-137</t>
  </si>
  <si>
    <t>[UTF-03] View tasks by categories</t>
  </si>
  <si>
    <t>CCTASK-123</t>
  </si>
  <si>
    <t>[UTM-09] Support Multilingualism/Internationalisation</t>
  </si>
  <si>
    <t>1.0: OPSYS - MWP Requirements</t>
  </si>
  <si>
    <t>CCTASK-121</t>
  </si>
  <si>
    <t>[UTP-03] Show columns based on configuration per task type</t>
  </si>
  <si>
    <t>2.0: Compass v1 Requirements</t>
  </si>
  <si>
    <t>CCTASK-120</t>
  </si>
  <si>
    <t>[UTF-01] Full text search on tasks</t>
  </si>
  <si>
    <t>CCTASK-118</t>
  </si>
  <si>
    <t>[CTT-02] Task types define the rendering of a task</t>
  </si>
  <si>
    <t>CCTASK-117</t>
  </si>
  <si>
    <t>[PTM-05] A Provider is informed about changes on tasks</t>
  </si>
  <si>
    <t>CCTASK-116</t>
  </si>
  <si>
    <t>[UTP-05] Show Clock information</t>
  </si>
  <si>
    <t>CCTASK-113</t>
  </si>
  <si>
    <t>[PTM-04] A Client can list tasks of its providers</t>
  </si>
  <si>
    <t>CCTASK-112</t>
  </si>
  <si>
    <t>[UTP-04] Show assignees</t>
  </si>
  <si>
    <t>CCTASK-110</t>
  </si>
  <si>
    <t>[UTM-01] Categorized task summaries</t>
  </si>
  <si>
    <t>CCTASK-109</t>
  </si>
  <si>
    <t>[UTF-05] Navigate to the detail-page of task</t>
  </si>
  <si>
    <t>CCTASK-107</t>
  </si>
  <si>
    <t>[NFR-03] Impersonation</t>
  </si>
  <si>
    <t>CCTASK-104</t>
  </si>
  <si>
    <t>[NFR-04] Client system Authentication</t>
  </si>
  <si>
    <t>CCTASK-103</t>
  </si>
  <si>
    <t>[PTM-03] A Client can remove the tasks of its providers</t>
  </si>
  <si>
    <t>CCTASK-102</t>
  </si>
  <si>
    <t>[PTM-01] A Client can create tasks for its providers</t>
  </si>
  <si>
    <t>CCTASK-101</t>
  </si>
  <si>
    <t>[UTF-04] Infinite scrolling through lists of tasks</t>
  </si>
  <si>
    <t>CCTASK-100</t>
  </si>
  <si>
    <t>[UTP-02] Sort tasks on columns in table view</t>
  </si>
  <si>
    <t>CCTASK-99</t>
  </si>
  <si>
    <t>[CTT-01] A Client can import task types of its providers</t>
  </si>
  <si>
    <t>CCTASK-98</t>
  </si>
  <si>
    <t>[UTM-04] Perform business-specific actions</t>
  </si>
  <si>
    <t>CCTASK-97</t>
  </si>
  <si>
    <t>[PTM-02] A Client can update the tasks of its providers</t>
  </si>
  <si>
    <t>CCTASK-94</t>
  </si>
  <si>
    <t>[UTM-06] Mark a task as urgent</t>
  </si>
  <si>
    <t>CCTASK-93</t>
  </si>
  <si>
    <t>[UTP-01] Show tasks in Grid, List and Tabular views</t>
  </si>
  <si>
    <t>CCTASK-90</t>
  </si>
  <si>
    <t>[UTF-07] Filter tasks by snoozed</t>
  </si>
  <si>
    <t>CCTASK-89</t>
  </si>
  <si>
    <t>[UTF-02] Filter tasks (common and domain-specific criteria)</t>
  </si>
  <si>
    <t>CCTASK-88</t>
  </si>
  <si>
    <t>[CTT-03] Task-actions can be handled by the provider</t>
  </si>
  <si>
    <t>CCTASK-87</t>
  </si>
  <si>
    <t>[NFR-02] Authorisation</t>
  </si>
  <si>
    <t>CCTASK-84</t>
  </si>
  <si>
    <t>[UTM-12] Trigger business-specific actions on multiple tasks (custom bulk actions)</t>
  </si>
  <si>
    <t>CCTASK-82</t>
  </si>
  <si>
    <t>[UTM-02] Claim task</t>
  </si>
  <si>
    <t>CCTASK-80</t>
  </si>
  <si>
    <t>[UTM-03] Perform core task actions</t>
  </si>
  <si>
    <t>CCTASK-79</t>
  </si>
  <si>
    <t>[UTM-11] Claim/unclaim on multiple tasks (standard bulk action)</t>
  </si>
  <si>
    <t>CCTASK-78</t>
  </si>
  <si>
    <t>[UTF-08] Filter tasks by 'Claimed by me'</t>
  </si>
  <si>
    <t>CCTASK-77</t>
  </si>
  <si>
    <t>[CTT-04] Task types can define which task-actions are applicable</t>
  </si>
  <si>
    <t>CCTASK-75</t>
  </si>
  <si>
    <t>[UTM-05] Snooze tasks</t>
  </si>
  <si>
    <t>CCTASK-67</t>
  </si>
  <si>
    <t>[UTM-13] Real time refresh of the list of tasks</t>
  </si>
  <si>
    <t>CCTASK-65</t>
  </si>
  <si>
    <t>[UTM-10] Display tasks available via delegation ("suppleance")</t>
  </si>
  <si>
    <t>CCTASK-62</t>
  </si>
  <si>
    <t>[UTM-08] Add a tag to a business entity</t>
  </si>
  <si>
    <t>CCTASK-53</t>
  </si>
  <si>
    <t>[UTF-06] Filter tasks by tags</t>
  </si>
  <si>
    <t>CCTASK-50</t>
  </si>
  <si>
    <t>[NFR-01] End user Authentication based on OpenId Connect - Task Centre</t>
  </si>
  <si>
    <t>CCTASK-419</t>
  </si>
  <si>
    <t>Comp Corp Task Centre PI2 It4, Comp Corp RTD PI3 It1, Comp Corp RTD PI3 It4, Comp Corp RTD PI3 It5</t>
  </si>
  <si>
    <t>CCDOCLIST-63</t>
  </si>
  <si>
    <t>CCDOCLIST-27, CCDOCLIST-151</t>
  </si>
  <si>
    <t>Comp Corp RTD PI3 It3</t>
  </si>
  <si>
    <t>CCADMIN-35</t>
  </si>
  <si>
    <t>Configuring participants to a task</t>
  </si>
  <si>
    <t>CCADMIN-34</t>
  </si>
  <si>
    <t>CCADMIN-16</t>
  </si>
  <si>
    <t>As a user I want to publish a changeset to an environment</t>
  </si>
  <si>
    <t>CCADMIN-22</t>
  </si>
  <si>
    <t>CCADMIN-15</t>
  </si>
  <si>
    <t>As a user I want to see what are the available configurations at each level in the taxonomy tree (process, task domain, etc)</t>
  </si>
  <si>
    <t>CCADMIN-14</t>
  </si>
  <si>
    <t>As a user I want to be able edit and save configuration using a default widget</t>
  </si>
  <si>
    <t>CCADMIN-13</t>
  </si>
  <si>
    <t>As a user I want to create a changeset based on a selected environment</t>
  </si>
  <si>
    <t>CCADMIN-12</t>
  </si>
  <si>
    <t>As a user I want to see the list of change sets</t>
  </si>
  <si>
    <r>
      <t xml:space="preserve">Displaying </t>
    </r>
    <r>
      <rPr>
        <b/>
        <sz val="11"/>
        <color rgb="FF000000"/>
        <rFont val="Arial"/>
        <family val="2"/>
      </rPr>
      <t>52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29/Nov/18 15:27</t>
    </r>
    <r>
      <rPr>
        <sz val="11"/>
        <color rgb="FF000000"/>
        <rFont val="Arial"/>
        <family val="2"/>
      </rPr>
      <t>.</t>
    </r>
  </si>
  <si>
    <t xml:space="preserve">Generated at Thu Nov 29 15:27:59 CET 2018 by BEGHAIN Olivier using JIRA 7.9.2#79002-sha1:3bb15b68ecd99a30eb364c4c1a393359bcad6278. </t>
  </si>
  <si>
    <r>
      <t xml:space="preserve">Displaying </t>
    </r>
    <r>
      <rPr>
        <b/>
        <sz val="11"/>
        <color rgb="FF000000"/>
        <rFont val="Arial"/>
        <family val="2"/>
      </rPr>
      <t>152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29/Nov/18 15:29</t>
    </r>
    <r>
      <rPr>
        <sz val="11"/>
        <color rgb="FF000000"/>
        <rFont val="Arial"/>
        <family val="2"/>
      </rPr>
      <t>.</t>
    </r>
  </si>
  <si>
    <t xml:space="preserve">Generated at Thu Nov 29 15:29:49 CET 2018 by BEGHAIN Olivier using JIRA 7.9.2#79002-sha1:3bb15b68ecd99a30eb364c4c1a393359bcad6278. </t>
  </si>
  <si>
    <t>Close</t>
  </si>
  <si>
    <t xml:space="preserve">[WARNING] PROCESS-74 story: </t>
  </si>
  <si>
    <t xml:space="preserve">[WARNING] PFM-150 story: </t>
  </si>
  <si>
    <t xml:space="preserve">[WARNING] PFM-149 story: </t>
  </si>
  <si>
    <t xml:space="preserve">[WARNING] PFM-114 story: </t>
  </si>
  <si>
    <t xml:space="preserve">[WARNING] PFM-110 story: </t>
  </si>
  <si>
    <t xml:space="preserve">[WARNING] PFM-92 story: </t>
  </si>
  <si>
    <t xml:space="preserve">[WARNING] PFM-91 story: </t>
  </si>
  <si>
    <t xml:space="preserve">[WARNING] PFM-87 story: </t>
  </si>
  <si>
    <t xml:space="preserve">[WARNING] PFM-82 story: </t>
  </si>
  <si>
    <t xml:space="preserve">[WARNING] PFM-81 story: </t>
  </si>
  <si>
    <t xml:space="preserve">[WARNING] PFM-73 story: </t>
  </si>
  <si>
    <t xml:space="preserve">[WARNING] PFM-64 story: </t>
  </si>
  <si>
    <t xml:space="preserve">[WARNING] PFM-63 story: </t>
  </si>
  <si>
    <t xml:space="preserve">[WARNING] PFM-56 story: </t>
  </si>
  <si>
    <t xml:space="preserve">[WARNING] PFM-54 story: </t>
  </si>
  <si>
    <t xml:space="preserve">[WARNING] PFM-53 story: </t>
  </si>
  <si>
    <t xml:space="preserve">[WARNING] PFM-51 story: </t>
  </si>
  <si>
    <t xml:space="preserve">[WARNING] PFM-50 story: </t>
  </si>
  <si>
    <t xml:space="preserve">[WARNING] PFM-49 story: </t>
  </si>
  <si>
    <t xml:space="preserve">[WARNING] PFM-8 story: </t>
  </si>
  <si>
    <t xml:space="preserve">[WARNING] WAVECC-7 story: </t>
  </si>
  <si>
    <t xml:space="preserve">[WARNING] WAVECC-6 story: </t>
  </si>
  <si>
    <t xml:space="preserve">[WARNING] INTERCOM-43 story: </t>
  </si>
  <si>
    <t xml:space="preserve">[WARNING] INTERCOM-41 story: </t>
  </si>
  <si>
    <t xml:space="preserve">[WARNING] INTERCOM-36 story: </t>
  </si>
  <si>
    <t>[INFO] Story 'WAVECC-44' [IN PROGRESS] 13pts: Parent Feature 'WAVECC-42'</t>
  </si>
  <si>
    <t>[INFO] Story 'WAVECC-43' [DONE] 13pts: Parent Feature 'WAVECC-42'</t>
  </si>
  <si>
    <t>[INFO] Story 'WAVECC-35' [IN PROGRESS] 8pts: Parent Feature 'WAVECC-34'</t>
  </si>
  <si>
    <t>[INFO] Story 'PROCESS-113' [CLOSED] 1pts: Parent Feature 'PROCESS-33'</t>
  </si>
  <si>
    <t>[INFO] Story 'PROCESS-112' [IN PROGRESS] 5pts: Parent Feature 'PROCESS-95'</t>
  </si>
  <si>
    <t>[INFO] Story 'PROCESS-111' [CLOSED] 5pts: Parent Feature 'PROCESS-95'</t>
  </si>
  <si>
    <t>[INFO] Story 'PROCESS-110' [CLOSED] 3pts: Parent Feature 'PROCESS-95'</t>
  </si>
  <si>
    <t>[INFO] Story 'PROCESS-109' [CLOSED] 8pts: Parent Feature 'PROCESS-33'</t>
  </si>
  <si>
    <t>[INFO] Story 'PROCESS-108' [CLOSED] 3pts: Parent Feature 'PROCESS-44'</t>
  </si>
  <si>
    <t>[INFO] Story 'PROCESS-76' [DONE] 0pts: Parent Feature 'PROCESS-44'</t>
  </si>
  <si>
    <t>[INFO] Story 'PFM-155' [DONE] 5pts: Parent Feature 'PFM-131'</t>
  </si>
  <si>
    <t>[INFO] Story 'PFM-148' [CLOSED] 5pts: Parent Feature 'PFM-125'</t>
  </si>
  <si>
    <t>[INFO] Story 'PFM-144' [DONE] 3pts: Parent Feature 'PFM-126'</t>
  </si>
  <si>
    <t>[INFO] Story 'PFM-143' [IN PROGRESS] 5pts: Parent Feature 'PFM-125'</t>
  </si>
  <si>
    <t>[INFO] Story 'INTERCOM-74' [DONE] 3pts: Parent Feature 'INTERCOM-75'</t>
  </si>
  <si>
    <t>[INFO] Story 'INTERCOM-73' [DONE] 5pts: Parent Feature 'INTERCOM-72'</t>
  </si>
  <si>
    <t>[INFO] Story 'INTERCOM-70' [DONE] 5pts: Parent Feature 'INTERCOM-71'</t>
  </si>
  <si>
    <t>[INFO] Story 'INTERCOM-67' [IN PROGRESS] 13pts: Parent Feature 'INTERCOM-55'</t>
  </si>
  <si>
    <t>[INFO] Story 'INTERCOM-66' [IN PROGRESS] 8pts: Parent Feature 'INTERCOM-55'</t>
  </si>
  <si>
    <t>[INFO] Story 'INTERCOM-65' [DONE] 3pts: Parent Feature 'CCADMIN-42'</t>
  </si>
  <si>
    <t>[INFO] Story 'INTERCOM-64' [DONE] 5pts: Parent Feature 'INTERCOM-54'</t>
  </si>
  <si>
    <t>[INFO] Story 'INTERCOM-60' [DONE] 3pts: Parent Feature 'INTERCOM-59'</t>
  </si>
  <si>
    <t>[INFO] Story 'INTERCOM-58' [DONE] 5pts: Parent Feature 'INTERCOM-54'</t>
  </si>
  <si>
    <t>[INFO] Story 'INTERCOM-57' [DONE] 3pts: Parent Feature 'INTERCOM-54'</t>
  </si>
  <si>
    <t>[INFO] Story 'INTERCOM-56' [DONE] 3pts: Parent Feature 'INTERCOM-54'</t>
  </si>
  <si>
    <t>[INFO] Story 'INTERCOM-53' [DONE] 5pts: Parent Feature 'INTERCOM-52'</t>
  </si>
  <si>
    <t>[INFO] Story 'CCTASK-567' [IN REVIEW] 8pts: Parent Feature 'CCTASK-533'</t>
  </si>
  <si>
    <t>[INFO] Story 'CCTASK-455' [OPEN] 0pts: Parent Feature 'CCTASK-476'</t>
  </si>
  <si>
    <t>[WARNING] PROCESS-107 story: 'PROCESS-104' could not be found in list of 45 features</t>
  </si>
  <si>
    <t>[WARNING] PROCESS-107 story: 'PROCESS-104' could not be found in list of 7 enablers</t>
  </si>
  <si>
    <t>[WARNING] PROCESS-74 story: 'PROCESS-72' could not be found in list of 45 features</t>
  </si>
  <si>
    <t>[WARNING] PROCESS-74 story: 'PROCESS-72' could not be found in list of 7 enablers</t>
  </si>
  <si>
    <t>[WARNING] PFM-150 story: 'PFM-78' could not be found in list of 45 features</t>
  </si>
  <si>
    <t>[WARNING] PFM-150 story: 'PFM-78' could not be found in list of 7 enablers</t>
  </si>
  <si>
    <t>[WARNING] PFM-149 story: 'PFM-78' could not be found in list of 45 features</t>
  </si>
  <si>
    <t>[WARNING] PFM-149 story: 'PFM-78' could not be found in list of 7 enablers</t>
  </si>
  <si>
    <t>[WARNING] PFM-114 story: 'PFM-45' could not be found in list of 45 features</t>
  </si>
  <si>
    <t>[WARNING] PFM-114 story: 'PFM-45' could not be found in list of 7 enablers</t>
  </si>
  <si>
    <t>[WARNING] PFM-92 story: 'PFM-90' could not be found in list of 45 features</t>
  </si>
  <si>
    <t>[WARNING] PFM-92 story: 'PFM-90' could not be found in list of 7 enablers</t>
  </si>
  <si>
    <t>[WARNING] PFM-91 story: 'PFM-90' could not be found in list of 45 features</t>
  </si>
  <si>
    <t>[WARNING] PFM-91 story: 'PFM-90' could not be found in list of 7 enablers</t>
  </si>
  <si>
    <t>[WARNING] PFM-87 story: 'PFM-86' could not be found in list of 45 features</t>
  </si>
  <si>
    <t>[WARNING] PFM-87 story: 'PFM-86' could not be found in list of 7 enablers</t>
  </si>
  <si>
    <t>[WARNING] PFM-82 story: 'PFM-70' could not be found in list of 45 features</t>
  </si>
  <si>
    <t>[WARNING] PFM-82 story: 'PFM-70' could not be found in list of 7 enablers</t>
  </si>
  <si>
    <t>[WARNING] PFM-81 story: 'PFM-80' could not be found in list of 45 features</t>
  </si>
  <si>
    <t>[WARNING] PFM-81 story: 'PFM-80' could not be found in list of 7 enablers</t>
  </si>
  <si>
    <t>[WARNING] PFM-73 story: 'PFM-76' could not be found in list of 45 features</t>
  </si>
  <si>
    <t>[WARNING] PFM-73 story: 'PFM-76' could not be found in list of 7 enablers</t>
  </si>
  <si>
    <t>[WARNING] PFM-64 story: 'PFM-76' could not be found in list of 45 features</t>
  </si>
  <si>
    <t>[WARNING] PFM-64 story: 'PFM-76' could not be found in list of 7 enablers</t>
  </si>
  <si>
    <t>[WARNING] PFM-63 story: 'PFM-77' could not be found in list of 45 features</t>
  </si>
  <si>
    <t>[WARNING] PFM-63 story: 'PFM-77' could not be found in list of 7 enablers</t>
  </si>
  <si>
    <t>[WARNING] PFM-56 story: 'PFM-121' could not be found in list of 45 features</t>
  </si>
  <si>
    <t>[WARNING] PFM-56 story: 'PFM-121' could not be found in list of 7 enablers</t>
  </si>
  <si>
    <t>[WARNING] PFM-56 story: 'PFM-79' could not be found in list of 45 features</t>
  </si>
  <si>
    <t>[WARNING] PFM-56 story: 'PFM-79' could not be found in list of 7 enablers</t>
  </si>
  <si>
    <t>[WARNING] PFM-54 story: 'PFM-79' could not be found in list of 45 features</t>
  </si>
  <si>
    <t>[WARNING] PFM-54 story: 'PFM-79' could not be found in list of 7 enablers</t>
  </si>
  <si>
    <t>[WARNING] PFM-53 story: 'PFM-84' could not be found in list of 45 features</t>
  </si>
  <si>
    <t>[WARNING] PFM-53 story: 'PFM-84' could not be found in list of 7 enablers</t>
  </si>
  <si>
    <t>[WARNING] PFM-51 story: 'PFM-84' could not be found in list of 45 features</t>
  </si>
  <si>
    <t>[WARNING] PFM-51 story: 'PFM-84' could not be found in list of 7 enablers</t>
  </si>
  <si>
    <t>[WARNING] PFM-50 story: 'PFM-77' could not be found in list of 45 features</t>
  </si>
  <si>
    <t>[WARNING] PFM-50 story: 'PFM-77' could not be found in list of 7 enablers</t>
  </si>
  <si>
    <t>[WARNING] PFM-49 story: 'PFM-77' could not be found in list of 45 features</t>
  </si>
  <si>
    <t>[WARNING] PFM-49 story: 'PFM-77' could not be found in list of 7 enablers</t>
  </si>
  <si>
    <t>[WARNING] PFM-8 story: 'MWP-368' could not be found in list of 45 features</t>
  </si>
  <si>
    <t>[WARNING] PFM-8 story: 'MWP-368' could not be found in list of 7 enablers</t>
  </si>
  <si>
    <t>[WARNING] PFM-8 story: 'MWP-264' could not be found in list of 45 features</t>
  </si>
  <si>
    <t>[WARNING] PFM-8 story: 'MWP-264' could not be found in list of 7 enablers</t>
  </si>
  <si>
    <t>[INFO] PROCESS-113 story: Parent feature:PROCESS-33</t>
  </si>
  <si>
    <t>[INFO] PROCESS-112 story: Parent feature:PROCESS-95</t>
  </si>
  <si>
    <t>[INFO] PROCESS-111 story: Parent feature:PROCESS-95</t>
  </si>
  <si>
    <t>[INFO] PROCESS-110 story: Parent feature:PROCESS-95</t>
  </si>
  <si>
    <t>[INFO] PROCESS-109 story: Parent feature:PROCESS-33</t>
  </si>
  <si>
    <t>[INFO] PROCESS-108 story: Parent feature:PROCESS-44</t>
  </si>
  <si>
    <t>[INFO] PROCESS-76 story: Parent feature:PROCESS-44</t>
  </si>
  <si>
    <t>[INFO] PFM-155 story: Parent feature:PFM-131</t>
  </si>
  <si>
    <t>[INFO] PFM-148 story: Parent feature:PFM-125</t>
  </si>
  <si>
    <t>[INFO] PFM-144 story: Parent feature:PFM-126</t>
  </si>
  <si>
    <t>[INFO] PFM-143 story: Parent feature:PFM-125</t>
  </si>
  <si>
    <t>[INFO] CCTASK-567 story: Parent feature:CCTASK-533</t>
  </si>
  <si>
    <t>[INFO] CCTASK-455 story: Parent feature:CCTASK-476</t>
  </si>
  <si>
    <t>[WARNING] WAVECC-44 story: 'WAVECC-43' could not be found in list of 45 features</t>
  </si>
  <si>
    <t>[WARNING] WAVECC-44 story: 'WAVECC-43' could not be found in list of 7 enablers</t>
  </si>
  <si>
    <t>[WARNING] WAVECC-43 story: 'WAVECC-44' could not be found in list of 45 features</t>
  </si>
  <si>
    <t>[WARNING] WAVECC-43 story: 'WAVECC-44' could not be found in list of 7 enablers</t>
  </si>
  <si>
    <t>[WARNING] WAVECC-35 story: 'CCTASK-504' could not be found in list of 45 features</t>
  </si>
  <si>
    <t>[WARNING] WAVECC-35 story: 'CCTASK-504' could not be found in list of 7 enablers</t>
  </si>
  <si>
    <t>[WARNING] WAVECC-7 story: 'WAVECC-11' could not be found in list of 45 features</t>
  </si>
  <si>
    <t>[WARNING] WAVECC-7 story: 'WAVECC-11' could not be found in list of 7 enablers</t>
  </si>
  <si>
    <t>[WARNING] WAVECC-6 story: 'WAVECC-10' could not be found in list of 45 features</t>
  </si>
  <si>
    <t>[WARNING] WAVECC-6 story: 'WAVECC-10' could not be found in list of 7 enablers</t>
  </si>
  <si>
    <t>[WARNING] INTERCOM-43 story: 'INTERCOM-37' could not be found in list of 45 features</t>
  </si>
  <si>
    <t>[WARNING] INTERCOM-43 story: 'INTERCOM-37' could not be found in list of 7 enablers</t>
  </si>
  <si>
    <t>[WARNING] INTERCOM-41 story: 'INTERCOM-37' could not be found in list of 45 features</t>
  </si>
  <si>
    <t>[WARNING] INTERCOM-41 story: 'INTERCOM-37' could not be found in list of 7 enablers</t>
  </si>
  <si>
    <t>[WARNING] INTERCOM-36 story: 'INTERCOM-37' could not be found in list of 45 features</t>
  </si>
  <si>
    <t>[WARNING] INTERCOM-36 story: 'INTERCOM-37' could not be found in list of 7 enablers</t>
  </si>
  <si>
    <t>[INFO] WAVECC-44 story: Parent feature:WAVECC-42</t>
  </si>
  <si>
    <t>[INFO] WAVECC-43 story: Parent feature:WAVECC-42</t>
  </si>
  <si>
    <t>[INFO] WAVECC-35 story: Parent feature:WAVECC-34</t>
  </si>
  <si>
    <t>[INFO] INTERCOM-74 story: Parent feature:INTERCOM-75</t>
  </si>
  <si>
    <t>[INFO] INTERCOM-73 story: Parent feature:INTERCOM-72</t>
  </si>
  <si>
    <t>[INFO] INTERCOM-70 story: Parent feature:INTERCOM-71</t>
  </si>
  <si>
    <t>[INFO] INTERCOM-67 story: Parent feature:INTERCOM-55</t>
  </si>
  <si>
    <t>[INFO] INTERCOM-66 story: Parent feature:INTERCOM-55</t>
  </si>
  <si>
    <t>[INFO] INTERCOM-65 story: Parent feature:CCADMIN-42</t>
  </si>
  <si>
    <t>[INFO] INTERCOM-64 story: Parent feature:INTERCOM-54</t>
  </si>
  <si>
    <t>[INFO] INTERCOM-60 story: Parent feature:INTERCOM-59</t>
  </si>
  <si>
    <t>[INFO] INTERCOM-58 story: Parent feature:INTERCOM-54</t>
  </si>
  <si>
    <t>[INFO] INTERCOM-57 story: Parent feature:INTERCOM-54</t>
  </si>
  <si>
    <t>[INFO] INTERCOM-56 story: Parent feature:INTERCOM-54</t>
  </si>
  <si>
    <t>[INFO] INTERCOM-53 story: Parent feature:INTERCOM-52</t>
  </si>
  <si>
    <t>=== GENERAL CONCERNS ==='</t>
  </si>
  <si>
    <t>=== TEAM CONCERNS (A) ==='</t>
  </si>
  <si>
    <t>=== TEAM CONCERNS (B) ==='</t>
  </si>
  <si>
    <t>=== TEAM CONCERNS (C) ==='</t>
  </si>
  <si>
    <t>=== TEAM CONCERNS (E) ==='</t>
  </si>
  <si>
    <t>=== TEAM CONCERNS (F) ==='</t>
  </si>
  <si>
    <t>=== TEAM CONCERNS (G) ==='</t>
  </si>
  <si>
    <t>Features</t>
  </si>
  <si>
    <t>Enablers</t>
  </si>
  <si>
    <t>Stories</t>
  </si>
  <si>
    <t>ITEM COUNTS</t>
  </si>
  <si>
    <t>STORY POINTS</t>
  </si>
  <si>
    <t>PROGRESS</t>
  </si>
  <si>
    <t>Scope Change</t>
  </si>
  <si>
    <t>Ideal</t>
  </si>
  <si>
    <r>
      <t xml:space="preserve">Displaying </t>
    </r>
    <r>
      <rPr>
        <b/>
        <sz val="11"/>
        <color rgb="FF000000"/>
        <rFont val="Arial"/>
        <family val="2"/>
      </rPr>
      <t>152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3/Dec/18 14:42</t>
    </r>
    <r>
      <rPr>
        <sz val="11"/>
        <color rgb="FF000000"/>
        <rFont val="Arial"/>
        <family val="2"/>
      </rPr>
      <t>.</t>
    </r>
  </si>
  <si>
    <t xml:space="preserve">Generated at Mon Dec 03 14:42:51 CET 2018 by BEGHAIN Olivier using JIRA 7.9.2#79002-sha1:3bb15b68ecd99a30eb364c4c1a393359bcad6278. </t>
  </si>
  <si>
    <r>
      <t xml:space="preserve">Displaying </t>
    </r>
    <r>
      <rPr>
        <b/>
        <sz val="11"/>
        <color rgb="FF000000"/>
        <rFont val="Arial"/>
        <family val="2"/>
      </rPr>
      <t>52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3/Dec/18 14:53</t>
    </r>
    <r>
      <rPr>
        <sz val="11"/>
        <color rgb="FF000000"/>
        <rFont val="Arial"/>
        <family val="2"/>
      </rPr>
      <t>.</t>
    </r>
  </si>
  <si>
    <t xml:space="preserve">Generated at Mon Dec 03 14:53:13 CET 2018 by BEGHAIN Olivier using JIRA 7.9.2#79002-sha1:3bb15b68ecd99a30eb364c4c1a393359bcad6278. </t>
  </si>
  <si>
    <t xml:space="preserve">[WARNING] Story 'CCDOCLIST-63: </t>
  </si>
  <si>
    <t>[INFO] Story 'CCPMO-46' [DONE] 0pts: Parent Enebaler 'CCPMO-76'</t>
  </si>
  <si>
    <t>[INFO] Story 'CCPMO-59' [DONE] 0pts: Parent Enebaler 'CCPMO-76'</t>
  </si>
  <si>
    <t>[INFO] Story 'CCPMO-58' [DONE] 0pts: Parent Enebaler 'CCPMO-76'</t>
  </si>
  <si>
    <t>[INFO] Story 'CCADMIN-56' [DONE] 5pts: Parent Feature 'CCADMIN-55'</t>
  </si>
  <si>
    <t>[INFO] Story 'CCADMIN-53' [DONE] 8pts: Parent Feature 'CCADMIN-44'</t>
  </si>
  <si>
    <t>[INFO] Story 'CCADMIN-51' [DONE] 3pts: Parent Feature 'CCADMIN-42'</t>
  </si>
  <si>
    <t>[INFO] Story 'CCADMIN-47' [DONE] 8pts: Parent Feature 'CCADMIN-44'</t>
  </si>
  <si>
    <t>[INFO] Story 'CCADMIN-45' [DONE] 3pts: Parent Feature 'CCADMIN-44'</t>
  </si>
  <si>
    <t>[INFO] Story 'CCADMIN-43' [DONE] 3pts: Parent Feature 'CCADMIN-42'</t>
  </si>
  <si>
    <t>[INFO] Story 'CCADMIN-46' [DONE] 3pts: Parent Feature 'CCADMIN-44'</t>
  </si>
  <si>
    <t>[INFO] Story 'CCADMIN-52' [DONE] 3pts: Parent Feature 'CCADMIN-44'</t>
  </si>
  <si>
    <t>[INFO] Story 'CCPMO-103' [IN REVIEW] 5pts: Parent Enebaler 'CCPMO-76'</t>
  </si>
  <si>
    <t>[INFO] Story 'CCPMO-111' [IN REVIEW] 5pts: Parent Enebaler 'CCPMO-76'</t>
  </si>
  <si>
    <t>[INFO] Story 'CCPMO-79' [IN REVIEW] 5pts: Parent Enebaler 'CCPMO-76'</t>
  </si>
  <si>
    <t>[INFO] Story 'CCPMO-119' [CLOSED] 5pts: Parent Enebaler 'CCPMO-76'</t>
  </si>
  <si>
    <t>[INFO] Story 'CCPMO-95' [CLOSED] 5pts: Parent Enebaler 'CCPMO-76'</t>
  </si>
  <si>
    <t>[INFO] Story 'CCPMO-87' [CLOSED] 5pts: Parent Enebaler 'CCPMO-76'</t>
  </si>
  <si>
    <t xml:space="preserve">[WARNING] PROCESS-86 story: </t>
  </si>
  <si>
    <t xml:space="preserve">[WARNING] PROCESS-90 story: </t>
  </si>
  <si>
    <t>[WARNING] CCDOCLIST-63 story: 'CCDOCLIST-151' could not be found in list of 45 features</t>
  </si>
  <si>
    <t>[WARNING] CCDOCLIST-63 story: 'CCDOCLIST-151' could not be found in list of 7 enablers</t>
  </si>
  <si>
    <t>[INFO] CCDOCLIST-63 story: Parent feature:CCDOCLIST-27</t>
  </si>
  <si>
    <t>[WARNING] CCADMIN-13 story: 'CCADMIN-22' could not be found in list of 45 features</t>
  </si>
  <si>
    <t>[WARNING] CCADMIN-13 story: 'CCADMIN-22' could not be found in list of 7 enablers</t>
  </si>
  <si>
    <t xml:space="preserve">[WARNING] CCADMIN-13 story: </t>
  </si>
  <si>
    <t>[WARNING] CCADMIN-12 story: 'CCADMIN-22' could not be found in list of 45 features</t>
  </si>
  <si>
    <t>[WARNING] CCADMIN-12 story: 'CCADMIN-22' could not be found in list of 7 enablers</t>
  </si>
  <si>
    <t xml:space="preserve">[WARNING] CCADMIN-12 story: </t>
  </si>
  <si>
    <t>[WARNING] CCADMIN-16 story: 'CCADMIN-22' could not be found in list of 45 features</t>
  </si>
  <si>
    <t>[WARNING] CCADMIN-16 story: 'CCADMIN-22' could not be found in list of 7 enablers</t>
  </si>
  <si>
    <t xml:space="preserve">[WARNING] CCADMIN-16 story: </t>
  </si>
  <si>
    <t>[WARNING] CCADMIN-15 story: 'CCADMIN-22' could not be found in list of 45 features</t>
  </si>
  <si>
    <t>[WARNING] CCADMIN-15 story: 'CCADMIN-22' could not be found in list of 7 enablers</t>
  </si>
  <si>
    <t xml:space="preserve">[WARNING] CCADMIN-15 story: </t>
  </si>
  <si>
    <t>[WARNING] CCADMIN-14 story: 'CCADMIN-22' could not be found in list of 45 features</t>
  </si>
  <si>
    <t>[WARNING] CCADMIN-14 story: 'CCADMIN-22' could not be found in list of 7 enablers</t>
  </si>
  <si>
    <t xml:space="preserve">[WARNING] CCADMIN-14 story: </t>
  </si>
  <si>
    <t>[INFO] CCADMIN-56 story: Parent feature:CCADMIN-55</t>
  </si>
  <si>
    <t>[INFO] CCADMIN-53 story: Parent feature:CCADMIN-44</t>
  </si>
  <si>
    <t>[INFO] CCADMIN-51 story: Parent feature:CCADMIN-42</t>
  </si>
  <si>
    <t>[INFO] CCADMIN-47 story: Parent feature:CCADMIN-44</t>
  </si>
  <si>
    <t>[INFO] CCADMIN-45 story: Parent feature:CCADMIN-44</t>
  </si>
  <si>
    <t>[INFO] CCADMIN-43 story: Parent feature:CCADMIN-42</t>
  </si>
  <si>
    <t>[INFO] CCADMIN-46 story: Parent feature:CCADMIN-44</t>
  </si>
  <si>
    <t>[INFO] CCADMIN-52 story: Parent feature:CCADMIN-44</t>
  </si>
  <si>
    <t>[WARNING] CCPMO-46 story: 'CCPMO-76' could not be found in list of 45 features</t>
  </si>
  <si>
    <t>[WARNING] CCPMO-59 story: 'CCPMO-76' could not be found in list of 45 features</t>
  </si>
  <si>
    <t>[WARNING] CCPMO-58 story: 'CCPMO-76' could not be found in list of 45 features</t>
  </si>
  <si>
    <t>[WARNING] CCPMO-103 story: 'CCPMO-79' could not be found in list of 45 features</t>
  </si>
  <si>
    <t>[WARNING] CCPMO-103 story: 'CCPMO-79' could not be found in list of 7 enablers</t>
  </si>
  <si>
    <t>[WARNING] CCPMO-103 story: 'CCPMO-76' could not be found in list of 45 features</t>
  </si>
  <si>
    <t>[WARNING] CCPMO-111 story: 'CCPMO-79' could not be found in list of 45 features</t>
  </si>
  <si>
    <t>[WARNING] CCPMO-111 story: 'CCPMO-79' could not be found in list of 7 enablers</t>
  </si>
  <si>
    <t>[WARNING] CCPMO-111 story: 'CCPMO-76' could not be found in list of 45 features</t>
  </si>
  <si>
    <t>[WARNING] CCPMO-79 story: 'CCPMO-87' could not be found in list of 45 features</t>
  </si>
  <si>
    <t>[WARNING] CCPMO-79 story: 'CCPMO-87' could not be found in list of 7 enablers</t>
  </si>
  <si>
    <t>[WARNING] CCPMO-79 story: 'CCPMO-95' could not be found in list of 45 features</t>
  </si>
  <si>
    <t>[WARNING] CCPMO-79 story: 'CCPMO-95' could not be found in list of 7 enablers</t>
  </si>
  <si>
    <t>[WARNING] CCPMO-79 story: 'CCPMO-119' could not be found in list of 45 features</t>
  </si>
  <si>
    <t>[WARNING] CCPMO-79 story: 'CCPMO-119' could not be found in list of 7 enablers</t>
  </si>
  <si>
    <t>[WARNING] CCPMO-79 story: 'CCPMO-103' could not be found in list of 45 features</t>
  </si>
  <si>
    <t>[WARNING] CCPMO-79 story: 'CCPMO-103' could not be found in list of 7 enablers</t>
  </si>
  <si>
    <t>[WARNING] CCPMO-79 story: 'CCPMO-111' could not be found in list of 45 features</t>
  </si>
  <si>
    <t>[WARNING] CCPMO-79 story: 'CCPMO-111' could not be found in list of 7 enablers</t>
  </si>
  <si>
    <t>[WARNING] CCPMO-79 story: 'CCPMO-76' could not be found in list of 45 features</t>
  </si>
  <si>
    <t>[WARNING] CCPMO-119 story: 'CCPMO-79' could not be found in list of 45 features</t>
  </si>
  <si>
    <t>[WARNING] CCPMO-119 story: 'CCPMO-79' could not be found in list of 7 enablers</t>
  </si>
  <si>
    <t>[WARNING] CCPMO-119 story: 'CCPMO-76' could not be found in list of 45 features</t>
  </si>
  <si>
    <t>[WARNING] CCPMO-95 story: 'CCPMO-79' could not be found in list of 45 features</t>
  </si>
  <si>
    <t>[WARNING] CCPMO-95 story: 'CCPMO-79' could not be found in list of 7 enablers</t>
  </si>
  <si>
    <t>[WARNING] CCPMO-95 story: 'CCPMO-76' could not be found in list of 45 features</t>
  </si>
  <si>
    <t>[WARNING] CCPMO-87 story: 'CCPMO-79' could not be found in list of 45 features</t>
  </si>
  <si>
    <t>[WARNING] CCPMO-87 story: 'CCPMO-79' could not be found in list of 7 enablers</t>
  </si>
  <si>
    <t>[WARNING] CCPMO-87 story: 'CCPMO-76' could not be found in list of 45 features</t>
  </si>
  <si>
    <t>[INFO] CCPMO-46 story: Parent enabler:CCPMO-76</t>
  </si>
  <si>
    <t>[INFO] CCPMO-59 story: Parent enabler:CCPMO-76</t>
  </si>
  <si>
    <t>[INFO] CCPMO-58 story: Parent enabler:CCPMO-76</t>
  </si>
  <si>
    <t>[INFO] CCPMO-103 story: Parent enabler:CCPMO-76</t>
  </si>
  <si>
    <t>[INFO] CCPMO-111 story: Parent enabler:CCPMO-76</t>
  </si>
  <si>
    <t>[INFO] CCPMO-79 story: Parent enabler:CCPMO-76</t>
  </si>
  <si>
    <t>[INFO] CCPMO-119 story: Parent enabler:CCPMO-76</t>
  </si>
  <si>
    <t>[INFO] CCPMO-95 story: Parent enabler:CCPMO-76</t>
  </si>
  <si>
    <t>[INFO] CCPMO-87 story: Parent enabler:CCPMO-76</t>
  </si>
  <si>
    <t>[INFO] Story 'PROCESS-48' [OPEN] 0pts: Parent Feature 'PROCESS-75'</t>
  </si>
  <si>
    <t>[INFO] Story 'PROCESS-49' [OPEN] 0pts: Parent Feature 'PROCESS-75'</t>
  </si>
  <si>
    <t>[INFO] Story 'CCPMO-62' [OPEN] 8pts: Parent Enebaler 'CCPMO-77'</t>
  </si>
  <si>
    <t>[INFO] Story 'CCTASK-564' [OPEN] 13pts: Parent Feature 'CCTASK-519'</t>
  </si>
  <si>
    <t>[INFO] Story 'PROCESS-120' [OPEN] 5pts: Parent Feature 'PROCESS-75'</t>
  </si>
  <si>
    <t>[INFO] Story 'PROCESS-117' [OPEN] 1pts: Parent Feature 'PROCESS-98'</t>
  </si>
  <si>
    <t>[INFO] Story 'PROCESS-119' [OPEN] 3pts: Parent Feature 'PROCESS-98'</t>
  </si>
  <si>
    <t>[INFO] Story 'PFM-146' [OPEN] 5pts: Parent Feature 'PFM-131'</t>
  </si>
  <si>
    <t>[INFO] Story 'PFM-147' [OPEN] 8pts: Parent Feature 'PFM-131'</t>
  </si>
  <si>
    <t>[INFO] Story 'PROCESS-118' [OPEN] 3pts: Parent Feature 'PROCESS-98'</t>
  </si>
  <si>
    <t>[INFO] Story 'PROCESS-121' [OPEN] 3pts: Parent Feature 'PROCESS-75'</t>
  </si>
  <si>
    <t>[INFO] Story 'PROCESS-114' [OPEN] 13pts: Parent Feature 'PROCESS-33'</t>
  </si>
  <si>
    <t>[INFO] Story 'PROCESS-116' [OPEN] 5pts: Parent Feature 'PROCESS-95'</t>
  </si>
  <si>
    <t>[INFO] Story 'PROCESS-115' [OPEN] 13pts: Parent Feature 'PROCESS-92'</t>
  </si>
  <si>
    <t>[WARNING] PFM-52 story: 'PFM-84' could not be found in list of 45 features</t>
  </si>
  <si>
    <t>[WARNING] PFM-52 story: 'PFM-84' could not be found in list of 7 enablers</t>
  </si>
  <si>
    <t xml:space="preserve">[WARNING] PFM-52 story: </t>
  </si>
  <si>
    <t>[WARNING] PFM-71 story: 'PFM-78' could not be found in list of 45 features</t>
  </si>
  <si>
    <t>[WARNING] PFM-71 story: 'PFM-78' could not be found in list of 7 enablers</t>
  </si>
  <si>
    <t xml:space="preserve">[WARNING] PFM-71 story: </t>
  </si>
  <si>
    <t>[WARNING] PFM-69 story: 'PFM-78' could not be found in list of 45 features</t>
  </si>
  <si>
    <t>[WARNING] PFM-69 story: 'PFM-78' could not be found in list of 7 enablers</t>
  </si>
  <si>
    <t xml:space="preserve">[WARNING] PFM-69 story: </t>
  </si>
  <si>
    <t>[WARNING] PFM-68 story: 'PFM-78' could not be found in list of 45 features</t>
  </si>
  <si>
    <t>[WARNING] PFM-68 story: 'PFM-78' could not be found in list of 7 enablers</t>
  </si>
  <si>
    <t xml:space="preserve">[WARNING] PFM-68 story: </t>
  </si>
  <si>
    <t>[WARNING] PFM-59 story: 'PFM-83' could not be found in list of 45 features</t>
  </si>
  <si>
    <t>[WARNING] PFM-59 story: 'PFM-83' could not be found in list of 7 enablers</t>
  </si>
  <si>
    <t xml:space="preserve">[WARNING] PFM-59 story: </t>
  </si>
  <si>
    <t>[WARNING] PFM-151 story: 'PFM-78' could not be found in list of 45 features</t>
  </si>
  <si>
    <t>[WARNING] PFM-151 story: 'PFM-78' could not be found in list of 7 enablers</t>
  </si>
  <si>
    <t xml:space="preserve">[WARNING] PFM-151 story: </t>
  </si>
  <si>
    <t>[WARNING] PFM-152 story: 'PFM-83' could not be found in list of 45 features</t>
  </si>
  <si>
    <t>[WARNING] PFM-152 story: 'PFM-83' could not be found in list of 7 enablers</t>
  </si>
  <si>
    <t xml:space="preserve">[WARNING] PFM-152 story: </t>
  </si>
  <si>
    <t>[INFO] PROCESS-48 story: Parent feature:PROCESS-75</t>
  </si>
  <si>
    <t>[INFO] PROCESS-49 story: Parent feature:PROCESS-75</t>
  </si>
  <si>
    <t>[INFO] PROCESS-120 story: Parent feature:PROCESS-75</t>
  </si>
  <si>
    <t>[INFO] PROCESS-117 story: Parent feature:PROCESS-98</t>
  </si>
  <si>
    <t>[INFO] PROCESS-119 story: Parent feature:PROCESS-98</t>
  </si>
  <si>
    <t>[INFO] PFM-146 story: Parent feature:PFM-131</t>
  </si>
  <si>
    <t>[INFO] PFM-147 story: Parent feature:PFM-131</t>
  </si>
  <si>
    <t>[INFO] PROCESS-118 story: Parent feature:PROCESS-98</t>
  </si>
  <si>
    <t>[INFO] PROCESS-121 story: Parent feature:PROCESS-75</t>
  </si>
  <si>
    <t>[INFO] PROCESS-114 story: Parent feature:PROCESS-33</t>
  </si>
  <si>
    <t>[INFO] PROCESS-116 story: Parent feature:PROCESS-95</t>
  </si>
  <si>
    <t>[INFO] PROCESS-115 story: Parent feature:PROCESS-92</t>
  </si>
  <si>
    <t>[WARNING] CCTASK-512 story: 'TSKACTION-246' could not be found in list of 45 features</t>
  </si>
  <si>
    <t>[WARNING] CCTASK-512 story: 'TSKACTION-246' could not be found in list of 7 enablers</t>
  </si>
  <si>
    <t>[WARNING] CCTASK-512 story: 'COMPCORP-104' could not be found in list of 45 features</t>
  </si>
  <si>
    <t>[WARNING] CCTASK-512 story: 'COMPCORP-104' could not be found in list of 7 enablers</t>
  </si>
  <si>
    <t xml:space="preserve">[WARNING] CCTASK-512 story: </t>
  </si>
  <si>
    <t>[INFO] CCTASK-564 story: Parent feature:CCTASK-519</t>
  </si>
  <si>
    <t>[WARNING] CCPMO-62 story: 'CCPMO-77' could not be found in list of 45 features</t>
  </si>
  <si>
    <t>[INFO] CCPMO-62 story: Parent enabler:CCPMO-77</t>
  </si>
  <si>
    <t xml:space="preserve">Generated at Tue Dec 04 22:40:02 CET 2018 by BEGHAIN Olivier using JIRA 7.9.2#79002-sha1:3bb15b68ecd99a30eb364c4c1a393359bcad6278. </t>
  </si>
  <si>
    <t>CCDOCLIST-124</t>
  </si>
  <si>
    <t>Comp Corp RTD PI3 It1, Comp Corp RTD PI4 It1</t>
  </si>
  <si>
    <t>CCDOCLIST-62</t>
  </si>
  <si>
    <t>[TECH] Merge Opsys branch into CC branch</t>
  </si>
  <si>
    <t>CCDOCLIST-117</t>
  </si>
  <si>
    <t>Read-only mode - BEND check</t>
  </si>
  <si>
    <t>Comp Corp RTD PI4 It1</t>
  </si>
  <si>
    <t>CCDOCLIST-121</t>
  </si>
  <si>
    <t>[TECH] Remove WLS dependencies</t>
  </si>
  <si>
    <t>CCDOCLIST-122</t>
  </si>
  <si>
    <t>CCDOCLIST-142</t>
  </si>
  <si>
    <t>Search clause needs to support the &lt;if&gt; operator</t>
  </si>
  <si>
    <t>CCCLOCK-38, CCTASK-494, CCTASK-431</t>
  </si>
  <si>
    <t>CCDOCLIST-149</t>
  </si>
  <si>
    <t>Implement tracing to Zipkin in DocumentList Service</t>
  </si>
  <si>
    <t>Filter documents by providing a different search clause</t>
  </si>
  <si>
    <t>Compacted view - main DL widget</t>
  </si>
  <si>
    <t>CCDOCLIST-163</t>
  </si>
  <si>
    <t>Read Only state at the UI level</t>
  </si>
  <si>
    <t>CCDOCLIST-166</t>
  </si>
  <si>
    <t>Create SPI module for operation callbacks</t>
  </si>
  <si>
    <t>CCDOCLIST-167</t>
  </si>
  <si>
    <t>Create configuration for operation callbacks</t>
  </si>
  <si>
    <t>CCDOCLIST-169</t>
  </si>
  <si>
    <t>Managing SSE events for automatic refresh in the DocList</t>
  </si>
  <si>
    <t>CCDOCLIST-171</t>
  </si>
  <si>
    <t>Extend Document(List)Service for Document Signature Support</t>
  </si>
  <si>
    <t>CCDOCLIST-172</t>
  </si>
  <si>
    <t>Variable evaluation in config must be done at loading time</t>
  </si>
  <si>
    <t>CCDOCLIST-173</t>
  </si>
  <si>
    <t>Offer a way to refresh a business variable</t>
  </si>
  <si>
    <t>CCDOCLIST-183</t>
  </si>
  <si>
    <t>OpenID adoption - DL</t>
  </si>
  <si>
    <t>CCDOCLIST-184</t>
  </si>
  <si>
    <t>Implement SSE in Document List</t>
  </si>
  <si>
    <t>CCDOCLIST-186</t>
  </si>
  <si>
    <t>Enable business config in the Admin tool</t>
  </si>
  <si>
    <t>CCDOCLIST-190</t>
  </si>
  <si>
    <t>UI should be refreshed automatically after user actions</t>
  </si>
  <si>
    <t>CCTASK-291</t>
  </si>
  <si>
    <t>Task Commands - exception handling</t>
  </si>
  <si>
    <t>CCTASK-423</t>
  </si>
  <si>
    <t>Kafka-to-SSE bridge service</t>
  </si>
  <si>
    <t>CCTASK-536</t>
  </si>
  <si>
    <t>Migration to the new Config Structure (TC, TD, Tax)</t>
  </si>
  <si>
    <t>CCTASK-538</t>
  </si>
  <si>
    <t>Convert and update CCM2 result into the Taxonomy Structure</t>
  </si>
  <si>
    <t>CCTASK-540</t>
  </si>
  <si>
    <t>Signature - Redirect to eReceipt</t>
  </si>
  <si>
    <t>CCTASK-547</t>
  </si>
  <si>
    <t>Update the labels about valid/invalid outcome</t>
  </si>
  <si>
    <t>CCTASK-550</t>
  </si>
  <si>
    <t>User interaction for Complete With Signature Outcome</t>
  </si>
  <si>
    <t>CCTASK-470, CCTASK-272</t>
  </si>
  <si>
    <t>CCTASK-551</t>
  </si>
  <si>
    <t>TaskDetailService support for Complete Task With Signature</t>
  </si>
  <si>
    <t>CCTASK-552</t>
  </si>
  <si>
    <t>Implement Signature Service</t>
  </si>
  <si>
    <t>CCTASK-553</t>
  </si>
  <si>
    <t>Store Signature date in the Process</t>
  </si>
  <si>
    <t>CCTASK-561</t>
  </si>
  <si>
    <t>Enable business config in the Admin tool (TC, TD)</t>
  </si>
  <si>
    <t>CCTASK-562</t>
  </si>
  <si>
    <t>Create Taxonomy events for creation, update and deletion of branches</t>
  </si>
  <si>
    <t>CCTASK-576</t>
  </si>
  <si>
    <t>CCTASK-563</t>
  </si>
  <si>
    <t>TaskCenter v1 compatibility</t>
  </si>
  <si>
    <t>CCTASK-581</t>
  </si>
  <si>
    <t>Management of dynamic data endpoints</t>
  </si>
  <si>
    <t>CCTASK-584</t>
  </si>
  <si>
    <t>Implement SSE - UI common channel</t>
  </si>
  <si>
    <t>CCTASK-590</t>
  </si>
  <si>
    <t>Notify Participants on Task Completion</t>
  </si>
  <si>
    <t>CCTASK-591</t>
  </si>
  <si>
    <t>refactoring SSE events in TD to move to SSE Bridge</t>
  </si>
  <si>
    <t>TSKACTION-272</t>
  </si>
  <si>
    <t>CCTASK-592</t>
  </si>
  <si>
    <t>DatePicker UI</t>
  </si>
  <si>
    <t>CCTASK-593</t>
  </si>
  <si>
    <t>Date Format config and BEND</t>
  </si>
  <si>
    <t>Comp Corp RTD PI3 It4, Comp Corp RTD PI3 It3, Comp Corp RTD PI4 It1</t>
  </si>
  <si>
    <t>COMPASS-201</t>
  </si>
  <si>
    <t>Deployment Scripts are configured for OPSYS ACC</t>
  </si>
  <si>
    <t>COMPASS-206</t>
  </si>
  <si>
    <t>COMPASS-202</t>
  </si>
  <si>
    <t>Deployment Scripts are configured for EAC, TEST and ACC</t>
  </si>
  <si>
    <t>Comp Corp RTD PI3 It4, Comp Corp RTD PI4 It1</t>
  </si>
  <si>
    <t>Deployment Scripts are configured for OPSYS</t>
  </si>
  <si>
    <t>COMPASS-168</t>
  </si>
  <si>
    <t>Comp Corp RTD PI3 It4, Comp Corp RTD PI3 It3, Comp Corp RTD PI4 It2</t>
  </si>
  <si>
    <t>COMPASS-208</t>
  </si>
  <si>
    <t>Deployment scripts ensure syncronization between properties in git and in Foundation</t>
  </si>
  <si>
    <t>COMPASS-225, COMPASS-168</t>
  </si>
  <si>
    <t>COMPASS-210</t>
  </si>
  <si>
    <t>cc-automation is ready to be used by RM and exploitation teams</t>
  </si>
  <si>
    <t>Comp Corp RTD PI3 It4, Comp Corp RTD PI4 It2</t>
  </si>
  <si>
    <t>COMPASS-223</t>
  </si>
  <si>
    <t>Configure flyway for the other domains (others than EAC)</t>
  </si>
  <si>
    <t>COMPASS-238</t>
  </si>
  <si>
    <t>COMPASS-240</t>
  </si>
  <si>
    <t>Submission - configure Task Centre</t>
  </si>
  <si>
    <t>COMPASS-241</t>
  </si>
  <si>
    <t>Submission Task Detail</t>
  </si>
  <si>
    <t>COMPASS-242</t>
  </si>
  <si>
    <t>Submission Document List</t>
  </si>
  <si>
    <t>COMPASS-243</t>
  </si>
  <si>
    <t>Submission Task Actions</t>
  </si>
  <si>
    <t>COMPASS-239</t>
  </si>
  <si>
    <t>COMPASS-244</t>
  </si>
  <si>
    <t>Evaluation - configure Task Centre</t>
  </si>
  <si>
    <t>COMPASS-245</t>
  </si>
  <si>
    <t>Evaluation Task Detail</t>
  </si>
  <si>
    <t>COMPASS-246</t>
  </si>
  <si>
    <t>Evaluation Task Actions</t>
  </si>
  <si>
    <t>COMPASS-247</t>
  </si>
  <si>
    <t>Evaluation Document List</t>
  </si>
  <si>
    <t>COMPASS-231, COMPCORP-125</t>
  </si>
  <si>
    <t>COMPASS-248</t>
  </si>
  <si>
    <t>Compass Core - Opsys TEST</t>
  </si>
  <si>
    <t>INTERCOM-50</t>
  </si>
  <si>
    <t>COMPASS-274</t>
  </si>
  <si>
    <t>Link Consultation Process -SPI</t>
  </si>
  <si>
    <t>COMPASS-275</t>
  </si>
  <si>
    <t>COMPASS-276</t>
  </si>
  <si>
    <t>RfS Preparation - taxonomy and filters</t>
  </si>
  <si>
    <t>COMPASS-277</t>
  </si>
  <si>
    <t>RfS Preparation - configure task details</t>
  </si>
  <si>
    <t>COMPASS-278</t>
  </si>
  <si>
    <t>RfS Preparation - configure Task Actions</t>
  </si>
  <si>
    <t>COMPASS-279</t>
  </si>
  <si>
    <t>RfS Preparation - configure Document List</t>
  </si>
  <si>
    <t>COMPASS-280</t>
  </si>
  <si>
    <t>COMPASS-281</t>
  </si>
  <si>
    <t>Specific Contract - configure Task Center</t>
  </si>
  <si>
    <t>COMPASS-282</t>
  </si>
  <si>
    <t>Specific Contract - configure Task Details</t>
  </si>
  <si>
    <t>COMPASS-283</t>
  </si>
  <si>
    <t>Specific Contract - configure Ui actions</t>
  </si>
  <si>
    <t>COMPASS-284</t>
  </si>
  <si>
    <t>Specific Contract - configure Document List</t>
  </si>
  <si>
    <t>COMPASS-297</t>
  </si>
  <si>
    <t>COMPASS-293</t>
  </si>
  <si>
    <t>PC Int- add ProcessInstanceId to TaskCompleted/TaskCancelled events</t>
  </si>
  <si>
    <t>COMPASS-298</t>
  </si>
  <si>
    <t>Create PROTO Releases</t>
  </si>
  <si>
    <t>COMPASS-299</t>
  </si>
  <si>
    <t>Merge the business config into TEST</t>
  </si>
  <si>
    <t>INTERCOM-76</t>
  </si>
  <si>
    <t>INTERCOM-77</t>
  </si>
  <si>
    <t>[Internal Communication] Implement valid status for participant</t>
  </si>
  <si>
    <t>INTERCOM-78</t>
  </si>
  <si>
    <t>[Consultations] Implement valid status for participant</t>
  </si>
  <si>
    <t>INTERCOM-79</t>
  </si>
  <si>
    <t>[Consultation] User picker for consulted users</t>
  </si>
  <si>
    <t>INTERCOM-83</t>
  </si>
  <si>
    <t>[Consultations] Secure the service</t>
  </si>
  <si>
    <t>INTERCOM-89</t>
  </si>
  <si>
    <t>Configurable messages formats for Consultations</t>
  </si>
  <si>
    <t>PFM-153</t>
  </si>
  <si>
    <t>Improve feeding performance</t>
  </si>
  <si>
    <t>PROCESS-124</t>
  </si>
  <si>
    <t>Refactor API (alignment)</t>
  </si>
  <si>
    <t>TSKACTION-216</t>
  </si>
  <si>
    <t>Task action Session component (deep link): extend to edit mode</t>
  </si>
  <si>
    <t>Comp Corp RTD PI3 It4, Comp Corp RTD PI4 It4</t>
  </si>
  <si>
    <t>TSKACTION-218</t>
  </si>
  <si>
    <t>Session Management: TaskAction Backend Implementation</t>
  </si>
  <si>
    <t>TSKACTION-220, CCTASK-490, CCTASK-431</t>
  </si>
  <si>
    <t>TSKACTION-219</t>
  </si>
  <si>
    <t>Implement tracing to Zipkin in TaskActions Service</t>
  </si>
  <si>
    <t>TSKACTION-217, CCDOCLIST-153</t>
  </si>
  <si>
    <t>TSKACTION-237</t>
  </si>
  <si>
    <t>Session Management: fetch data about related documents</t>
  </si>
  <si>
    <t>TSKACTION-259</t>
  </si>
  <si>
    <t>Support Tasks - View list of active tasks</t>
  </si>
  <si>
    <t>TSKACTION-260</t>
  </si>
  <si>
    <t>Support Tasks - Calculate the valid state</t>
  </si>
  <si>
    <t>TSKACTION-271</t>
  </si>
  <si>
    <t>Trigger Refresh Info Header on Session complete</t>
  </si>
  <si>
    <t>TSKACTION-273</t>
  </si>
  <si>
    <t>Create a Deep Link action component</t>
  </si>
  <si>
    <r>
      <t xml:space="preserve">Displaying </t>
    </r>
    <r>
      <rPr>
        <b/>
        <sz val="11"/>
        <color rgb="FF000000"/>
        <rFont val="Arial"/>
        <family val="2"/>
      </rPr>
      <t>190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4/Dec/18 22:40</t>
    </r>
    <r>
      <rPr>
        <sz val="11"/>
        <color rgb="FF000000"/>
        <rFont val="Arial"/>
        <family val="2"/>
      </rPr>
      <t>.</t>
    </r>
  </si>
  <si>
    <t xml:space="preserve">Generated at Tue Dec 04 22:47:08 CET 2018 by BEGHAIN Olivier using JIRA 7.9.2#79002-sha1:3bb15b68ecd99a30eb364c4c1a393359bcad6278. </t>
  </si>
  <si>
    <t>INTERCOM-78, INTERCOM-77, INTERCOM-51</t>
  </si>
  <si>
    <t>Services interoperability</t>
  </si>
  <si>
    <t>INTERCOM-79, INTERCOM-89, INTERCOM-56, INTERCOM-57, INTERCOM-58, INTERCOM-64, CCADMIN-50</t>
  </si>
  <si>
    <r>
      <t xml:space="preserve">Displaying </t>
    </r>
    <r>
      <rPr>
        <b/>
        <sz val="11"/>
        <color rgb="FF000000"/>
        <rFont val="Arial"/>
        <family val="2"/>
      </rPr>
      <t>53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4/Dec/18 22:47</t>
    </r>
    <r>
      <rPr>
        <sz val="11"/>
        <color rgb="FF000000"/>
        <rFont val="Arial"/>
        <family val="2"/>
      </rPr>
      <t>.</t>
    </r>
  </si>
  <si>
    <t>COMPCORP - Metrics using Planning items (PI-4, Features and Enablers) (CITnet Jira)</t>
  </si>
  <si>
    <t>190, 52</t>
  </si>
  <si>
    <t>181204 stories, 181204 features</t>
  </si>
  <si>
    <t xml:space="preserve">[WARNING] Story 'TSKACTION-237: </t>
  </si>
  <si>
    <t>[INFO] Story 'TSKACTION-271' [OPEN] 8pts: Parent Feature 'TSKACTION-217'</t>
  </si>
  <si>
    <t>[INFO] Story 'TSKACTION-260' [OPEN] 0pts: Parent Feature 'TSKACTION-245'</t>
  </si>
  <si>
    <t>[INFO] Story 'TSKACTION-259' [IN PROGRESS] 0pts: Parent Feature 'TSKACTION-245'</t>
  </si>
  <si>
    <t>[INFO] Story 'TSKACTION-218' [DONE] 5pts: Parent Feature 'TSKACTION-217'</t>
  </si>
  <si>
    <t>[INFO] Story 'TSKACTION-216' [IN PROGRESS] 13pts: Parent Feature 'TSKACTION-217'</t>
  </si>
  <si>
    <t>[INFO] Story 'PROCESS-129' [CLOSED] 0pts: Parent Feature 'TSKACTION-217'</t>
  </si>
  <si>
    <t>[INFO] Story 'PROCESS-128' [CLOSED] 0pts: Parent Feature 'TSKACTION-217'</t>
  </si>
  <si>
    <t>[INFO] Story 'PROCESS-124' [DONE] 0pts: Parent Feature 'TSKACTION-217'</t>
  </si>
  <si>
    <t>[INFO] Story 'PROCESS-122' [OPEN] 0pts: Parent Feature 'TSKACTION-217'</t>
  </si>
  <si>
    <t>[INFO] Story 'PFM-160' [DONE] 0pts: Parent Feature 'PROCESS-75'</t>
  </si>
  <si>
    <t>[INFO] Story 'PFM-153' [CANCELED] 0pts: Parent Feature 'PFM-131'</t>
  </si>
  <si>
    <t>[INFO] Story 'PFM-142' [CANCELED] 3pts: Parent Feature 'PFM-125'</t>
  </si>
  <si>
    <t>[INFO] Story 'PFM-116' [DONE] 3pts: Parent Feature 'PFM-125'</t>
  </si>
  <si>
    <t>[INFO] Story 'INTERCOM-89' [IN PROGRESS] 8pts: Parent Feature 'INTERCOM-54'</t>
  </si>
  <si>
    <t>[INFO] Story 'INTERCOM-83' [IN PROGRESS] 8pts: Parent Feature 'INTERCOM-54'</t>
  </si>
  <si>
    <t>[INFO] Story 'INTERCOM-79' [OPEN] 8pts: Parent Feature 'INTERCOM-54'</t>
  </si>
  <si>
    <t>[INFO] Story 'INTERCOM-78' [OPEN] 3pts: Parent Feature 'INTERCOM-76'</t>
  </si>
  <si>
    <t>[INFO] Story 'INTERCOM-77' [IN PROGRESS] 3pts: Parent Feature 'INTERCOM-76'</t>
  </si>
  <si>
    <t>[INFO] Story 'CCTASK-591' [OPEN] 0pts: Parent Enebaler 'CCTASK-527'</t>
  </si>
  <si>
    <t>[INFO] Story 'CCTASK-590' [OPEN] 0pts: Parent Enebaler 'CCTASK-527'</t>
  </si>
  <si>
    <t>[INFO] Story 'CCTASK-584' [IN PROGRESS] 5pts: Parent Enebaler 'CCTASK-527'</t>
  </si>
  <si>
    <t>[INFO] Story 'CCTASK-581' [OPEN] 0pts: Parent Enebaler 'CCTASK-527'</t>
  </si>
  <si>
    <t>[INFO] Story 'CCTASK-562' [CLOSED] 21pts: Parent Feature 'CCTASK-519'</t>
  </si>
  <si>
    <t>[INFO] Story 'CCTASK-561' [OPEN] 5pts: Parent Feature 'CCTASK-579'</t>
  </si>
  <si>
    <t>[INFO] Story 'CCTASK-553' [IN REVIEW] 3pts: Parent Feature 'CCTASK-272'</t>
  </si>
  <si>
    <t>[INFO] Story 'CCTASK-552' [IN PROGRESS] 15pts: Parent Feature 'CCTASK-272'</t>
  </si>
  <si>
    <t>[INFO] Story 'CCTASK-551' [IN REVIEW] 21pts: Parent Feature 'CCTASK-272'</t>
  </si>
  <si>
    <t>[INFO] Story 'CCTASK-550' [IN PROGRESS] 5pts: Parent Feature 'CCTASK-272'</t>
  </si>
  <si>
    <t>[INFO] Story 'CCTASK-547' [DONE] 2pts: Parent Feature 'CCTASK-272'</t>
  </si>
  <si>
    <t>[INFO] Story 'CCTASK-540' [CANCELED] 13pts: Parent Feature 'CCTASK-272'</t>
  </si>
  <si>
    <t>[INFO] Story 'CCTASK-538' [DONE] 5pts: Parent Feature 'CCTASK-518'</t>
  </si>
  <si>
    <t>[INFO] Story 'CCTASK-536' [DONE] 13pts: Parent Feature 'CCTASK-579'</t>
  </si>
  <si>
    <t>[INFO] Story 'CCTASK-522' [OPEN] 0pts: Parent Feature 'CCTASK-579'</t>
  </si>
  <si>
    <t>[INFO] Story 'CCTASK-423' [IN REVIEW] 13pts: Parent Enebaler 'CCTASK-527'</t>
  </si>
  <si>
    <t>[INFO] Story 'CCTASK-291' [IN PROGRESS] 0pts: Parent Feature 'CCTASK-476'</t>
  </si>
  <si>
    <t>[INFO] Story 'CCDOCLIST-190' [IN PROGRESS] 0pts: Parent Enebaler 'CCPMO-76'</t>
  </si>
  <si>
    <t>[INFO] Story 'CCDOCLIST-186' [OPEN] 5pts: Parent Feature 'CCDOCLIST-181'</t>
  </si>
  <si>
    <t>[INFO] Story 'CCDOCLIST-184' [OPEN] 5pts: Parent Enebaler 'CCTASK-527'</t>
  </si>
  <si>
    <t>[INFO] Story 'CCDOCLIST-183' [IN REVIEW] 0pts: Parent Feature 'CCTASK-533'</t>
  </si>
  <si>
    <t>[INFO] Story 'CCDOCLIST-173' [OPEN] 5pts: Parent Feature 'CCDOCLIST-174'</t>
  </si>
  <si>
    <t>[INFO] Story 'CCDOCLIST-172' [DONE] 3pts: Parent Feature 'CCDOCLIST-174'</t>
  </si>
  <si>
    <t>[INFO] Story 'CCDOCLIST-171' [IN PROGRESS] 8pts: Parent Feature 'CCTASK-272'</t>
  </si>
  <si>
    <t>[INFO] Story 'CCDOCLIST-169' [DONE] 5pts: Parent Feature 'CCDOCLIST-19'</t>
  </si>
  <si>
    <t>[INFO] Story 'CCDOCLIST-167' [DONE] 5pts: Parent Feature 'CCDOCLIST-165'</t>
  </si>
  <si>
    <t>[INFO] Story 'CCDOCLIST-166' [DONE] 8pts: Parent Feature 'CCDOCLIST-165'</t>
  </si>
  <si>
    <t>[INFO] Story 'CCDOCLIST-163' [DONE] 8pts: Parent Feature 'CCDOCLIST-19'</t>
  </si>
  <si>
    <t>[INFO] Story 'CCDOCLIST-161' [DONE] 8pts: Parent Feature 'CCDOCLIST-156'</t>
  </si>
  <si>
    <t>[INFO] Story 'CCDOCLIST-159' [DONE] 8pts: Parent Feature 'CCDOCLIST-157'</t>
  </si>
  <si>
    <t>[INFO] Story 'CCDOCLIST-122' [OPEN] 8pts: Parent Feature 'CCDOCLIST-25'</t>
  </si>
  <si>
    <t>[INFO] Story 'CCDOCLIST-117' [CANCELED] 8pts: Parent Feature 'CCDOCLIST-19'</t>
  </si>
  <si>
    <t>[INFO] Story 'CCADMIN-48' [CANCELED] 1pts: Parent Feature 'CCADMIN-42'</t>
  </si>
  <si>
    <t>[INFO] Features metrics: SP planned: 516 SP canceled: 21 SP closed: 55 SP open: 132 SP in-progress: 104 SP in-review: 32</t>
  </si>
  <si>
    <t>[INFO] Features metrics: # stories planned: 86 # stories canceled: 2 # stories closed: 33 # stories open: 24 # stories in-progress: 14 # stories in-review: 4</t>
  </si>
  <si>
    <t>[WARNING] PROCESS-107 story: 'PROCESS-96' could not be found in list of 45 features</t>
  </si>
  <si>
    <t>[WARNING] PROCESS-107 story: 'PROCESS-96' could not be found in list of 7 enablers</t>
  </si>
  <si>
    <t xml:space="preserve">[WARNING] PROCESS-107 story: </t>
  </si>
  <si>
    <t>[WARNING] PROCESS-90 story: 'PROCESS-96' could not be found in list of 45 features</t>
  </si>
  <si>
    <t>[WARNING] PROCESS-90 story: 'PROCESS-96' could not be found in list of 7 enablers</t>
  </si>
  <si>
    <t>[WARNING] PROCESS-90 story: 'PROCESS-104' could not be found in list of 45 features</t>
  </si>
  <si>
    <t>[WARNING] PROCESS-90 story: 'PROCESS-104' could not be found in list of 7 enablers</t>
  </si>
  <si>
    <t>[WARNING] PROCESS-89 story: 'PROCESS-96' could not be found in list of 45 features</t>
  </si>
  <si>
    <t>[WARNING] PROCESS-89 story: 'PROCESS-96' could not be found in list of 7 enablers</t>
  </si>
  <si>
    <t>[WARNING] PROCESS-89 story: 'PROCESS-104' could not be found in list of 45 features</t>
  </si>
  <si>
    <t>[WARNING] PROCESS-89 story: 'PROCESS-104' could not be found in list of 7 enablers</t>
  </si>
  <si>
    <t xml:space="preserve">[WARNING] PROCESS-89 story: </t>
  </si>
  <si>
    <t>[WARNING] PROCESS-86 story: 'PROCESS-96' could not be found in list of 45 features</t>
  </si>
  <si>
    <t>[WARNING] PROCESS-86 story: 'PROCESS-96' could not be found in list of 7 enablers</t>
  </si>
  <si>
    <t>[WARNING] PROCESS-86 story: 'PROCESS-104' could not be found in list of 45 features</t>
  </si>
  <si>
    <t>[WARNING] PROCESS-86 story: 'PROCESS-104' could not be found in list of 7 enablers</t>
  </si>
  <si>
    <t>[WARNING] PFM-110 story: 'PFM-45' could not be found in list of 45 features</t>
  </si>
  <si>
    <t>[WARNING] PFM-110 story: 'PFM-45' could not be found in list of 7 enablers</t>
  </si>
  <si>
    <t>[WARNING] PROCESS-92 feature: 'PROCESS-94' could not be found in list of 190 stories</t>
  </si>
  <si>
    <t>[WARNING] PROCESS-75 feature: 'PROCESS-80' could not be found in list of 190 stories</t>
  </si>
  <si>
    <t>[WARNING] PROCESS-75 feature: 'EUI-1318' could not be found in list of 190 stories</t>
  </si>
  <si>
    <t>[WARNING] PROCESS-33 feature: 'MWP-441' could not be found in list of 190 stories</t>
  </si>
  <si>
    <t>[WARNING] PFM-131 feature: 'MWP-544' could not be found in list of 190 stories</t>
  </si>
  <si>
    <t>[WARNING] PFM-131 feature: 'PFM-145' could not be found in list of 190 stories</t>
  </si>
  <si>
    <t>[WARNING] PFM-131 feature: 'MWP-441' could not be found in list of 190 stories</t>
  </si>
  <si>
    <t>[WARNING] PFM-126 feature: 'MWP-550' could not be found in list of 190 stories</t>
  </si>
  <si>
    <t>[INFO] PROCESS-129 story: Parent feature:TSKACTION-217</t>
  </si>
  <si>
    <t>[INFO] PROCESS-128 story: Parent feature:TSKACTION-217</t>
  </si>
  <si>
    <t>[INFO] PROCESS-124 story: Parent feature:TSKACTION-217</t>
  </si>
  <si>
    <t>[INFO] PROCESS-122 story: Parent feature:TSKACTION-217</t>
  </si>
  <si>
    <t>[INFO] PFM-160 story: Parent feature:PROCESS-75</t>
  </si>
  <si>
    <t>[INFO] PFM-153 story: Parent feature:PFM-131</t>
  </si>
  <si>
    <t>[INFO] PFM-142 story: Parent feature:PFM-125</t>
  </si>
  <si>
    <t>[INFO] PFM-116 story: Parent feature:PFM-125</t>
  </si>
  <si>
    <t>[INFO] PROCESS-44 feature: 'PROCESS-108' found in list of 190 stories</t>
  </si>
  <si>
    <t>[INFO] PROCESS-44 feature: 'PROCESS-76' found in list of 190 stories</t>
  </si>
  <si>
    <t>[INFO] PROCESS-92 feature: 'PROCESS-115' found in list of 190 stories</t>
  </si>
  <si>
    <t>[INFO] PROCESS-75 feature: 'PROCESS-48' found in list of 190 stories</t>
  </si>
  <si>
    <t>[INFO] PROCESS-75 feature: 'PROCESS-49' found in list of 190 stories</t>
  </si>
  <si>
    <t>[INFO] PROCESS-75 feature: 'PROCESS-120' found in list of 190 stories</t>
  </si>
  <si>
    <t>[INFO] PROCESS-75 feature: 'PROCESS-121' found in list of 190 stories</t>
  </si>
  <si>
    <t>[INFO] PROCESS-98 feature: 'PROCESS-117' found in list of 190 stories</t>
  </si>
  <si>
    <t>[INFO] PROCESS-98 feature: 'PROCESS-118' found in list of 190 stories</t>
  </si>
  <si>
    <t>[INFO] PROCESS-98 feature: 'PROCESS-119' found in list of 190 stories</t>
  </si>
  <si>
    <t>[INFO] PFM-125 feature: 'PFM-143' found in list of 190 stories</t>
  </si>
  <si>
    <t>[INFO] PFM-125 feature: 'PFM-148' found in list of 190 stories</t>
  </si>
  <si>
    <t>[INFO] PROCESS-95 feature: 'PROCESS-116' found in list of 190 stories</t>
  </si>
  <si>
    <t>[INFO] PROCESS-95 feature: 'PROCESS-112' found in list of 190 stories</t>
  </si>
  <si>
    <t>[INFO] PROCESS-95 feature: 'PROCESS-110' found in list of 190 stories</t>
  </si>
  <si>
    <t>[INFO] PROCESS-95 feature: 'PROCESS-111' found in list of 190 stories</t>
  </si>
  <si>
    <t>[INFO] PROCESS-33 feature: 'PROCESS-114' found in list of 190 stories</t>
  </si>
  <si>
    <t>[INFO] PROCESS-33 feature: 'PROCESS-109' found in list of 190 stories</t>
  </si>
  <si>
    <t>[INFO] PROCESS-33 feature: 'PROCESS-113' found in list of 190 stories</t>
  </si>
  <si>
    <t>[INFO] PROCESS-125 feature: 'PROCESS-116' found in list of 190 stories</t>
  </si>
  <si>
    <t>[INFO] PFM-131 feature: 'PFM-146' found in list of 190 stories</t>
  </si>
  <si>
    <t>[INFO] PFM-131 feature: 'PFM-147' found in list of 190 stories</t>
  </si>
  <si>
    <t>[INFO] PFM-131 feature: 'PFM-155' found in list of 190 stories</t>
  </si>
  <si>
    <t>[INFO] PFM-126 feature: 'PFM-144' found in list of 190 stories</t>
  </si>
  <si>
    <t>[INFO] Team A - Features metrics: SP planned: 107 SP canceled: 0 SP closed: 25 SP open: 64 SP in-progress: 10 SP in-review: 0</t>
  </si>
  <si>
    <t>[INFO] Team A - Features metrics: # stories planned: 24 # stories canceled: 0 # stories closed: 3 # stories open: 13 # stories in-progress: 2 # stories in-review: 0</t>
  </si>
  <si>
    <t>[WARNING] TSKACTION-273 story: 'WAVECC-10' could not be found in list of 45 features</t>
  </si>
  <si>
    <t>[WARNING] TSKACTION-273 story: 'WAVECC-10' could not be found in list of 7 enablers</t>
  </si>
  <si>
    <t xml:space="preserve">[WARNING] TSKACTION-273 story: </t>
  </si>
  <si>
    <t>[WARNING] TSKACTION-237 story: 'CCDOCLIST-153' could not be found in list of 45 features</t>
  </si>
  <si>
    <t>[WARNING] TSKACTION-237 story: 'CCDOCLIST-153' could not be found in list of 7 enablers</t>
  </si>
  <si>
    <t>[WARNING] TSKACTION-219 story: 'TSKACTION-220' could not be found in list of 45 features</t>
  </si>
  <si>
    <t>[WARNING] TSKACTION-219 story: 'TSKACTION-220' could not be found in list of 7 enablers</t>
  </si>
  <si>
    <t>[WARNING] TSKACTION-219 story: 'CCTASK-490' could not be found in list of 45 features</t>
  </si>
  <si>
    <t>[WARNING] TSKACTION-219 story: 'CCTASK-490' could not be found in list of 7 enablers</t>
  </si>
  <si>
    <t>[WARNING] TSKACTION-219 story: 'CCTASK-431' could not be found in list of 45 features</t>
  </si>
  <si>
    <t>[WARNING] TSKACTION-219 story: 'CCTASK-431' could not be found in list of 7 enablers</t>
  </si>
  <si>
    <t xml:space="preserve">[WARNING] TSKACTION-219 story: </t>
  </si>
  <si>
    <t>[WARNING] COMPASS-299 story: 'INTERCOM-37' could not be found in list of 45 features</t>
  </si>
  <si>
    <t>[WARNING] COMPASS-299 story: 'INTERCOM-37' could not be found in list of 7 enablers</t>
  </si>
  <si>
    <t xml:space="preserve">[WARNING] COMPASS-299 story: </t>
  </si>
  <si>
    <t>[WARNING] COMPASS-298 story: 'INTERCOM-37' could not be found in list of 45 features</t>
  </si>
  <si>
    <t>[WARNING] COMPASS-298 story: 'INTERCOM-37' could not be found in list of 7 enablers</t>
  </si>
  <si>
    <t xml:space="preserve">[WARNING] COMPASS-298 story: </t>
  </si>
  <si>
    <t>[WARNING] COMPASS-293 story: 'COMPASS-297' could not be found in list of 45 features</t>
  </si>
  <si>
    <t>[WARNING] COMPASS-293 story: 'COMPASS-297' could not be found in list of 7 enablers</t>
  </si>
  <si>
    <t xml:space="preserve">[WARNING] COMPASS-293 story: </t>
  </si>
  <si>
    <t>[WARNING] COMPASS-284 story: 'COMPASS-280' could not be found in list of 45 features</t>
  </si>
  <si>
    <t>[WARNING] COMPASS-284 story: 'COMPASS-280' could not be found in list of 7 enablers</t>
  </si>
  <si>
    <t xml:space="preserve">[WARNING] COMPASS-284 story: </t>
  </si>
  <si>
    <t>[WARNING] COMPASS-283 story: 'COMPASS-280' could not be found in list of 45 features</t>
  </si>
  <si>
    <t>[WARNING] COMPASS-283 story: 'COMPASS-280' could not be found in list of 7 enablers</t>
  </si>
  <si>
    <t xml:space="preserve">[WARNING] COMPASS-283 story: </t>
  </si>
  <si>
    <t>[WARNING] COMPASS-282 story: 'COMPASS-280' could not be found in list of 45 features</t>
  </si>
  <si>
    <t>[WARNING] COMPASS-282 story: 'COMPASS-280' could not be found in list of 7 enablers</t>
  </si>
  <si>
    <t xml:space="preserve">[WARNING] COMPASS-282 story: </t>
  </si>
  <si>
    <t>[WARNING] COMPASS-281 story: 'COMPASS-280' could not be found in list of 45 features</t>
  </si>
  <si>
    <t>[WARNING] COMPASS-281 story: 'COMPASS-280' could not be found in list of 7 enablers</t>
  </si>
  <si>
    <t xml:space="preserve">[WARNING] COMPASS-281 story: </t>
  </si>
  <si>
    <t>[WARNING] COMPASS-279 story: 'COMPASS-275' could not be found in list of 45 features</t>
  </si>
  <si>
    <t>[WARNING] COMPASS-279 story: 'COMPASS-275' could not be found in list of 7 enablers</t>
  </si>
  <si>
    <t xml:space="preserve">[WARNING] COMPASS-279 story: </t>
  </si>
  <si>
    <t>[WARNING] COMPASS-278 story: 'COMPASS-275' could not be found in list of 45 features</t>
  </si>
  <si>
    <t>[WARNING] COMPASS-278 story: 'COMPASS-275' could not be found in list of 7 enablers</t>
  </si>
  <si>
    <t xml:space="preserve">[WARNING] COMPASS-278 story: </t>
  </si>
  <si>
    <t>[WARNING] COMPASS-277 story: 'COMPASS-275' could not be found in list of 45 features</t>
  </si>
  <si>
    <t>[WARNING] COMPASS-277 story: 'COMPASS-275' could not be found in list of 7 enablers</t>
  </si>
  <si>
    <t xml:space="preserve">[WARNING] COMPASS-277 story: </t>
  </si>
  <si>
    <t>[WARNING] COMPASS-276 story: 'COMPASS-275' could not be found in list of 45 features</t>
  </si>
  <si>
    <t>[WARNING] COMPASS-276 story: 'COMPASS-275' could not be found in list of 7 enablers</t>
  </si>
  <si>
    <t xml:space="preserve">[WARNING] COMPASS-276 story: </t>
  </si>
  <si>
    <t>[WARNING] COMPASS-274 story: 'INTERCOM-50' could not be found in list of 45 features</t>
  </si>
  <si>
    <t>[WARNING] COMPASS-274 story: 'INTERCOM-50' could not be found in list of 7 enablers</t>
  </si>
  <si>
    <t xml:space="preserve">[WARNING] COMPASS-274 story: </t>
  </si>
  <si>
    <t>[WARNING] COMPASS-248 story: 'COMPASS-231' could not be found in list of 45 features</t>
  </si>
  <si>
    <t>[WARNING] COMPASS-248 story: 'COMPASS-231' could not be found in list of 7 enablers</t>
  </si>
  <si>
    <t>[WARNING] COMPASS-248 story: 'COMPCORP-125' could not be found in list of 45 features</t>
  </si>
  <si>
    <t>[WARNING] COMPASS-248 story: 'COMPCORP-125' could not be found in list of 7 enablers</t>
  </si>
  <si>
    <t xml:space="preserve">[WARNING] COMPASS-248 story: </t>
  </si>
  <si>
    <t>[WARNING] COMPASS-247 story: 'COMPASS-239' could not be found in list of 45 features</t>
  </si>
  <si>
    <t>[WARNING] COMPASS-247 story: 'COMPASS-239' could not be found in list of 7 enablers</t>
  </si>
  <si>
    <t xml:space="preserve">[WARNING] COMPASS-247 story: </t>
  </si>
  <si>
    <t>[WARNING] COMPASS-246 story: 'COMPASS-239' could not be found in list of 45 features</t>
  </si>
  <si>
    <t>[WARNING] COMPASS-246 story: 'COMPASS-239' could not be found in list of 7 enablers</t>
  </si>
  <si>
    <t xml:space="preserve">[WARNING] COMPASS-246 story: </t>
  </si>
  <si>
    <t>[WARNING] COMPASS-245 story: 'COMPASS-239' could not be found in list of 45 features</t>
  </si>
  <si>
    <t>[WARNING] COMPASS-245 story: 'COMPASS-239' could not be found in list of 7 enablers</t>
  </si>
  <si>
    <t xml:space="preserve">[WARNING] COMPASS-245 story: </t>
  </si>
  <si>
    <t>[WARNING] COMPASS-244 story: 'COMPASS-239' could not be found in list of 45 features</t>
  </si>
  <si>
    <t>[WARNING] COMPASS-244 story: 'COMPASS-239' could not be found in list of 7 enablers</t>
  </si>
  <si>
    <t xml:space="preserve">[WARNING] COMPASS-244 story: </t>
  </si>
  <si>
    <t>[WARNING] COMPASS-243 story: 'COMPASS-238' could not be found in list of 45 features</t>
  </si>
  <si>
    <t>[WARNING] COMPASS-243 story: 'COMPASS-238' could not be found in list of 7 enablers</t>
  </si>
  <si>
    <t xml:space="preserve">[WARNING] COMPASS-243 story: </t>
  </si>
  <si>
    <t>[WARNING] COMPASS-242 story: 'COMPASS-238' could not be found in list of 45 features</t>
  </si>
  <si>
    <t>[WARNING] COMPASS-242 story: 'COMPASS-238' could not be found in list of 7 enablers</t>
  </si>
  <si>
    <t xml:space="preserve">[WARNING] COMPASS-242 story: </t>
  </si>
  <si>
    <t>[WARNING] COMPASS-241 story: 'COMPASS-238' could not be found in list of 45 features</t>
  </si>
  <si>
    <t>[WARNING] COMPASS-241 story: 'COMPASS-238' could not be found in list of 7 enablers</t>
  </si>
  <si>
    <t xml:space="preserve">[WARNING] COMPASS-241 story: </t>
  </si>
  <si>
    <t>[WARNING] COMPASS-240 story: 'COMPASS-238' could not be found in list of 45 features</t>
  </si>
  <si>
    <t>[WARNING] COMPASS-240 story: 'COMPASS-238' could not be found in list of 7 enablers</t>
  </si>
  <si>
    <t xml:space="preserve">[WARNING] COMPASS-240 story: </t>
  </si>
  <si>
    <t>[WARNING] COMPASS-223 story: 'COMPASS-168' could not be found in list of 45 features</t>
  </si>
  <si>
    <t>[WARNING] COMPASS-223 story: 'COMPASS-168' could not be found in list of 7 enablers</t>
  </si>
  <si>
    <t xml:space="preserve">[WARNING] COMPASS-223 story: </t>
  </si>
  <si>
    <t>[WARNING] COMPASS-210 story: 'COMPASS-225' could not be found in list of 45 features</t>
  </si>
  <si>
    <t>[WARNING] COMPASS-210 story: 'COMPASS-225' could not be found in list of 7 enablers</t>
  </si>
  <si>
    <t>[WARNING] COMPASS-210 story: 'COMPASS-168' could not be found in list of 45 features</t>
  </si>
  <si>
    <t>[WARNING] COMPASS-210 story: 'COMPASS-168' could not be found in list of 7 enablers</t>
  </si>
  <si>
    <t xml:space="preserve">[WARNING] COMPASS-210 story: </t>
  </si>
  <si>
    <t>[WARNING] COMPASS-208 story: 'COMPASS-168' could not be found in list of 45 features</t>
  </si>
  <si>
    <t>[WARNING] COMPASS-208 story: 'COMPASS-168' could not be found in list of 7 enablers</t>
  </si>
  <si>
    <t xml:space="preserve">[WARNING] COMPASS-208 story: </t>
  </si>
  <si>
    <t>[WARNING] COMPASS-206 story: 'COMPASS-202' could not be found in list of 45 features</t>
  </si>
  <si>
    <t>[WARNING] COMPASS-206 story: 'COMPASS-202' could not be found in list of 7 enablers</t>
  </si>
  <si>
    <t xml:space="preserve">[WARNING] COMPASS-206 story: </t>
  </si>
  <si>
    <t>[WARNING] COMPASS-202 story: 'COMPASS-206' could not be found in list of 45 features</t>
  </si>
  <si>
    <t>[WARNING] COMPASS-202 story: 'COMPASS-206' could not be found in list of 7 enablers</t>
  </si>
  <si>
    <t xml:space="preserve">[WARNING] COMPASS-202 story: </t>
  </si>
  <si>
    <t>[WARNING] COMPASS-201 story: 'COMPASS-206' could not be found in list of 45 features</t>
  </si>
  <si>
    <t>[WARNING] COMPASS-201 story: 'COMPASS-206' could not be found in list of 7 enablers</t>
  </si>
  <si>
    <t xml:space="preserve">[WARNING] COMPASS-201 story: </t>
  </si>
  <si>
    <t>[WARNING] CCTASK-593 story: 'TSKACTION-272' could not be found in list of 45 features</t>
  </si>
  <si>
    <t>[WARNING] CCTASK-593 story: 'TSKACTION-272' could not be found in list of 7 enablers</t>
  </si>
  <si>
    <t xml:space="preserve">[WARNING] CCTASK-593 story: </t>
  </si>
  <si>
    <t>[WARNING] CCTASK-592 story: 'TSKACTION-272' could not be found in list of 45 features</t>
  </si>
  <si>
    <t>[WARNING] CCTASK-592 story: 'TSKACTION-272' could not be found in list of 7 enablers</t>
  </si>
  <si>
    <t xml:space="preserve">[WARNING] CCTASK-592 story: </t>
  </si>
  <si>
    <t>[WARNING] CCTASK-591 story: 'CCTASK-527' could not be found in list of 45 features</t>
  </si>
  <si>
    <t>[WARNING] CCTASK-590 story: 'CCTASK-527' could not be found in list of 45 features</t>
  </si>
  <si>
    <t>[WARNING] CCTASK-584 story: 'CCTASK-527' could not be found in list of 45 features</t>
  </si>
  <si>
    <t>[WARNING] CCTASK-581 story: 'CCTASK-527' could not be found in list of 45 features</t>
  </si>
  <si>
    <t>[WARNING] CCTASK-563 story: 'CCTASK-576' could not be found in list of 45 features</t>
  </si>
  <si>
    <t>[WARNING] CCTASK-563 story: 'CCTASK-576' could not be found in list of 7 enablers</t>
  </si>
  <si>
    <t xml:space="preserve">[WARNING] CCTASK-563 story: </t>
  </si>
  <si>
    <t>[WARNING] CCTASK-551 story: 'CCTASK-470' could not be found in list of 45 features</t>
  </si>
  <si>
    <t>[WARNING] CCTASK-551 story: 'CCTASK-470' could not be found in list of 7 enablers</t>
  </si>
  <si>
    <t>[WARNING] CCTASK-423 story: 'CCTASK-527' could not be found in list of 45 features</t>
  </si>
  <si>
    <t>[WARNING] CCDOCLIST-190 story: 'CCPMO-76' could not be found in list of 45 features</t>
  </si>
  <si>
    <t>[WARNING] CCDOCLIST-184 story: 'CCTASK-527' could not be found in list of 45 features</t>
  </si>
  <si>
    <t>[WARNING] CCDOCLIST-149 story: 'CCCLOCK-38' could not be found in list of 45 features</t>
  </si>
  <si>
    <t>[WARNING] CCDOCLIST-149 story: 'CCCLOCK-38' could not be found in list of 7 enablers</t>
  </si>
  <si>
    <t>[WARNING] CCDOCLIST-149 story: 'CCTASK-494' could not be found in list of 45 features</t>
  </si>
  <si>
    <t>[WARNING] CCDOCLIST-149 story: 'CCTASK-494' could not be found in list of 7 enablers</t>
  </si>
  <si>
    <t>[WARNING] CCDOCLIST-149 story: 'CCTASK-431' could not be found in list of 45 features</t>
  </si>
  <si>
    <t>[WARNING] CCDOCLIST-149 story: 'CCTASK-431' could not be found in list of 7 enablers</t>
  </si>
  <si>
    <t xml:space="preserve">[WARNING] CCDOCLIST-149 story: </t>
  </si>
  <si>
    <t>[WARNING] CCDOCLIST-142 story: 'CCCLOCK-38' could not be found in list of 45 features</t>
  </si>
  <si>
    <t>[WARNING] CCDOCLIST-142 story: 'CCCLOCK-38' could not be found in list of 7 enablers</t>
  </si>
  <si>
    <t>[WARNING] CCDOCLIST-142 story: 'CCTASK-494' could not be found in list of 45 features</t>
  </si>
  <si>
    <t>[WARNING] CCDOCLIST-142 story: 'CCTASK-494' could not be found in list of 7 enablers</t>
  </si>
  <si>
    <t>[WARNING] CCDOCLIST-142 story: 'CCTASK-431' could not be found in list of 45 features</t>
  </si>
  <si>
    <t>[WARNING] CCDOCLIST-142 story: 'CCTASK-431' could not be found in list of 7 enablers</t>
  </si>
  <si>
    <t xml:space="preserve">[WARNING] CCDOCLIST-142 story: </t>
  </si>
  <si>
    <t>[WARNING] CCDOCLIST-121 story: 'CCDOCLIST-124' could not be found in list of 45 features</t>
  </si>
  <si>
    <t>[WARNING] CCDOCLIST-121 story: 'CCDOCLIST-124' could not be found in list of 7 enablers</t>
  </si>
  <si>
    <t xml:space="preserve">[WARNING] CCDOCLIST-121 story: </t>
  </si>
  <si>
    <t>[WARNING] CCDOCLIST-62 story: 'CCDOCLIST-124' could not be found in list of 45 features</t>
  </si>
  <si>
    <t>[WARNING] CCDOCLIST-62 story: 'CCDOCLIST-124' could not be found in list of 7 enablers</t>
  </si>
  <si>
    <t xml:space="preserve">[WARNING] CCDOCLIST-62 story: </t>
  </si>
  <si>
    <t>[WARNING] TSKACTION-217 feature: 'COMPASS-273' could not be found in list of 190 stories</t>
  </si>
  <si>
    <t>[WARNING] TSKACTION-217 feature: 'COMPASS-270' could not be found in list of 190 stories</t>
  </si>
  <si>
    <t>[WARNING] TSKACTION-217 feature: 'COMPASS-271' could not be found in list of 190 stories</t>
  </si>
  <si>
    <t>[WARNING] TSKACTION-217 feature: 'COMPASS-272' could not be found in list of 190 stories</t>
  </si>
  <si>
    <t>[WARNING] TSKACTION-217 feature: 'COMPASS-228' could not be found in list of 190 stories</t>
  </si>
  <si>
    <t>[WARNING] TSKACTION-217 feature: 'COMPASS-229' could not be found in list of 190 stories</t>
  </si>
  <si>
    <t>[WARNING] TSKACTION-217 feature: 'COMPCORP-104' could not be found in list of 190 stories</t>
  </si>
  <si>
    <t>[WARNING] CCTASK-533 feature: 'COMPCORP-112' could not be found in list of 190 stories</t>
  </si>
  <si>
    <t>[WARNING] CCDOCLIST-19 feature: 'COMPCORP-102' could not be found in list of 190 stories</t>
  </si>
  <si>
    <t>[WARNING] CCTASK-534 feature: 'CCTASK-542' could not be found in list of 190 stories</t>
  </si>
  <si>
    <t>[WARNING] CCDOCLIST-17 feature: 'CCDOCLIST-56' could not be found in list of 190 stories</t>
  </si>
  <si>
    <t>[WARNING] CCDOCLIST-27 feature: 'CCDOCLIST-151' could not be found in list of 190 stories</t>
  </si>
  <si>
    <t>[WARNING] CCDOCLIST-27 feature: 'COMPCORP-100' could not be found in list of 190 stories</t>
  </si>
  <si>
    <t>[WARNING] CCDOCLIST-27 feature: 'COMPCORP-102' could not be found in list of 190 stories</t>
  </si>
  <si>
    <t>[WARNING] CCDOCLIST-25 feature: 'COMPCORP-100' could not be found in list of 190 stories</t>
  </si>
  <si>
    <t>[WARNING] TSKACTION-245 feature: 'TSKACTION-261' could not be found in list of 190 stories</t>
  </si>
  <si>
    <t>[WARNING] TSKACTION-245 feature: 'TSKACTION-262' could not be found in list of 190 stories</t>
  </si>
  <si>
    <t>[WARNING] TSKACTION-245 feature: 'TSKACTION-263' could not be found in list of 190 stories</t>
  </si>
  <si>
    <t>[WARNING] TSKACTION-245 feature: 'TSKACTION-264' could not be found in list of 190 stories</t>
  </si>
  <si>
    <t>[WARNING] CCTASK-579 feature: 'CCDOCLIST-181' could not be found in list of 190 stories</t>
  </si>
  <si>
    <t>[WARNING] CCDOCLIST-181 feature: 'CCTASK-579' could not be found in list of 190 stories</t>
  </si>
  <si>
    <t>[WARNING] CCTASK-519 feature: 'EUI-1318' could not be found in list of 190 stories</t>
  </si>
  <si>
    <t>[WARNING] CCTASK-519 feature: 'MWP-441' could not be found in list of 190 stories</t>
  </si>
  <si>
    <t>[WARNING] CCTASK-476 feature: 'CCTASK-47' could not be found in list of 190 stories</t>
  </si>
  <si>
    <t>[WARNING] TSKACTION-56 feature: 'TSKACTION-257' could not be found in list of 190 stories</t>
  </si>
  <si>
    <t>[WARNING] TSKACTION-56 feature: 'TSKACTION-258' could not be found in list of 190 stories</t>
  </si>
  <si>
    <t>[WARNING] CCTASK-532 feature: 'MWP-441' could not be found in list of 190 stories</t>
  </si>
  <si>
    <t>[WARNING] CCDOCLIST-116 feature: 'CCDOCLIST-139' could not be found in list of 190 stories</t>
  </si>
  <si>
    <t>[WARNING] CCDOCLIST-116 feature: 'CCDOCLIST-140' could not be found in list of 190 stories</t>
  </si>
  <si>
    <t>[WARNING] CCDOCLIST-116 feature: 'COMPCORP-102' could not be found in list of 190 stories</t>
  </si>
  <si>
    <t>[WARNING] CCTASK-518 feature: 'CCTASK-537' could not be found in list of 190 stories</t>
  </si>
  <si>
    <t>[INFO] TSKACTION-271 story: Parent feature:TSKACTION-217</t>
  </si>
  <si>
    <t>[INFO] TSKACTION-260 story: Parent feature:TSKACTION-245</t>
  </si>
  <si>
    <t>[INFO] TSKACTION-259 story: Parent feature:TSKACTION-245</t>
  </si>
  <si>
    <t>[INFO] TSKACTION-237 story: Parent feature:TSKACTION-217</t>
  </si>
  <si>
    <t>[INFO] TSKACTION-218 story: Parent feature:TSKACTION-217</t>
  </si>
  <si>
    <t>[INFO] TSKACTION-216 story: Parent feature:TSKACTION-217</t>
  </si>
  <si>
    <t>[INFO] CCTASK-591 story: Parent enabler:CCTASK-527</t>
  </si>
  <si>
    <t>[INFO] CCTASK-590 story: Parent enabler:CCTASK-527</t>
  </si>
  <si>
    <t>[INFO] CCTASK-584 story: Parent enabler:CCTASK-527</t>
  </si>
  <si>
    <t>[INFO] CCTASK-581 story: Parent enabler:CCTASK-527</t>
  </si>
  <si>
    <t>[INFO] CCTASK-562 story: Parent feature:CCTASK-519</t>
  </si>
  <si>
    <t>[INFO] CCTASK-561 story: Parent feature:CCTASK-579</t>
  </si>
  <si>
    <t>[INFO] CCTASK-553 story: Parent feature:CCTASK-272</t>
  </si>
  <si>
    <t>[INFO] CCTASK-552 story: Parent feature:CCTASK-272</t>
  </si>
  <si>
    <t>[INFO] CCTASK-551 story: Parent feature:CCTASK-272</t>
  </si>
  <si>
    <t>[INFO] CCTASK-550 story: Parent feature:CCTASK-272</t>
  </si>
  <si>
    <t>[INFO] CCTASK-547 story: Parent feature:CCTASK-272</t>
  </si>
  <si>
    <t>[INFO] CCTASK-540 story: Parent feature:CCTASK-272</t>
  </si>
  <si>
    <t>[INFO] CCTASK-538 story: Parent feature:CCTASK-518</t>
  </si>
  <si>
    <t>[INFO] CCTASK-536 story: Parent feature:CCTASK-579</t>
  </si>
  <si>
    <t>[INFO] CCTASK-522 story: Parent feature:CCTASK-579</t>
  </si>
  <si>
    <t>[INFO] CCTASK-423 story: Parent enabler:CCTASK-527</t>
  </si>
  <si>
    <t>[INFO] CCTASK-291 story: Parent feature:CCTASK-476</t>
  </si>
  <si>
    <t>[INFO] CCDOCLIST-190 story: Parent enabler:CCPMO-76</t>
  </si>
  <si>
    <t>[INFO] CCDOCLIST-186 story: Parent feature:CCDOCLIST-181</t>
  </si>
  <si>
    <t>[INFO] CCDOCLIST-184 story: Parent enabler:CCTASK-527</t>
  </si>
  <si>
    <t>[INFO] CCDOCLIST-183 story: Parent feature:CCTASK-533</t>
  </si>
  <si>
    <t>[INFO] CCDOCLIST-173 story: Parent feature:CCDOCLIST-174</t>
  </si>
  <si>
    <t>[INFO] CCDOCLIST-172 story: Parent feature:CCDOCLIST-174</t>
  </si>
  <si>
    <t>[INFO] CCDOCLIST-171 story: Parent feature:CCTASK-272</t>
  </si>
  <si>
    <t>[INFO] CCDOCLIST-169 story: Parent feature:CCDOCLIST-19</t>
  </si>
  <si>
    <t>[INFO] CCDOCLIST-167 story: Parent feature:CCDOCLIST-165</t>
  </si>
  <si>
    <t>[INFO] CCDOCLIST-166 story: Parent feature:CCDOCLIST-165</t>
  </si>
  <si>
    <t>[INFO] CCDOCLIST-163 story: Parent feature:CCDOCLIST-19</t>
  </si>
  <si>
    <t>[INFO] CCDOCLIST-161 story: Parent feature:CCDOCLIST-156</t>
  </si>
  <si>
    <t>[INFO] CCDOCLIST-159 story: Parent feature:CCDOCLIST-157</t>
  </si>
  <si>
    <t>[INFO] CCDOCLIST-122 story: Parent feature:CCDOCLIST-25</t>
  </si>
  <si>
    <t>[INFO] CCDOCLIST-117 story: Parent feature:CCDOCLIST-19</t>
  </si>
  <si>
    <t>[INFO] TSKACTION-217 feature: 'TSKACTION-271' found in list of 190 stories</t>
  </si>
  <si>
    <t>[INFO] TSKACTION-217 feature: 'TSKACTION-216' found in list of 190 stories</t>
  </si>
  <si>
    <t>[INFO] TSKACTION-217 feature: 'TSKACTION-237' found in list of 190 stories</t>
  </si>
  <si>
    <t>[INFO] TSKACTION-217 feature: 'TSKACTION-218' found in list of 190 stories</t>
  </si>
  <si>
    <t>[INFO] CCDOCLIST-165 feature: 'CCDOCLIST-166' found in list of 190 stories</t>
  </si>
  <si>
    <t>[INFO] CCDOCLIST-165 feature: 'CCDOCLIST-167' found in list of 190 stories</t>
  </si>
  <si>
    <t>[INFO] CCTASK-533 feature: 'CCDOCLIST-183' found in list of 190 stories</t>
  </si>
  <si>
    <t>[INFO] CCTASK-533 feature: 'CCTASK-567' found in list of 190 stories</t>
  </si>
  <si>
    <t>[INFO] CCDOCLIST-156 feature: 'CCDOCLIST-161' found in list of 190 stories</t>
  </si>
  <si>
    <t>[INFO] CCDOCLIST-19 feature: 'CCDOCLIST-117' found in list of 190 stories</t>
  </si>
  <si>
    <t>[INFO] CCDOCLIST-19 feature: 'CCDOCLIST-163' found in list of 190 stories</t>
  </si>
  <si>
    <t>[INFO] CCDOCLIST-19 feature: 'CCDOCLIST-169' found in list of 190 stories</t>
  </si>
  <si>
    <t>[INFO] CCDOCLIST-157 feature: 'CCDOCLIST-159' found in list of 190 stories</t>
  </si>
  <si>
    <t>[INFO] CCDOCLIST-27 feature: 'CCDOCLIST-63' found in list of 190 stories</t>
  </si>
  <si>
    <t>[INFO] CCDOCLIST-25 feature: 'CCDOCLIST-122' found in list of 190 stories</t>
  </si>
  <si>
    <t>[INFO] TSKACTION-245 feature: 'TSKACTION-260' found in list of 190 stories</t>
  </si>
  <si>
    <t>[INFO] TSKACTION-245 feature: 'TSKACTION-259' found in list of 190 stories</t>
  </si>
  <si>
    <t>[INFO] CCTASK-579 feature: 'CCTASK-561' found in list of 190 stories</t>
  </si>
  <si>
    <t>[INFO] CCTASK-579 feature: 'CCTASK-536' found in list of 190 stories</t>
  </si>
  <si>
    <t>[INFO] CCDOCLIST-181 feature: 'CCDOCLIST-186' found in list of 190 stories</t>
  </si>
  <si>
    <t>[INFO] CCTASK-272 feature: 'CCDOCLIST-171' found in list of 190 stories</t>
  </si>
  <si>
    <t>[INFO] CCTASK-272 feature: 'CCTASK-550' found in list of 190 stories</t>
  </si>
  <si>
    <t>[INFO] CCTASK-272 feature: 'CCTASK-552' found in list of 190 stories</t>
  </si>
  <si>
    <t>[INFO] CCTASK-272 feature: 'CCTASK-540' found in list of 190 stories</t>
  </si>
  <si>
    <t>[INFO] CCTASK-272 feature: 'CCTASK-551' found in list of 190 stories</t>
  </si>
  <si>
    <t>[INFO] CCTASK-272 feature: 'CCTASK-553' found in list of 190 stories</t>
  </si>
  <si>
    <t>[INFO] CCTASK-519 feature: 'CCTASK-564' found in list of 190 stories</t>
  </si>
  <si>
    <t>[INFO] CCTASK-519 feature: 'CCTASK-562' found in list of 190 stories</t>
  </si>
  <si>
    <t>[INFO] CCDOCLIST-174 feature: 'CCDOCLIST-173' found in list of 190 stories</t>
  </si>
  <si>
    <t>[INFO] CCDOCLIST-174 feature: 'CCDOCLIST-172' found in list of 190 stories</t>
  </si>
  <si>
    <t>[INFO] CCTASK-476 feature: 'CCTASK-455' found in list of 190 stories</t>
  </si>
  <si>
    <t>[INFO] CCTASK-476 feature: 'CCTASK-291' found in list of 190 stories</t>
  </si>
  <si>
    <t>[INFO] CCTASK-532 feature: 'PROCESS-114' found in list of 190 stories</t>
  </si>
  <si>
    <t>[INFO] CCTASK-532 feature: 'PROCESS-109' found in list of 190 stories</t>
  </si>
  <si>
    <t>[INFO] CCTASK-532 feature: 'PROCESS-113' found in list of 190 stories</t>
  </si>
  <si>
    <t>[INFO] CCTASK-518 feature: 'CCTASK-538' found in list of 190 stories</t>
  </si>
  <si>
    <t>[INFO] CCTASK-527 Enabler: 'CCDOCLIST-184' found in list of 190 stories</t>
  </si>
  <si>
    <t>[INFO] CCTASK-527 Enabler: 'CCTASK-591' found in list of 190 stories</t>
  </si>
  <si>
    <t>[INFO] CCTASK-527 Enabler: 'CCTASK-584' found in list of 190 stories</t>
  </si>
  <si>
    <t>[INFO] CCTASK-527 Enabler: 'CCTASK-423' found in list of 190 stories</t>
  </si>
  <si>
    <t>[INFO] Team B - Features metrics: SP planned: 264 SP canceled: 21 SP closed: 30 SP open: 57 SP in-progress: 49 SP in-review: 32</t>
  </si>
  <si>
    <t>[INFO] Team B - Features metrics: # stories planned: 36 # stories canceled: 2 # stories closed: 11 # stories open: 9 # stories in-progress: 7 # stories in-review: 4</t>
  </si>
  <si>
    <t>[WARNING] INTERCOM-55 feature: 'CCADMIN-50' could not be found in list of 190 stories</t>
  </si>
  <si>
    <t>[WARNING] WAVECC-42 feature: 'WAVECC-39' could not be found in list of 190 stories</t>
  </si>
  <si>
    <t>[WARNING] CCADMIN-42 feature: 'CCADMIN-41' could not be found in list of 190 stories</t>
  </si>
  <si>
    <t>[WARNING] INTERCOM-54 feature: 'CCADMIN-50' could not be found in list of 190 stories</t>
  </si>
  <si>
    <t>[WARNING] INTERCOM-71 feature: 'INTERCOM-51' could not be found in list of 190 stories</t>
  </si>
  <si>
    <t>[WARNING] WAVECC-34 feature: 'WAVECC-39' could not be found in list of 190 stories</t>
  </si>
  <si>
    <t>[WARNING] INTERCOM-75 feature: 'INTERCOM-51' could not be found in list of 190 stories</t>
  </si>
  <si>
    <t>[WARNING] CCADMIN-55 feature: 'CCADMIN-39' could not be found in list of 190 stories</t>
  </si>
  <si>
    <t>[WARNING] CCADMIN-44 feature: 'CCADMIN-40' could not be found in list of 190 stories</t>
  </si>
  <si>
    <t>[WARNING] INTERCOM-76 feature: 'INTERCOM-51' could not be found in list of 190 stories</t>
  </si>
  <si>
    <t>[WARNING] INTERCOM-59 feature: 'INTERCOM-51' could not be found in list of 190 stories</t>
  </si>
  <si>
    <t>[INFO] INTERCOM-89 story: Parent feature:INTERCOM-54</t>
  </si>
  <si>
    <t>[INFO] INTERCOM-83 story: Parent feature:INTERCOM-54</t>
  </si>
  <si>
    <t>[INFO] INTERCOM-79 story: Parent feature:INTERCOM-54</t>
  </si>
  <si>
    <t>[INFO] INTERCOM-78 story: Parent feature:INTERCOM-76</t>
  </si>
  <si>
    <t>[INFO] INTERCOM-77 story: Parent feature:INTERCOM-76</t>
  </si>
  <si>
    <t>[INFO] CCADMIN-48 story: Parent feature:CCADMIN-42</t>
  </si>
  <si>
    <t>[INFO] INTERCOM-55 feature: 'INTERCOM-67' found in list of 190 stories</t>
  </si>
  <si>
    <t>[INFO] WAVECC-42 feature: 'WAVECC-44' found in list of 190 stories</t>
  </si>
  <si>
    <t>[INFO] WAVECC-42 feature: 'WAVECC-43' found in list of 190 stories</t>
  </si>
  <si>
    <t>[INFO] CCADMIN-42 feature: 'CCADMIN-43' found in list of 190 stories</t>
  </si>
  <si>
    <t>[INFO] CCADMIN-42 feature: 'CCADMIN-51' found in list of 190 stories</t>
  </si>
  <si>
    <t>[INFO] CCADMIN-42 feature: 'INTERCOM-65' found in list of 190 stories</t>
  </si>
  <si>
    <t>[INFO] INTERCOM-54 feature: 'INTERCOM-79' found in list of 190 stories</t>
  </si>
  <si>
    <t>[INFO] INTERCOM-54 feature: 'INTERCOM-89' found in list of 190 stories</t>
  </si>
  <si>
    <t>[INFO] INTERCOM-54 feature: 'INTERCOM-56' found in list of 190 stories</t>
  </si>
  <si>
    <t>[INFO] INTERCOM-54 feature: 'INTERCOM-57' found in list of 190 stories</t>
  </si>
  <si>
    <t>[INFO] INTERCOM-54 feature: 'INTERCOM-58' found in list of 190 stories</t>
  </si>
  <si>
    <t>[INFO] INTERCOM-54 feature: 'INTERCOM-64' found in list of 190 stories</t>
  </si>
  <si>
    <t>[INFO] INTERCOM-71 feature: 'INTERCOM-70' found in list of 190 stories</t>
  </si>
  <si>
    <t>[INFO] WAVECC-34 feature: 'WAVECC-35' found in list of 190 stories</t>
  </si>
  <si>
    <t>[INFO] INTERCOM-75 feature: 'INTERCOM-74' found in list of 190 stories</t>
  </si>
  <si>
    <t>[INFO] CCADMIN-55 feature: 'CCADMIN-56' found in list of 190 stories</t>
  </si>
  <si>
    <t>[INFO] CCADMIN-44 feature: 'CCADMIN-45' found in list of 190 stories</t>
  </si>
  <si>
    <t>[INFO] CCADMIN-44 feature: 'CCADMIN-46' found in list of 190 stories</t>
  </si>
  <si>
    <t>[INFO] CCADMIN-44 feature: 'CCADMIN-47' found in list of 190 stories</t>
  </si>
  <si>
    <t>[INFO] CCADMIN-44 feature: 'CCADMIN-52' found in list of 190 stories</t>
  </si>
  <si>
    <t>[INFO] CCADMIN-44 feature: 'CCADMIN-53' found in list of 190 stories</t>
  </si>
  <si>
    <t>[INFO] INTERCOM-76 feature: 'INTERCOM-78' found in list of 190 stories</t>
  </si>
  <si>
    <t>[INFO] INTERCOM-76 feature: 'INTERCOM-77' found in list of 190 stories</t>
  </si>
  <si>
    <t>[INFO] INTERCOM-59 feature: 'INTERCOM-60' found in list of 190 stories</t>
  </si>
  <si>
    <t>[INFO] INTERCOM-72 feature: 'INTERCOM-73' found in list of 190 stories</t>
  </si>
  <si>
    <t>[INFO] INTERCOM-52 feature: 'INTERCOM-53' found in list of 190 stories</t>
  </si>
  <si>
    <t>[WARNING] CCARCHITEC-37 Enabler: 'COMPCORP-114' could not be found in list of 190 stories</t>
  </si>
  <si>
    <t>[WARNING] CCARCHITEC-37 Enabler: 'CCARCHITEC-64' could not be found in list of 190 stories</t>
  </si>
  <si>
    <t>[WARNING] CCARCHITEC-37 Enabler: 'COMPCORP-123' could not be found in list of 190 stories</t>
  </si>
  <si>
    <t>[WARNING] CCARCHITEC-37 Enabler: 'CCARCHITEC-42' could not be found in list of 190 stories</t>
  </si>
  <si>
    <t>[WARNING] CCARCHITEC-49 Enabler: 'COMPCORP-114' could not be found in list of 190 stories</t>
  </si>
  <si>
    <t>[WARNING] CCARCHITEC-49 Enabler: 'CCARCHITEC-64' could not be found in list of 190 stories</t>
  </si>
  <si>
    <t>[WARNING] CCARCHITEC-49 Enabler: 'MWP-565' could not be found in list of 190 stories</t>
  </si>
  <si>
    <t>[WARNING] CCARCHITEC-49 Enabler: 'MWP-566' could not be found in list of 190 stories</t>
  </si>
  <si>
    <t>[WARNING] CCARCHITEC-49 Enabler: 'COMPCORP-123' could not be found in list of 190 stories</t>
  </si>
  <si>
    <t>[WARNING] CCARCHITEC-49 Enabler: 'CCARCHITEC-42' could not be found in list of 190 stories</t>
  </si>
  <si>
    <t>[WARNING] CCPMO-129 Enabler: 'CCADMIN-50' could not be found in list of 190 stories</t>
  </si>
  <si>
    <t>[INFO] CCPMO-129 Enabler: 'INTERCOM-67' found in list of 190 stories</t>
  </si>
  <si>
    <t>[INFO] CCPMO-77 Enabler: 'CCPMO-62' found in list of 190 stories</t>
  </si>
  <si>
    <t>[INFO] CCPMO-63 Enabler: 'CCPMO-62' found in list of 190 stories</t>
  </si>
  <si>
    <t>[INFO] CCPMO-76 Enabler: 'CCPMO-87' found in list of 190 stories</t>
  </si>
  <si>
    <t>[INFO] CCPMO-76 Enabler: 'CCPMO-95' found in list of 190 stories</t>
  </si>
  <si>
    <t>[INFO] CCPMO-76 Enabler: 'CCPMO-119' found in list of 190 stories</t>
  </si>
  <si>
    <t>[INFO] CCPMO-76 Enabler: 'CCPMO-79' found in list of 190 stories</t>
  </si>
  <si>
    <t>[INFO] CCPMO-76 Enabler: 'CCPMO-103' found in list of 190 stories</t>
  </si>
  <si>
    <t>[INFO] CCPMO-76 Enabler: 'CCPMO-111' found in list of 190 stories</t>
  </si>
  <si>
    <t>[INFO] CCPMO-76 Enabler: 'CCPMO-46' found in list of 190 stories</t>
  </si>
  <si>
    <t>[INFO] CCPMO-76 Enabler: 'CCPMO-58' found in list of 190 stories</t>
  </si>
  <si>
    <t>[INFO] CCPMO-76 Enabler: 'CCPMO-59' found in list of 190 stories</t>
  </si>
  <si>
    <t>[WARNING] COMPCORP-114 feature: 'COMPCORP-112' could not be found in list of 190 stories</t>
  </si>
  <si>
    <t>[WARNING] COMPCORP-114 feature: 'CCARCHITEC-37' could not be found in list of 190 stories</t>
  </si>
  <si>
    <t>[WARNING] COMPCORP-114 feature: 'CCARCHITEC-49' could not be found in list of 190 stories</t>
  </si>
  <si>
    <t>6/12/2018 found at index: 38</t>
  </si>
  <si>
    <t>Returns: 38</t>
  </si>
  <si>
    <t>n/a</t>
  </si>
  <si>
    <t>No feature(s)</t>
  </si>
  <si>
    <t>Program Planning Item</t>
  </si>
  <si>
    <t>realized through</t>
  </si>
  <si>
    <t>Team Planning Item</t>
  </si>
  <si>
    <t># stories</t>
  </si>
  <si>
    <t>?</t>
  </si>
  <si>
    <t>DONE</t>
  </si>
  <si>
    <t>UNDER IMPLEMENTATION</t>
  </si>
  <si>
    <t>APPROVED (BACKLOG)</t>
  </si>
  <si>
    <t>IN INTEGRATION</t>
  </si>
  <si>
    <t>WAITING APPROVAL</t>
  </si>
  <si>
    <t>IDENTIFIED</t>
  </si>
  <si>
    <t>[INFO] Enablers metrics: SP planned: 82 SP canceled: 0 SP closed: 15 SP open: 21 SP in-progress: 18 SP in-review: 28</t>
  </si>
  <si>
    <t>[INFO] Enablers metrics: # stories planned: 16 # stories canceled: 0 # stories closed: 3 # stories open: 4 # stories in-progress: 2 # stories in-review: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</si>
</sst>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7.5"/>
      <color rgb="FF000000"/>
      <name val="Arial"/>
      <family val="2"/>
    </font>
    <font>
      <b/>
      <sz val="10"/>
      <color indexed="4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rgb="FF000000"/>
      <name val="Calibri"/>
      <family val="2"/>
    </font>
    <font>
      <u/>
      <sz val="12"/>
      <color theme="1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rgb="FF000000"/>
      <name val="Arial"/>
      <family val="2"/>
    </font>
    <font>
      <sz val="9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rgb="FF000000"/>
      <name val="Arial"/>
      <family val="2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name val="Arial"/>
      <family val="2"/>
    </font>
    <font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20508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/>
    <xf numFmtId="0" fontId="7" fillId="0" borderId="0"/>
    <xf numFmtId="0" fontId="10" fillId="0" borderId="1" applyNumberFormat="0" applyFill="0" applyAlignment="0" applyProtection="0"/>
    <xf numFmtId="0" fontId="6" fillId="0" borderId="0"/>
    <xf numFmtId="0" fontId="5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" fillId="0" borderId="0"/>
    <xf numFmtId="0" fontId="20" fillId="0" borderId="0" applyNumberFormat="0" applyFill="0" applyBorder="0" applyAlignment="0" applyProtection="0"/>
    <xf numFmtId="0" fontId="24" fillId="0" borderId="0"/>
    <xf numFmtId="0" fontId="2" fillId="0" borderId="0"/>
    <xf numFmtId="0" fontId="1" fillId="0" borderId="0"/>
  </cellStyleXfs>
  <cellXfs count="73">
    <xf numFmtId="0" fontId="0" fillId="0" borderId="0" xfId="0"/>
    <xf numFmtId="0" fontId="8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wrapText="1"/>
    </xf>
    <xf numFmtId="0" fontId="6" fillId="0" borderId="0" xfId="3"/>
    <xf numFmtId="0" fontId="10" fillId="0" borderId="1" xfId="2"/>
    <xf numFmtId="0" fontId="0" fillId="5" borderId="0" xfId="0" applyFill="1"/>
    <xf numFmtId="0" fontId="12" fillId="5" borderId="0" xfId="0" applyFont="1" applyFill="1" applyAlignment="1">
      <alignment horizontal="right"/>
    </xf>
    <xf numFmtId="0" fontId="13" fillId="6" borderId="6" xfId="0" applyFont="1" applyFill="1" applyBorder="1" applyAlignment="1">
      <alignment horizontal="left"/>
    </xf>
    <xf numFmtId="0" fontId="12" fillId="5" borderId="0" xfId="0" applyFont="1" applyFill="1" applyAlignment="1">
      <alignment horizontal="left"/>
    </xf>
    <xf numFmtId="0" fontId="14" fillId="0" borderId="0" xfId="0" applyNumberFormat="1" applyFont="1" applyFill="1" applyBorder="1" applyAlignment="1" applyProtection="1">
      <alignment horizontal="left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3" fillId="6" borderId="6" xfId="0" applyFont="1" applyFill="1" applyBorder="1" applyAlignment="1">
      <alignment horizontal="left" wrapText="1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right"/>
    </xf>
    <xf numFmtId="0" fontId="10" fillId="0" borderId="1" xfId="2" applyAlignment="1">
      <alignment textRotation="75"/>
    </xf>
    <xf numFmtId="0" fontId="4" fillId="0" borderId="0" xfId="3" applyFont="1" applyAlignment="1">
      <alignment horizontal="right"/>
    </xf>
    <xf numFmtId="14" fontId="6" fillId="0" borderId="0" xfId="3" applyNumberFormat="1" applyAlignment="1">
      <alignment horizontal="left"/>
    </xf>
    <xf numFmtId="0" fontId="19" fillId="0" borderId="0" xfId="8" applyFont="1"/>
    <xf numFmtId="0" fontId="21" fillId="0" borderId="5" xfId="8" applyFont="1" applyBorder="1" applyAlignment="1">
      <alignment horizontal="center" vertical="top" wrapText="1"/>
    </xf>
    <xf numFmtId="0" fontId="18" fillId="0" borderId="5" xfId="8" applyFont="1" applyBorder="1" applyAlignment="1">
      <alignment vertical="top" wrapText="1"/>
    </xf>
    <xf numFmtId="49" fontId="20" fillId="0" borderId="5" xfId="9" applyNumberFormat="1" applyBorder="1" applyAlignment="1">
      <alignment horizontal="left" vertical="top" wrapText="1"/>
    </xf>
    <xf numFmtId="49" fontId="18" fillId="0" borderId="5" xfId="8" applyNumberFormat="1" applyFont="1" applyBorder="1" applyAlignment="1">
      <alignment horizontal="left" vertical="top" wrapText="1"/>
    </xf>
    <xf numFmtId="0" fontId="6" fillId="0" borderId="0" xfId="3" applyAlignment="1">
      <alignment vertical="center"/>
    </xf>
    <xf numFmtId="0" fontId="0" fillId="0" borderId="0" xfId="0" quotePrefix="1"/>
    <xf numFmtId="0" fontId="23" fillId="0" borderId="0" xfId="0" applyFont="1"/>
    <xf numFmtId="0" fontId="24" fillId="0" borderId="0" xfId="10" applyAlignment="1">
      <alignment horizontal="center" vertical="top"/>
    </xf>
    <xf numFmtId="0" fontId="24" fillId="0" borderId="0" xfId="10"/>
    <xf numFmtId="0" fontId="14" fillId="0" borderId="0" xfId="10" applyFont="1" applyAlignment="1">
      <alignment horizontal="center" vertical="top"/>
    </xf>
    <xf numFmtId="0" fontId="24" fillId="0" borderId="0" xfId="10" applyAlignment="1">
      <alignment horizontal="right"/>
    </xf>
    <xf numFmtId="1" fontId="6" fillId="0" borderId="0" xfId="3" applyNumberFormat="1" applyAlignment="1">
      <alignment horizontal="right"/>
    </xf>
    <xf numFmtId="0" fontId="19" fillId="0" borderId="0" xfId="11" applyFont="1"/>
    <xf numFmtId="0" fontId="21" fillId="0" borderId="5" xfId="11" applyFont="1" applyBorder="1" applyAlignment="1">
      <alignment horizontal="center" vertical="top" wrapText="1"/>
    </xf>
    <xf numFmtId="49" fontId="18" fillId="0" borderId="5" xfId="11" applyNumberFormat="1" applyFont="1" applyBorder="1" applyAlignment="1">
      <alignment horizontal="left" vertical="top" wrapText="1"/>
    </xf>
    <xf numFmtId="0" fontId="18" fillId="0" borderId="5" xfId="11" applyFont="1" applyBorder="1" applyAlignment="1">
      <alignment vertical="top" wrapText="1"/>
    </xf>
    <xf numFmtId="0" fontId="19" fillId="0" borderId="0" xfId="12" applyFont="1"/>
    <xf numFmtId="0" fontId="18" fillId="0" borderId="5" xfId="12" applyFont="1" applyBorder="1" applyAlignment="1">
      <alignment vertical="top" wrapText="1"/>
    </xf>
    <xf numFmtId="49" fontId="18" fillId="0" borderId="5" xfId="12" applyNumberFormat="1" applyFont="1" applyBorder="1" applyAlignment="1">
      <alignment horizontal="left" vertical="top" wrapText="1"/>
    </xf>
    <xf numFmtId="0" fontId="21" fillId="0" borderId="5" xfId="12" applyFont="1" applyBorder="1" applyAlignment="1">
      <alignment horizontal="center" vertical="top" wrapText="1"/>
    </xf>
    <xf numFmtId="0" fontId="18" fillId="3" borderId="2" xfId="12" applyFont="1" applyFill="1" applyBorder="1" applyAlignment="1">
      <alignment vertical="top" wrapText="1"/>
    </xf>
    <xf numFmtId="0" fontId="18" fillId="3" borderId="3" xfId="12" applyFont="1" applyFill="1" applyBorder="1" applyAlignment="1">
      <alignment vertical="top" wrapText="1"/>
    </xf>
    <xf numFmtId="0" fontId="18" fillId="3" borderId="4" xfId="12" applyFont="1" applyFill="1" applyBorder="1" applyAlignment="1">
      <alignment vertical="top" wrapText="1"/>
    </xf>
    <xf numFmtId="0" fontId="20" fillId="0" borderId="2" xfId="9" applyBorder="1" applyAlignment="1">
      <alignment vertical="top" wrapText="1"/>
    </xf>
    <xf numFmtId="0" fontId="20" fillId="0" borderId="3" xfId="9" applyBorder="1" applyAlignment="1">
      <alignment vertical="top" wrapText="1"/>
    </xf>
    <xf numFmtId="0" fontId="20" fillId="0" borderId="4" xfId="9" applyBorder="1" applyAlignment="1">
      <alignment vertical="top" wrapText="1"/>
    </xf>
    <xf numFmtId="0" fontId="18" fillId="0" borderId="2" xfId="12" applyFont="1" applyBorder="1" applyAlignment="1">
      <alignment vertical="top" wrapText="1"/>
    </xf>
    <xf numFmtId="0" fontId="18" fillId="0" borderId="3" xfId="12" applyFont="1" applyBorder="1" applyAlignment="1">
      <alignment vertical="top" wrapText="1"/>
    </xf>
    <xf numFmtId="0" fontId="18" fillId="0" borderId="4" xfId="12" applyFont="1" applyBorder="1" applyAlignment="1">
      <alignment vertical="top" wrapText="1"/>
    </xf>
    <xf numFmtId="0" fontId="11" fillId="4" borderId="2" xfId="12" applyFont="1" applyFill="1" applyBorder="1" applyAlignment="1">
      <alignment vertical="top" wrapText="1"/>
    </xf>
    <xf numFmtId="0" fontId="11" fillId="4" borderId="3" xfId="12" applyFont="1" applyFill="1" applyBorder="1" applyAlignment="1">
      <alignment vertical="top" wrapText="1"/>
    </xf>
    <xf numFmtId="0" fontId="11" fillId="4" borderId="4" xfId="12" applyFont="1" applyFill="1" applyBorder="1" applyAlignment="1">
      <alignment vertical="top" wrapText="1"/>
    </xf>
    <xf numFmtId="0" fontId="18" fillId="3" borderId="2" xfId="11" applyFont="1" applyFill="1" applyBorder="1" applyAlignment="1">
      <alignment vertical="top" wrapText="1"/>
    </xf>
    <xf numFmtId="0" fontId="18" fillId="3" borderId="3" xfId="11" applyFont="1" applyFill="1" applyBorder="1" applyAlignment="1">
      <alignment vertical="top" wrapText="1"/>
    </xf>
    <xf numFmtId="0" fontId="18" fillId="3" borderId="4" xfId="11" applyFont="1" applyFill="1" applyBorder="1" applyAlignment="1">
      <alignment vertical="top" wrapText="1"/>
    </xf>
    <xf numFmtId="0" fontId="18" fillId="0" borderId="2" xfId="11" applyFont="1" applyBorder="1" applyAlignment="1">
      <alignment vertical="top" wrapText="1"/>
    </xf>
    <xf numFmtId="0" fontId="18" fillId="0" borderId="3" xfId="11" applyFont="1" applyBorder="1" applyAlignment="1">
      <alignment vertical="top" wrapText="1"/>
    </xf>
    <xf numFmtId="0" fontId="18" fillId="0" borderId="4" xfId="11" applyFont="1" applyBorder="1" applyAlignment="1">
      <alignment vertical="top" wrapText="1"/>
    </xf>
    <xf numFmtId="0" fontId="11" fillId="4" borderId="2" xfId="11" applyFont="1" applyFill="1" applyBorder="1" applyAlignment="1">
      <alignment vertical="top" wrapText="1"/>
    </xf>
    <xf numFmtId="0" fontId="11" fillId="4" borderId="3" xfId="11" applyFont="1" applyFill="1" applyBorder="1" applyAlignment="1">
      <alignment vertical="top" wrapText="1"/>
    </xf>
    <xf numFmtId="0" fontId="11" fillId="4" borderId="4" xfId="11" applyFont="1" applyFill="1" applyBorder="1" applyAlignment="1">
      <alignment vertical="top" wrapText="1"/>
    </xf>
    <xf numFmtId="0" fontId="18" fillId="3" borderId="2" xfId="8" applyFont="1" applyFill="1" applyBorder="1" applyAlignment="1">
      <alignment vertical="top" wrapText="1"/>
    </xf>
    <xf numFmtId="0" fontId="18" fillId="3" borderId="3" xfId="8" applyFont="1" applyFill="1" applyBorder="1" applyAlignment="1">
      <alignment vertical="top" wrapText="1"/>
    </xf>
    <xf numFmtId="0" fontId="18" fillId="3" borderId="4" xfId="8" applyFont="1" applyFill="1" applyBorder="1" applyAlignment="1">
      <alignment vertical="top" wrapText="1"/>
    </xf>
    <xf numFmtId="0" fontId="18" fillId="0" borderId="2" xfId="8" applyFont="1" applyBorder="1" applyAlignment="1">
      <alignment vertical="top" wrapText="1"/>
    </xf>
    <xf numFmtId="0" fontId="18" fillId="0" borderId="3" xfId="8" applyFont="1" applyBorder="1" applyAlignment="1">
      <alignment vertical="top" wrapText="1"/>
    </xf>
    <xf numFmtId="0" fontId="18" fillId="0" borderId="4" xfId="8" applyFont="1" applyBorder="1" applyAlignment="1">
      <alignment vertical="top" wrapText="1"/>
    </xf>
    <xf numFmtId="0" fontId="11" fillId="4" borderId="2" xfId="8" applyFont="1" applyFill="1" applyBorder="1" applyAlignment="1">
      <alignment vertical="top" wrapText="1"/>
    </xf>
    <xf numFmtId="0" fontId="11" fillId="4" borderId="3" xfId="8" applyFont="1" applyFill="1" applyBorder="1" applyAlignment="1">
      <alignment vertical="top" wrapText="1"/>
    </xf>
    <xf numFmtId="0" fontId="11" fillId="4" borderId="4" xfId="8" applyFont="1" applyFill="1" applyBorder="1" applyAlignment="1">
      <alignment vertical="top" wrapText="1"/>
    </xf>
    <xf numFmtId="0" fontId="22" fillId="0" borderId="0" xfId="0" applyFont="1" applyAlignment="1">
      <alignment horizontal="center" vertical="center" textRotation="90"/>
    </xf>
    <xf numFmtId="0" fontId="0" fillId="0" borderId="0" xfId="0" applyAlignment="1">
      <alignment horizontal="center"/>
    </xf>
    <xf numFmtId="9" fontId="0" fillId="0" borderId="0" xfId="0" applyNumberFormat="1"/>
    <xf numFmtId="0" fontId="9" fillId="2" borderId="0" xfId="0" applyFont="1" applyFill="1" applyAlignment="1">
      <alignment horizontal="center"/>
    </xf>
    <xf numFmtId="0" fontId="25" fillId="0" borderId="0" xfId="0" applyFont="1" applyFill="1" applyAlignment="1">
      <alignment horizontal="center" wrapText="1"/>
    </xf>
  </cellXfs>
  <cellStyles count="13">
    <cellStyle name="Followed Hyperlink" xfId="5" builtinId="9" hidden="1"/>
    <cellStyle name="Followed Hyperlink" xfId="7" builtinId="9" hidden="1"/>
    <cellStyle name="Heading 2" xfId="2" builtinId="17"/>
    <cellStyle name="Hyperlink 2" xfId="6"/>
    <cellStyle name="Hyperlink 3" xfId="9"/>
    <cellStyle name="Normal" xfId="0" builtinId="0"/>
    <cellStyle name="Normal 2" xfId="1"/>
    <cellStyle name="Normal 3" xfId="3"/>
    <cellStyle name="Normal 4" xfId="4"/>
    <cellStyle name="Normal 5" xfId="8"/>
    <cellStyle name="Normal 6" xfId="10"/>
    <cellStyle name="Normal 7" xfId="11"/>
    <cellStyle name="Normal 8" xfId="12"/>
  </cellStyles>
  <dxfs count="0"/>
  <tableStyles count="0" defaultTableStyle="TableStyleMedium9" defaultPivotStyle="PivotStyleMedium7"/>
  <colors>
    <mruColors>
      <color rgb="FFCC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2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(Features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</c:numCache>
            </c:numRef>
          </c:val>
        </c:ser>
        <c:ser>
          <c:idx val="7"/>
          <c:order val="1"/>
          <c:tx>
            <c:strRef>
              <c:f>'CF (Features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(Features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(Features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(Features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(Features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(Features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</c:ser>
        <c:ser>
          <c:idx val="4"/>
          <c:order val="4"/>
          <c:tx>
            <c:strRef>
              <c:f>'CF (Features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(Features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</c:numCache>
            </c:numRef>
          </c:val>
        </c:ser>
        <c:ser>
          <c:idx val="2"/>
          <c:order val="5"/>
          <c:tx>
            <c:strRef>
              <c:f>'CF (Features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</c:numCache>
            </c:numRef>
          </c:val>
        </c:ser>
        <c:ser>
          <c:idx val="1"/>
          <c:order val="6"/>
          <c:tx>
            <c:strRef>
              <c:f>'CF (Features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0"/>
          <c:order val="7"/>
          <c:tx>
            <c:strRef>
              <c:f>'CF (Features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92416"/>
        <c:axId val="188510592"/>
      </c:areaChart>
      <c:dateAx>
        <c:axId val="188492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8510592"/>
        <c:crosses val="autoZero"/>
        <c:auto val="1"/>
        <c:lblOffset val="100"/>
        <c:baseTimeUnit val="days"/>
      </c:dateAx>
      <c:valAx>
        <c:axId val="18851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492416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2"/>
          <c:order val="5"/>
          <c:tx>
            <c:strRef>
              <c:f>'CF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1"/>
          <c:order val="6"/>
          <c:tx>
            <c:strRef>
              <c:f>'CF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01984"/>
        <c:axId val="189803520"/>
      </c:areaChart>
      <c:dateAx>
        <c:axId val="189801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9803520"/>
        <c:crosses val="autoZero"/>
        <c:auto val="1"/>
        <c:lblOffset val="100"/>
        <c:baseTimeUnit val="days"/>
      </c:dateAx>
      <c:valAx>
        <c:axId val="18980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80198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2"/>
          <c:order val="5"/>
          <c:tx>
            <c:strRef>
              <c:f>'CF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1"/>
          <c:order val="6"/>
          <c:tx>
            <c:strRef>
              <c:f>'CF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62272"/>
        <c:axId val="189863808"/>
      </c:areaChart>
      <c:dateAx>
        <c:axId val="189862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9863808"/>
        <c:crosses val="autoZero"/>
        <c:auto val="1"/>
        <c:lblOffset val="100"/>
        <c:baseTimeUnit val="days"/>
      </c:dateAx>
      <c:valAx>
        <c:axId val="18986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86227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(Enablers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10</c:v>
                </c:pt>
                <c:pt idx="34">
                  <c:v>10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(Enablers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(Enablers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(Enablers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(Enablers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(Enablers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(Enablers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18</c:v>
                </c:pt>
                <c:pt idx="34">
                  <c:v>18</c:v>
                </c:pt>
                <c:pt idx="35">
                  <c:v>1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</c:numCache>
            </c:numRef>
          </c:val>
        </c:ser>
        <c:ser>
          <c:idx val="2"/>
          <c:order val="5"/>
          <c:tx>
            <c:strRef>
              <c:f>'CF (Enablers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</c:v>
                </c:pt>
                <c:pt idx="34">
                  <c:v>9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1"/>
          <c:order val="6"/>
          <c:tx>
            <c:strRef>
              <c:f>'CF (Enablers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(Enablers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14112"/>
        <c:axId val="189928192"/>
      </c:areaChart>
      <c:dateAx>
        <c:axId val="1899141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9928192"/>
        <c:crosses val="autoZero"/>
        <c:auto val="1"/>
        <c:lblOffset val="100"/>
        <c:baseTimeUnit val="days"/>
      </c:dateAx>
      <c:valAx>
        <c:axId val="18992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91411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'CF (Stories #)'!$H$1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(Stories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79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</c:numCache>
            </c:numRef>
          </c:val>
        </c:ser>
        <c:ser>
          <c:idx val="4"/>
          <c:order val="1"/>
          <c:tx>
            <c:strRef>
              <c:f>'CF (Stories #)'!$G$1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(Stories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</c:numCache>
            </c:numRef>
          </c:val>
        </c:ser>
        <c:ser>
          <c:idx val="2"/>
          <c:order val="2"/>
          <c:tx>
            <c:strRef>
              <c:f>'CF (Stories #)'!$F$1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</c:numCache>
            </c:numRef>
          </c:val>
        </c:ser>
        <c:ser>
          <c:idx val="1"/>
          <c:order val="3"/>
          <c:tx>
            <c:strRef>
              <c:f>'CF (Stories #)'!$E$1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7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</c:numCache>
            </c:numRef>
          </c:val>
        </c:ser>
        <c:ser>
          <c:idx val="0"/>
          <c:order val="4"/>
          <c:tx>
            <c:strRef>
              <c:f>'CF (Stories #)'!$D$1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0672"/>
        <c:axId val="189982208"/>
      </c:areaChart>
      <c:catAx>
        <c:axId val="189980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9982208"/>
        <c:crosses val="autoZero"/>
        <c:auto val="1"/>
        <c:lblAlgn val="ctr"/>
        <c:lblOffset val="100"/>
        <c:noMultiLvlLbl val="0"/>
      </c:catAx>
      <c:valAx>
        <c:axId val="18998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98067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'CF (Stories SP)'!$H$1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(Stories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185</c:v>
                </c:pt>
                <c:pt idx="36">
                  <c:v>311</c:v>
                </c:pt>
                <c:pt idx="37">
                  <c:v>311</c:v>
                </c:pt>
                <c:pt idx="38">
                  <c:v>311</c:v>
                </c:pt>
                <c:pt idx="39">
                  <c:v>311</c:v>
                </c:pt>
                <c:pt idx="40">
                  <c:v>311</c:v>
                </c:pt>
                <c:pt idx="41">
                  <c:v>311</c:v>
                </c:pt>
                <c:pt idx="42">
                  <c:v>311</c:v>
                </c:pt>
                <c:pt idx="43">
                  <c:v>311</c:v>
                </c:pt>
                <c:pt idx="44">
                  <c:v>311</c:v>
                </c:pt>
                <c:pt idx="45">
                  <c:v>311</c:v>
                </c:pt>
                <c:pt idx="46">
                  <c:v>311</c:v>
                </c:pt>
                <c:pt idx="47">
                  <c:v>311</c:v>
                </c:pt>
                <c:pt idx="48">
                  <c:v>311</c:v>
                </c:pt>
                <c:pt idx="49">
                  <c:v>311</c:v>
                </c:pt>
              </c:numCache>
            </c:numRef>
          </c:val>
        </c:ser>
        <c:ser>
          <c:idx val="4"/>
          <c:order val="1"/>
          <c:tx>
            <c:strRef>
              <c:f>'CF (Stories SP)'!$G$1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(Stories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99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</c:numCache>
            </c:numRef>
          </c:val>
        </c:ser>
        <c:ser>
          <c:idx val="2"/>
          <c:order val="2"/>
          <c:tx>
            <c:strRef>
              <c:f>'CF (Stories SP)'!$F$1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23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</c:numCache>
            </c:numRef>
          </c:val>
        </c:ser>
        <c:ser>
          <c:idx val="1"/>
          <c:order val="3"/>
          <c:tx>
            <c:strRef>
              <c:f>'CF (Stories SP)'!$E$1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65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  <c:pt idx="41">
                  <c:v>130</c:v>
                </c:pt>
                <c:pt idx="42">
                  <c:v>130</c:v>
                </c:pt>
                <c:pt idx="43">
                  <c:v>130</c:v>
                </c:pt>
                <c:pt idx="44">
                  <c:v>130</c:v>
                </c:pt>
                <c:pt idx="45">
                  <c:v>130</c:v>
                </c:pt>
                <c:pt idx="46">
                  <c:v>130</c:v>
                </c:pt>
                <c:pt idx="47">
                  <c:v>130</c:v>
                </c:pt>
                <c:pt idx="48">
                  <c:v>130</c:v>
                </c:pt>
                <c:pt idx="49">
                  <c:v>130</c:v>
                </c:pt>
              </c:numCache>
            </c:numRef>
          </c:val>
        </c:ser>
        <c:ser>
          <c:idx val="0"/>
          <c:order val="4"/>
          <c:tx>
            <c:strRef>
              <c:f>'CF (Stories SP)'!$D$1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195</c:v>
                </c:pt>
                <c:pt idx="37">
                  <c:v>195</c:v>
                </c:pt>
                <c:pt idx="38">
                  <c:v>195</c:v>
                </c:pt>
                <c:pt idx="39">
                  <c:v>195</c:v>
                </c:pt>
                <c:pt idx="40">
                  <c:v>195</c:v>
                </c:pt>
                <c:pt idx="41">
                  <c:v>195</c:v>
                </c:pt>
                <c:pt idx="42">
                  <c:v>195</c:v>
                </c:pt>
                <c:pt idx="43">
                  <c:v>195</c:v>
                </c:pt>
                <c:pt idx="44">
                  <c:v>195</c:v>
                </c:pt>
                <c:pt idx="45">
                  <c:v>195</c:v>
                </c:pt>
                <c:pt idx="46">
                  <c:v>195</c:v>
                </c:pt>
                <c:pt idx="47">
                  <c:v>195</c:v>
                </c:pt>
                <c:pt idx="48">
                  <c:v>195</c:v>
                </c:pt>
                <c:pt idx="49">
                  <c:v>195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95744"/>
        <c:axId val="190097280"/>
      </c:areaChart>
      <c:catAx>
        <c:axId val="190095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0097280"/>
        <c:crosses val="autoZero"/>
        <c:auto val="1"/>
        <c:lblAlgn val="ctr"/>
        <c:lblOffset val="100"/>
        <c:noMultiLvlLbl val="0"/>
      </c:catAx>
      <c:valAx>
        <c:axId val="19009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09574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'Features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'Features Progress'!$D$4:$D$48</c:f>
              <c:strCache>
                <c:ptCount val="45"/>
                <c:pt idx="0">
                  <c:v>[COMPCORP-114] Internationalization of the ap … he data provided by the system / ART</c:v>
                </c:pt>
                <c:pt idx="1">
                  <c:v>[PROCESS-44] Filter processes based on user …  on user portfolio assignments / Busy Bees</c:v>
                </c:pt>
                <c:pt idx="2">
                  <c:v>[PROCESS-92] Improve search performance (elastic search) / Busy Bees</c:v>
                </c:pt>
                <c:pt idx="3">
                  <c:v>[PROCESS-75] Support specific attributes based on taxonomy / Busy Bees</c:v>
                </c:pt>
                <c:pt idx="4">
                  <c:v>[PROCESS-98] Filter process by "my" active tasks / Busy Bees</c:v>
                </c:pt>
                <c:pt idx="5">
                  <c:v>[PFM-125] Foundation stabilization / Busy Bees</c:v>
                </c:pt>
                <c:pt idx="6">
                  <c:v>[PROCESS-95] Foundation stabilization / Busy Bees</c:v>
                </c:pt>
                <c:pt idx="7">
                  <c:v>[PROCESS-33] Harmonization of User Experience / Busy Bees</c:v>
                </c:pt>
                <c:pt idx="8">
                  <c:v>[PROCESS-125] Secure Process Centre by filte … esses according to logged user / Busy Bees</c:v>
                </c:pt>
                <c:pt idx="9">
                  <c:v>[PFM-131] UX harmonisation / Busy Bees</c:v>
                </c:pt>
                <c:pt idx="10">
                  <c:v>[PFM-126] User Impersonation / Busy Bees</c:v>
                </c:pt>
                <c:pt idx="11">
                  <c:v>[INTERCOM-55] Answer Consultation / Pink Panthers</c:v>
                </c:pt>
                <c:pt idx="12">
                  <c:v>[WAVECC-42] Claim/unclaim Wave tasks from Compass Corporate / Pink Panthers</c:v>
                </c:pt>
                <c:pt idx="13">
                  <c:v>[CCADMIN-42] Configuration library adoption support / Pink Panthers</c:v>
                </c:pt>
                <c:pt idx="14">
                  <c:v>[INTERCOM-54] Create Consultations / Pink Panthers</c:v>
                </c:pt>
                <c:pt idx="15">
                  <c:v>[INTERCOM-71] Externalize configuration / Pink Panthers</c:v>
                </c:pt>
                <c:pt idx="16">
                  <c:v>[WAVECC-34] Open Wave tasks / Pink Panthers</c:v>
                </c:pt>
                <c:pt idx="17">
                  <c:v>[INTERCOM-75] Read only mode for Consultations / Pink Panthers</c:v>
                </c:pt>
                <c:pt idx="18">
                  <c:v>[CCADMIN-55] Secure Admin Tool / Pink Panthers</c:v>
                </c:pt>
                <c:pt idx="19">
                  <c:v>[CCADMIN-44] Service catalog / Pink Panthers</c:v>
                </c:pt>
                <c:pt idx="20">
                  <c:v>[INTERCOM-76] Services interoperability / Pink Panthers</c:v>
                </c:pt>
                <c:pt idx="21">
                  <c:v>[INTERCOM-59] Show full user name / Pink Panthers</c:v>
                </c:pt>
                <c:pt idx="22">
                  <c:v>[INTERCOM-72] Support for parallel tasks / Pink Panthers</c:v>
                </c:pt>
                <c:pt idx="23">
                  <c:v>[INTERCOM-52] Update the maven archetype for microservices / Pink Panthers</c:v>
                </c:pt>
                <c:pt idx="24">
                  <c:v>[TSKACTION-217] Action: Session Management / RTD</c:v>
                </c:pt>
                <c:pt idx="25">
                  <c:v>[CCDOCLIST-165] Provide pre/post operation cal … peration callbacks to business / RTD</c:v>
                </c:pt>
                <c:pt idx="26">
                  <c:v>[CCTASK-533] Adoption of OpenID security model / RTD</c:v>
                </c:pt>
                <c:pt idx="27">
                  <c:v>[CCDOCLIST-156] Configuration of presentation - compact view / RTD</c:v>
                </c:pt>
                <c:pt idx="28">
                  <c:v>[CCDOCLIST-19] Document list read-only mode / RTD</c:v>
                </c:pt>
                <c:pt idx="29">
                  <c:v>[CCDOCLIST-157] Filter the Document List at ru … ment List at runtime (backend) / RTD</c:v>
                </c:pt>
                <c:pt idx="30">
                  <c:v>[CCTASK-534] Readiness for translation service / RTD</c:v>
                </c:pt>
                <c:pt idx="31">
                  <c:v>[CCDOCLIST-17] Configuration management / RTD</c:v>
                </c:pt>
                <c:pt idx="32">
                  <c:v>[CCDOCLIST-27] Configuration override / RTD</c:v>
                </c:pt>
                <c:pt idx="33">
                  <c:v>[CCDOCLIST-25] Manage document encryption / RTD</c:v>
                </c:pt>
                <c:pt idx="34">
                  <c:v>[TSKACTION-245] Action: Parallel Actors / Support task / RTD</c:v>
                </c:pt>
                <c:pt idx="35">
                  <c:v>[CCTASK-579] Integration with Config Admin / RTD</c:v>
                </c:pt>
                <c:pt idx="36">
                  <c:v>[CCDOCLIST-181] Integration with Config Admin / RTD</c:v>
                </c:pt>
                <c:pt idx="37">
                  <c:v>[CCTASK-272] Signature on Outcome / RTD</c:v>
                </c:pt>
                <c:pt idx="38">
                  <c:v>[CCTASK-519] Taxonomy multiple references a … and events (for ProcessCentre) / RTD</c:v>
                </c:pt>
                <c:pt idx="39">
                  <c:v>[CCDOCLIST-174] The client should be able to r … en a business variable changes / RTD</c:v>
                </c:pt>
                <c:pt idx="40">
                  <c:v>[CCTASK-476] UX - Post Checks (error handli … ror handling on task complete) / RTD</c:v>
                </c:pt>
                <c:pt idx="41">
                  <c:v>[TSKACTION-56] Action: Document review/download link / RTD</c:v>
                </c:pt>
                <c:pt idx="42">
                  <c:v>[CCTASK-532] Impersonation / RTD</c:v>
                </c:pt>
                <c:pt idx="43">
                  <c:v>[CCDOCLIST-116] Mandatory documents / RTD</c:v>
                </c:pt>
                <c:pt idx="44">
                  <c:v>[CCTASK-518] Taxonomy link to CCM2 / RTD</c:v>
                </c:pt>
              </c:strCache>
            </c:strRef>
          </c:cat>
          <c:val>
            <c:numRef>
              <c:f>'Features Progress'!$E$4:$E$48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0</c:v>
                </c:pt>
                <c:pt idx="12">
                  <c:v>13</c:v>
                </c:pt>
                <c:pt idx="13">
                  <c:v>9</c:v>
                </c:pt>
                <c:pt idx="14">
                  <c:v>16</c:v>
                </c:pt>
                <c:pt idx="15">
                  <c:v>5</c:v>
                </c:pt>
                <c:pt idx="16">
                  <c:v>0</c:v>
                </c:pt>
                <c:pt idx="17">
                  <c:v>3</c:v>
                </c:pt>
                <c:pt idx="18">
                  <c:v>5</c:v>
                </c:pt>
                <c:pt idx="19">
                  <c:v>25</c:v>
                </c:pt>
                <c:pt idx="20">
                  <c:v>0</c:v>
                </c:pt>
                <c:pt idx="21">
                  <c:v>3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13</c:v>
                </c:pt>
                <c:pt idx="26">
                  <c:v>0</c:v>
                </c:pt>
                <c:pt idx="27">
                  <c:v>8</c:v>
                </c:pt>
                <c:pt idx="28">
                  <c:v>13</c:v>
                </c:pt>
                <c:pt idx="29">
                  <c:v>8</c:v>
                </c:pt>
                <c:pt idx="30">
                  <c:v>0</c:v>
                </c:pt>
                <c:pt idx="31">
                  <c:v>0</c:v>
                </c:pt>
                <c:pt idx="32">
                  <c:v>7</c:v>
                </c:pt>
                <c:pt idx="33">
                  <c:v>0</c:v>
                </c:pt>
                <c:pt idx="34">
                  <c:v>0</c:v>
                </c:pt>
                <c:pt idx="35">
                  <c:v>13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'Features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'Features Progress'!$D$4:$D$48</c:f>
              <c:strCache>
                <c:ptCount val="45"/>
                <c:pt idx="0">
                  <c:v>[COMPCORP-114] Internationalization of the ap … he data provided by the system / ART</c:v>
                </c:pt>
                <c:pt idx="1">
                  <c:v>[PROCESS-44] Filter processes based on user …  on user portfolio assignments / Busy Bees</c:v>
                </c:pt>
                <c:pt idx="2">
                  <c:v>[PROCESS-92] Improve search performance (elastic search) / Busy Bees</c:v>
                </c:pt>
                <c:pt idx="3">
                  <c:v>[PROCESS-75] Support specific attributes based on taxonomy / Busy Bees</c:v>
                </c:pt>
                <c:pt idx="4">
                  <c:v>[PROCESS-98] Filter process by "my" active tasks / Busy Bees</c:v>
                </c:pt>
                <c:pt idx="5">
                  <c:v>[PFM-125] Foundation stabilization / Busy Bees</c:v>
                </c:pt>
                <c:pt idx="6">
                  <c:v>[PROCESS-95] Foundation stabilization / Busy Bees</c:v>
                </c:pt>
                <c:pt idx="7">
                  <c:v>[PROCESS-33] Harmonization of User Experience / Busy Bees</c:v>
                </c:pt>
                <c:pt idx="8">
                  <c:v>[PROCESS-125] Secure Process Centre by filte … esses according to logged user / Busy Bees</c:v>
                </c:pt>
                <c:pt idx="9">
                  <c:v>[PFM-131] UX harmonisation / Busy Bees</c:v>
                </c:pt>
                <c:pt idx="10">
                  <c:v>[PFM-126] User Impersonation / Busy Bees</c:v>
                </c:pt>
                <c:pt idx="11">
                  <c:v>[INTERCOM-55] Answer Consultation / Pink Panthers</c:v>
                </c:pt>
                <c:pt idx="12">
                  <c:v>[WAVECC-42] Claim/unclaim Wave tasks from Compass Corporate / Pink Panthers</c:v>
                </c:pt>
                <c:pt idx="13">
                  <c:v>[CCADMIN-42] Configuration library adoption support / Pink Panthers</c:v>
                </c:pt>
                <c:pt idx="14">
                  <c:v>[INTERCOM-54] Create Consultations / Pink Panthers</c:v>
                </c:pt>
                <c:pt idx="15">
                  <c:v>[INTERCOM-71] Externalize configuration / Pink Panthers</c:v>
                </c:pt>
                <c:pt idx="16">
                  <c:v>[WAVECC-34] Open Wave tasks / Pink Panthers</c:v>
                </c:pt>
                <c:pt idx="17">
                  <c:v>[INTERCOM-75] Read only mode for Consultations / Pink Panthers</c:v>
                </c:pt>
                <c:pt idx="18">
                  <c:v>[CCADMIN-55] Secure Admin Tool / Pink Panthers</c:v>
                </c:pt>
                <c:pt idx="19">
                  <c:v>[CCADMIN-44] Service catalog / Pink Panthers</c:v>
                </c:pt>
                <c:pt idx="20">
                  <c:v>[INTERCOM-76] Services interoperability / Pink Panthers</c:v>
                </c:pt>
                <c:pt idx="21">
                  <c:v>[INTERCOM-59] Show full user name / Pink Panthers</c:v>
                </c:pt>
                <c:pt idx="22">
                  <c:v>[INTERCOM-72] Support for parallel tasks / Pink Panthers</c:v>
                </c:pt>
                <c:pt idx="23">
                  <c:v>[INTERCOM-52] Update the maven archetype for microservices / Pink Panthers</c:v>
                </c:pt>
                <c:pt idx="24">
                  <c:v>[TSKACTION-217] Action: Session Management / RTD</c:v>
                </c:pt>
                <c:pt idx="25">
                  <c:v>[CCDOCLIST-165] Provide pre/post operation cal … peration callbacks to business / RTD</c:v>
                </c:pt>
                <c:pt idx="26">
                  <c:v>[CCTASK-533] Adoption of OpenID security model / RTD</c:v>
                </c:pt>
                <c:pt idx="27">
                  <c:v>[CCDOCLIST-156] Configuration of presentation - compact view / RTD</c:v>
                </c:pt>
                <c:pt idx="28">
                  <c:v>[CCDOCLIST-19] Document list read-only mode / RTD</c:v>
                </c:pt>
                <c:pt idx="29">
                  <c:v>[CCDOCLIST-157] Filter the Document List at ru … ment List at runtime (backend) / RTD</c:v>
                </c:pt>
                <c:pt idx="30">
                  <c:v>[CCTASK-534] Readiness for translation service / RTD</c:v>
                </c:pt>
                <c:pt idx="31">
                  <c:v>[CCDOCLIST-17] Configuration management / RTD</c:v>
                </c:pt>
                <c:pt idx="32">
                  <c:v>[CCDOCLIST-27] Configuration override / RTD</c:v>
                </c:pt>
                <c:pt idx="33">
                  <c:v>[CCDOCLIST-25] Manage document encryption / RTD</c:v>
                </c:pt>
                <c:pt idx="34">
                  <c:v>[TSKACTION-245] Action: Parallel Actors / Support task / RTD</c:v>
                </c:pt>
                <c:pt idx="35">
                  <c:v>[CCTASK-579] Integration with Config Admin / RTD</c:v>
                </c:pt>
                <c:pt idx="36">
                  <c:v>[CCDOCLIST-181] Integration with Config Admin / RTD</c:v>
                </c:pt>
                <c:pt idx="37">
                  <c:v>[CCTASK-272] Signature on Outcome / RTD</c:v>
                </c:pt>
                <c:pt idx="38">
                  <c:v>[CCTASK-519] Taxonomy multiple references a … and events (for ProcessCentre) / RTD</c:v>
                </c:pt>
                <c:pt idx="39">
                  <c:v>[CCDOCLIST-174] The client should be able to r … en a business variable changes / RTD</c:v>
                </c:pt>
                <c:pt idx="40">
                  <c:v>[CCTASK-476] UX - Post Checks (error handli … ror handling on task complete) / RTD</c:v>
                </c:pt>
                <c:pt idx="41">
                  <c:v>[TSKACTION-56] Action: Document review/download link / RTD</c:v>
                </c:pt>
                <c:pt idx="42">
                  <c:v>[CCTASK-532] Impersonation / RTD</c:v>
                </c:pt>
                <c:pt idx="43">
                  <c:v>[CCDOCLIST-116] Mandatory documents / RTD</c:v>
                </c:pt>
                <c:pt idx="44">
                  <c:v>[CCTASK-518] Taxonomy link to CCM2 / RTD</c:v>
                </c:pt>
              </c:strCache>
            </c:strRef>
          </c:cat>
          <c:val>
            <c:numRef>
              <c:f>'Features Progress'!$F$4:$F$48</c:f>
              <c:numCache>
                <c:formatCode>General</c:formatCode>
                <c:ptCount val="45"/>
                <c:pt idx="0">
                  <c:v>0</c:v>
                </c:pt>
                <c:pt idx="1">
                  <c:v>3</c:v>
                </c:pt>
                <c:pt idx="2">
                  <c:v>13</c:v>
                </c:pt>
                <c:pt idx="3">
                  <c:v>8</c:v>
                </c:pt>
                <c:pt idx="4">
                  <c:v>7</c:v>
                </c:pt>
                <c:pt idx="5">
                  <c:v>10</c:v>
                </c:pt>
                <c:pt idx="6">
                  <c:v>18</c:v>
                </c:pt>
                <c:pt idx="7">
                  <c:v>22</c:v>
                </c:pt>
                <c:pt idx="8">
                  <c:v>5</c:v>
                </c:pt>
                <c:pt idx="9">
                  <c:v>18</c:v>
                </c:pt>
                <c:pt idx="10">
                  <c:v>3</c:v>
                </c:pt>
                <c:pt idx="11">
                  <c:v>13</c:v>
                </c:pt>
                <c:pt idx="12">
                  <c:v>26</c:v>
                </c:pt>
                <c:pt idx="13">
                  <c:v>9</c:v>
                </c:pt>
                <c:pt idx="14">
                  <c:v>32</c:v>
                </c:pt>
                <c:pt idx="15">
                  <c:v>5</c:v>
                </c:pt>
                <c:pt idx="16">
                  <c:v>8</c:v>
                </c:pt>
                <c:pt idx="17">
                  <c:v>3</c:v>
                </c:pt>
                <c:pt idx="18">
                  <c:v>5</c:v>
                </c:pt>
                <c:pt idx="19">
                  <c:v>25</c:v>
                </c:pt>
                <c:pt idx="20">
                  <c:v>6</c:v>
                </c:pt>
                <c:pt idx="21">
                  <c:v>3</c:v>
                </c:pt>
                <c:pt idx="22">
                  <c:v>5</c:v>
                </c:pt>
                <c:pt idx="23">
                  <c:v>5</c:v>
                </c:pt>
                <c:pt idx="24">
                  <c:v>34</c:v>
                </c:pt>
                <c:pt idx="25">
                  <c:v>13</c:v>
                </c:pt>
                <c:pt idx="26">
                  <c:v>8</c:v>
                </c:pt>
                <c:pt idx="27">
                  <c:v>8</c:v>
                </c:pt>
                <c:pt idx="28">
                  <c:v>21</c:v>
                </c:pt>
                <c:pt idx="29">
                  <c:v>8</c:v>
                </c:pt>
                <c:pt idx="30">
                  <c:v>0</c:v>
                </c:pt>
                <c:pt idx="31">
                  <c:v>0</c:v>
                </c:pt>
                <c:pt idx="32">
                  <c:v>7</c:v>
                </c:pt>
                <c:pt idx="33">
                  <c:v>8</c:v>
                </c:pt>
                <c:pt idx="34">
                  <c:v>0</c:v>
                </c:pt>
                <c:pt idx="35">
                  <c:v>18</c:v>
                </c:pt>
                <c:pt idx="36">
                  <c:v>5</c:v>
                </c:pt>
                <c:pt idx="37">
                  <c:v>65</c:v>
                </c:pt>
                <c:pt idx="38">
                  <c:v>34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22</c:v>
                </c:pt>
                <c:pt idx="43">
                  <c:v>0</c:v>
                </c:pt>
                <c:pt idx="44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0114816"/>
        <c:axId val="184218368"/>
      </c:barChart>
      <c:catAx>
        <c:axId val="190114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18368"/>
        <c:crosses val="autoZero"/>
        <c:auto val="1"/>
        <c:lblAlgn val="ctr"/>
        <c:lblOffset val="100"/>
        <c:noMultiLvlLbl val="0"/>
      </c:catAx>
      <c:valAx>
        <c:axId val="18421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1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'Enablers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'Enablers Progress'!$D$4:$D$10</c:f>
              <c:strCache>
                <c:ptCount val="7"/>
                <c:pt idx="0">
                  <c:v>[CCPMO-129] Automated Program Metrics Update / Minions</c:v>
                </c:pt>
                <c:pt idx="1">
                  <c:v>[CCPMO-77] Cheat Sheet (Program) / Minions</c:v>
                </c:pt>
                <c:pt idx="2">
                  <c:v>[CCPMO-63] Cheat Sheets (Team) / Minions</c:v>
                </c:pt>
                <c:pt idx="3">
                  <c:v>[CCPMO-76] Program Monitoring Dashboard / Minions</c:v>
                </c:pt>
                <c:pt idx="4">
                  <c:v>[CCTASK-527] SSE Bridge / RTD</c:v>
                </c:pt>
                <c:pt idx="5">
                  <c:v>[CCARCHITEC-37] Internationalization / Scape Goats</c:v>
                </c:pt>
                <c:pt idx="6">
                  <c:v>[CCARCHITEC-49] Translation Service / Scape Goats</c:v>
                </c:pt>
              </c:strCache>
            </c:strRef>
          </c:cat>
          <c:val>
            <c:numRef>
              <c:f>'Enablers Progress'!$E$4:$E$10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'Enablers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'Enablers Progress'!$D$4:$D$10</c:f>
              <c:strCache>
                <c:ptCount val="7"/>
                <c:pt idx="0">
                  <c:v>[CCPMO-129] Automated Program Metrics Update / Minions</c:v>
                </c:pt>
                <c:pt idx="1">
                  <c:v>[CCPMO-77] Cheat Sheet (Program) / Minions</c:v>
                </c:pt>
                <c:pt idx="2">
                  <c:v>[CCPMO-63] Cheat Sheets (Team) / Minions</c:v>
                </c:pt>
                <c:pt idx="3">
                  <c:v>[CCPMO-76] Program Monitoring Dashboard / Minions</c:v>
                </c:pt>
                <c:pt idx="4">
                  <c:v>[CCTASK-527] SSE Bridge / RTD</c:v>
                </c:pt>
                <c:pt idx="5">
                  <c:v>[CCARCHITEC-37] Internationalization / Scape Goats</c:v>
                </c:pt>
                <c:pt idx="6">
                  <c:v>[CCARCHITEC-49] Translation Service / Scape Goats</c:v>
                </c:pt>
              </c:strCache>
            </c:strRef>
          </c:cat>
          <c:val>
            <c:numRef>
              <c:f>'Enablers Progress'!$F$4:$F$10</c:f>
              <c:numCache>
                <c:formatCode>General</c:formatCode>
                <c:ptCount val="7"/>
                <c:pt idx="0">
                  <c:v>13</c:v>
                </c:pt>
                <c:pt idx="1">
                  <c:v>8</c:v>
                </c:pt>
                <c:pt idx="2">
                  <c:v>8</c:v>
                </c:pt>
                <c:pt idx="3">
                  <c:v>30</c:v>
                </c:pt>
                <c:pt idx="4">
                  <c:v>23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8888192"/>
        <c:axId val="188889728"/>
      </c:barChart>
      <c:catAx>
        <c:axId val="188888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89728"/>
        <c:crosses val="autoZero"/>
        <c:auto val="1"/>
        <c:lblAlgn val="ctr"/>
        <c:lblOffset val="100"/>
        <c:noMultiLvlLbl val="0"/>
      </c:catAx>
      <c:valAx>
        <c:axId val="18888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8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'Features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'Features Progress'!$D$4:$D$48</c:f>
              <c:strCache>
                <c:ptCount val="45"/>
                <c:pt idx="0">
                  <c:v>[COMPCORP-114] Internationalization of the ap … he data provided by the system / ART</c:v>
                </c:pt>
                <c:pt idx="1">
                  <c:v>[PROCESS-44] Filter processes based on user …  on user portfolio assignments / Busy Bees</c:v>
                </c:pt>
                <c:pt idx="2">
                  <c:v>[PROCESS-92] Improve search performance (elastic search) / Busy Bees</c:v>
                </c:pt>
                <c:pt idx="3">
                  <c:v>[PROCESS-75] Support specific attributes based on taxonomy / Busy Bees</c:v>
                </c:pt>
                <c:pt idx="4">
                  <c:v>[PROCESS-98] Filter process by "my" active tasks / Busy Bees</c:v>
                </c:pt>
                <c:pt idx="5">
                  <c:v>[PFM-125] Foundation stabilization / Busy Bees</c:v>
                </c:pt>
                <c:pt idx="6">
                  <c:v>[PROCESS-95] Foundation stabilization / Busy Bees</c:v>
                </c:pt>
                <c:pt idx="7">
                  <c:v>[PROCESS-33] Harmonization of User Experience / Busy Bees</c:v>
                </c:pt>
                <c:pt idx="8">
                  <c:v>[PROCESS-125] Secure Process Centre by filte … esses according to logged user / Busy Bees</c:v>
                </c:pt>
                <c:pt idx="9">
                  <c:v>[PFM-131] UX harmonisation / Busy Bees</c:v>
                </c:pt>
                <c:pt idx="10">
                  <c:v>[PFM-126] User Impersonation / Busy Bees</c:v>
                </c:pt>
                <c:pt idx="11">
                  <c:v>[INTERCOM-55] Answer Consultation / Pink Panthers</c:v>
                </c:pt>
                <c:pt idx="12">
                  <c:v>[WAVECC-42] Claim/unclaim Wave tasks from Compass Corporate / Pink Panthers</c:v>
                </c:pt>
                <c:pt idx="13">
                  <c:v>[CCADMIN-42] Configuration library adoption support / Pink Panthers</c:v>
                </c:pt>
                <c:pt idx="14">
                  <c:v>[INTERCOM-54] Create Consultations / Pink Panthers</c:v>
                </c:pt>
                <c:pt idx="15">
                  <c:v>[INTERCOM-71] Externalize configuration / Pink Panthers</c:v>
                </c:pt>
                <c:pt idx="16">
                  <c:v>[WAVECC-34] Open Wave tasks / Pink Panthers</c:v>
                </c:pt>
                <c:pt idx="17">
                  <c:v>[INTERCOM-75] Read only mode for Consultations / Pink Panthers</c:v>
                </c:pt>
                <c:pt idx="18">
                  <c:v>[CCADMIN-55] Secure Admin Tool / Pink Panthers</c:v>
                </c:pt>
                <c:pt idx="19">
                  <c:v>[CCADMIN-44] Service catalog / Pink Panthers</c:v>
                </c:pt>
                <c:pt idx="20">
                  <c:v>[INTERCOM-76] Services interoperability / Pink Panthers</c:v>
                </c:pt>
                <c:pt idx="21">
                  <c:v>[INTERCOM-59] Show full user name / Pink Panthers</c:v>
                </c:pt>
                <c:pt idx="22">
                  <c:v>[INTERCOM-72] Support for parallel tasks / Pink Panthers</c:v>
                </c:pt>
                <c:pt idx="23">
                  <c:v>[INTERCOM-52] Update the maven archetype for microservices / Pink Panthers</c:v>
                </c:pt>
                <c:pt idx="24">
                  <c:v>[TSKACTION-217] Action: Session Management / RTD</c:v>
                </c:pt>
                <c:pt idx="25">
                  <c:v>[CCDOCLIST-165] Provide pre/post operation cal … peration callbacks to business / RTD</c:v>
                </c:pt>
                <c:pt idx="26">
                  <c:v>[CCTASK-533] Adoption of OpenID security model / RTD</c:v>
                </c:pt>
                <c:pt idx="27">
                  <c:v>[CCDOCLIST-156] Configuration of presentation - compact view / RTD</c:v>
                </c:pt>
                <c:pt idx="28">
                  <c:v>[CCDOCLIST-19] Document list read-only mode / RTD</c:v>
                </c:pt>
                <c:pt idx="29">
                  <c:v>[CCDOCLIST-157] Filter the Document List at ru … ment List at runtime (backend) / RTD</c:v>
                </c:pt>
                <c:pt idx="30">
                  <c:v>[CCTASK-534] Readiness for translation service / RTD</c:v>
                </c:pt>
                <c:pt idx="31">
                  <c:v>[CCDOCLIST-17] Configuration management / RTD</c:v>
                </c:pt>
                <c:pt idx="32">
                  <c:v>[CCDOCLIST-27] Configuration override / RTD</c:v>
                </c:pt>
                <c:pt idx="33">
                  <c:v>[CCDOCLIST-25] Manage document encryption / RTD</c:v>
                </c:pt>
                <c:pt idx="34">
                  <c:v>[TSKACTION-245] Action: Parallel Actors / Support task / RTD</c:v>
                </c:pt>
                <c:pt idx="35">
                  <c:v>[CCTASK-579] Integration with Config Admin / RTD</c:v>
                </c:pt>
                <c:pt idx="36">
                  <c:v>[CCDOCLIST-181] Integration with Config Admin / RTD</c:v>
                </c:pt>
                <c:pt idx="37">
                  <c:v>[CCTASK-272] Signature on Outcome / RTD</c:v>
                </c:pt>
                <c:pt idx="38">
                  <c:v>[CCTASK-519] Taxonomy multiple references a … and events (for ProcessCentre) / RTD</c:v>
                </c:pt>
                <c:pt idx="39">
                  <c:v>[CCDOCLIST-174] The client should be able to r … en a business variable changes / RTD</c:v>
                </c:pt>
                <c:pt idx="40">
                  <c:v>[CCTASK-476] UX - Post Checks (error handli … ror handling on task complete) / RTD</c:v>
                </c:pt>
                <c:pt idx="41">
                  <c:v>[TSKACTION-56] Action: Document review/download link / RTD</c:v>
                </c:pt>
                <c:pt idx="42">
                  <c:v>[CCTASK-532] Impersonation / RTD</c:v>
                </c:pt>
                <c:pt idx="43">
                  <c:v>[CCDOCLIST-116] Mandatory documents / RTD</c:v>
                </c:pt>
                <c:pt idx="44">
                  <c:v>[CCTASK-518] Taxonomy link to CCM2 / RTD</c:v>
                </c:pt>
              </c:strCache>
            </c:strRef>
          </c:cat>
          <c:val>
            <c:numRef>
              <c:f>'Features Progress'!$E$4:$E$48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0</c:v>
                </c:pt>
                <c:pt idx="12">
                  <c:v>13</c:v>
                </c:pt>
                <c:pt idx="13">
                  <c:v>9</c:v>
                </c:pt>
                <c:pt idx="14">
                  <c:v>16</c:v>
                </c:pt>
                <c:pt idx="15">
                  <c:v>5</c:v>
                </c:pt>
                <c:pt idx="16">
                  <c:v>0</c:v>
                </c:pt>
                <c:pt idx="17">
                  <c:v>3</c:v>
                </c:pt>
                <c:pt idx="18">
                  <c:v>5</c:v>
                </c:pt>
                <c:pt idx="19">
                  <c:v>25</c:v>
                </c:pt>
                <c:pt idx="20">
                  <c:v>0</c:v>
                </c:pt>
                <c:pt idx="21">
                  <c:v>3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13</c:v>
                </c:pt>
                <c:pt idx="26">
                  <c:v>0</c:v>
                </c:pt>
                <c:pt idx="27">
                  <c:v>8</c:v>
                </c:pt>
                <c:pt idx="28">
                  <c:v>13</c:v>
                </c:pt>
                <c:pt idx="29">
                  <c:v>8</c:v>
                </c:pt>
                <c:pt idx="30">
                  <c:v>0</c:v>
                </c:pt>
                <c:pt idx="31">
                  <c:v>0</c:v>
                </c:pt>
                <c:pt idx="32">
                  <c:v>7</c:v>
                </c:pt>
                <c:pt idx="33">
                  <c:v>0</c:v>
                </c:pt>
                <c:pt idx="34">
                  <c:v>0</c:v>
                </c:pt>
                <c:pt idx="35">
                  <c:v>13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'Features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'Features Progress'!$D$4:$D$48</c:f>
              <c:strCache>
                <c:ptCount val="45"/>
                <c:pt idx="0">
                  <c:v>[COMPCORP-114] Internationalization of the ap … he data provided by the system / ART</c:v>
                </c:pt>
                <c:pt idx="1">
                  <c:v>[PROCESS-44] Filter processes based on user …  on user portfolio assignments / Busy Bees</c:v>
                </c:pt>
                <c:pt idx="2">
                  <c:v>[PROCESS-92] Improve search performance (elastic search) / Busy Bees</c:v>
                </c:pt>
                <c:pt idx="3">
                  <c:v>[PROCESS-75] Support specific attributes based on taxonomy / Busy Bees</c:v>
                </c:pt>
                <c:pt idx="4">
                  <c:v>[PROCESS-98] Filter process by "my" active tasks / Busy Bees</c:v>
                </c:pt>
                <c:pt idx="5">
                  <c:v>[PFM-125] Foundation stabilization / Busy Bees</c:v>
                </c:pt>
                <c:pt idx="6">
                  <c:v>[PROCESS-95] Foundation stabilization / Busy Bees</c:v>
                </c:pt>
                <c:pt idx="7">
                  <c:v>[PROCESS-33] Harmonization of User Experience / Busy Bees</c:v>
                </c:pt>
                <c:pt idx="8">
                  <c:v>[PROCESS-125] Secure Process Centre by filte … esses according to logged user / Busy Bees</c:v>
                </c:pt>
                <c:pt idx="9">
                  <c:v>[PFM-131] UX harmonisation / Busy Bees</c:v>
                </c:pt>
                <c:pt idx="10">
                  <c:v>[PFM-126] User Impersonation / Busy Bees</c:v>
                </c:pt>
                <c:pt idx="11">
                  <c:v>[INTERCOM-55] Answer Consultation / Pink Panthers</c:v>
                </c:pt>
                <c:pt idx="12">
                  <c:v>[WAVECC-42] Claim/unclaim Wave tasks from Compass Corporate / Pink Panthers</c:v>
                </c:pt>
                <c:pt idx="13">
                  <c:v>[CCADMIN-42] Configuration library adoption support / Pink Panthers</c:v>
                </c:pt>
                <c:pt idx="14">
                  <c:v>[INTERCOM-54] Create Consultations / Pink Panthers</c:v>
                </c:pt>
                <c:pt idx="15">
                  <c:v>[INTERCOM-71] Externalize configuration / Pink Panthers</c:v>
                </c:pt>
                <c:pt idx="16">
                  <c:v>[WAVECC-34] Open Wave tasks / Pink Panthers</c:v>
                </c:pt>
                <c:pt idx="17">
                  <c:v>[INTERCOM-75] Read only mode for Consultations / Pink Panthers</c:v>
                </c:pt>
                <c:pt idx="18">
                  <c:v>[CCADMIN-55] Secure Admin Tool / Pink Panthers</c:v>
                </c:pt>
                <c:pt idx="19">
                  <c:v>[CCADMIN-44] Service catalog / Pink Panthers</c:v>
                </c:pt>
                <c:pt idx="20">
                  <c:v>[INTERCOM-76] Services interoperability / Pink Panthers</c:v>
                </c:pt>
                <c:pt idx="21">
                  <c:v>[INTERCOM-59] Show full user name / Pink Panthers</c:v>
                </c:pt>
                <c:pt idx="22">
                  <c:v>[INTERCOM-72] Support for parallel tasks / Pink Panthers</c:v>
                </c:pt>
                <c:pt idx="23">
                  <c:v>[INTERCOM-52] Update the maven archetype for microservices / Pink Panthers</c:v>
                </c:pt>
                <c:pt idx="24">
                  <c:v>[TSKACTION-217] Action: Session Management / RTD</c:v>
                </c:pt>
                <c:pt idx="25">
                  <c:v>[CCDOCLIST-165] Provide pre/post operation cal … peration callbacks to business / RTD</c:v>
                </c:pt>
                <c:pt idx="26">
                  <c:v>[CCTASK-533] Adoption of OpenID security model / RTD</c:v>
                </c:pt>
                <c:pt idx="27">
                  <c:v>[CCDOCLIST-156] Configuration of presentation - compact view / RTD</c:v>
                </c:pt>
                <c:pt idx="28">
                  <c:v>[CCDOCLIST-19] Document list read-only mode / RTD</c:v>
                </c:pt>
                <c:pt idx="29">
                  <c:v>[CCDOCLIST-157] Filter the Document List at ru … ment List at runtime (backend) / RTD</c:v>
                </c:pt>
                <c:pt idx="30">
                  <c:v>[CCTASK-534] Readiness for translation service / RTD</c:v>
                </c:pt>
                <c:pt idx="31">
                  <c:v>[CCDOCLIST-17] Configuration management / RTD</c:v>
                </c:pt>
                <c:pt idx="32">
                  <c:v>[CCDOCLIST-27] Configuration override / RTD</c:v>
                </c:pt>
                <c:pt idx="33">
                  <c:v>[CCDOCLIST-25] Manage document encryption / RTD</c:v>
                </c:pt>
                <c:pt idx="34">
                  <c:v>[TSKACTION-245] Action: Parallel Actors / Support task / RTD</c:v>
                </c:pt>
                <c:pt idx="35">
                  <c:v>[CCTASK-579] Integration with Config Admin / RTD</c:v>
                </c:pt>
                <c:pt idx="36">
                  <c:v>[CCDOCLIST-181] Integration with Config Admin / RTD</c:v>
                </c:pt>
                <c:pt idx="37">
                  <c:v>[CCTASK-272] Signature on Outcome / RTD</c:v>
                </c:pt>
                <c:pt idx="38">
                  <c:v>[CCTASK-519] Taxonomy multiple references a … and events (for ProcessCentre) / RTD</c:v>
                </c:pt>
                <c:pt idx="39">
                  <c:v>[CCDOCLIST-174] The client should be able to r … en a business variable changes / RTD</c:v>
                </c:pt>
                <c:pt idx="40">
                  <c:v>[CCTASK-476] UX - Post Checks (error handli … ror handling on task complete) / RTD</c:v>
                </c:pt>
                <c:pt idx="41">
                  <c:v>[TSKACTION-56] Action: Document review/download link / RTD</c:v>
                </c:pt>
                <c:pt idx="42">
                  <c:v>[CCTASK-532] Impersonation / RTD</c:v>
                </c:pt>
                <c:pt idx="43">
                  <c:v>[CCDOCLIST-116] Mandatory documents / RTD</c:v>
                </c:pt>
                <c:pt idx="44">
                  <c:v>[CCTASK-518] Taxonomy link to CCM2 / RTD</c:v>
                </c:pt>
              </c:strCache>
            </c:strRef>
          </c:cat>
          <c:val>
            <c:numRef>
              <c:f>'Features Progress'!$F$4:$F$48</c:f>
              <c:numCache>
                <c:formatCode>General</c:formatCode>
                <c:ptCount val="45"/>
                <c:pt idx="0">
                  <c:v>0</c:v>
                </c:pt>
                <c:pt idx="1">
                  <c:v>3</c:v>
                </c:pt>
                <c:pt idx="2">
                  <c:v>13</c:v>
                </c:pt>
                <c:pt idx="3">
                  <c:v>8</c:v>
                </c:pt>
                <c:pt idx="4">
                  <c:v>7</c:v>
                </c:pt>
                <c:pt idx="5">
                  <c:v>10</c:v>
                </c:pt>
                <c:pt idx="6">
                  <c:v>18</c:v>
                </c:pt>
                <c:pt idx="7">
                  <c:v>22</c:v>
                </c:pt>
                <c:pt idx="8">
                  <c:v>5</c:v>
                </c:pt>
                <c:pt idx="9">
                  <c:v>18</c:v>
                </c:pt>
                <c:pt idx="10">
                  <c:v>3</c:v>
                </c:pt>
                <c:pt idx="11">
                  <c:v>13</c:v>
                </c:pt>
                <c:pt idx="12">
                  <c:v>26</c:v>
                </c:pt>
                <c:pt idx="13">
                  <c:v>9</c:v>
                </c:pt>
                <c:pt idx="14">
                  <c:v>32</c:v>
                </c:pt>
                <c:pt idx="15">
                  <c:v>5</c:v>
                </c:pt>
                <c:pt idx="16">
                  <c:v>8</c:v>
                </c:pt>
                <c:pt idx="17">
                  <c:v>3</c:v>
                </c:pt>
                <c:pt idx="18">
                  <c:v>5</c:v>
                </c:pt>
                <c:pt idx="19">
                  <c:v>25</c:v>
                </c:pt>
                <c:pt idx="20">
                  <c:v>6</c:v>
                </c:pt>
                <c:pt idx="21">
                  <c:v>3</c:v>
                </c:pt>
                <c:pt idx="22">
                  <c:v>5</c:v>
                </c:pt>
                <c:pt idx="23">
                  <c:v>5</c:v>
                </c:pt>
                <c:pt idx="24">
                  <c:v>34</c:v>
                </c:pt>
                <c:pt idx="25">
                  <c:v>13</c:v>
                </c:pt>
                <c:pt idx="26">
                  <c:v>8</c:v>
                </c:pt>
                <c:pt idx="27">
                  <c:v>8</c:v>
                </c:pt>
                <c:pt idx="28">
                  <c:v>21</c:v>
                </c:pt>
                <c:pt idx="29">
                  <c:v>8</c:v>
                </c:pt>
                <c:pt idx="30">
                  <c:v>0</c:v>
                </c:pt>
                <c:pt idx="31">
                  <c:v>0</c:v>
                </c:pt>
                <c:pt idx="32">
                  <c:v>7</c:v>
                </c:pt>
                <c:pt idx="33">
                  <c:v>8</c:v>
                </c:pt>
                <c:pt idx="34">
                  <c:v>0</c:v>
                </c:pt>
                <c:pt idx="35">
                  <c:v>18</c:v>
                </c:pt>
                <c:pt idx="36">
                  <c:v>5</c:v>
                </c:pt>
                <c:pt idx="37">
                  <c:v>65</c:v>
                </c:pt>
                <c:pt idx="38">
                  <c:v>34</c:v>
                </c:pt>
                <c:pt idx="39">
                  <c:v>8</c:v>
                </c:pt>
                <c:pt idx="40">
                  <c:v>0</c:v>
                </c:pt>
                <c:pt idx="41">
                  <c:v>0</c:v>
                </c:pt>
                <c:pt idx="42">
                  <c:v>22</c:v>
                </c:pt>
                <c:pt idx="43">
                  <c:v>0</c:v>
                </c:pt>
                <c:pt idx="44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8621568"/>
        <c:axId val="188623104"/>
      </c:barChart>
      <c:catAx>
        <c:axId val="188621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23104"/>
        <c:crosses val="autoZero"/>
        <c:auto val="1"/>
        <c:lblAlgn val="ctr"/>
        <c:lblOffset val="100"/>
        <c:noMultiLvlLbl val="0"/>
      </c:catAx>
      <c:valAx>
        <c:axId val="18862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2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'Enablers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'Enablers Progress'!$D$4:$D$10</c:f>
              <c:strCache>
                <c:ptCount val="7"/>
                <c:pt idx="0">
                  <c:v>[CCPMO-129] Automated Program Metrics Update / Minions</c:v>
                </c:pt>
                <c:pt idx="1">
                  <c:v>[CCPMO-77] Cheat Sheet (Program) / Minions</c:v>
                </c:pt>
                <c:pt idx="2">
                  <c:v>[CCPMO-63] Cheat Sheets (Team) / Minions</c:v>
                </c:pt>
                <c:pt idx="3">
                  <c:v>[CCPMO-76] Program Monitoring Dashboard / Minions</c:v>
                </c:pt>
                <c:pt idx="4">
                  <c:v>[CCTASK-527] SSE Bridge / RTD</c:v>
                </c:pt>
                <c:pt idx="5">
                  <c:v>[CCARCHITEC-37] Internationalization / Scape Goats</c:v>
                </c:pt>
                <c:pt idx="6">
                  <c:v>[CCARCHITEC-49] Translation Service / Scape Goats</c:v>
                </c:pt>
              </c:strCache>
            </c:strRef>
          </c:cat>
          <c:val>
            <c:numRef>
              <c:f>'Enablers Progress'!$E$4:$E$10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'Enablers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'Enablers Progress'!$D$4:$D$10</c:f>
              <c:strCache>
                <c:ptCount val="7"/>
                <c:pt idx="0">
                  <c:v>[CCPMO-129] Automated Program Metrics Update / Minions</c:v>
                </c:pt>
                <c:pt idx="1">
                  <c:v>[CCPMO-77] Cheat Sheet (Program) / Minions</c:v>
                </c:pt>
                <c:pt idx="2">
                  <c:v>[CCPMO-63] Cheat Sheets (Team) / Minions</c:v>
                </c:pt>
                <c:pt idx="3">
                  <c:v>[CCPMO-76] Program Monitoring Dashboard / Minions</c:v>
                </c:pt>
                <c:pt idx="4">
                  <c:v>[CCTASK-527] SSE Bridge / RTD</c:v>
                </c:pt>
                <c:pt idx="5">
                  <c:v>[CCARCHITEC-37] Internationalization / Scape Goats</c:v>
                </c:pt>
                <c:pt idx="6">
                  <c:v>[CCARCHITEC-49] Translation Service / Scape Goats</c:v>
                </c:pt>
              </c:strCache>
            </c:strRef>
          </c:cat>
          <c:val>
            <c:numRef>
              <c:f>'Enablers Progress'!$F$4:$F$10</c:f>
              <c:numCache>
                <c:formatCode>General</c:formatCode>
                <c:ptCount val="7"/>
                <c:pt idx="0">
                  <c:v>13</c:v>
                </c:pt>
                <c:pt idx="1">
                  <c:v>8</c:v>
                </c:pt>
                <c:pt idx="2">
                  <c:v>8</c:v>
                </c:pt>
                <c:pt idx="3">
                  <c:v>30</c:v>
                </c:pt>
                <c:pt idx="4">
                  <c:v>23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8669312"/>
        <c:axId val="188769408"/>
      </c:barChart>
      <c:catAx>
        <c:axId val="188669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69408"/>
        <c:crosses val="autoZero"/>
        <c:auto val="1"/>
        <c:lblAlgn val="ctr"/>
        <c:lblOffset val="100"/>
        <c:noMultiLvlLbl val="0"/>
      </c:catAx>
      <c:valAx>
        <c:axId val="18876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(Features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</c:numCache>
            </c:numRef>
          </c:val>
        </c:ser>
        <c:ser>
          <c:idx val="7"/>
          <c:order val="1"/>
          <c:tx>
            <c:strRef>
              <c:f>'CF (Features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(Features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(Features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(Features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(Features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(Features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</c:ser>
        <c:ser>
          <c:idx val="4"/>
          <c:order val="4"/>
          <c:tx>
            <c:strRef>
              <c:f>'CF (Features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(Features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</c:numCache>
            </c:numRef>
          </c:val>
        </c:ser>
        <c:ser>
          <c:idx val="2"/>
          <c:order val="5"/>
          <c:tx>
            <c:strRef>
              <c:f>'CF (Features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</c:numCache>
            </c:numRef>
          </c:val>
        </c:ser>
        <c:ser>
          <c:idx val="1"/>
          <c:order val="6"/>
          <c:tx>
            <c:strRef>
              <c:f>'CF (Features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0"/>
          <c:order val="7"/>
          <c:tx>
            <c:strRef>
              <c:f>'CF (Features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110080"/>
        <c:axId val="184124160"/>
      </c:areaChart>
      <c:dateAx>
        <c:axId val="184110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4124160"/>
        <c:crosses val="autoZero"/>
        <c:auto val="1"/>
        <c:lblOffset val="100"/>
        <c:baseTimeUnit val="days"/>
      </c:dateAx>
      <c:valAx>
        <c:axId val="18412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110080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2"/>
          <c:order val="5"/>
          <c:tx>
            <c:strRef>
              <c:f>'CF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1"/>
          <c:order val="6"/>
          <c:tx>
            <c:strRef>
              <c:f>'CF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662656"/>
        <c:axId val="184746368"/>
      </c:areaChart>
      <c:dateAx>
        <c:axId val="184662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4746368"/>
        <c:crosses val="autoZero"/>
        <c:auto val="1"/>
        <c:lblOffset val="100"/>
        <c:baseTimeUnit val="days"/>
      </c:dateAx>
      <c:valAx>
        <c:axId val="18474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662656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'CF (Stories #)'!$H$1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(Stories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79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</c:numCache>
            </c:numRef>
          </c:val>
        </c:ser>
        <c:ser>
          <c:idx val="4"/>
          <c:order val="1"/>
          <c:tx>
            <c:strRef>
              <c:f>'CF (Stories #)'!$G$1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(Stories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</c:numCache>
            </c:numRef>
          </c:val>
        </c:ser>
        <c:ser>
          <c:idx val="2"/>
          <c:order val="2"/>
          <c:tx>
            <c:strRef>
              <c:f>'CF (Stories #)'!$F$1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</c:numCache>
            </c:numRef>
          </c:val>
        </c:ser>
        <c:ser>
          <c:idx val="1"/>
          <c:order val="3"/>
          <c:tx>
            <c:strRef>
              <c:f>'CF (Stories #)'!$E$1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7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</c:numCache>
            </c:numRef>
          </c:val>
        </c:ser>
        <c:ser>
          <c:idx val="0"/>
          <c:order val="4"/>
          <c:tx>
            <c:strRef>
              <c:f>'CF (Stories #)'!$D$1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91040"/>
        <c:axId val="184792576"/>
      </c:areaChart>
      <c:catAx>
        <c:axId val="184791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4792576"/>
        <c:crosses val="autoZero"/>
        <c:auto val="1"/>
        <c:lblAlgn val="ctr"/>
        <c:lblOffset val="100"/>
        <c:noMultiLvlLbl val="0"/>
      </c:catAx>
      <c:valAx>
        <c:axId val="18479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791040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(Features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10</c:v>
                </c:pt>
                <c:pt idx="34">
                  <c:v>10</c:v>
                </c:pt>
                <c:pt idx="35">
                  <c:v>5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</c:numCache>
            </c:numRef>
          </c:val>
        </c:ser>
        <c:ser>
          <c:idx val="7"/>
          <c:order val="1"/>
          <c:tx>
            <c:strRef>
              <c:f>'CF (Features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(Features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(Features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(Features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(Features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(Features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4"/>
          <c:order val="4"/>
          <c:tx>
            <c:strRef>
              <c:f>'CF (Features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(Features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18</c:v>
                </c:pt>
                <c:pt idx="34">
                  <c:v>18</c:v>
                </c:pt>
                <c:pt idx="35">
                  <c:v>29</c:v>
                </c:pt>
                <c:pt idx="36">
                  <c:v>49</c:v>
                </c:pt>
                <c:pt idx="37">
                  <c:v>49</c:v>
                </c:pt>
                <c:pt idx="38">
                  <c:v>49</c:v>
                </c:pt>
                <c:pt idx="39">
                  <c:v>49</c:v>
                </c:pt>
                <c:pt idx="40">
                  <c:v>49</c:v>
                </c:pt>
                <c:pt idx="41">
                  <c:v>49</c:v>
                </c:pt>
                <c:pt idx="42">
                  <c:v>49</c:v>
                </c:pt>
                <c:pt idx="43">
                  <c:v>49</c:v>
                </c:pt>
                <c:pt idx="44">
                  <c:v>49</c:v>
                </c:pt>
                <c:pt idx="45">
                  <c:v>49</c:v>
                </c:pt>
                <c:pt idx="46">
                  <c:v>49</c:v>
                </c:pt>
                <c:pt idx="47">
                  <c:v>49</c:v>
                </c:pt>
                <c:pt idx="48">
                  <c:v>49</c:v>
                </c:pt>
                <c:pt idx="49">
                  <c:v>49</c:v>
                </c:pt>
              </c:numCache>
            </c:numRef>
          </c:val>
        </c:ser>
        <c:ser>
          <c:idx val="2"/>
          <c:order val="5"/>
          <c:tx>
            <c:strRef>
              <c:f>'CF (Features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</c:v>
                </c:pt>
                <c:pt idx="34">
                  <c:v>9</c:v>
                </c:pt>
                <c:pt idx="35">
                  <c:v>0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</c:numCache>
            </c:numRef>
          </c:val>
        </c:ser>
        <c:ser>
          <c:idx val="1"/>
          <c:order val="6"/>
          <c:tx>
            <c:strRef>
              <c:f>'CF (Features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val>
        </c:ser>
        <c:ser>
          <c:idx val="0"/>
          <c:order val="7"/>
          <c:tx>
            <c:strRef>
              <c:f>'CF (Features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2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62528"/>
        <c:axId val="189076608"/>
      </c:areaChart>
      <c:dateAx>
        <c:axId val="189062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9076608"/>
        <c:crosses val="autoZero"/>
        <c:auto val="1"/>
        <c:lblOffset val="100"/>
        <c:baseTimeUnit val="days"/>
      </c:dateAx>
      <c:valAx>
        <c:axId val="189076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062528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(Enablers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10</c:v>
                </c:pt>
                <c:pt idx="34">
                  <c:v>10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(Enablers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(Enablers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(Enablers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(Enablers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(Enablers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(Enablers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18</c:v>
                </c:pt>
                <c:pt idx="34">
                  <c:v>18</c:v>
                </c:pt>
                <c:pt idx="35">
                  <c:v>1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</c:numCache>
            </c:numRef>
          </c:val>
        </c:ser>
        <c:ser>
          <c:idx val="2"/>
          <c:order val="5"/>
          <c:tx>
            <c:strRef>
              <c:f>'CF (Enablers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</c:v>
                </c:pt>
                <c:pt idx="34">
                  <c:v>9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1"/>
          <c:order val="6"/>
          <c:tx>
            <c:strRef>
              <c:f>'CF (Enablers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(Enablers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68256"/>
        <c:axId val="189190528"/>
      </c:areaChart>
      <c:dateAx>
        <c:axId val="189168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9190528"/>
        <c:crosses val="autoZero"/>
        <c:auto val="1"/>
        <c:lblOffset val="100"/>
        <c:baseTimeUnit val="days"/>
      </c:dateAx>
      <c:valAx>
        <c:axId val="1891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168256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'CF (Stories SP)'!$H$1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(Stories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185</c:v>
                </c:pt>
                <c:pt idx="36">
                  <c:v>311</c:v>
                </c:pt>
                <c:pt idx="37">
                  <c:v>311</c:v>
                </c:pt>
                <c:pt idx="38">
                  <c:v>311</c:v>
                </c:pt>
                <c:pt idx="39">
                  <c:v>311</c:v>
                </c:pt>
                <c:pt idx="40">
                  <c:v>311</c:v>
                </c:pt>
                <c:pt idx="41">
                  <c:v>311</c:v>
                </c:pt>
                <c:pt idx="42">
                  <c:v>311</c:v>
                </c:pt>
                <c:pt idx="43">
                  <c:v>311</c:v>
                </c:pt>
                <c:pt idx="44">
                  <c:v>311</c:v>
                </c:pt>
                <c:pt idx="45">
                  <c:v>311</c:v>
                </c:pt>
                <c:pt idx="46">
                  <c:v>311</c:v>
                </c:pt>
                <c:pt idx="47">
                  <c:v>311</c:v>
                </c:pt>
                <c:pt idx="48">
                  <c:v>311</c:v>
                </c:pt>
                <c:pt idx="49">
                  <c:v>311</c:v>
                </c:pt>
              </c:numCache>
            </c:numRef>
          </c:val>
        </c:ser>
        <c:ser>
          <c:idx val="4"/>
          <c:order val="1"/>
          <c:tx>
            <c:strRef>
              <c:f>'CF (Stories SP)'!$G$1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(Stories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99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</c:numCache>
            </c:numRef>
          </c:val>
        </c:ser>
        <c:ser>
          <c:idx val="2"/>
          <c:order val="2"/>
          <c:tx>
            <c:strRef>
              <c:f>'CF (Stories SP)'!$F$1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23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</c:numCache>
            </c:numRef>
          </c:val>
        </c:ser>
        <c:ser>
          <c:idx val="1"/>
          <c:order val="3"/>
          <c:tx>
            <c:strRef>
              <c:f>'CF (Stories SP)'!$E$1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65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  <c:pt idx="41">
                  <c:v>130</c:v>
                </c:pt>
                <c:pt idx="42">
                  <c:v>130</c:v>
                </c:pt>
                <c:pt idx="43">
                  <c:v>130</c:v>
                </c:pt>
                <c:pt idx="44">
                  <c:v>130</c:v>
                </c:pt>
                <c:pt idx="45">
                  <c:v>130</c:v>
                </c:pt>
                <c:pt idx="46">
                  <c:v>130</c:v>
                </c:pt>
                <c:pt idx="47">
                  <c:v>130</c:v>
                </c:pt>
                <c:pt idx="48">
                  <c:v>130</c:v>
                </c:pt>
                <c:pt idx="49">
                  <c:v>130</c:v>
                </c:pt>
              </c:numCache>
            </c:numRef>
          </c:val>
        </c:ser>
        <c:ser>
          <c:idx val="0"/>
          <c:order val="4"/>
          <c:tx>
            <c:strRef>
              <c:f>'CF (Stories SP)'!$D$1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195</c:v>
                </c:pt>
                <c:pt idx="37">
                  <c:v>195</c:v>
                </c:pt>
                <c:pt idx="38">
                  <c:v>195</c:v>
                </c:pt>
                <c:pt idx="39">
                  <c:v>195</c:v>
                </c:pt>
                <c:pt idx="40">
                  <c:v>195</c:v>
                </c:pt>
                <c:pt idx="41">
                  <c:v>195</c:v>
                </c:pt>
                <c:pt idx="42">
                  <c:v>195</c:v>
                </c:pt>
                <c:pt idx="43">
                  <c:v>195</c:v>
                </c:pt>
                <c:pt idx="44">
                  <c:v>195</c:v>
                </c:pt>
                <c:pt idx="45">
                  <c:v>195</c:v>
                </c:pt>
                <c:pt idx="46">
                  <c:v>195</c:v>
                </c:pt>
                <c:pt idx="47">
                  <c:v>195</c:v>
                </c:pt>
                <c:pt idx="48">
                  <c:v>195</c:v>
                </c:pt>
                <c:pt idx="49">
                  <c:v>195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88448"/>
        <c:axId val="189289984"/>
      </c:areaChart>
      <c:catAx>
        <c:axId val="189288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9289984"/>
        <c:crosses val="autoZero"/>
        <c:auto val="1"/>
        <c:lblAlgn val="ctr"/>
        <c:lblOffset val="100"/>
        <c:noMultiLvlLbl val="0"/>
      </c:catAx>
      <c:valAx>
        <c:axId val="189289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288448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(Features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(Features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(Features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(Features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(Features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(Features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(Features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</c:numCache>
            </c:numRef>
          </c:val>
        </c:ser>
        <c:ser>
          <c:idx val="2"/>
          <c:order val="5"/>
          <c:tx>
            <c:strRef>
              <c:f>'A - CF (Features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1"/>
          <c:order val="6"/>
          <c:tx>
            <c:strRef>
              <c:f>'A - CF (Features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(Features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39008"/>
        <c:axId val="189740544"/>
      </c:areaChart>
      <c:dateAx>
        <c:axId val="189739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9740544"/>
        <c:crosses val="autoZero"/>
        <c:auto val="1"/>
        <c:lblOffset val="100"/>
        <c:baseTimeUnit val="days"/>
      </c:dateAx>
      <c:valAx>
        <c:axId val="18974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739008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'A - 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'A - 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09056"/>
        <c:axId val="190923136"/>
      </c:areaChart>
      <c:dateAx>
        <c:axId val="190909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0923136"/>
        <c:crosses val="autoZero"/>
        <c:auto val="1"/>
        <c:lblOffset val="100"/>
        <c:baseTimeUnit val="days"/>
      </c:dateAx>
      <c:valAx>
        <c:axId val="19092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909056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'A - CF (Stories #)'!$H$1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(Stories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</c:numCache>
            </c:numRef>
          </c:val>
        </c:ser>
        <c:ser>
          <c:idx val="4"/>
          <c:order val="1"/>
          <c:tx>
            <c:strRef>
              <c:f>'A - CF (Stories #)'!$G$1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(Stories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</c:numCache>
            </c:numRef>
          </c:val>
        </c:ser>
        <c:ser>
          <c:idx val="2"/>
          <c:order val="2"/>
          <c:tx>
            <c:strRef>
              <c:f>'A - CF (Stories #)'!$F$1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3"/>
          <c:tx>
            <c:strRef>
              <c:f>'A - CF (Stories #)'!$E$1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0"/>
          <c:order val="4"/>
          <c:tx>
            <c:strRef>
              <c:f>'A - CF (Stories #)'!$D$1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58592"/>
        <c:axId val="192615168"/>
      </c:areaChart>
      <c:catAx>
        <c:axId val="190958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2615168"/>
        <c:crosses val="autoZero"/>
        <c:auto val="1"/>
        <c:lblAlgn val="ctr"/>
        <c:lblOffset val="100"/>
        <c:noMultiLvlLbl val="0"/>
      </c:catAx>
      <c:valAx>
        <c:axId val="19261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95859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(Features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(Features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(Features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(Features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(Features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(Features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(Features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</c:numCache>
            </c:numRef>
          </c:val>
        </c:ser>
        <c:ser>
          <c:idx val="2"/>
          <c:order val="5"/>
          <c:tx>
            <c:strRef>
              <c:f>'A - CF (Features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</c:numCache>
            </c:numRef>
          </c:val>
        </c:ser>
        <c:ser>
          <c:idx val="1"/>
          <c:order val="6"/>
          <c:tx>
            <c:strRef>
              <c:f>'A - CF (Features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(Features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53184"/>
        <c:axId val="192654720"/>
      </c:areaChart>
      <c:dateAx>
        <c:axId val="192653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2654720"/>
        <c:crosses val="autoZero"/>
        <c:auto val="1"/>
        <c:lblOffset val="100"/>
        <c:baseTimeUnit val="days"/>
      </c:dateAx>
      <c:valAx>
        <c:axId val="19265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5318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(Enablers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(Enablers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(Enablers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(Enablers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(Enablers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(Enablers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(Enablers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'A - CF (Enablers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'A - CF (Enablers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(Enablers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83104"/>
        <c:axId val="192784640"/>
      </c:areaChart>
      <c:dateAx>
        <c:axId val="192783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2784640"/>
        <c:crosses val="autoZero"/>
        <c:auto val="1"/>
        <c:lblOffset val="100"/>
        <c:baseTimeUnit val="days"/>
      </c:dateAx>
      <c:valAx>
        <c:axId val="19278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78310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'A - CF (Stories SP)'!$H$1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(Stories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185</c:v>
                </c:pt>
                <c:pt idx="36">
                  <c:v>38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38</c:v>
                </c:pt>
                <c:pt idx="42">
                  <c:v>38</c:v>
                </c:pt>
                <c:pt idx="43">
                  <c:v>38</c:v>
                </c:pt>
                <c:pt idx="44">
                  <c:v>38</c:v>
                </c:pt>
                <c:pt idx="45">
                  <c:v>38</c:v>
                </c:pt>
                <c:pt idx="46">
                  <c:v>38</c:v>
                </c:pt>
                <c:pt idx="47">
                  <c:v>38</c:v>
                </c:pt>
                <c:pt idx="48">
                  <c:v>38</c:v>
                </c:pt>
                <c:pt idx="49">
                  <c:v>38</c:v>
                </c:pt>
              </c:numCache>
            </c:numRef>
          </c:val>
        </c:ser>
        <c:ser>
          <c:idx val="4"/>
          <c:order val="1"/>
          <c:tx>
            <c:strRef>
              <c:f>'A - CF (Stories SP)'!$G$1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(Stories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69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69</c:v>
                </c:pt>
                <c:pt idx="47">
                  <c:v>69</c:v>
                </c:pt>
                <c:pt idx="48">
                  <c:v>69</c:v>
                </c:pt>
                <c:pt idx="49">
                  <c:v>69</c:v>
                </c:pt>
              </c:numCache>
            </c:numRef>
          </c:val>
        </c:ser>
        <c:ser>
          <c:idx val="2"/>
          <c:order val="2"/>
          <c:tx>
            <c:strRef>
              <c:f>'A - CF (Stories SP)'!$F$1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3"/>
          <c:tx>
            <c:strRef>
              <c:f>'A - CF (Stories SP)'!$E$1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</c:numCache>
            </c:numRef>
          </c:val>
        </c:ser>
        <c:ser>
          <c:idx val="0"/>
          <c:order val="4"/>
          <c:tx>
            <c:strRef>
              <c:f>'A - CF (Stories SP)'!$D$1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51552"/>
        <c:axId val="194153088"/>
      </c:areaChart>
      <c:catAx>
        <c:axId val="194151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4153088"/>
        <c:crosses val="autoZero"/>
        <c:auto val="1"/>
        <c:lblAlgn val="ctr"/>
        <c:lblOffset val="100"/>
        <c:noMultiLvlLbl val="0"/>
      </c:catAx>
      <c:valAx>
        <c:axId val="19415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5155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 - Features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'A - Features Progress'!$D$4:$D$14</c:f>
              <c:strCache>
                <c:ptCount val="11"/>
                <c:pt idx="0">
                  <c:v>[PROCESS-44] Filter processes based on user …  on user portfolio assignments / Busy Bees</c:v>
                </c:pt>
                <c:pt idx="1">
                  <c:v>[PROCESS-92] Improve search performance (elastic search) / Busy Bees</c:v>
                </c:pt>
                <c:pt idx="2">
                  <c:v>[PROCESS-75] Support specific attributes based on taxonomy / Busy Bees</c:v>
                </c:pt>
                <c:pt idx="3">
                  <c:v>[PROCESS-98] Filter process by "my" active tasks / Busy Bees</c:v>
                </c:pt>
                <c:pt idx="4">
                  <c:v>[PFM-125] Foundation stabilization / Busy Bees</c:v>
                </c:pt>
                <c:pt idx="5">
                  <c:v>[PROCESS-95] Foundation stabilization / Busy Bees</c:v>
                </c:pt>
                <c:pt idx="6">
                  <c:v>[PROCESS-33] Harmonization of User Experience / Busy Bees</c:v>
                </c:pt>
                <c:pt idx="7">
                  <c:v>[PROCESS-125] Secure Process Centre by filte … esses according to logged user / Busy Bees</c:v>
                </c:pt>
                <c:pt idx="8">
                  <c:v>[PFM-131] UX harmonisation / Busy Bees</c:v>
                </c:pt>
                <c:pt idx="9">
                  <c:v>[PFM-126] User Impersonation / Busy Bees</c:v>
                </c:pt>
                <c:pt idx="10">
                  <c:v>[]  / </c:v>
                </c:pt>
              </c:strCache>
            </c:strRef>
          </c:cat>
          <c:val>
            <c:numRef>
              <c:f>'A - Features Progress'!$E$4:$E$14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'A - Features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 - Features Progress'!$D$4:$D$14</c:f>
              <c:strCache>
                <c:ptCount val="11"/>
                <c:pt idx="0">
                  <c:v>[PROCESS-44] Filter processes based on user …  on user portfolio assignments / Busy Bees</c:v>
                </c:pt>
                <c:pt idx="1">
                  <c:v>[PROCESS-92] Improve search performance (elastic search) / Busy Bees</c:v>
                </c:pt>
                <c:pt idx="2">
                  <c:v>[PROCESS-75] Support specific attributes based on taxonomy / Busy Bees</c:v>
                </c:pt>
                <c:pt idx="3">
                  <c:v>[PROCESS-98] Filter process by "my" active tasks / Busy Bees</c:v>
                </c:pt>
                <c:pt idx="4">
                  <c:v>[PFM-125] Foundation stabilization / Busy Bees</c:v>
                </c:pt>
                <c:pt idx="5">
                  <c:v>[PROCESS-95] Foundation stabilization / Busy Bees</c:v>
                </c:pt>
                <c:pt idx="6">
                  <c:v>[PROCESS-33] Harmonization of User Experience / Busy Bees</c:v>
                </c:pt>
                <c:pt idx="7">
                  <c:v>[PROCESS-125] Secure Process Centre by filte … esses according to logged user / Busy Bees</c:v>
                </c:pt>
                <c:pt idx="8">
                  <c:v>[PFM-131] UX harmonisation / Busy Bees</c:v>
                </c:pt>
                <c:pt idx="9">
                  <c:v>[PFM-126] User Impersonation / Busy Bees</c:v>
                </c:pt>
                <c:pt idx="10">
                  <c:v>[]  / </c:v>
                </c:pt>
              </c:strCache>
            </c:strRef>
          </c:cat>
          <c:val>
            <c:numRef>
              <c:f>'A - Features Progress'!$F$4:$F$14</c:f>
              <c:numCache>
                <c:formatCode>General</c:formatCode>
                <c:ptCount val="11"/>
                <c:pt idx="0">
                  <c:v>3</c:v>
                </c:pt>
                <c:pt idx="1">
                  <c:v>13</c:v>
                </c:pt>
                <c:pt idx="2">
                  <c:v>8</c:v>
                </c:pt>
                <c:pt idx="3">
                  <c:v>7</c:v>
                </c:pt>
                <c:pt idx="4">
                  <c:v>10</c:v>
                </c:pt>
                <c:pt idx="5">
                  <c:v>18</c:v>
                </c:pt>
                <c:pt idx="6">
                  <c:v>22</c:v>
                </c:pt>
                <c:pt idx="7">
                  <c:v>5</c:v>
                </c:pt>
                <c:pt idx="8">
                  <c:v>18</c:v>
                </c:pt>
                <c:pt idx="9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5312640"/>
        <c:axId val="195314432"/>
      </c:barChart>
      <c:catAx>
        <c:axId val="195312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314432"/>
        <c:crosses val="autoZero"/>
        <c:auto val="1"/>
        <c:lblAlgn val="ctr"/>
        <c:lblOffset val="100"/>
        <c:noMultiLvlLbl val="0"/>
      </c:catAx>
      <c:valAx>
        <c:axId val="19531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31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 - Enablers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'A - Enablers Progress'!$D$4:$D$10</c:f>
              <c:strCache>
                <c:ptCount val="7"/>
                <c:pt idx="0">
                  <c:v>[n/a] No feature(s) / n/a</c:v>
                </c:pt>
                <c:pt idx="1">
                  <c:v>[]  / </c:v>
                </c:pt>
                <c:pt idx="2">
                  <c:v>[]  / </c:v>
                </c:pt>
                <c:pt idx="3">
                  <c:v>[]  / </c:v>
                </c:pt>
                <c:pt idx="4">
                  <c:v>[]  / </c:v>
                </c:pt>
                <c:pt idx="5">
                  <c:v>[]  / </c:v>
                </c:pt>
                <c:pt idx="6">
                  <c:v>[]  / </c:v>
                </c:pt>
              </c:strCache>
            </c:strRef>
          </c:cat>
          <c:val>
            <c:numRef>
              <c:f>'A - Enablers Progress'!$E$4:$E$10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'A - Enablers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 - Enablers Progress'!$D$4:$D$10</c:f>
              <c:strCache>
                <c:ptCount val="7"/>
                <c:pt idx="0">
                  <c:v>[n/a] No feature(s) / n/a</c:v>
                </c:pt>
                <c:pt idx="1">
                  <c:v>[]  / </c:v>
                </c:pt>
                <c:pt idx="2">
                  <c:v>[]  / </c:v>
                </c:pt>
                <c:pt idx="3">
                  <c:v>[]  / </c:v>
                </c:pt>
                <c:pt idx="4">
                  <c:v>[]  / </c:v>
                </c:pt>
                <c:pt idx="5">
                  <c:v>[]  / </c:v>
                </c:pt>
                <c:pt idx="6">
                  <c:v>[]  / </c:v>
                </c:pt>
              </c:strCache>
            </c:strRef>
          </c:cat>
          <c:val>
            <c:numRef>
              <c:f>'A - Enablers Progress'!$F$4:$F$10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5347584"/>
        <c:axId val="195349120"/>
      </c:barChart>
      <c:catAx>
        <c:axId val="195347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349120"/>
        <c:crosses val="autoZero"/>
        <c:auto val="1"/>
        <c:lblAlgn val="ctr"/>
        <c:lblOffset val="100"/>
        <c:noMultiLvlLbl val="0"/>
      </c:catAx>
      <c:valAx>
        <c:axId val="19534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34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 - Features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'A - Features Progress'!$D$4:$D$13</c:f>
              <c:strCache>
                <c:ptCount val="10"/>
                <c:pt idx="0">
                  <c:v>[PROCESS-44] Filter processes based on user …  on user portfolio assignments / Busy Bees</c:v>
                </c:pt>
                <c:pt idx="1">
                  <c:v>[PROCESS-92] Improve search performance (elastic search) / Busy Bees</c:v>
                </c:pt>
                <c:pt idx="2">
                  <c:v>[PROCESS-75] Support specific attributes based on taxonomy / Busy Bees</c:v>
                </c:pt>
                <c:pt idx="3">
                  <c:v>[PROCESS-98] Filter process by "my" active tasks / Busy Bees</c:v>
                </c:pt>
                <c:pt idx="4">
                  <c:v>[PFM-125] Foundation stabilization / Busy Bees</c:v>
                </c:pt>
                <c:pt idx="5">
                  <c:v>[PROCESS-95] Foundation stabilization / Busy Bees</c:v>
                </c:pt>
                <c:pt idx="6">
                  <c:v>[PROCESS-33] Harmonization of User Experience / Busy Bees</c:v>
                </c:pt>
                <c:pt idx="7">
                  <c:v>[PROCESS-125] Secure Process Centre by filte … esses according to logged user / Busy Bees</c:v>
                </c:pt>
                <c:pt idx="8">
                  <c:v>[PFM-131] UX harmonisation / Busy Bees</c:v>
                </c:pt>
                <c:pt idx="9">
                  <c:v>[PFM-126] User Impersonation / Busy Bees</c:v>
                </c:pt>
              </c:strCache>
            </c:strRef>
          </c:cat>
          <c:val>
            <c:numRef>
              <c:f>'A - Features Progress'!$E$4:$E$13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'A - Features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 - Features Progress'!$D$4:$D$13</c:f>
              <c:strCache>
                <c:ptCount val="10"/>
                <c:pt idx="0">
                  <c:v>[PROCESS-44] Filter processes based on user …  on user portfolio assignments / Busy Bees</c:v>
                </c:pt>
                <c:pt idx="1">
                  <c:v>[PROCESS-92] Improve search performance (elastic search) / Busy Bees</c:v>
                </c:pt>
                <c:pt idx="2">
                  <c:v>[PROCESS-75] Support specific attributes based on taxonomy / Busy Bees</c:v>
                </c:pt>
                <c:pt idx="3">
                  <c:v>[PROCESS-98] Filter process by "my" active tasks / Busy Bees</c:v>
                </c:pt>
                <c:pt idx="4">
                  <c:v>[PFM-125] Foundation stabilization / Busy Bees</c:v>
                </c:pt>
                <c:pt idx="5">
                  <c:v>[PROCESS-95] Foundation stabilization / Busy Bees</c:v>
                </c:pt>
                <c:pt idx="6">
                  <c:v>[PROCESS-33] Harmonization of User Experience / Busy Bees</c:v>
                </c:pt>
                <c:pt idx="7">
                  <c:v>[PROCESS-125] Secure Process Centre by filte … esses according to logged user / Busy Bees</c:v>
                </c:pt>
                <c:pt idx="8">
                  <c:v>[PFM-131] UX harmonisation / Busy Bees</c:v>
                </c:pt>
                <c:pt idx="9">
                  <c:v>[PFM-126] User Impersonation / Busy Bees</c:v>
                </c:pt>
              </c:strCache>
            </c:strRef>
          </c:cat>
          <c:val>
            <c:numRef>
              <c:f>'A - Features Progress'!$F$4:$F$13</c:f>
              <c:numCache>
                <c:formatCode>General</c:formatCode>
                <c:ptCount val="10"/>
                <c:pt idx="0">
                  <c:v>3</c:v>
                </c:pt>
                <c:pt idx="1">
                  <c:v>13</c:v>
                </c:pt>
                <c:pt idx="2">
                  <c:v>8</c:v>
                </c:pt>
                <c:pt idx="3">
                  <c:v>7</c:v>
                </c:pt>
                <c:pt idx="4">
                  <c:v>10</c:v>
                </c:pt>
                <c:pt idx="5">
                  <c:v>18</c:v>
                </c:pt>
                <c:pt idx="6">
                  <c:v>22</c:v>
                </c:pt>
                <c:pt idx="7">
                  <c:v>5</c:v>
                </c:pt>
                <c:pt idx="8">
                  <c:v>18</c:v>
                </c:pt>
                <c:pt idx="9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5424256"/>
        <c:axId val="195425792"/>
      </c:barChart>
      <c:catAx>
        <c:axId val="195424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25792"/>
        <c:crosses val="autoZero"/>
        <c:auto val="1"/>
        <c:lblAlgn val="ctr"/>
        <c:lblOffset val="100"/>
        <c:noMultiLvlLbl val="0"/>
      </c:catAx>
      <c:valAx>
        <c:axId val="19542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2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 - Enablers Progress'!$D$4</c:f>
              <c:strCache>
                <c:ptCount val="1"/>
                <c:pt idx="0">
                  <c:v>[n/a] No feature(s) / n/a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'A - Enablers Progress'!$E$3:$F$3</c:f>
              <c:strCache>
                <c:ptCount val="2"/>
                <c:pt idx="0">
                  <c:v>Completed Story Points</c:v>
                </c:pt>
                <c:pt idx="1">
                  <c:v>Planned Story Points</c:v>
                </c:pt>
              </c:strCache>
            </c:strRef>
          </c:cat>
          <c:val>
            <c:numRef>
              <c:f>'A - Enablers Progress'!$E$4:$F$4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8979840"/>
        <c:axId val="188989824"/>
      </c:barChart>
      <c:catAx>
        <c:axId val="188979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89824"/>
        <c:crosses val="autoZero"/>
        <c:auto val="1"/>
        <c:lblAlgn val="ctr"/>
        <c:lblOffset val="100"/>
        <c:noMultiLvlLbl val="0"/>
      </c:catAx>
      <c:valAx>
        <c:axId val="18898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7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(Features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(Features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(Features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(Features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(Features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(Features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(Features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</c:numCache>
            </c:numRef>
          </c:val>
        </c:ser>
        <c:ser>
          <c:idx val="2"/>
          <c:order val="5"/>
          <c:tx>
            <c:strRef>
              <c:f>'A - CF (Features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1"/>
          <c:order val="6"/>
          <c:tx>
            <c:strRef>
              <c:f>'A - CF (Features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(Features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2576"/>
        <c:axId val="195530752"/>
      </c:areaChart>
      <c:dateAx>
        <c:axId val="195512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5530752"/>
        <c:crosses val="autoZero"/>
        <c:auto val="1"/>
        <c:lblOffset val="100"/>
        <c:baseTimeUnit val="days"/>
      </c:dateAx>
      <c:valAx>
        <c:axId val="195530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512576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'A - 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'A - 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43264"/>
        <c:axId val="195644800"/>
      </c:areaChart>
      <c:dateAx>
        <c:axId val="195643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5644800"/>
        <c:crosses val="autoZero"/>
        <c:auto val="1"/>
        <c:lblOffset val="100"/>
        <c:baseTimeUnit val="days"/>
      </c:dateAx>
      <c:valAx>
        <c:axId val="19564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64326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'A - CF (Stories #)'!$H$1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(Stories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</c:numCache>
            </c:numRef>
          </c:val>
        </c:ser>
        <c:ser>
          <c:idx val="4"/>
          <c:order val="1"/>
          <c:tx>
            <c:strRef>
              <c:f>'A - CF (Stories #)'!$G$1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(Stories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</c:numCache>
            </c:numRef>
          </c:val>
        </c:ser>
        <c:ser>
          <c:idx val="2"/>
          <c:order val="2"/>
          <c:tx>
            <c:strRef>
              <c:f>'A - CF (Stories #)'!$F$1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3"/>
          <c:tx>
            <c:strRef>
              <c:f>'A - CF (Stories #)'!$E$1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0"/>
          <c:order val="4"/>
          <c:tx>
            <c:strRef>
              <c:f>'A - CF (Stories #)'!$D$1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93216"/>
        <c:axId val="192394752"/>
      </c:areaChart>
      <c:catAx>
        <c:axId val="192393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2394752"/>
        <c:crosses val="autoZero"/>
        <c:auto val="1"/>
        <c:lblAlgn val="ctr"/>
        <c:lblOffset val="100"/>
        <c:noMultiLvlLbl val="0"/>
      </c:catAx>
      <c:valAx>
        <c:axId val="19239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393216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(Features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(Features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(Features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(Features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(Features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(Features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(Features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</c:numCache>
            </c:numRef>
          </c:val>
        </c:ser>
        <c:ser>
          <c:idx val="2"/>
          <c:order val="5"/>
          <c:tx>
            <c:strRef>
              <c:f>'A - CF (Features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</c:numCache>
            </c:numRef>
          </c:val>
        </c:ser>
        <c:ser>
          <c:idx val="1"/>
          <c:order val="6"/>
          <c:tx>
            <c:strRef>
              <c:f>'A - CF (Features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(Features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35168"/>
        <c:axId val="192545152"/>
      </c:areaChart>
      <c:dateAx>
        <c:axId val="192535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2545152"/>
        <c:crosses val="autoZero"/>
        <c:auto val="1"/>
        <c:lblOffset val="100"/>
        <c:baseTimeUnit val="days"/>
      </c:dateAx>
      <c:valAx>
        <c:axId val="192545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535168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(Enablers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(Enablers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(Enablers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(Enablers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(Enablers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(Enablers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(Enablers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'A - CF (Enablers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'A - CF (Enablers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(Enablers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967232"/>
        <c:axId val="195977216"/>
      </c:areaChart>
      <c:dateAx>
        <c:axId val="195967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5977216"/>
        <c:crosses val="autoZero"/>
        <c:auto val="1"/>
        <c:lblOffset val="100"/>
        <c:baseTimeUnit val="days"/>
      </c:dateAx>
      <c:valAx>
        <c:axId val="19597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96723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'A - CF (Stories SP)'!$H$1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(Stories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185</c:v>
                </c:pt>
                <c:pt idx="36">
                  <c:v>38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38</c:v>
                </c:pt>
                <c:pt idx="42">
                  <c:v>38</c:v>
                </c:pt>
                <c:pt idx="43">
                  <c:v>38</c:v>
                </c:pt>
                <c:pt idx="44">
                  <c:v>38</c:v>
                </c:pt>
                <c:pt idx="45">
                  <c:v>38</c:v>
                </c:pt>
                <c:pt idx="46">
                  <c:v>38</c:v>
                </c:pt>
                <c:pt idx="47">
                  <c:v>38</c:v>
                </c:pt>
                <c:pt idx="48">
                  <c:v>38</c:v>
                </c:pt>
                <c:pt idx="49">
                  <c:v>38</c:v>
                </c:pt>
              </c:numCache>
            </c:numRef>
          </c:val>
        </c:ser>
        <c:ser>
          <c:idx val="4"/>
          <c:order val="1"/>
          <c:tx>
            <c:strRef>
              <c:f>'A - CF (Stories SP)'!$G$1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(Stories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69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69</c:v>
                </c:pt>
                <c:pt idx="47">
                  <c:v>69</c:v>
                </c:pt>
                <c:pt idx="48">
                  <c:v>69</c:v>
                </c:pt>
                <c:pt idx="49">
                  <c:v>69</c:v>
                </c:pt>
              </c:numCache>
            </c:numRef>
          </c:val>
        </c:ser>
        <c:ser>
          <c:idx val="2"/>
          <c:order val="2"/>
          <c:tx>
            <c:strRef>
              <c:f>'A - CF (Stories SP)'!$F$1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3"/>
          <c:tx>
            <c:strRef>
              <c:f>'A - CF (Stories SP)'!$E$1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</c:numCache>
            </c:numRef>
          </c:val>
        </c:ser>
        <c:ser>
          <c:idx val="0"/>
          <c:order val="4"/>
          <c:tx>
            <c:strRef>
              <c:f>'A - CF (Stories SP)'!$D$1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17536"/>
        <c:axId val="184566912"/>
      </c:areaChart>
      <c:catAx>
        <c:axId val="196017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4566912"/>
        <c:crosses val="autoZero"/>
        <c:auto val="1"/>
        <c:lblAlgn val="ctr"/>
        <c:lblOffset val="100"/>
        <c:noMultiLvlLbl val="0"/>
      </c:catAx>
      <c:valAx>
        <c:axId val="184566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017536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(Features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</c:numCache>
            </c:numRef>
          </c:val>
        </c:ser>
        <c:ser>
          <c:idx val="7"/>
          <c:order val="1"/>
          <c:tx>
            <c:strRef>
              <c:f>'B - CF (Features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(Features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(Features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(Features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</c:ser>
        <c:ser>
          <c:idx val="4"/>
          <c:order val="4"/>
          <c:tx>
            <c:strRef>
              <c:f>'B - CF (Features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(Features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</c:numCache>
            </c:numRef>
          </c:val>
        </c:ser>
        <c:ser>
          <c:idx val="2"/>
          <c:order val="5"/>
          <c:tx>
            <c:strRef>
              <c:f>'B - CF (Features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1"/>
          <c:order val="6"/>
          <c:tx>
            <c:strRef>
              <c:f>'B - CF (Features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0"/>
          <c:order val="7"/>
          <c:tx>
            <c:strRef>
              <c:f>'B - CF (Features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18688"/>
        <c:axId val="194045056"/>
      </c:areaChart>
      <c:dateAx>
        <c:axId val="19401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4045056"/>
        <c:crosses val="autoZero"/>
        <c:auto val="1"/>
        <c:lblOffset val="100"/>
        <c:baseTimeUnit val="days"/>
      </c:dateAx>
      <c:valAx>
        <c:axId val="194045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18688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'B - 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'B - 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</c:ser>
        <c:ser>
          <c:idx val="2"/>
          <c:order val="5"/>
          <c:tx>
            <c:strRef>
              <c:f>'B - 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'B - 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'B - 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00416"/>
        <c:axId val="196726784"/>
      </c:areaChart>
      <c:dateAx>
        <c:axId val="196700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6726784"/>
        <c:crosses val="autoZero"/>
        <c:auto val="1"/>
        <c:lblOffset val="100"/>
        <c:baseTimeUnit val="days"/>
      </c:dateAx>
      <c:valAx>
        <c:axId val="19672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700416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'B - CF (Stories #)'!$H$1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(Stories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38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38</c:v>
                </c:pt>
                <c:pt idx="42">
                  <c:v>38</c:v>
                </c:pt>
                <c:pt idx="43">
                  <c:v>38</c:v>
                </c:pt>
                <c:pt idx="44">
                  <c:v>38</c:v>
                </c:pt>
                <c:pt idx="45">
                  <c:v>38</c:v>
                </c:pt>
                <c:pt idx="46">
                  <c:v>38</c:v>
                </c:pt>
                <c:pt idx="47">
                  <c:v>38</c:v>
                </c:pt>
                <c:pt idx="48">
                  <c:v>38</c:v>
                </c:pt>
                <c:pt idx="49">
                  <c:v>38</c:v>
                </c:pt>
              </c:numCache>
            </c:numRef>
          </c:val>
        </c:ser>
        <c:ser>
          <c:idx val="4"/>
          <c:order val="1"/>
          <c:tx>
            <c:strRef>
              <c:f>'B - CF (Stories #)'!$G$1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(Stories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</c:ser>
        <c:ser>
          <c:idx val="2"/>
          <c:order val="2"/>
          <c:tx>
            <c:strRef>
              <c:f>'B - CF (Stories #)'!$F$1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</c:numCache>
            </c:numRef>
          </c:val>
        </c:ser>
        <c:ser>
          <c:idx val="1"/>
          <c:order val="3"/>
          <c:tx>
            <c:strRef>
              <c:f>'B - CF (Stories #)'!$E$1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</c:numCache>
            </c:numRef>
          </c:val>
        </c:ser>
        <c:ser>
          <c:idx val="0"/>
          <c:order val="4"/>
          <c:tx>
            <c:strRef>
              <c:f>'B - CF (Stories #)'!$D$1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86528"/>
        <c:axId val="197300608"/>
      </c:areaChart>
      <c:catAx>
        <c:axId val="197286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7300608"/>
        <c:crosses val="autoZero"/>
        <c:auto val="1"/>
        <c:lblAlgn val="ctr"/>
        <c:lblOffset val="100"/>
        <c:noMultiLvlLbl val="0"/>
      </c:catAx>
      <c:valAx>
        <c:axId val="19730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286528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(Features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</c:numCache>
            </c:numRef>
          </c:val>
        </c:ser>
        <c:ser>
          <c:idx val="7"/>
          <c:order val="1"/>
          <c:tx>
            <c:strRef>
              <c:f>'B - CF (Features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(Features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(Features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(Features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4"/>
          <c:order val="4"/>
          <c:tx>
            <c:strRef>
              <c:f>'B - CF (Features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(Features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</c:numCache>
            </c:numRef>
          </c:val>
        </c:ser>
        <c:ser>
          <c:idx val="2"/>
          <c:order val="5"/>
          <c:tx>
            <c:strRef>
              <c:f>'B - CF (Features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val>
        </c:ser>
        <c:ser>
          <c:idx val="1"/>
          <c:order val="6"/>
          <c:tx>
            <c:strRef>
              <c:f>'B - CF (Features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val>
        </c:ser>
        <c:ser>
          <c:idx val="0"/>
          <c:order val="7"/>
          <c:tx>
            <c:strRef>
              <c:f>'B - CF (Features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50912"/>
        <c:axId val="197352448"/>
      </c:areaChart>
      <c:dateAx>
        <c:axId val="197350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7352448"/>
        <c:crosses val="autoZero"/>
        <c:auto val="1"/>
        <c:lblOffset val="100"/>
        <c:baseTimeUnit val="days"/>
      </c:dateAx>
      <c:valAx>
        <c:axId val="19735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35091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(Enablers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'B - CF (Enablers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(Enablers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(Enablers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(Enablers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'B - CF (Enablers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(Enablers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2"/>
          <c:order val="5"/>
          <c:tx>
            <c:strRef>
              <c:f>'B - CF (Enablers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'B - CF (Enablers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'B - CF (Enablers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55680"/>
        <c:axId val="198457216"/>
      </c:areaChart>
      <c:dateAx>
        <c:axId val="198455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8457216"/>
        <c:crosses val="autoZero"/>
        <c:auto val="1"/>
        <c:lblOffset val="100"/>
        <c:baseTimeUnit val="days"/>
      </c:dateAx>
      <c:valAx>
        <c:axId val="19845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455680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'B - CF (Stories SP)'!$H$1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(Stories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185</c:v>
                </c:pt>
                <c:pt idx="36">
                  <c:v>149</c:v>
                </c:pt>
                <c:pt idx="37">
                  <c:v>149</c:v>
                </c:pt>
                <c:pt idx="38">
                  <c:v>149</c:v>
                </c:pt>
                <c:pt idx="39">
                  <c:v>149</c:v>
                </c:pt>
                <c:pt idx="40">
                  <c:v>149</c:v>
                </c:pt>
                <c:pt idx="41">
                  <c:v>149</c:v>
                </c:pt>
                <c:pt idx="42">
                  <c:v>149</c:v>
                </c:pt>
                <c:pt idx="43">
                  <c:v>149</c:v>
                </c:pt>
                <c:pt idx="44">
                  <c:v>149</c:v>
                </c:pt>
                <c:pt idx="45">
                  <c:v>149</c:v>
                </c:pt>
                <c:pt idx="46">
                  <c:v>149</c:v>
                </c:pt>
                <c:pt idx="47">
                  <c:v>149</c:v>
                </c:pt>
                <c:pt idx="48">
                  <c:v>149</c:v>
                </c:pt>
                <c:pt idx="49">
                  <c:v>149</c:v>
                </c:pt>
              </c:numCache>
            </c:numRef>
          </c:val>
        </c:ser>
        <c:ser>
          <c:idx val="4"/>
          <c:order val="1"/>
          <c:tx>
            <c:strRef>
              <c:f>'B - CF (Stories SP)'!$G$1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(Stories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</c:numCache>
            </c:numRef>
          </c:val>
        </c:ser>
        <c:ser>
          <c:idx val="2"/>
          <c:order val="2"/>
          <c:tx>
            <c:strRef>
              <c:f>'B - CF (Stories SP)'!$F$1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</c:numCache>
            </c:numRef>
          </c:val>
        </c:ser>
        <c:ser>
          <c:idx val="1"/>
          <c:order val="3"/>
          <c:tx>
            <c:strRef>
              <c:f>'B - CF (Stories SP)'!$E$1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</c:numCache>
            </c:numRef>
          </c:val>
        </c:ser>
        <c:ser>
          <c:idx val="0"/>
          <c:order val="4"/>
          <c:tx>
            <c:strRef>
              <c:f>'B - CF (Stories SP)'!$D$1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09312"/>
        <c:axId val="198510848"/>
      </c:areaChart>
      <c:catAx>
        <c:axId val="198509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8510848"/>
        <c:crosses val="autoZero"/>
        <c:auto val="1"/>
        <c:lblAlgn val="ctr"/>
        <c:lblOffset val="100"/>
        <c:noMultiLvlLbl val="0"/>
      </c:catAx>
      <c:valAx>
        <c:axId val="198510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50931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 - Features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'B - Features Progress'!$D$4:$D$14</c:f>
              <c:strCache>
                <c:ptCount val="11"/>
                <c:pt idx="0">
                  <c:v>[TSKACTION-217] Action: Session Management / RTD</c:v>
                </c:pt>
                <c:pt idx="1">
                  <c:v>[CCDOCLIST-165] Provide pre/post operation cal … peration callbacks to business / RTD</c:v>
                </c:pt>
                <c:pt idx="2">
                  <c:v>[CCTASK-533] Adoption of OpenID security model / RTD</c:v>
                </c:pt>
                <c:pt idx="3">
                  <c:v>[CCDOCLIST-156] Configuration of presentation - compact view / RTD</c:v>
                </c:pt>
                <c:pt idx="4">
                  <c:v>[CCDOCLIST-19] Document list read-only mode / RTD</c:v>
                </c:pt>
                <c:pt idx="5">
                  <c:v>[CCDOCLIST-157] Filter the Document List at ru … ment List at runtime (backend) / RTD</c:v>
                </c:pt>
                <c:pt idx="6">
                  <c:v>[CCTASK-534] Readiness for translation service / RTD</c:v>
                </c:pt>
                <c:pt idx="7">
                  <c:v>[CCDOCLIST-17] Configuration management / RTD</c:v>
                </c:pt>
                <c:pt idx="8">
                  <c:v>[CCDOCLIST-27] Configuration override / RTD</c:v>
                </c:pt>
                <c:pt idx="9">
                  <c:v>[CCDOCLIST-25] Manage document encryption / RTD</c:v>
                </c:pt>
                <c:pt idx="10">
                  <c:v>[TSKACTION-245] Action: Parallel Actors / Support task / RTD</c:v>
                </c:pt>
              </c:strCache>
            </c:strRef>
          </c:cat>
          <c:val>
            <c:numRef>
              <c:f>'B - Features Progress'!$E$4:$E$14</c:f>
              <c:numCache>
                <c:formatCode>General</c:formatCode>
                <c:ptCount val="11"/>
                <c:pt idx="0">
                  <c:v>5</c:v>
                </c:pt>
                <c:pt idx="1">
                  <c:v>13</c:v>
                </c:pt>
                <c:pt idx="2">
                  <c:v>0</c:v>
                </c:pt>
                <c:pt idx="3">
                  <c:v>8</c:v>
                </c:pt>
                <c:pt idx="4">
                  <c:v>13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'B - Features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'B - Features Progress'!$D$4:$D$14</c:f>
              <c:strCache>
                <c:ptCount val="11"/>
                <c:pt idx="0">
                  <c:v>[TSKACTION-217] Action: Session Management / RTD</c:v>
                </c:pt>
                <c:pt idx="1">
                  <c:v>[CCDOCLIST-165] Provide pre/post operation cal … peration callbacks to business / RTD</c:v>
                </c:pt>
                <c:pt idx="2">
                  <c:v>[CCTASK-533] Adoption of OpenID security model / RTD</c:v>
                </c:pt>
                <c:pt idx="3">
                  <c:v>[CCDOCLIST-156] Configuration of presentation - compact view / RTD</c:v>
                </c:pt>
                <c:pt idx="4">
                  <c:v>[CCDOCLIST-19] Document list read-only mode / RTD</c:v>
                </c:pt>
                <c:pt idx="5">
                  <c:v>[CCDOCLIST-157] Filter the Document List at ru … ment List at runtime (backend) / RTD</c:v>
                </c:pt>
                <c:pt idx="6">
                  <c:v>[CCTASK-534] Readiness for translation service / RTD</c:v>
                </c:pt>
                <c:pt idx="7">
                  <c:v>[CCDOCLIST-17] Configuration management / RTD</c:v>
                </c:pt>
                <c:pt idx="8">
                  <c:v>[CCDOCLIST-27] Configuration override / RTD</c:v>
                </c:pt>
                <c:pt idx="9">
                  <c:v>[CCDOCLIST-25] Manage document encryption / RTD</c:v>
                </c:pt>
                <c:pt idx="10">
                  <c:v>[TSKACTION-245] Action: Parallel Actors / Support task / RTD</c:v>
                </c:pt>
              </c:strCache>
            </c:strRef>
          </c:cat>
          <c:val>
            <c:numRef>
              <c:f>'B - Features Progress'!$F$4:$F$14</c:f>
              <c:numCache>
                <c:formatCode>General</c:formatCode>
                <c:ptCount val="11"/>
                <c:pt idx="0">
                  <c:v>34</c:v>
                </c:pt>
                <c:pt idx="1">
                  <c:v>13</c:v>
                </c:pt>
                <c:pt idx="2">
                  <c:v>8</c:v>
                </c:pt>
                <c:pt idx="3">
                  <c:v>8</c:v>
                </c:pt>
                <c:pt idx="4">
                  <c:v>21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8531712"/>
        <c:axId val="198570368"/>
      </c:barChart>
      <c:catAx>
        <c:axId val="198531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70368"/>
        <c:crosses val="autoZero"/>
        <c:auto val="1"/>
        <c:lblAlgn val="ctr"/>
        <c:lblOffset val="100"/>
        <c:noMultiLvlLbl val="0"/>
      </c:catAx>
      <c:valAx>
        <c:axId val="198570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3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 - Enablers Progress'!#REF!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val>
            <c:numRef>
              <c:f>'B - Enablers Progress'!#REF!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8590464"/>
        <c:axId val="198592000"/>
      </c:barChart>
      <c:catAx>
        <c:axId val="198590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92000"/>
        <c:crosses val="autoZero"/>
        <c:auto val="1"/>
        <c:lblAlgn val="ctr"/>
        <c:lblOffset val="100"/>
        <c:noMultiLvlLbl val="0"/>
      </c:catAx>
      <c:valAx>
        <c:axId val="19859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9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 - Features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'B - Features Progress'!$D$4:$D$24</c:f>
              <c:strCache>
                <c:ptCount val="21"/>
                <c:pt idx="0">
                  <c:v>[TSKACTION-217] Action: Session Management / RTD</c:v>
                </c:pt>
                <c:pt idx="1">
                  <c:v>[CCDOCLIST-165] Provide pre/post operation cal … peration callbacks to business / RTD</c:v>
                </c:pt>
                <c:pt idx="2">
                  <c:v>[CCTASK-533] Adoption of OpenID security model / RTD</c:v>
                </c:pt>
                <c:pt idx="3">
                  <c:v>[CCDOCLIST-156] Configuration of presentation - compact view / RTD</c:v>
                </c:pt>
                <c:pt idx="4">
                  <c:v>[CCDOCLIST-19] Document list read-only mode / RTD</c:v>
                </c:pt>
                <c:pt idx="5">
                  <c:v>[CCDOCLIST-157] Filter the Document List at ru … ment List at runtime (backend) / RTD</c:v>
                </c:pt>
                <c:pt idx="6">
                  <c:v>[CCTASK-534] Readiness for translation service / RTD</c:v>
                </c:pt>
                <c:pt idx="7">
                  <c:v>[CCDOCLIST-17] Configuration management / RTD</c:v>
                </c:pt>
                <c:pt idx="8">
                  <c:v>[CCDOCLIST-27] Configuration override / RTD</c:v>
                </c:pt>
                <c:pt idx="9">
                  <c:v>[CCDOCLIST-25] Manage document encryption / RTD</c:v>
                </c:pt>
                <c:pt idx="10">
                  <c:v>[TSKACTION-245] Action: Parallel Actors / Support task / RTD</c:v>
                </c:pt>
                <c:pt idx="11">
                  <c:v>[CCTASK-579] Integration with Config Admin / RTD</c:v>
                </c:pt>
                <c:pt idx="12">
                  <c:v>[CCDOCLIST-181] Integration with Config Admin / RTD</c:v>
                </c:pt>
                <c:pt idx="13">
                  <c:v>[CCTASK-272] Signature on Outcome / RTD</c:v>
                </c:pt>
                <c:pt idx="14">
                  <c:v>[CCTASK-519] Taxonomy multiple references a … and events (for ProcessCentre) / RTD</c:v>
                </c:pt>
                <c:pt idx="15">
                  <c:v>[CCDOCLIST-174] The client should be able to r … en a business variable changes / RTD</c:v>
                </c:pt>
                <c:pt idx="16">
                  <c:v>[CCTASK-476] UX - Post Checks (error handli … ror handling on task complete) / RTD</c:v>
                </c:pt>
                <c:pt idx="17">
                  <c:v>[TSKACTION-56] Action: Document review/download link / RTD</c:v>
                </c:pt>
                <c:pt idx="18">
                  <c:v>[CCTASK-532] Impersonation / RTD</c:v>
                </c:pt>
                <c:pt idx="19">
                  <c:v>[CCDOCLIST-116] Mandatory documents / RTD</c:v>
                </c:pt>
                <c:pt idx="20">
                  <c:v>[CCTASK-518] Taxonomy link to CCM2 / RTD</c:v>
                </c:pt>
              </c:strCache>
            </c:strRef>
          </c:cat>
          <c:val>
            <c:numRef>
              <c:f>'B - Features Progress'!$E$4:$E$24</c:f>
              <c:numCache>
                <c:formatCode>General</c:formatCode>
                <c:ptCount val="21"/>
                <c:pt idx="0">
                  <c:v>5</c:v>
                </c:pt>
                <c:pt idx="1">
                  <c:v>13</c:v>
                </c:pt>
                <c:pt idx="2">
                  <c:v>0</c:v>
                </c:pt>
                <c:pt idx="3">
                  <c:v>8</c:v>
                </c:pt>
                <c:pt idx="4">
                  <c:v>13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'B - Features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'B - Features Progress'!$D$4:$D$24</c:f>
              <c:strCache>
                <c:ptCount val="21"/>
                <c:pt idx="0">
                  <c:v>[TSKACTION-217] Action: Session Management / RTD</c:v>
                </c:pt>
                <c:pt idx="1">
                  <c:v>[CCDOCLIST-165] Provide pre/post operation cal … peration callbacks to business / RTD</c:v>
                </c:pt>
                <c:pt idx="2">
                  <c:v>[CCTASK-533] Adoption of OpenID security model / RTD</c:v>
                </c:pt>
                <c:pt idx="3">
                  <c:v>[CCDOCLIST-156] Configuration of presentation - compact view / RTD</c:v>
                </c:pt>
                <c:pt idx="4">
                  <c:v>[CCDOCLIST-19] Document list read-only mode / RTD</c:v>
                </c:pt>
                <c:pt idx="5">
                  <c:v>[CCDOCLIST-157] Filter the Document List at ru … ment List at runtime (backend) / RTD</c:v>
                </c:pt>
                <c:pt idx="6">
                  <c:v>[CCTASK-534] Readiness for translation service / RTD</c:v>
                </c:pt>
                <c:pt idx="7">
                  <c:v>[CCDOCLIST-17] Configuration management / RTD</c:v>
                </c:pt>
                <c:pt idx="8">
                  <c:v>[CCDOCLIST-27] Configuration override / RTD</c:v>
                </c:pt>
                <c:pt idx="9">
                  <c:v>[CCDOCLIST-25] Manage document encryption / RTD</c:v>
                </c:pt>
                <c:pt idx="10">
                  <c:v>[TSKACTION-245] Action: Parallel Actors / Support task / RTD</c:v>
                </c:pt>
                <c:pt idx="11">
                  <c:v>[CCTASK-579] Integration with Config Admin / RTD</c:v>
                </c:pt>
                <c:pt idx="12">
                  <c:v>[CCDOCLIST-181] Integration with Config Admin / RTD</c:v>
                </c:pt>
                <c:pt idx="13">
                  <c:v>[CCTASK-272] Signature on Outcome / RTD</c:v>
                </c:pt>
                <c:pt idx="14">
                  <c:v>[CCTASK-519] Taxonomy multiple references a … and events (for ProcessCentre) / RTD</c:v>
                </c:pt>
                <c:pt idx="15">
                  <c:v>[CCDOCLIST-174] The client should be able to r … en a business variable changes / RTD</c:v>
                </c:pt>
                <c:pt idx="16">
                  <c:v>[CCTASK-476] UX - Post Checks (error handli … ror handling on task complete) / RTD</c:v>
                </c:pt>
                <c:pt idx="17">
                  <c:v>[TSKACTION-56] Action: Document review/download link / RTD</c:v>
                </c:pt>
                <c:pt idx="18">
                  <c:v>[CCTASK-532] Impersonation / RTD</c:v>
                </c:pt>
                <c:pt idx="19">
                  <c:v>[CCDOCLIST-116] Mandatory documents / RTD</c:v>
                </c:pt>
                <c:pt idx="20">
                  <c:v>[CCTASK-518] Taxonomy link to CCM2 / RTD</c:v>
                </c:pt>
              </c:strCache>
            </c:strRef>
          </c:cat>
          <c:val>
            <c:numRef>
              <c:f>'B - Features Progress'!$F$4:$F$24</c:f>
              <c:numCache>
                <c:formatCode>General</c:formatCode>
                <c:ptCount val="21"/>
                <c:pt idx="0">
                  <c:v>34</c:v>
                </c:pt>
                <c:pt idx="1">
                  <c:v>13</c:v>
                </c:pt>
                <c:pt idx="2">
                  <c:v>8</c:v>
                </c:pt>
                <c:pt idx="3">
                  <c:v>8</c:v>
                </c:pt>
                <c:pt idx="4">
                  <c:v>21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8</c:v>
                </c:pt>
                <c:pt idx="10">
                  <c:v>0</c:v>
                </c:pt>
                <c:pt idx="11">
                  <c:v>18</c:v>
                </c:pt>
                <c:pt idx="12">
                  <c:v>5</c:v>
                </c:pt>
                <c:pt idx="13">
                  <c:v>65</c:v>
                </c:pt>
                <c:pt idx="14">
                  <c:v>34</c:v>
                </c:pt>
                <c:pt idx="15">
                  <c:v>8</c:v>
                </c:pt>
                <c:pt idx="16">
                  <c:v>0</c:v>
                </c:pt>
                <c:pt idx="17">
                  <c:v>0</c:v>
                </c:pt>
                <c:pt idx="18">
                  <c:v>22</c:v>
                </c:pt>
                <c:pt idx="19">
                  <c:v>0</c:v>
                </c:pt>
                <c:pt idx="2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8795264"/>
        <c:axId val="198796800"/>
      </c:barChart>
      <c:catAx>
        <c:axId val="198795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96800"/>
        <c:crosses val="autoZero"/>
        <c:auto val="1"/>
        <c:lblAlgn val="ctr"/>
        <c:lblOffset val="100"/>
        <c:noMultiLvlLbl val="0"/>
      </c:catAx>
      <c:valAx>
        <c:axId val="198796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9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 - Enablers Progress'!$D$3</c:f>
              <c:strCache>
                <c:ptCount val="1"/>
                <c:pt idx="0">
                  <c:v>Feature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val>
            <c:numRef>
              <c:f>'B - Enablers Progress'!$E$3:$F$3</c:f>
              <c:numCache>
                <c:formatCode>General</c:formatCode>
                <c:ptCount val="2"/>
                <c:pt idx="0">
                  <c:v>0</c:v>
                </c:pt>
                <c:pt idx="1">
                  <c:v>23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'B - Enablers Progress'!$D$4</c:f>
              <c:strCache>
                <c:ptCount val="1"/>
                <c:pt idx="0">
                  <c:v>[CCTASK-527] SSE Bridge / RTD</c:v>
                </c:pt>
              </c:strCache>
            </c:strRef>
          </c:tx>
          <c:invertIfNegative val="0"/>
          <c:val>
            <c:numRef>
              <c:f>'B - Enablers Progress'!$E$4:$F$4</c:f>
              <c:numCache>
                <c:formatCode>General</c:formatCode>
                <c:ptCount val="2"/>
                <c:pt idx="0">
                  <c:v>0</c:v>
                </c:pt>
                <c:pt idx="1">
                  <c:v>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6433792"/>
        <c:axId val="196435328"/>
      </c:barChart>
      <c:catAx>
        <c:axId val="196433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35328"/>
        <c:crosses val="autoZero"/>
        <c:auto val="1"/>
        <c:lblAlgn val="ctr"/>
        <c:lblOffset val="100"/>
        <c:noMultiLvlLbl val="0"/>
      </c:catAx>
      <c:valAx>
        <c:axId val="19643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3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(Features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</c:numCache>
            </c:numRef>
          </c:val>
        </c:ser>
        <c:ser>
          <c:idx val="7"/>
          <c:order val="1"/>
          <c:tx>
            <c:strRef>
              <c:f>'B - CF (Features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(Features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(Features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(Features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</c:ser>
        <c:ser>
          <c:idx val="4"/>
          <c:order val="4"/>
          <c:tx>
            <c:strRef>
              <c:f>'B - CF (Features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(Features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</c:numCache>
            </c:numRef>
          </c:val>
        </c:ser>
        <c:ser>
          <c:idx val="2"/>
          <c:order val="5"/>
          <c:tx>
            <c:strRef>
              <c:f>'B - CF (Features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1"/>
          <c:order val="6"/>
          <c:tx>
            <c:strRef>
              <c:f>'B - CF (Features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0"/>
          <c:order val="7"/>
          <c:tx>
            <c:strRef>
              <c:f>'B - CF (Features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34112"/>
        <c:axId val="196635648"/>
      </c:areaChart>
      <c:dateAx>
        <c:axId val="1966341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6635648"/>
        <c:crosses val="autoZero"/>
        <c:auto val="1"/>
        <c:lblOffset val="100"/>
        <c:baseTimeUnit val="days"/>
      </c:dateAx>
      <c:valAx>
        <c:axId val="196635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63411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'B - 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'B - 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</c:ser>
        <c:ser>
          <c:idx val="2"/>
          <c:order val="5"/>
          <c:tx>
            <c:strRef>
              <c:f>'B - 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'B - 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'B - 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96864"/>
        <c:axId val="196598400"/>
      </c:areaChart>
      <c:dateAx>
        <c:axId val="196596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6598400"/>
        <c:crosses val="autoZero"/>
        <c:auto val="1"/>
        <c:lblOffset val="100"/>
        <c:baseTimeUnit val="days"/>
      </c:dateAx>
      <c:valAx>
        <c:axId val="196598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59686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'B - CF (Stories #)'!$H$1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(Stories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38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38</c:v>
                </c:pt>
                <c:pt idx="42">
                  <c:v>38</c:v>
                </c:pt>
                <c:pt idx="43">
                  <c:v>38</c:v>
                </c:pt>
                <c:pt idx="44">
                  <c:v>38</c:v>
                </c:pt>
                <c:pt idx="45">
                  <c:v>38</c:v>
                </c:pt>
                <c:pt idx="46">
                  <c:v>38</c:v>
                </c:pt>
                <c:pt idx="47">
                  <c:v>38</c:v>
                </c:pt>
                <c:pt idx="48">
                  <c:v>38</c:v>
                </c:pt>
                <c:pt idx="49">
                  <c:v>38</c:v>
                </c:pt>
              </c:numCache>
            </c:numRef>
          </c:val>
        </c:ser>
        <c:ser>
          <c:idx val="4"/>
          <c:order val="1"/>
          <c:tx>
            <c:strRef>
              <c:f>'B - CF (Stories #)'!$G$1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(Stories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</c:ser>
        <c:ser>
          <c:idx val="2"/>
          <c:order val="2"/>
          <c:tx>
            <c:strRef>
              <c:f>'B - CF (Stories #)'!$F$1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</c:numCache>
            </c:numRef>
          </c:val>
        </c:ser>
        <c:ser>
          <c:idx val="1"/>
          <c:order val="3"/>
          <c:tx>
            <c:strRef>
              <c:f>'B - CF (Stories #)'!$E$1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</c:numCache>
            </c:numRef>
          </c:val>
        </c:ser>
        <c:ser>
          <c:idx val="0"/>
          <c:order val="4"/>
          <c:tx>
            <c:strRef>
              <c:f>'B - CF (Stories #)'!$D$1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53920"/>
        <c:axId val="193921024"/>
      </c:areaChart>
      <c:catAx>
        <c:axId val="199153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3921024"/>
        <c:crosses val="autoZero"/>
        <c:auto val="1"/>
        <c:lblAlgn val="ctr"/>
        <c:lblOffset val="100"/>
        <c:noMultiLvlLbl val="0"/>
      </c:catAx>
      <c:valAx>
        <c:axId val="19392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153920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(Features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</c:numCache>
            </c:numRef>
          </c:val>
        </c:ser>
        <c:ser>
          <c:idx val="7"/>
          <c:order val="1"/>
          <c:tx>
            <c:strRef>
              <c:f>'B - CF (Features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(Features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(Features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(Features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4"/>
          <c:order val="4"/>
          <c:tx>
            <c:strRef>
              <c:f>'B - CF (Features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(Features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</c:numCache>
            </c:numRef>
          </c:val>
        </c:ser>
        <c:ser>
          <c:idx val="2"/>
          <c:order val="5"/>
          <c:tx>
            <c:strRef>
              <c:f>'B - CF (Features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val>
        </c:ser>
        <c:ser>
          <c:idx val="1"/>
          <c:order val="6"/>
          <c:tx>
            <c:strRef>
              <c:f>'B - CF (Features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val>
        </c:ser>
        <c:ser>
          <c:idx val="0"/>
          <c:order val="7"/>
          <c:tx>
            <c:strRef>
              <c:f>'B - CF (Features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77792"/>
        <c:axId val="199004160"/>
      </c:areaChart>
      <c:dateAx>
        <c:axId val="198977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9004160"/>
        <c:crosses val="autoZero"/>
        <c:auto val="1"/>
        <c:lblOffset val="100"/>
        <c:baseTimeUnit val="days"/>
      </c:dateAx>
      <c:valAx>
        <c:axId val="19900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97779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(Enablers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'B - CF (Enablers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(Enablers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(Enablers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(Enablers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'B - CF (Enablers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(Enablers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2"/>
          <c:order val="5"/>
          <c:tx>
            <c:strRef>
              <c:f>'B - CF (Enablers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'B - CF (Enablers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'B - CF (Enablers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38976"/>
        <c:axId val="200240512"/>
      </c:areaChart>
      <c:dateAx>
        <c:axId val="200238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0240512"/>
        <c:crosses val="autoZero"/>
        <c:auto val="1"/>
        <c:lblOffset val="100"/>
        <c:baseTimeUnit val="days"/>
      </c:dateAx>
      <c:valAx>
        <c:axId val="20024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238976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'B - CF (Stories SP)'!$H$1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(Stories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185</c:v>
                </c:pt>
                <c:pt idx="36">
                  <c:v>149</c:v>
                </c:pt>
                <c:pt idx="37">
                  <c:v>149</c:v>
                </c:pt>
                <c:pt idx="38">
                  <c:v>149</c:v>
                </c:pt>
                <c:pt idx="39">
                  <c:v>149</c:v>
                </c:pt>
                <c:pt idx="40">
                  <c:v>149</c:v>
                </c:pt>
                <c:pt idx="41">
                  <c:v>149</c:v>
                </c:pt>
                <c:pt idx="42">
                  <c:v>149</c:v>
                </c:pt>
                <c:pt idx="43">
                  <c:v>149</c:v>
                </c:pt>
                <c:pt idx="44">
                  <c:v>149</c:v>
                </c:pt>
                <c:pt idx="45">
                  <c:v>149</c:v>
                </c:pt>
                <c:pt idx="46">
                  <c:v>149</c:v>
                </c:pt>
                <c:pt idx="47">
                  <c:v>149</c:v>
                </c:pt>
                <c:pt idx="48">
                  <c:v>149</c:v>
                </c:pt>
                <c:pt idx="49">
                  <c:v>149</c:v>
                </c:pt>
              </c:numCache>
            </c:numRef>
          </c:val>
        </c:ser>
        <c:ser>
          <c:idx val="4"/>
          <c:order val="1"/>
          <c:tx>
            <c:strRef>
              <c:f>'B - CF (Stories SP)'!$G$1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(Stories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</c:numCache>
            </c:numRef>
          </c:val>
        </c:ser>
        <c:ser>
          <c:idx val="2"/>
          <c:order val="2"/>
          <c:tx>
            <c:strRef>
              <c:f>'B - CF (Stories SP)'!$F$1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</c:numCache>
            </c:numRef>
          </c:val>
        </c:ser>
        <c:ser>
          <c:idx val="1"/>
          <c:order val="3"/>
          <c:tx>
            <c:strRef>
              <c:f>'B - CF (Stories SP)'!$E$1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</c:numCache>
            </c:numRef>
          </c:val>
        </c:ser>
        <c:ser>
          <c:idx val="0"/>
          <c:order val="4"/>
          <c:tx>
            <c:strRef>
              <c:f>'B - CF (Stories SP)'!$D$1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80960"/>
        <c:axId val="199086848"/>
      </c:areaChart>
      <c:catAx>
        <c:axId val="199080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9086848"/>
        <c:crosses val="autoZero"/>
        <c:auto val="1"/>
        <c:lblAlgn val="ctr"/>
        <c:lblOffset val="100"/>
        <c:noMultiLvlLbl val="0"/>
      </c:catAx>
      <c:valAx>
        <c:axId val="19908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080960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3</xdr:row>
          <xdr:rowOff>152400</xdr:rowOff>
        </xdr:from>
        <xdr:to>
          <xdr:col>2</xdr:col>
          <xdr:colOff>238125</xdr:colOff>
          <xdr:row>5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2900" cy="342900"/>
    <xdr:pic>
      <xdr:nvPicPr>
        <xdr:cNvPr id="2" name="Picture 1" descr="COMPCORP - Metrics using Planning items (PI-4, Features and Enablers) (CITnet Jira)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2900" cy="342900"/>
    <xdr:pic>
      <xdr:nvPicPr>
        <xdr:cNvPr id="2" name="Picture 1" descr="CITnet Jira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342900</xdr:colOff>
      <xdr:row>1</xdr:row>
      <xdr:rowOff>0</xdr:rowOff>
    </xdr:to>
    <xdr:pic>
      <xdr:nvPicPr>
        <xdr:cNvPr id="2" name="Picture 1" descr="CITnet Jira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342900</xdr:colOff>
      <xdr:row>1</xdr:row>
      <xdr:rowOff>0</xdr:rowOff>
    </xdr:to>
    <xdr:pic>
      <xdr:nvPicPr>
        <xdr:cNvPr id="2" name="Picture 1" descr="CITnet Jira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342900</xdr:colOff>
      <xdr:row>1</xdr:row>
      <xdr:rowOff>0</xdr:rowOff>
    </xdr:to>
    <xdr:pic>
      <xdr:nvPicPr>
        <xdr:cNvPr id="2" name="Picture 1" descr="CITnet Jira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342900</xdr:colOff>
      <xdr:row>1</xdr:row>
      <xdr:rowOff>0</xdr:rowOff>
    </xdr:to>
    <xdr:pic>
      <xdr:nvPicPr>
        <xdr:cNvPr id="2" name="Picture 1" descr="CITnet Jira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669925</xdr:colOff>
      <xdr:row>36</xdr:row>
      <xdr:rowOff>155576</xdr:rowOff>
    </xdr:from>
    <xdr:to>
      <xdr:col>13</xdr:col>
      <xdr:colOff>647700</xdr:colOff>
      <xdr:row>52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666750</xdr:colOff>
      <xdr:row>53</xdr:row>
      <xdr:rowOff>152401</xdr:rowOff>
    </xdr:from>
    <xdr:to>
      <xdr:col>13</xdr:col>
      <xdr:colOff>666750</xdr:colOff>
      <xdr:row>69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36</xdr:row>
      <xdr:rowOff>171451</xdr:rowOff>
    </xdr:from>
    <xdr:to>
      <xdr:col>27</xdr:col>
      <xdr:colOff>669925</xdr:colOff>
      <xdr:row>52</xdr:row>
      <xdr:rowOff>171451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53</xdr:row>
      <xdr:rowOff>114300</xdr:rowOff>
    </xdr:from>
    <xdr:to>
      <xdr:col>27</xdr:col>
      <xdr:colOff>666750</xdr:colOff>
      <xdr:row>69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180975</xdr:colOff>
      <xdr:row>36</xdr:row>
      <xdr:rowOff>190499</xdr:rowOff>
    </xdr:from>
    <xdr:to>
      <xdr:col>42</xdr:col>
      <xdr:colOff>28575</xdr:colOff>
      <xdr:row>52</xdr:row>
      <xdr:rowOff>209548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203200</xdr:colOff>
      <xdr:row>53</xdr:row>
      <xdr:rowOff>95250</xdr:rowOff>
    </xdr:from>
    <xdr:to>
      <xdr:col>42</xdr:col>
      <xdr:colOff>57150</xdr:colOff>
      <xdr:row>69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57150</xdr:colOff>
      <xdr:row>2</xdr:row>
      <xdr:rowOff>38100</xdr:rowOff>
    </xdr:from>
    <xdr:to>
      <xdr:col>13</xdr:col>
      <xdr:colOff>666750</xdr:colOff>
      <xdr:row>35</xdr:row>
      <xdr:rowOff>182096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</xdr:colOff>
      <xdr:row>2</xdr:row>
      <xdr:rowOff>0</xdr:rowOff>
    </xdr:from>
    <xdr:to>
      <xdr:col>27</xdr:col>
      <xdr:colOff>609600</xdr:colOff>
      <xdr:row>35</xdr:row>
      <xdr:rowOff>177801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555624</xdr:colOff>
      <xdr:row>3</xdr:row>
      <xdr:rowOff>20108</xdr:rowOff>
    </xdr:from>
    <xdr:to>
      <xdr:col>16</xdr:col>
      <xdr:colOff>465666</xdr:colOff>
      <xdr:row>34</xdr:row>
      <xdr:rowOff>148166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1</xdr:row>
      <xdr:rowOff>107949</xdr:rowOff>
    </xdr:from>
    <xdr:to>
      <xdr:col>24</xdr:col>
      <xdr:colOff>141515</xdr:colOff>
      <xdr:row>16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800099</xdr:rowOff>
    </xdr:from>
    <xdr:to>
      <xdr:col>23</xdr:col>
      <xdr:colOff>314325</xdr:colOff>
      <xdr:row>33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800099</xdr:rowOff>
    </xdr:from>
    <xdr:to>
      <xdr:col>23</xdr:col>
      <xdr:colOff>314325</xdr:colOff>
      <xdr:row>33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14008</xdr:colOff>
      <xdr:row>36</xdr:row>
      <xdr:rowOff>182095</xdr:rowOff>
    </xdr:from>
    <xdr:to>
      <xdr:col>14</xdr:col>
      <xdr:colOff>14007</xdr:colOff>
      <xdr:row>52</xdr:row>
      <xdr:rowOff>42022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42023</xdr:colOff>
      <xdr:row>37</xdr:row>
      <xdr:rowOff>-1</xdr:rowOff>
    </xdr:from>
    <xdr:to>
      <xdr:col>28</xdr:col>
      <xdr:colOff>0</xdr:colOff>
      <xdr:row>52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37</xdr:row>
      <xdr:rowOff>14007</xdr:rowOff>
    </xdr:from>
    <xdr:to>
      <xdr:col>41</xdr:col>
      <xdr:colOff>672353</xdr:colOff>
      <xdr:row>52</xdr:row>
      <xdr:rowOff>1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182095</xdr:rowOff>
    </xdr:from>
    <xdr:to>
      <xdr:col>14</xdr:col>
      <xdr:colOff>0</xdr:colOff>
      <xdr:row>68</xdr:row>
      <xdr:rowOff>168089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14008</xdr:colOff>
      <xdr:row>53</xdr:row>
      <xdr:rowOff>182096</xdr:rowOff>
    </xdr:from>
    <xdr:to>
      <xdr:col>28</xdr:col>
      <xdr:colOff>14008</xdr:colOff>
      <xdr:row>69</xdr:row>
      <xdr:rowOff>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224119</xdr:colOff>
      <xdr:row>53</xdr:row>
      <xdr:rowOff>182096</xdr:rowOff>
    </xdr:from>
    <xdr:to>
      <xdr:col>42</xdr:col>
      <xdr:colOff>28016</xdr:colOff>
      <xdr:row>68</xdr:row>
      <xdr:rowOff>182096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14008</xdr:colOff>
      <xdr:row>2</xdr:row>
      <xdr:rowOff>0</xdr:rowOff>
    </xdr:from>
    <xdr:to>
      <xdr:col>14</xdr:col>
      <xdr:colOff>0</xdr:colOff>
      <xdr:row>35</xdr:row>
      <xdr:rowOff>182095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196104</xdr:colOff>
      <xdr:row>2</xdr:row>
      <xdr:rowOff>-1</xdr:rowOff>
    </xdr:from>
    <xdr:to>
      <xdr:col>26</xdr:col>
      <xdr:colOff>560294</xdr:colOff>
      <xdr:row>21</xdr:row>
      <xdr:rowOff>52294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5290</xdr:colOff>
      <xdr:row>1</xdr:row>
      <xdr:rowOff>189442</xdr:rowOff>
    </xdr:from>
    <xdr:to>
      <xdr:col>15</xdr:col>
      <xdr:colOff>751416</xdr:colOff>
      <xdr:row>31</xdr:row>
      <xdr:rowOff>190500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1</xdr:row>
      <xdr:rowOff>126999</xdr:rowOff>
    </xdr:from>
    <xdr:to>
      <xdr:col>23</xdr:col>
      <xdr:colOff>408215</xdr:colOff>
      <xdr:row>16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800099</xdr:rowOff>
    </xdr:from>
    <xdr:to>
      <xdr:col>23</xdr:col>
      <xdr:colOff>314325</xdr:colOff>
      <xdr:row>33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800099</xdr:rowOff>
    </xdr:from>
    <xdr:to>
      <xdr:col>23</xdr:col>
      <xdr:colOff>314325</xdr:colOff>
      <xdr:row>33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14008</xdr:colOff>
      <xdr:row>36</xdr:row>
      <xdr:rowOff>182095</xdr:rowOff>
    </xdr:from>
    <xdr:to>
      <xdr:col>14</xdr:col>
      <xdr:colOff>14007</xdr:colOff>
      <xdr:row>52</xdr:row>
      <xdr:rowOff>42022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42023</xdr:colOff>
      <xdr:row>37</xdr:row>
      <xdr:rowOff>-1</xdr:rowOff>
    </xdr:from>
    <xdr:to>
      <xdr:col>28</xdr:col>
      <xdr:colOff>0</xdr:colOff>
      <xdr:row>52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37</xdr:row>
      <xdr:rowOff>14007</xdr:rowOff>
    </xdr:from>
    <xdr:to>
      <xdr:col>41</xdr:col>
      <xdr:colOff>672353</xdr:colOff>
      <xdr:row>52</xdr:row>
      <xdr:rowOff>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182095</xdr:rowOff>
    </xdr:from>
    <xdr:to>
      <xdr:col>14</xdr:col>
      <xdr:colOff>0</xdr:colOff>
      <xdr:row>68</xdr:row>
      <xdr:rowOff>168089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14008</xdr:colOff>
      <xdr:row>53</xdr:row>
      <xdr:rowOff>182096</xdr:rowOff>
    </xdr:from>
    <xdr:to>
      <xdr:col>28</xdr:col>
      <xdr:colOff>14008</xdr:colOff>
      <xdr:row>69</xdr:row>
      <xdr:rowOff>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224119</xdr:colOff>
      <xdr:row>53</xdr:row>
      <xdr:rowOff>182096</xdr:rowOff>
    </xdr:from>
    <xdr:to>
      <xdr:col>42</xdr:col>
      <xdr:colOff>28016</xdr:colOff>
      <xdr:row>68</xdr:row>
      <xdr:rowOff>182096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14008</xdr:colOff>
      <xdr:row>2</xdr:row>
      <xdr:rowOff>0</xdr:rowOff>
    </xdr:from>
    <xdr:to>
      <xdr:col>14</xdr:col>
      <xdr:colOff>0</xdr:colOff>
      <xdr:row>35</xdr:row>
      <xdr:rowOff>182095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28016</xdr:colOff>
      <xdr:row>1</xdr:row>
      <xdr:rowOff>252133</xdr:rowOff>
    </xdr:from>
    <xdr:to>
      <xdr:col>28</xdr:col>
      <xdr:colOff>0</xdr:colOff>
      <xdr:row>21</xdr:row>
      <xdr:rowOff>38288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5290</xdr:colOff>
      <xdr:row>1</xdr:row>
      <xdr:rowOff>189442</xdr:rowOff>
    </xdr:from>
    <xdr:to>
      <xdr:col>15</xdr:col>
      <xdr:colOff>751416</xdr:colOff>
      <xdr:row>31</xdr:row>
      <xdr:rowOff>190500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1</xdr:row>
      <xdr:rowOff>126999</xdr:rowOff>
    </xdr:from>
    <xdr:to>
      <xdr:col>23</xdr:col>
      <xdr:colOff>408215</xdr:colOff>
      <xdr:row>15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800099</xdr:rowOff>
    </xdr:from>
    <xdr:to>
      <xdr:col>23</xdr:col>
      <xdr:colOff>314325</xdr:colOff>
      <xdr:row>33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800099</xdr:rowOff>
    </xdr:from>
    <xdr:to>
      <xdr:col>23</xdr:col>
      <xdr:colOff>314325</xdr:colOff>
      <xdr:row>33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ghaol\AppData\Local\Microsoft\Windows\Temporary%20Internet%20Files\Content.Outlook\1491M099\Burndown_Sample_Cla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ource Allocation"/>
      <sheetName val="Burn Down Chart"/>
      <sheetName val="Burn Down"/>
      <sheetName val="Release Burn Down"/>
      <sheetName val="Actual Allocation"/>
      <sheetName val="Sprint Information"/>
      <sheetName val="Burndown_Sample_Clay"/>
    </sheetNames>
    <sheetDataSet>
      <sheetData sheetId="0">
        <row r="2">
          <cell r="B2" t="str">
            <v>Resource</v>
          </cell>
        </row>
        <row r="3">
          <cell r="B3" t="str">
            <v>Amy</v>
          </cell>
        </row>
        <row r="4">
          <cell r="B4" t="str">
            <v>Bob</v>
          </cell>
        </row>
        <row r="5">
          <cell r="B5" t="str">
            <v>Ralph</v>
          </cell>
        </row>
        <row r="6">
          <cell r="B6" t="str">
            <v>Susan</v>
          </cell>
        </row>
        <row r="7">
          <cell r="B7" t="str">
            <v>Thom</v>
          </cell>
        </row>
        <row r="8">
          <cell r="B8" t="str">
            <v>Tim</v>
          </cell>
        </row>
        <row r="9">
          <cell r="B9" t="str">
            <v xml:space="preserve">Days Remaining </v>
          </cell>
          <cell r="C9">
            <v>56.090909090909093</v>
          </cell>
          <cell r="D9">
            <v>49.275757575757581</v>
          </cell>
          <cell r="E9">
            <v>46.325757575757578</v>
          </cell>
          <cell r="F9">
            <v>36.545454545454547</v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  <cell r="AJ9" t="str">
            <v/>
          </cell>
          <cell r="AK9" t="str">
            <v/>
          </cell>
          <cell r="AL9" t="str">
            <v/>
          </cell>
          <cell r="AM9" t="str">
            <v/>
          </cell>
          <cell r="AN9" t="str">
            <v/>
          </cell>
          <cell r="AO9" t="str">
            <v/>
          </cell>
          <cell r="AP9" t="str">
            <v/>
          </cell>
          <cell r="AQ9" t="str">
            <v/>
          </cell>
          <cell r="AR9" t="str">
            <v/>
          </cell>
          <cell r="AS9" t="str">
            <v/>
          </cell>
          <cell r="AT9" t="str">
            <v/>
          </cell>
          <cell r="AU9" t="str">
            <v/>
          </cell>
          <cell r="AV9" t="str">
            <v/>
          </cell>
          <cell r="AW9" t="str">
            <v/>
          </cell>
          <cell r="AX9" t="str">
            <v/>
          </cell>
          <cell r="AY9" t="str">
            <v/>
          </cell>
          <cell r="AZ9" t="str">
            <v/>
          </cell>
          <cell r="BA9" t="str">
            <v/>
          </cell>
          <cell r="BB9" t="str">
            <v/>
          </cell>
          <cell r="BC9" t="str">
            <v/>
          </cell>
          <cell r="BD9" t="str">
            <v/>
          </cell>
          <cell r="BE9" t="str">
            <v/>
          </cell>
          <cell r="BF9" t="str">
            <v/>
          </cell>
          <cell r="BG9" t="str">
            <v/>
          </cell>
          <cell r="BH9" t="str">
            <v/>
          </cell>
          <cell r="BI9" t="str">
            <v/>
          </cell>
          <cell r="BJ9" t="str">
            <v/>
          </cell>
          <cell r="BK9" t="str">
            <v/>
          </cell>
          <cell r="BL9" t="str">
            <v/>
          </cell>
          <cell r="BM9" t="str">
            <v/>
          </cell>
          <cell r="BN9" t="str">
            <v/>
          </cell>
          <cell r="BO9" t="str">
            <v/>
          </cell>
          <cell r="BP9" t="str">
            <v/>
          </cell>
          <cell r="BQ9" t="str">
            <v/>
          </cell>
          <cell r="BR9" t="str">
            <v/>
          </cell>
          <cell r="BS9" t="str">
            <v/>
          </cell>
          <cell r="BT9" t="str">
            <v/>
          </cell>
          <cell r="BU9" t="str">
            <v/>
          </cell>
          <cell r="BV9" t="str">
            <v/>
          </cell>
          <cell r="BW9" t="str">
            <v/>
          </cell>
          <cell r="BX9" t="str">
            <v/>
          </cell>
          <cell r="BY9" t="str">
            <v/>
          </cell>
          <cell r="BZ9" t="str">
            <v/>
          </cell>
          <cell r="CA9" t="str">
            <v/>
          </cell>
          <cell r="CB9" t="str">
            <v/>
          </cell>
          <cell r="CC9" t="str">
            <v/>
          </cell>
          <cell r="CD9" t="str">
            <v/>
          </cell>
          <cell r="CE9" t="str">
            <v/>
          </cell>
          <cell r="CF9" t="str">
            <v/>
          </cell>
          <cell r="CG9" t="str">
            <v/>
          </cell>
          <cell r="CH9" t="str">
            <v/>
          </cell>
          <cell r="CI9" t="str">
            <v/>
          </cell>
          <cell r="CJ9" t="str">
            <v/>
          </cell>
          <cell r="CK9" t="str">
            <v/>
          </cell>
          <cell r="CL9" t="str">
            <v/>
          </cell>
          <cell r="CM9" t="str">
            <v/>
          </cell>
          <cell r="CN9" t="str">
            <v/>
          </cell>
          <cell r="CO9" t="str">
            <v/>
          </cell>
          <cell r="CP9" t="str">
            <v/>
          </cell>
          <cell r="CQ9" t="str">
            <v/>
          </cell>
          <cell r="CR9" t="str">
            <v/>
          </cell>
          <cell r="CS9" t="str">
            <v/>
          </cell>
          <cell r="CT9" t="str">
            <v/>
          </cell>
          <cell r="CU9" t="str">
            <v/>
          </cell>
          <cell r="CV9" t="str">
            <v/>
          </cell>
          <cell r="CW9" t="str">
            <v/>
          </cell>
          <cell r="CX9" t="str">
            <v/>
          </cell>
          <cell r="CY9" t="str">
            <v/>
          </cell>
          <cell r="CZ9" t="str">
            <v/>
          </cell>
          <cell r="DA9" t="str">
            <v/>
          </cell>
        </row>
      </sheetData>
      <sheetData sheetId="1" refreshError="1"/>
      <sheetData sheetId="2">
        <row r="1">
          <cell r="F1" t="str">
            <v>Postponed</v>
          </cell>
        </row>
      </sheetData>
      <sheetData sheetId="3"/>
      <sheetData sheetId="4">
        <row r="2">
          <cell r="A2" t="str">
            <v>Resource</v>
          </cell>
        </row>
        <row r="3">
          <cell r="A3" t="str">
            <v>Amy</v>
          </cell>
          <cell r="D3">
            <v>9</v>
          </cell>
          <cell r="E3">
            <v>8.6999999999999993</v>
          </cell>
          <cell r="F3">
            <v>8</v>
          </cell>
          <cell r="G3">
            <v>7</v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  <cell r="AF3" t="str">
            <v/>
          </cell>
          <cell r="AG3" t="str">
            <v/>
          </cell>
          <cell r="AH3" t="str">
            <v/>
          </cell>
          <cell r="AI3" t="str">
            <v/>
          </cell>
          <cell r="AJ3" t="str">
            <v/>
          </cell>
          <cell r="AK3" t="str">
            <v/>
          </cell>
          <cell r="AL3" t="str">
            <v/>
          </cell>
          <cell r="AM3" t="str">
            <v/>
          </cell>
          <cell r="AN3" t="str">
            <v/>
          </cell>
          <cell r="AO3" t="str">
            <v/>
          </cell>
          <cell r="AP3" t="str">
            <v/>
          </cell>
          <cell r="AQ3" t="str">
            <v/>
          </cell>
          <cell r="AR3" t="str">
            <v/>
          </cell>
          <cell r="AS3" t="str">
            <v/>
          </cell>
          <cell r="AT3" t="str">
            <v/>
          </cell>
          <cell r="AU3" t="str">
            <v/>
          </cell>
          <cell r="AV3" t="str">
            <v/>
          </cell>
          <cell r="AW3" t="str">
            <v/>
          </cell>
          <cell r="AX3" t="str">
            <v/>
          </cell>
          <cell r="AY3" t="str">
            <v/>
          </cell>
          <cell r="AZ3" t="str">
            <v/>
          </cell>
          <cell r="BA3" t="str">
            <v/>
          </cell>
          <cell r="BB3" t="str">
            <v/>
          </cell>
          <cell r="BC3" t="str">
            <v/>
          </cell>
          <cell r="BD3" t="str">
            <v/>
          </cell>
          <cell r="BE3" t="str">
            <v/>
          </cell>
          <cell r="BF3" t="str">
            <v/>
          </cell>
          <cell r="BG3" t="str">
            <v/>
          </cell>
          <cell r="BH3" t="str">
            <v/>
          </cell>
          <cell r="BI3" t="str">
            <v/>
          </cell>
          <cell r="BJ3" t="str">
            <v/>
          </cell>
          <cell r="BK3" t="str">
            <v/>
          </cell>
          <cell r="BL3" t="str">
            <v/>
          </cell>
          <cell r="BM3" t="str">
            <v/>
          </cell>
          <cell r="BN3" t="str">
            <v/>
          </cell>
          <cell r="BO3" t="str">
            <v/>
          </cell>
          <cell r="BP3" t="str">
            <v/>
          </cell>
          <cell r="BQ3" t="str">
            <v/>
          </cell>
          <cell r="BR3" t="str">
            <v/>
          </cell>
          <cell r="BS3" t="str">
            <v/>
          </cell>
          <cell r="BT3" t="str">
            <v/>
          </cell>
          <cell r="BU3" t="str">
            <v/>
          </cell>
          <cell r="BV3" t="str">
            <v/>
          </cell>
          <cell r="BW3" t="str">
            <v/>
          </cell>
          <cell r="BX3" t="str">
            <v/>
          </cell>
          <cell r="BY3" t="str">
            <v/>
          </cell>
          <cell r="BZ3" t="str">
            <v/>
          </cell>
          <cell r="CA3" t="str">
            <v/>
          </cell>
          <cell r="CB3" t="str">
            <v/>
          </cell>
          <cell r="CC3" t="str">
            <v/>
          </cell>
          <cell r="CD3" t="str">
            <v/>
          </cell>
          <cell r="CE3" t="str">
            <v/>
          </cell>
          <cell r="CF3" t="str">
            <v/>
          </cell>
          <cell r="CG3" t="str">
            <v/>
          </cell>
          <cell r="CH3" t="str">
            <v/>
          </cell>
          <cell r="CI3" t="str">
            <v/>
          </cell>
          <cell r="CJ3" t="str">
            <v/>
          </cell>
          <cell r="CK3" t="str">
            <v/>
          </cell>
          <cell r="CL3" t="str">
            <v/>
          </cell>
          <cell r="CM3" t="str">
            <v/>
          </cell>
          <cell r="CN3" t="str">
            <v/>
          </cell>
          <cell r="CO3" t="str">
            <v/>
          </cell>
          <cell r="CP3" t="str">
            <v/>
          </cell>
          <cell r="CQ3" t="str">
            <v/>
          </cell>
          <cell r="CR3" t="str">
            <v/>
          </cell>
          <cell r="CS3" t="str">
            <v/>
          </cell>
          <cell r="CT3" t="str">
            <v/>
          </cell>
          <cell r="CU3" t="str">
            <v/>
          </cell>
          <cell r="CV3" t="str">
            <v/>
          </cell>
          <cell r="CW3" t="str">
            <v/>
          </cell>
          <cell r="CX3" t="str">
            <v/>
          </cell>
          <cell r="CY3" t="str">
            <v/>
          </cell>
          <cell r="CZ3" t="str">
            <v/>
          </cell>
          <cell r="DA3" t="str">
            <v/>
          </cell>
          <cell r="DB3" t="str">
            <v/>
          </cell>
        </row>
        <row r="4">
          <cell r="A4" t="str">
            <v>Bob</v>
          </cell>
          <cell r="D4">
            <v>9</v>
          </cell>
          <cell r="E4">
            <v>9</v>
          </cell>
          <cell r="F4">
            <v>8.5</v>
          </cell>
          <cell r="G4">
            <v>6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 t="str">
            <v/>
          </cell>
          <cell r="AE4" t="str">
            <v/>
          </cell>
          <cell r="AF4" t="str">
            <v/>
          </cell>
          <cell r="AG4" t="str">
            <v/>
          </cell>
          <cell r="AH4" t="str">
            <v/>
          </cell>
          <cell r="AI4" t="str">
            <v/>
          </cell>
          <cell r="AJ4" t="str">
            <v/>
          </cell>
          <cell r="AK4" t="str">
            <v/>
          </cell>
          <cell r="AL4" t="str">
            <v/>
          </cell>
          <cell r="AM4" t="str">
            <v/>
          </cell>
          <cell r="AN4" t="str">
            <v/>
          </cell>
          <cell r="AO4" t="str">
            <v/>
          </cell>
          <cell r="AP4" t="str">
            <v/>
          </cell>
          <cell r="AQ4" t="str">
            <v/>
          </cell>
          <cell r="AR4" t="str">
            <v/>
          </cell>
          <cell r="AS4" t="str">
            <v/>
          </cell>
          <cell r="AT4" t="str">
            <v/>
          </cell>
          <cell r="AU4" t="str">
            <v/>
          </cell>
          <cell r="AV4" t="str">
            <v/>
          </cell>
          <cell r="AW4" t="str">
            <v/>
          </cell>
          <cell r="AX4" t="str">
            <v/>
          </cell>
          <cell r="AY4" t="str">
            <v/>
          </cell>
          <cell r="AZ4" t="str">
            <v/>
          </cell>
          <cell r="BA4" t="str">
            <v/>
          </cell>
          <cell r="BB4" t="str">
            <v/>
          </cell>
          <cell r="BC4" t="str">
            <v/>
          </cell>
          <cell r="BD4" t="str">
            <v/>
          </cell>
          <cell r="BE4" t="str">
            <v/>
          </cell>
          <cell r="BF4" t="str">
            <v/>
          </cell>
          <cell r="BG4" t="str">
            <v/>
          </cell>
          <cell r="BH4" t="str">
            <v/>
          </cell>
          <cell r="BI4" t="str">
            <v/>
          </cell>
          <cell r="BJ4" t="str">
            <v/>
          </cell>
          <cell r="BK4" t="str">
            <v/>
          </cell>
          <cell r="BL4" t="str">
            <v/>
          </cell>
          <cell r="BM4" t="str">
            <v/>
          </cell>
          <cell r="BN4" t="str">
            <v/>
          </cell>
          <cell r="BO4" t="str">
            <v/>
          </cell>
          <cell r="BP4" t="str">
            <v/>
          </cell>
          <cell r="BQ4" t="str">
            <v/>
          </cell>
          <cell r="BR4" t="str">
            <v/>
          </cell>
          <cell r="BS4" t="str">
            <v/>
          </cell>
          <cell r="BT4" t="str">
            <v/>
          </cell>
          <cell r="BU4" t="str">
            <v/>
          </cell>
          <cell r="BV4" t="str">
            <v/>
          </cell>
          <cell r="BW4" t="str">
            <v/>
          </cell>
          <cell r="BX4" t="str">
            <v/>
          </cell>
          <cell r="BY4" t="str">
            <v/>
          </cell>
          <cell r="BZ4" t="str">
            <v/>
          </cell>
          <cell r="CA4" t="str">
            <v/>
          </cell>
          <cell r="CB4" t="str">
            <v/>
          </cell>
          <cell r="CC4" t="str">
            <v/>
          </cell>
          <cell r="CD4" t="str">
            <v/>
          </cell>
          <cell r="CE4" t="str">
            <v/>
          </cell>
          <cell r="CF4" t="str">
            <v/>
          </cell>
          <cell r="CG4" t="str">
            <v/>
          </cell>
          <cell r="CH4" t="str">
            <v/>
          </cell>
          <cell r="CI4" t="str">
            <v/>
          </cell>
          <cell r="CJ4" t="str">
            <v/>
          </cell>
          <cell r="CK4" t="str">
            <v/>
          </cell>
          <cell r="CL4" t="str">
            <v/>
          </cell>
          <cell r="CM4" t="str">
            <v/>
          </cell>
          <cell r="CN4" t="str">
            <v/>
          </cell>
          <cell r="CO4" t="str">
            <v/>
          </cell>
          <cell r="CP4" t="str">
            <v/>
          </cell>
          <cell r="CQ4" t="str">
            <v/>
          </cell>
          <cell r="CR4" t="str">
            <v/>
          </cell>
          <cell r="CS4" t="str">
            <v/>
          </cell>
          <cell r="CT4" t="str">
            <v/>
          </cell>
          <cell r="CU4" t="str">
            <v/>
          </cell>
          <cell r="CV4" t="str">
            <v/>
          </cell>
          <cell r="CW4" t="str">
            <v/>
          </cell>
          <cell r="CX4" t="str">
            <v/>
          </cell>
          <cell r="CY4" t="str">
            <v/>
          </cell>
          <cell r="CZ4" t="str">
            <v/>
          </cell>
          <cell r="DA4" t="str">
            <v/>
          </cell>
          <cell r="DB4" t="str">
            <v/>
          </cell>
        </row>
        <row r="5">
          <cell r="A5" t="str">
            <v>Ralph</v>
          </cell>
          <cell r="D5">
            <v>9</v>
          </cell>
          <cell r="E5">
            <v>8</v>
          </cell>
          <cell r="F5">
            <v>7.25</v>
          </cell>
          <cell r="G5">
            <v>6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  <cell r="AI5" t="str">
            <v/>
          </cell>
          <cell r="AJ5" t="str">
            <v/>
          </cell>
          <cell r="AK5" t="str">
            <v/>
          </cell>
          <cell r="AL5" t="str">
            <v/>
          </cell>
          <cell r="AM5" t="str">
            <v/>
          </cell>
          <cell r="AN5" t="str">
            <v/>
          </cell>
          <cell r="AO5" t="str">
            <v/>
          </cell>
          <cell r="AP5" t="str">
            <v/>
          </cell>
          <cell r="AQ5" t="str">
            <v/>
          </cell>
          <cell r="AR5" t="str">
            <v/>
          </cell>
          <cell r="AS5" t="str">
            <v/>
          </cell>
          <cell r="AT5" t="str">
            <v/>
          </cell>
          <cell r="AU5" t="str">
            <v/>
          </cell>
          <cell r="AV5" t="str">
            <v/>
          </cell>
          <cell r="AW5" t="str">
            <v/>
          </cell>
          <cell r="AX5" t="str">
            <v/>
          </cell>
          <cell r="AY5" t="str">
            <v/>
          </cell>
          <cell r="AZ5" t="str">
            <v/>
          </cell>
          <cell r="BA5" t="str">
            <v/>
          </cell>
          <cell r="BB5" t="str">
            <v/>
          </cell>
          <cell r="BC5" t="str">
            <v/>
          </cell>
          <cell r="BD5" t="str">
            <v/>
          </cell>
          <cell r="BE5" t="str">
            <v/>
          </cell>
          <cell r="BF5" t="str">
            <v/>
          </cell>
          <cell r="BG5" t="str">
            <v/>
          </cell>
          <cell r="BH5" t="str">
            <v/>
          </cell>
          <cell r="BI5" t="str">
            <v/>
          </cell>
          <cell r="BJ5" t="str">
            <v/>
          </cell>
          <cell r="BK5" t="str">
            <v/>
          </cell>
          <cell r="BL5" t="str">
            <v/>
          </cell>
          <cell r="BM5" t="str">
            <v/>
          </cell>
          <cell r="BN5" t="str">
            <v/>
          </cell>
          <cell r="BO5" t="str">
            <v/>
          </cell>
          <cell r="BP5" t="str">
            <v/>
          </cell>
          <cell r="BQ5" t="str">
            <v/>
          </cell>
          <cell r="BR5" t="str">
            <v/>
          </cell>
          <cell r="BS5" t="str">
            <v/>
          </cell>
          <cell r="BT5" t="str">
            <v/>
          </cell>
          <cell r="BU5" t="str">
            <v/>
          </cell>
          <cell r="BV5" t="str">
            <v/>
          </cell>
          <cell r="BW5" t="str">
            <v/>
          </cell>
          <cell r="BX5" t="str">
            <v/>
          </cell>
          <cell r="BY5" t="str">
            <v/>
          </cell>
          <cell r="BZ5" t="str">
            <v/>
          </cell>
          <cell r="CA5" t="str">
            <v/>
          </cell>
          <cell r="CB5" t="str">
            <v/>
          </cell>
          <cell r="CC5" t="str">
            <v/>
          </cell>
          <cell r="CD5" t="str">
            <v/>
          </cell>
          <cell r="CE5" t="str">
            <v/>
          </cell>
          <cell r="CF5" t="str">
            <v/>
          </cell>
          <cell r="CG5" t="str">
            <v/>
          </cell>
          <cell r="CH5" t="str">
            <v/>
          </cell>
          <cell r="CI5" t="str">
            <v/>
          </cell>
          <cell r="CJ5" t="str">
            <v/>
          </cell>
          <cell r="CK5" t="str">
            <v/>
          </cell>
          <cell r="CL5" t="str">
            <v/>
          </cell>
          <cell r="CM5" t="str">
            <v/>
          </cell>
          <cell r="CN5" t="str">
            <v/>
          </cell>
          <cell r="CO5" t="str">
            <v/>
          </cell>
          <cell r="CP5" t="str">
            <v/>
          </cell>
          <cell r="CQ5" t="str">
            <v/>
          </cell>
          <cell r="CR5" t="str">
            <v/>
          </cell>
          <cell r="CS5" t="str">
            <v/>
          </cell>
          <cell r="CT5" t="str">
            <v/>
          </cell>
          <cell r="CU5" t="str">
            <v/>
          </cell>
          <cell r="CV5" t="str">
            <v/>
          </cell>
          <cell r="CW5" t="str">
            <v/>
          </cell>
          <cell r="CX5" t="str">
            <v/>
          </cell>
          <cell r="CY5" t="str">
            <v/>
          </cell>
          <cell r="CZ5" t="str">
            <v/>
          </cell>
          <cell r="DA5" t="str">
            <v/>
          </cell>
          <cell r="DB5" t="str">
            <v/>
          </cell>
        </row>
        <row r="6">
          <cell r="A6" t="str">
            <v>Susan</v>
          </cell>
          <cell r="D6">
            <v>11</v>
          </cell>
          <cell r="E6">
            <v>10</v>
          </cell>
          <cell r="F6">
            <v>9</v>
          </cell>
          <cell r="G6">
            <v>8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  <cell r="AI6" t="str">
            <v/>
          </cell>
          <cell r="AJ6" t="str">
            <v/>
          </cell>
          <cell r="AK6" t="str">
            <v/>
          </cell>
          <cell r="AL6" t="str">
            <v/>
          </cell>
          <cell r="AM6" t="str">
            <v/>
          </cell>
          <cell r="AN6" t="str">
            <v/>
          </cell>
          <cell r="AO6" t="str">
            <v/>
          </cell>
          <cell r="AP6" t="str">
            <v/>
          </cell>
          <cell r="AQ6" t="str">
            <v/>
          </cell>
          <cell r="AR6" t="str">
            <v/>
          </cell>
          <cell r="AS6" t="str">
            <v/>
          </cell>
          <cell r="AT6" t="str">
            <v/>
          </cell>
          <cell r="AU6" t="str">
            <v/>
          </cell>
          <cell r="AV6" t="str">
            <v/>
          </cell>
          <cell r="AW6" t="str">
            <v/>
          </cell>
          <cell r="AX6" t="str">
            <v/>
          </cell>
          <cell r="AY6" t="str">
            <v/>
          </cell>
          <cell r="AZ6" t="str">
            <v/>
          </cell>
          <cell r="BA6" t="str">
            <v/>
          </cell>
          <cell r="BB6" t="str">
            <v/>
          </cell>
          <cell r="BC6" t="str">
            <v/>
          </cell>
          <cell r="BD6" t="str">
            <v/>
          </cell>
          <cell r="BE6" t="str">
            <v/>
          </cell>
          <cell r="BF6" t="str">
            <v/>
          </cell>
          <cell r="BG6" t="str">
            <v/>
          </cell>
          <cell r="BH6" t="str">
            <v/>
          </cell>
          <cell r="BI6" t="str">
            <v/>
          </cell>
          <cell r="BJ6" t="str">
            <v/>
          </cell>
          <cell r="BK6" t="str">
            <v/>
          </cell>
          <cell r="BL6" t="str">
            <v/>
          </cell>
          <cell r="BM6" t="str">
            <v/>
          </cell>
          <cell r="BN6" t="str">
            <v/>
          </cell>
          <cell r="BO6" t="str">
            <v/>
          </cell>
          <cell r="BP6" t="str">
            <v/>
          </cell>
          <cell r="BQ6" t="str">
            <v/>
          </cell>
          <cell r="BR6" t="str">
            <v/>
          </cell>
          <cell r="BS6" t="str">
            <v/>
          </cell>
          <cell r="BT6" t="str">
            <v/>
          </cell>
          <cell r="BU6" t="str">
            <v/>
          </cell>
          <cell r="BV6" t="str">
            <v/>
          </cell>
          <cell r="BW6" t="str">
            <v/>
          </cell>
          <cell r="BX6" t="str">
            <v/>
          </cell>
          <cell r="BY6" t="str">
            <v/>
          </cell>
          <cell r="BZ6" t="str">
            <v/>
          </cell>
          <cell r="CA6" t="str">
            <v/>
          </cell>
          <cell r="CB6" t="str">
            <v/>
          </cell>
          <cell r="CC6" t="str">
            <v/>
          </cell>
          <cell r="CD6" t="str">
            <v/>
          </cell>
          <cell r="CE6" t="str">
            <v/>
          </cell>
          <cell r="CF6" t="str">
            <v/>
          </cell>
          <cell r="CG6" t="str">
            <v/>
          </cell>
          <cell r="CH6" t="str">
            <v/>
          </cell>
          <cell r="CI6" t="str">
            <v/>
          </cell>
          <cell r="CJ6" t="str">
            <v/>
          </cell>
          <cell r="CK6" t="str">
            <v/>
          </cell>
          <cell r="CL6" t="str">
            <v/>
          </cell>
          <cell r="CM6" t="str">
            <v/>
          </cell>
          <cell r="CN6" t="str">
            <v/>
          </cell>
          <cell r="CO6" t="str">
            <v/>
          </cell>
          <cell r="CP6" t="str">
            <v/>
          </cell>
          <cell r="CQ6" t="str">
            <v/>
          </cell>
          <cell r="CR6" t="str">
            <v/>
          </cell>
          <cell r="CS6" t="str">
            <v/>
          </cell>
          <cell r="CT6" t="str">
            <v/>
          </cell>
          <cell r="CU6" t="str">
            <v/>
          </cell>
          <cell r="CV6" t="str">
            <v/>
          </cell>
          <cell r="CW6" t="str">
            <v/>
          </cell>
          <cell r="CX6" t="str">
            <v/>
          </cell>
          <cell r="CY6" t="str">
            <v/>
          </cell>
          <cell r="CZ6" t="str">
            <v/>
          </cell>
          <cell r="DA6" t="str">
            <v/>
          </cell>
          <cell r="DB6" t="str">
            <v/>
          </cell>
        </row>
        <row r="7">
          <cell r="A7" t="str">
            <v>Thom</v>
          </cell>
          <cell r="D7">
            <v>3</v>
          </cell>
          <cell r="E7">
            <v>2.5</v>
          </cell>
          <cell r="F7">
            <v>2.5</v>
          </cell>
          <cell r="G7">
            <v>1.5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  <cell r="AI7" t="str">
            <v/>
          </cell>
          <cell r="AJ7" t="str">
            <v/>
          </cell>
          <cell r="AK7" t="str">
            <v/>
          </cell>
          <cell r="AL7" t="str">
            <v/>
          </cell>
          <cell r="AM7" t="str">
            <v/>
          </cell>
          <cell r="AN7" t="str">
            <v/>
          </cell>
          <cell r="AO7" t="str">
            <v/>
          </cell>
          <cell r="AP7" t="str">
            <v/>
          </cell>
          <cell r="AQ7" t="str">
            <v/>
          </cell>
          <cell r="AR7" t="str">
            <v/>
          </cell>
          <cell r="AS7" t="str">
            <v/>
          </cell>
          <cell r="AT7" t="str">
            <v/>
          </cell>
          <cell r="AU7" t="str">
            <v/>
          </cell>
          <cell r="AV7" t="str">
            <v/>
          </cell>
          <cell r="AW7" t="str">
            <v/>
          </cell>
          <cell r="AX7" t="str">
            <v/>
          </cell>
          <cell r="AY7" t="str">
            <v/>
          </cell>
          <cell r="AZ7" t="str">
            <v/>
          </cell>
          <cell r="BA7" t="str">
            <v/>
          </cell>
          <cell r="BB7" t="str">
            <v/>
          </cell>
          <cell r="BC7" t="str">
            <v/>
          </cell>
          <cell r="BD7" t="str">
            <v/>
          </cell>
          <cell r="BE7" t="str">
            <v/>
          </cell>
          <cell r="BF7" t="str">
            <v/>
          </cell>
          <cell r="BG7" t="str">
            <v/>
          </cell>
          <cell r="BH7" t="str">
            <v/>
          </cell>
          <cell r="BI7" t="str">
            <v/>
          </cell>
          <cell r="BJ7" t="str">
            <v/>
          </cell>
          <cell r="BK7" t="str">
            <v/>
          </cell>
          <cell r="BL7" t="str">
            <v/>
          </cell>
          <cell r="BM7" t="str">
            <v/>
          </cell>
          <cell r="BN7" t="str">
            <v/>
          </cell>
          <cell r="BO7" t="str">
            <v/>
          </cell>
          <cell r="BP7" t="str">
            <v/>
          </cell>
          <cell r="BQ7" t="str">
            <v/>
          </cell>
          <cell r="BR7" t="str">
            <v/>
          </cell>
          <cell r="BS7" t="str">
            <v/>
          </cell>
          <cell r="BT7" t="str">
            <v/>
          </cell>
          <cell r="BU7" t="str">
            <v/>
          </cell>
          <cell r="BV7" t="str">
            <v/>
          </cell>
          <cell r="BW7" t="str">
            <v/>
          </cell>
          <cell r="BX7" t="str">
            <v/>
          </cell>
          <cell r="BY7" t="str">
            <v/>
          </cell>
          <cell r="BZ7" t="str">
            <v/>
          </cell>
          <cell r="CA7" t="str">
            <v/>
          </cell>
          <cell r="CB7" t="str">
            <v/>
          </cell>
          <cell r="CC7" t="str">
            <v/>
          </cell>
          <cell r="CD7" t="str">
            <v/>
          </cell>
          <cell r="CE7" t="str">
            <v/>
          </cell>
          <cell r="CF7" t="str">
            <v/>
          </cell>
          <cell r="CG7" t="str">
            <v/>
          </cell>
          <cell r="CH7" t="str">
            <v/>
          </cell>
          <cell r="CI7" t="str">
            <v/>
          </cell>
          <cell r="CJ7" t="str">
            <v/>
          </cell>
          <cell r="CK7" t="str">
            <v/>
          </cell>
          <cell r="CL7" t="str">
            <v/>
          </cell>
          <cell r="CM7" t="str">
            <v/>
          </cell>
          <cell r="CN7" t="str">
            <v/>
          </cell>
          <cell r="CO7" t="str">
            <v/>
          </cell>
          <cell r="CP7" t="str">
            <v/>
          </cell>
          <cell r="CQ7" t="str">
            <v/>
          </cell>
          <cell r="CR7" t="str">
            <v/>
          </cell>
          <cell r="CS7" t="str">
            <v/>
          </cell>
          <cell r="CT7" t="str">
            <v/>
          </cell>
          <cell r="CU7" t="str">
            <v/>
          </cell>
          <cell r="CV7" t="str">
            <v/>
          </cell>
          <cell r="CW7" t="str">
            <v/>
          </cell>
          <cell r="CX7" t="str">
            <v/>
          </cell>
          <cell r="CY7" t="str">
            <v/>
          </cell>
          <cell r="CZ7" t="str">
            <v/>
          </cell>
          <cell r="DA7" t="str">
            <v/>
          </cell>
          <cell r="DB7" t="str">
            <v/>
          </cell>
        </row>
        <row r="8">
          <cell r="A8" t="str">
            <v>Tim</v>
          </cell>
          <cell r="D8">
            <v>4.5</v>
          </cell>
          <cell r="E8">
            <v>3</v>
          </cell>
          <cell r="F8">
            <v>3</v>
          </cell>
          <cell r="G8">
            <v>2.5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  <cell r="AI8" t="str">
            <v/>
          </cell>
          <cell r="AJ8" t="str">
            <v/>
          </cell>
          <cell r="AK8" t="str">
            <v/>
          </cell>
          <cell r="AL8" t="str">
            <v/>
          </cell>
          <cell r="AM8" t="str">
            <v/>
          </cell>
          <cell r="AN8" t="str">
            <v/>
          </cell>
          <cell r="AO8" t="str">
            <v/>
          </cell>
          <cell r="AP8" t="str">
            <v/>
          </cell>
          <cell r="AQ8" t="str">
            <v/>
          </cell>
          <cell r="AR8" t="str">
            <v/>
          </cell>
          <cell r="AS8" t="str">
            <v/>
          </cell>
          <cell r="AT8" t="str">
            <v/>
          </cell>
          <cell r="AU8" t="str">
            <v/>
          </cell>
          <cell r="AV8" t="str">
            <v/>
          </cell>
          <cell r="AW8" t="str">
            <v/>
          </cell>
          <cell r="AX8" t="str">
            <v/>
          </cell>
          <cell r="AY8" t="str">
            <v/>
          </cell>
          <cell r="AZ8" t="str">
            <v/>
          </cell>
          <cell r="BA8" t="str">
            <v/>
          </cell>
          <cell r="BB8" t="str">
            <v/>
          </cell>
          <cell r="BC8" t="str">
            <v/>
          </cell>
          <cell r="BD8" t="str">
            <v/>
          </cell>
          <cell r="BE8" t="str">
            <v/>
          </cell>
          <cell r="BF8" t="str">
            <v/>
          </cell>
          <cell r="BG8" t="str">
            <v/>
          </cell>
          <cell r="BH8" t="str">
            <v/>
          </cell>
          <cell r="BI8" t="str">
            <v/>
          </cell>
          <cell r="BJ8" t="str">
            <v/>
          </cell>
          <cell r="BK8" t="str">
            <v/>
          </cell>
          <cell r="BL8" t="str">
            <v/>
          </cell>
          <cell r="BM8" t="str">
            <v/>
          </cell>
          <cell r="BN8" t="str">
            <v/>
          </cell>
          <cell r="BO8" t="str">
            <v/>
          </cell>
          <cell r="BP8" t="str">
            <v/>
          </cell>
          <cell r="BQ8" t="str">
            <v/>
          </cell>
          <cell r="BR8" t="str">
            <v/>
          </cell>
          <cell r="BS8" t="str">
            <v/>
          </cell>
          <cell r="BT8" t="str">
            <v/>
          </cell>
          <cell r="BU8" t="str">
            <v/>
          </cell>
          <cell r="BV8" t="str">
            <v/>
          </cell>
          <cell r="BW8" t="str">
            <v/>
          </cell>
          <cell r="BX8" t="str">
            <v/>
          </cell>
          <cell r="BY8" t="str">
            <v/>
          </cell>
          <cell r="BZ8" t="str">
            <v/>
          </cell>
          <cell r="CA8" t="str">
            <v/>
          </cell>
          <cell r="CB8" t="str">
            <v/>
          </cell>
          <cell r="CC8" t="str">
            <v/>
          </cell>
          <cell r="CD8" t="str">
            <v/>
          </cell>
          <cell r="CE8" t="str">
            <v/>
          </cell>
          <cell r="CF8" t="str">
            <v/>
          </cell>
          <cell r="CG8" t="str">
            <v/>
          </cell>
          <cell r="CH8" t="str">
            <v/>
          </cell>
          <cell r="CI8" t="str">
            <v/>
          </cell>
          <cell r="CJ8" t="str">
            <v/>
          </cell>
          <cell r="CK8" t="str">
            <v/>
          </cell>
          <cell r="CL8" t="str">
            <v/>
          </cell>
          <cell r="CM8" t="str">
            <v/>
          </cell>
          <cell r="CN8" t="str">
            <v/>
          </cell>
          <cell r="CO8" t="str">
            <v/>
          </cell>
          <cell r="CP8" t="str">
            <v/>
          </cell>
          <cell r="CQ8" t="str">
            <v/>
          </cell>
          <cell r="CR8" t="str">
            <v/>
          </cell>
          <cell r="CS8" t="str">
            <v/>
          </cell>
          <cell r="CT8" t="str">
            <v/>
          </cell>
          <cell r="CU8" t="str">
            <v/>
          </cell>
          <cell r="CV8" t="str">
            <v/>
          </cell>
          <cell r="CW8" t="str">
            <v/>
          </cell>
          <cell r="CX8" t="str">
            <v/>
          </cell>
          <cell r="CY8" t="str">
            <v/>
          </cell>
          <cell r="CZ8" t="str">
            <v/>
          </cell>
          <cell r="DA8" t="str">
            <v/>
          </cell>
          <cell r="DB8" t="str">
            <v/>
          </cell>
        </row>
        <row r="9">
          <cell r="A9" t="str">
            <v xml:space="preserve">Days Remaining </v>
          </cell>
          <cell r="D9">
            <v>45.5</v>
          </cell>
          <cell r="E9">
            <v>41.2</v>
          </cell>
          <cell r="F9">
            <v>38.25</v>
          </cell>
          <cell r="G9">
            <v>31</v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  <cell r="AJ9" t="str">
            <v/>
          </cell>
          <cell r="AK9" t="str">
            <v/>
          </cell>
          <cell r="AL9" t="str">
            <v/>
          </cell>
          <cell r="AM9" t="str">
            <v/>
          </cell>
          <cell r="AN9" t="str">
            <v/>
          </cell>
          <cell r="AO9" t="str">
            <v/>
          </cell>
          <cell r="AP9" t="str">
            <v/>
          </cell>
          <cell r="AQ9" t="str">
            <v/>
          </cell>
          <cell r="AR9" t="str">
            <v/>
          </cell>
          <cell r="AS9" t="str">
            <v/>
          </cell>
          <cell r="AT9" t="str">
            <v/>
          </cell>
          <cell r="AU9" t="str">
            <v/>
          </cell>
          <cell r="AV9" t="str">
            <v/>
          </cell>
          <cell r="AW9" t="str">
            <v/>
          </cell>
          <cell r="AX9" t="str">
            <v/>
          </cell>
          <cell r="AY9" t="str">
            <v/>
          </cell>
          <cell r="AZ9" t="str">
            <v/>
          </cell>
          <cell r="BA9" t="str">
            <v/>
          </cell>
          <cell r="BB9" t="str">
            <v/>
          </cell>
          <cell r="BC9" t="str">
            <v/>
          </cell>
          <cell r="BD9" t="str">
            <v/>
          </cell>
          <cell r="BE9" t="str">
            <v/>
          </cell>
          <cell r="BF9" t="str">
            <v/>
          </cell>
          <cell r="BG9" t="str">
            <v/>
          </cell>
          <cell r="BH9" t="str">
            <v/>
          </cell>
          <cell r="BI9" t="str">
            <v/>
          </cell>
          <cell r="BJ9" t="str">
            <v/>
          </cell>
          <cell r="BK9" t="str">
            <v/>
          </cell>
          <cell r="BL9" t="str">
            <v/>
          </cell>
          <cell r="BM9" t="str">
            <v/>
          </cell>
          <cell r="BN9" t="str">
            <v/>
          </cell>
          <cell r="BO9" t="str">
            <v/>
          </cell>
          <cell r="BP9" t="str">
            <v/>
          </cell>
          <cell r="BQ9" t="str">
            <v/>
          </cell>
          <cell r="BR9" t="str">
            <v/>
          </cell>
          <cell r="BS9" t="str">
            <v/>
          </cell>
          <cell r="BT9" t="str">
            <v/>
          </cell>
          <cell r="BU9" t="str">
            <v/>
          </cell>
          <cell r="BV9" t="str">
            <v/>
          </cell>
          <cell r="BW9" t="str">
            <v/>
          </cell>
          <cell r="BX9" t="str">
            <v/>
          </cell>
          <cell r="BY9" t="str">
            <v/>
          </cell>
          <cell r="BZ9" t="str">
            <v/>
          </cell>
          <cell r="CA9" t="str">
            <v/>
          </cell>
          <cell r="CB9" t="str">
            <v/>
          </cell>
          <cell r="CC9" t="str">
            <v/>
          </cell>
          <cell r="CD9" t="str">
            <v/>
          </cell>
          <cell r="CE9" t="str">
            <v/>
          </cell>
          <cell r="CF9" t="str">
            <v/>
          </cell>
          <cell r="CG9" t="str">
            <v/>
          </cell>
          <cell r="CH9" t="str">
            <v/>
          </cell>
          <cell r="CI9" t="str">
            <v/>
          </cell>
          <cell r="CJ9" t="str">
            <v/>
          </cell>
          <cell r="CK9" t="str">
            <v/>
          </cell>
          <cell r="CL9" t="str">
            <v/>
          </cell>
          <cell r="CM9" t="str">
            <v/>
          </cell>
          <cell r="CN9" t="str">
            <v/>
          </cell>
          <cell r="CO9" t="str">
            <v/>
          </cell>
          <cell r="CP9" t="str">
            <v/>
          </cell>
          <cell r="CQ9" t="str">
            <v/>
          </cell>
          <cell r="CR9" t="str">
            <v/>
          </cell>
          <cell r="CS9" t="str">
            <v/>
          </cell>
          <cell r="CT9" t="str">
            <v/>
          </cell>
          <cell r="CU9" t="str">
            <v/>
          </cell>
          <cell r="CV9" t="str">
            <v/>
          </cell>
          <cell r="CW9" t="str">
            <v/>
          </cell>
          <cell r="CX9" t="str">
            <v/>
          </cell>
          <cell r="CY9" t="str">
            <v/>
          </cell>
          <cell r="CZ9" t="str">
            <v/>
          </cell>
          <cell r="DA9" t="str">
            <v/>
          </cell>
          <cell r="DB9" t="str">
            <v/>
          </cell>
        </row>
        <row r="10">
          <cell r="A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  <cell r="AI10" t="str">
            <v/>
          </cell>
          <cell r="AJ10" t="str">
            <v/>
          </cell>
          <cell r="AK10" t="str">
            <v/>
          </cell>
          <cell r="AL10" t="str">
            <v/>
          </cell>
          <cell r="AM10" t="str">
            <v/>
          </cell>
          <cell r="AN10" t="str">
            <v/>
          </cell>
          <cell r="AO10" t="str">
            <v/>
          </cell>
          <cell r="AP10" t="str">
            <v/>
          </cell>
          <cell r="AQ10" t="str">
            <v/>
          </cell>
          <cell r="AR10" t="str">
            <v/>
          </cell>
          <cell r="AS10" t="str">
            <v/>
          </cell>
          <cell r="AT10" t="str">
            <v/>
          </cell>
          <cell r="AU10" t="str">
            <v/>
          </cell>
          <cell r="AV10" t="str">
            <v/>
          </cell>
          <cell r="AW10" t="str">
            <v/>
          </cell>
          <cell r="AX10" t="str">
            <v/>
          </cell>
          <cell r="AY10" t="str">
            <v/>
          </cell>
          <cell r="AZ10" t="str">
            <v/>
          </cell>
          <cell r="BA10" t="str">
            <v/>
          </cell>
          <cell r="BB10" t="str">
            <v/>
          </cell>
          <cell r="BC10" t="str">
            <v/>
          </cell>
          <cell r="BD10" t="str">
            <v/>
          </cell>
          <cell r="BE10" t="str">
            <v/>
          </cell>
          <cell r="BF10" t="str">
            <v/>
          </cell>
          <cell r="BG10" t="str">
            <v/>
          </cell>
          <cell r="BH10" t="str">
            <v/>
          </cell>
          <cell r="BI10" t="str">
            <v/>
          </cell>
          <cell r="BJ10" t="str">
            <v/>
          </cell>
          <cell r="BK10" t="str">
            <v/>
          </cell>
          <cell r="BL10" t="str">
            <v/>
          </cell>
          <cell r="BM10" t="str">
            <v/>
          </cell>
          <cell r="BN10" t="str">
            <v/>
          </cell>
          <cell r="BO10" t="str">
            <v/>
          </cell>
          <cell r="BP10" t="str">
            <v/>
          </cell>
          <cell r="BQ10" t="str">
            <v/>
          </cell>
          <cell r="BR10" t="str">
            <v/>
          </cell>
          <cell r="BS10" t="str">
            <v/>
          </cell>
          <cell r="BT10" t="str">
            <v/>
          </cell>
          <cell r="BU10" t="str">
            <v/>
          </cell>
          <cell r="BV10" t="str">
            <v/>
          </cell>
          <cell r="BW10" t="str">
            <v/>
          </cell>
          <cell r="BX10" t="str">
            <v/>
          </cell>
          <cell r="BY10" t="str">
            <v/>
          </cell>
          <cell r="BZ10" t="str">
            <v/>
          </cell>
          <cell r="CA10" t="str">
            <v/>
          </cell>
          <cell r="CB10" t="str">
            <v/>
          </cell>
          <cell r="CC10" t="str">
            <v/>
          </cell>
          <cell r="CD10" t="str">
            <v/>
          </cell>
          <cell r="CE10" t="str">
            <v/>
          </cell>
          <cell r="CF10" t="str">
            <v/>
          </cell>
          <cell r="CG10" t="str">
            <v/>
          </cell>
          <cell r="CH10" t="str">
            <v/>
          </cell>
          <cell r="CI10" t="str">
            <v/>
          </cell>
          <cell r="CJ10" t="str">
            <v/>
          </cell>
          <cell r="CK10" t="str">
            <v/>
          </cell>
          <cell r="CL10" t="str">
            <v/>
          </cell>
          <cell r="CM10" t="str">
            <v/>
          </cell>
          <cell r="CN10" t="str">
            <v/>
          </cell>
          <cell r="CO10" t="str">
            <v/>
          </cell>
          <cell r="CP10" t="str">
            <v/>
          </cell>
          <cell r="CQ10" t="str">
            <v/>
          </cell>
          <cell r="CR10" t="str">
            <v/>
          </cell>
          <cell r="CS10" t="str">
            <v/>
          </cell>
          <cell r="CT10" t="str">
            <v/>
          </cell>
          <cell r="CU10" t="str">
            <v/>
          </cell>
          <cell r="CV10" t="str">
            <v/>
          </cell>
          <cell r="CW10" t="str">
            <v/>
          </cell>
          <cell r="CX10" t="str">
            <v/>
          </cell>
          <cell r="CY10" t="str">
            <v/>
          </cell>
          <cell r="CZ10" t="str">
            <v/>
          </cell>
          <cell r="DA10" t="str">
            <v/>
          </cell>
          <cell r="DB10" t="str">
            <v/>
          </cell>
        </row>
        <row r="11">
          <cell r="A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  <cell r="AF11" t="str">
            <v/>
          </cell>
          <cell r="AG11" t="str">
            <v/>
          </cell>
          <cell r="AH11" t="str">
            <v/>
          </cell>
          <cell r="AI11" t="str">
            <v/>
          </cell>
          <cell r="AJ11" t="str">
            <v/>
          </cell>
          <cell r="AK11" t="str">
            <v/>
          </cell>
          <cell r="AL11" t="str">
            <v/>
          </cell>
          <cell r="AM11" t="str">
            <v/>
          </cell>
          <cell r="AN11" t="str">
            <v/>
          </cell>
          <cell r="AO11" t="str">
            <v/>
          </cell>
          <cell r="AP11" t="str">
            <v/>
          </cell>
          <cell r="AQ11" t="str">
            <v/>
          </cell>
          <cell r="AR11" t="str">
            <v/>
          </cell>
          <cell r="AS11" t="str">
            <v/>
          </cell>
          <cell r="AT11" t="str">
            <v/>
          </cell>
          <cell r="AU11" t="str">
            <v/>
          </cell>
          <cell r="AV11" t="str">
            <v/>
          </cell>
          <cell r="AW11" t="str">
            <v/>
          </cell>
          <cell r="AX11" t="str">
            <v/>
          </cell>
          <cell r="AY11" t="str">
            <v/>
          </cell>
          <cell r="AZ11" t="str">
            <v/>
          </cell>
          <cell r="BA11" t="str">
            <v/>
          </cell>
          <cell r="BB11" t="str">
            <v/>
          </cell>
          <cell r="BC11" t="str">
            <v/>
          </cell>
          <cell r="BD11" t="str">
            <v/>
          </cell>
          <cell r="BE11" t="str">
            <v/>
          </cell>
          <cell r="BF11" t="str">
            <v/>
          </cell>
          <cell r="BG11" t="str">
            <v/>
          </cell>
          <cell r="BH11" t="str">
            <v/>
          </cell>
          <cell r="BI11" t="str">
            <v/>
          </cell>
          <cell r="BJ11" t="str">
            <v/>
          </cell>
          <cell r="BK11" t="str">
            <v/>
          </cell>
          <cell r="BL11" t="str">
            <v/>
          </cell>
          <cell r="BM11" t="str">
            <v/>
          </cell>
          <cell r="BN11" t="str">
            <v/>
          </cell>
          <cell r="BO11" t="str">
            <v/>
          </cell>
          <cell r="BP11" t="str">
            <v/>
          </cell>
          <cell r="BQ11" t="str">
            <v/>
          </cell>
          <cell r="BR11" t="str">
            <v/>
          </cell>
          <cell r="BS11" t="str">
            <v/>
          </cell>
          <cell r="BT11" t="str">
            <v/>
          </cell>
          <cell r="BU11" t="str">
            <v/>
          </cell>
          <cell r="BV11" t="str">
            <v/>
          </cell>
          <cell r="BW11" t="str">
            <v/>
          </cell>
          <cell r="BX11" t="str">
            <v/>
          </cell>
          <cell r="BY11" t="str">
            <v/>
          </cell>
          <cell r="BZ11" t="str">
            <v/>
          </cell>
          <cell r="CA11" t="str">
            <v/>
          </cell>
          <cell r="CB11" t="str">
            <v/>
          </cell>
          <cell r="CC11" t="str">
            <v/>
          </cell>
          <cell r="CD11" t="str">
            <v/>
          </cell>
          <cell r="CE11" t="str">
            <v/>
          </cell>
          <cell r="CF11" t="str">
            <v/>
          </cell>
          <cell r="CG11" t="str">
            <v/>
          </cell>
          <cell r="CH11" t="str">
            <v/>
          </cell>
          <cell r="CI11" t="str">
            <v/>
          </cell>
          <cell r="CJ11" t="str">
            <v/>
          </cell>
          <cell r="CK11" t="str">
            <v/>
          </cell>
          <cell r="CL11" t="str">
            <v/>
          </cell>
          <cell r="CM11" t="str">
            <v/>
          </cell>
          <cell r="CN11" t="str">
            <v/>
          </cell>
          <cell r="CO11" t="str">
            <v/>
          </cell>
          <cell r="CP11" t="str">
            <v/>
          </cell>
          <cell r="CQ11" t="str">
            <v/>
          </cell>
          <cell r="CR11" t="str">
            <v/>
          </cell>
          <cell r="CS11" t="str">
            <v/>
          </cell>
          <cell r="CT11" t="str">
            <v/>
          </cell>
          <cell r="CU11" t="str">
            <v/>
          </cell>
          <cell r="CV11" t="str">
            <v/>
          </cell>
          <cell r="CW11" t="str">
            <v/>
          </cell>
          <cell r="CX11" t="str">
            <v/>
          </cell>
          <cell r="CY11" t="str">
            <v/>
          </cell>
          <cell r="CZ11" t="str">
            <v/>
          </cell>
          <cell r="DA11" t="str">
            <v/>
          </cell>
          <cell r="DB11" t="str">
            <v/>
          </cell>
        </row>
        <row r="12">
          <cell r="A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 t="str">
            <v/>
          </cell>
          <cell r="AE12" t="str">
            <v/>
          </cell>
          <cell r="AF12" t="str">
            <v/>
          </cell>
          <cell r="AG12" t="str">
            <v/>
          </cell>
          <cell r="AH12" t="str">
            <v/>
          </cell>
          <cell r="AI12" t="str">
            <v/>
          </cell>
          <cell r="AJ12" t="str">
            <v/>
          </cell>
          <cell r="AK12" t="str">
            <v/>
          </cell>
          <cell r="AL12" t="str">
            <v/>
          </cell>
          <cell r="AM12" t="str">
            <v/>
          </cell>
          <cell r="AN12" t="str">
            <v/>
          </cell>
          <cell r="AO12" t="str">
            <v/>
          </cell>
          <cell r="AP12" t="str">
            <v/>
          </cell>
          <cell r="AQ12" t="str">
            <v/>
          </cell>
          <cell r="AR12" t="str">
            <v/>
          </cell>
          <cell r="AS12" t="str">
            <v/>
          </cell>
          <cell r="AT12" t="str">
            <v/>
          </cell>
          <cell r="AU12" t="str">
            <v/>
          </cell>
          <cell r="AV12" t="str">
            <v/>
          </cell>
          <cell r="AW12" t="str">
            <v/>
          </cell>
          <cell r="AX12" t="str">
            <v/>
          </cell>
          <cell r="AY12" t="str">
            <v/>
          </cell>
          <cell r="AZ12" t="str">
            <v/>
          </cell>
          <cell r="BA12" t="str">
            <v/>
          </cell>
          <cell r="BB12" t="str">
            <v/>
          </cell>
          <cell r="BC12" t="str">
            <v/>
          </cell>
          <cell r="BD12" t="str">
            <v/>
          </cell>
          <cell r="BE12" t="str">
            <v/>
          </cell>
          <cell r="BF12" t="str">
            <v/>
          </cell>
          <cell r="BG12" t="str">
            <v/>
          </cell>
          <cell r="BH12" t="str">
            <v/>
          </cell>
          <cell r="BI12" t="str">
            <v/>
          </cell>
          <cell r="BJ12" t="str">
            <v/>
          </cell>
          <cell r="BK12" t="str">
            <v/>
          </cell>
          <cell r="BL12" t="str">
            <v/>
          </cell>
          <cell r="BM12" t="str">
            <v/>
          </cell>
          <cell r="BN12" t="str">
            <v/>
          </cell>
          <cell r="BO12" t="str">
            <v/>
          </cell>
          <cell r="BP12" t="str">
            <v/>
          </cell>
          <cell r="BQ12" t="str">
            <v/>
          </cell>
          <cell r="BR12" t="str">
            <v/>
          </cell>
          <cell r="BS12" t="str">
            <v/>
          </cell>
          <cell r="BT12" t="str">
            <v/>
          </cell>
          <cell r="BU12" t="str">
            <v/>
          </cell>
          <cell r="BV12" t="str">
            <v/>
          </cell>
          <cell r="BW12" t="str">
            <v/>
          </cell>
          <cell r="BX12" t="str">
            <v/>
          </cell>
          <cell r="BY12" t="str">
            <v/>
          </cell>
          <cell r="BZ12" t="str">
            <v/>
          </cell>
          <cell r="CA12" t="str">
            <v/>
          </cell>
          <cell r="CB12" t="str">
            <v/>
          </cell>
          <cell r="CC12" t="str">
            <v/>
          </cell>
          <cell r="CD12" t="str">
            <v/>
          </cell>
          <cell r="CE12" t="str">
            <v/>
          </cell>
          <cell r="CF12" t="str">
            <v/>
          </cell>
          <cell r="CG12" t="str">
            <v/>
          </cell>
          <cell r="CH12" t="str">
            <v/>
          </cell>
          <cell r="CI12" t="str">
            <v/>
          </cell>
          <cell r="CJ12" t="str">
            <v/>
          </cell>
          <cell r="CK12" t="str">
            <v/>
          </cell>
          <cell r="CL12" t="str">
            <v/>
          </cell>
          <cell r="CM12" t="str">
            <v/>
          </cell>
          <cell r="CN12" t="str">
            <v/>
          </cell>
          <cell r="CO12" t="str">
            <v/>
          </cell>
          <cell r="CP12" t="str">
            <v/>
          </cell>
          <cell r="CQ12" t="str">
            <v/>
          </cell>
          <cell r="CR12" t="str">
            <v/>
          </cell>
          <cell r="CS12" t="str">
            <v/>
          </cell>
          <cell r="CT12" t="str">
            <v/>
          </cell>
          <cell r="CU12" t="str">
            <v/>
          </cell>
          <cell r="CV12" t="str">
            <v/>
          </cell>
          <cell r="CW12" t="str">
            <v/>
          </cell>
          <cell r="CX12" t="str">
            <v/>
          </cell>
          <cell r="CY12" t="str">
            <v/>
          </cell>
          <cell r="CZ12" t="str">
            <v/>
          </cell>
          <cell r="DA12" t="str">
            <v/>
          </cell>
          <cell r="DB12" t="str">
            <v/>
          </cell>
        </row>
        <row r="13">
          <cell r="A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  <cell r="AF13" t="str">
            <v/>
          </cell>
          <cell r="AG13" t="str">
            <v/>
          </cell>
          <cell r="AH13" t="str">
            <v/>
          </cell>
          <cell r="AI13" t="str">
            <v/>
          </cell>
          <cell r="AJ13" t="str">
            <v/>
          </cell>
          <cell r="AK13" t="str">
            <v/>
          </cell>
          <cell r="AL13" t="str">
            <v/>
          </cell>
          <cell r="AM13" t="str">
            <v/>
          </cell>
          <cell r="AN13" t="str">
            <v/>
          </cell>
          <cell r="AO13" t="str">
            <v/>
          </cell>
          <cell r="AP13" t="str">
            <v/>
          </cell>
          <cell r="AQ13" t="str">
            <v/>
          </cell>
          <cell r="AR13" t="str">
            <v/>
          </cell>
          <cell r="AS13" t="str">
            <v/>
          </cell>
          <cell r="AT13" t="str">
            <v/>
          </cell>
          <cell r="AU13" t="str">
            <v/>
          </cell>
          <cell r="AV13" t="str">
            <v/>
          </cell>
          <cell r="AW13" t="str">
            <v/>
          </cell>
          <cell r="AX13" t="str">
            <v/>
          </cell>
          <cell r="AY13" t="str">
            <v/>
          </cell>
          <cell r="AZ13" t="str">
            <v/>
          </cell>
          <cell r="BA13" t="str">
            <v/>
          </cell>
          <cell r="BB13" t="str">
            <v/>
          </cell>
          <cell r="BC13" t="str">
            <v/>
          </cell>
          <cell r="BD13" t="str">
            <v/>
          </cell>
          <cell r="BE13" t="str">
            <v/>
          </cell>
          <cell r="BF13" t="str">
            <v/>
          </cell>
          <cell r="BG13" t="str">
            <v/>
          </cell>
          <cell r="BH13" t="str">
            <v/>
          </cell>
          <cell r="BI13" t="str">
            <v/>
          </cell>
          <cell r="BJ13" t="str">
            <v/>
          </cell>
          <cell r="BK13" t="str">
            <v/>
          </cell>
          <cell r="BL13" t="str">
            <v/>
          </cell>
          <cell r="BM13" t="str">
            <v/>
          </cell>
          <cell r="BN13" t="str">
            <v/>
          </cell>
          <cell r="BO13" t="str">
            <v/>
          </cell>
          <cell r="BP13" t="str">
            <v/>
          </cell>
          <cell r="BQ13" t="str">
            <v/>
          </cell>
          <cell r="BR13" t="str">
            <v/>
          </cell>
          <cell r="BS13" t="str">
            <v/>
          </cell>
          <cell r="BT13" t="str">
            <v/>
          </cell>
          <cell r="BU13" t="str">
            <v/>
          </cell>
          <cell r="BV13" t="str">
            <v/>
          </cell>
          <cell r="BW13" t="str">
            <v/>
          </cell>
          <cell r="BX13" t="str">
            <v/>
          </cell>
          <cell r="BY13" t="str">
            <v/>
          </cell>
          <cell r="BZ13" t="str">
            <v/>
          </cell>
          <cell r="CA13" t="str">
            <v/>
          </cell>
          <cell r="CB13" t="str">
            <v/>
          </cell>
          <cell r="CC13" t="str">
            <v/>
          </cell>
          <cell r="CD13" t="str">
            <v/>
          </cell>
          <cell r="CE13" t="str">
            <v/>
          </cell>
          <cell r="CF13" t="str">
            <v/>
          </cell>
          <cell r="CG13" t="str">
            <v/>
          </cell>
          <cell r="CH13" t="str">
            <v/>
          </cell>
          <cell r="CI13" t="str">
            <v/>
          </cell>
          <cell r="CJ13" t="str">
            <v/>
          </cell>
          <cell r="CK13" t="str">
            <v/>
          </cell>
          <cell r="CL13" t="str">
            <v/>
          </cell>
          <cell r="CM13" t="str">
            <v/>
          </cell>
          <cell r="CN13" t="str">
            <v/>
          </cell>
          <cell r="CO13" t="str">
            <v/>
          </cell>
          <cell r="CP13" t="str">
            <v/>
          </cell>
          <cell r="CQ13" t="str">
            <v/>
          </cell>
          <cell r="CR13" t="str">
            <v/>
          </cell>
          <cell r="CS13" t="str">
            <v/>
          </cell>
          <cell r="CT13" t="str">
            <v/>
          </cell>
          <cell r="CU13" t="str">
            <v/>
          </cell>
          <cell r="CV13" t="str">
            <v/>
          </cell>
          <cell r="CW13" t="str">
            <v/>
          </cell>
          <cell r="CX13" t="str">
            <v/>
          </cell>
          <cell r="CY13" t="str">
            <v/>
          </cell>
          <cell r="CZ13" t="str">
            <v/>
          </cell>
          <cell r="DA13" t="str">
            <v/>
          </cell>
          <cell r="DB13" t="str">
            <v/>
          </cell>
        </row>
        <row r="14">
          <cell r="A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  <cell r="AF14" t="str">
            <v/>
          </cell>
          <cell r="AG14" t="str">
            <v/>
          </cell>
          <cell r="AH14" t="str">
            <v/>
          </cell>
          <cell r="AI14" t="str">
            <v/>
          </cell>
          <cell r="AJ14" t="str">
            <v/>
          </cell>
          <cell r="AK14" t="str">
            <v/>
          </cell>
          <cell r="AL14" t="str">
            <v/>
          </cell>
          <cell r="AM14" t="str">
            <v/>
          </cell>
          <cell r="AN14" t="str">
            <v/>
          </cell>
          <cell r="AO14" t="str">
            <v/>
          </cell>
          <cell r="AP14" t="str">
            <v/>
          </cell>
          <cell r="AQ14" t="str">
            <v/>
          </cell>
          <cell r="AR14" t="str">
            <v/>
          </cell>
          <cell r="AS14" t="str">
            <v/>
          </cell>
          <cell r="AT14" t="str">
            <v/>
          </cell>
          <cell r="AU14" t="str">
            <v/>
          </cell>
          <cell r="AV14" t="str">
            <v/>
          </cell>
          <cell r="AW14" t="str">
            <v/>
          </cell>
          <cell r="AX14" t="str">
            <v/>
          </cell>
          <cell r="AY14" t="str">
            <v/>
          </cell>
          <cell r="AZ14" t="str">
            <v/>
          </cell>
          <cell r="BA14" t="str">
            <v/>
          </cell>
          <cell r="BB14" t="str">
            <v/>
          </cell>
          <cell r="BC14" t="str">
            <v/>
          </cell>
          <cell r="BD14" t="str">
            <v/>
          </cell>
          <cell r="BE14" t="str">
            <v/>
          </cell>
          <cell r="BF14" t="str">
            <v/>
          </cell>
          <cell r="BG14" t="str">
            <v/>
          </cell>
          <cell r="BH14" t="str">
            <v/>
          </cell>
          <cell r="BI14" t="str">
            <v/>
          </cell>
          <cell r="BJ14" t="str">
            <v/>
          </cell>
          <cell r="BK14" t="str">
            <v/>
          </cell>
          <cell r="BL14" t="str">
            <v/>
          </cell>
          <cell r="BM14" t="str">
            <v/>
          </cell>
          <cell r="BN14" t="str">
            <v/>
          </cell>
          <cell r="BO14" t="str">
            <v/>
          </cell>
          <cell r="BP14" t="str">
            <v/>
          </cell>
          <cell r="BQ14" t="str">
            <v/>
          </cell>
          <cell r="BR14" t="str">
            <v/>
          </cell>
          <cell r="BS14" t="str">
            <v/>
          </cell>
          <cell r="BT14" t="str">
            <v/>
          </cell>
          <cell r="BU14" t="str">
            <v/>
          </cell>
          <cell r="BV14" t="str">
            <v/>
          </cell>
          <cell r="BW14" t="str">
            <v/>
          </cell>
          <cell r="BX14" t="str">
            <v/>
          </cell>
          <cell r="BY14" t="str">
            <v/>
          </cell>
          <cell r="BZ14" t="str">
            <v/>
          </cell>
          <cell r="CA14" t="str">
            <v/>
          </cell>
          <cell r="CB14" t="str">
            <v/>
          </cell>
          <cell r="CC14" t="str">
            <v/>
          </cell>
          <cell r="CD14" t="str">
            <v/>
          </cell>
          <cell r="CE14" t="str">
            <v/>
          </cell>
          <cell r="CF14" t="str">
            <v/>
          </cell>
          <cell r="CG14" t="str">
            <v/>
          </cell>
          <cell r="CH14" t="str">
            <v/>
          </cell>
          <cell r="CI14" t="str">
            <v/>
          </cell>
          <cell r="CJ14" t="str">
            <v/>
          </cell>
          <cell r="CK14" t="str">
            <v/>
          </cell>
          <cell r="CL14" t="str">
            <v/>
          </cell>
          <cell r="CM14" t="str">
            <v/>
          </cell>
          <cell r="CN14" t="str">
            <v/>
          </cell>
          <cell r="CO14" t="str">
            <v/>
          </cell>
          <cell r="CP14" t="str">
            <v/>
          </cell>
          <cell r="CQ14" t="str">
            <v/>
          </cell>
          <cell r="CR14" t="str">
            <v/>
          </cell>
          <cell r="CS14" t="str">
            <v/>
          </cell>
          <cell r="CT14" t="str">
            <v/>
          </cell>
          <cell r="CU14" t="str">
            <v/>
          </cell>
          <cell r="CV14" t="str">
            <v/>
          </cell>
          <cell r="CW14" t="str">
            <v/>
          </cell>
          <cell r="CX14" t="str">
            <v/>
          </cell>
          <cell r="CY14" t="str">
            <v/>
          </cell>
          <cell r="CZ14" t="str">
            <v/>
          </cell>
          <cell r="DA14" t="str">
            <v/>
          </cell>
          <cell r="DB14" t="str">
            <v/>
          </cell>
        </row>
        <row r="15">
          <cell r="A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  <cell r="AF15" t="str">
            <v/>
          </cell>
          <cell r="AG15" t="str">
            <v/>
          </cell>
          <cell r="AH15" t="str">
            <v/>
          </cell>
          <cell r="AI15" t="str">
            <v/>
          </cell>
          <cell r="AJ15" t="str">
            <v/>
          </cell>
          <cell r="AK15" t="str">
            <v/>
          </cell>
          <cell r="AL15" t="str">
            <v/>
          </cell>
          <cell r="AM15" t="str">
            <v/>
          </cell>
          <cell r="AN15" t="str">
            <v/>
          </cell>
          <cell r="AO15" t="str">
            <v/>
          </cell>
          <cell r="AP15" t="str">
            <v/>
          </cell>
          <cell r="AQ15" t="str">
            <v/>
          </cell>
          <cell r="AR15" t="str">
            <v/>
          </cell>
          <cell r="AS15" t="str">
            <v/>
          </cell>
          <cell r="AT15" t="str">
            <v/>
          </cell>
          <cell r="AU15" t="str">
            <v/>
          </cell>
          <cell r="AV15" t="str">
            <v/>
          </cell>
          <cell r="AW15" t="str">
            <v/>
          </cell>
          <cell r="AX15" t="str">
            <v/>
          </cell>
          <cell r="AY15" t="str">
            <v/>
          </cell>
          <cell r="AZ15" t="str">
            <v/>
          </cell>
          <cell r="BA15" t="str">
            <v/>
          </cell>
          <cell r="BB15" t="str">
            <v/>
          </cell>
          <cell r="BC15" t="str">
            <v/>
          </cell>
          <cell r="BD15" t="str">
            <v/>
          </cell>
          <cell r="BE15" t="str">
            <v/>
          </cell>
          <cell r="BF15" t="str">
            <v/>
          </cell>
          <cell r="BG15" t="str">
            <v/>
          </cell>
          <cell r="BH15" t="str">
            <v/>
          </cell>
          <cell r="BI15" t="str">
            <v/>
          </cell>
          <cell r="BJ15" t="str">
            <v/>
          </cell>
          <cell r="BK15" t="str">
            <v/>
          </cell>
          <cell r="BL15" t="str">
            <v/>
          </cell>
          <cell r="BM15" t="str">
            <v/>
          </cell>
          <cell r="BN15" t="str">
            <v/>
          </cell>
          <cell r="BO15" t="str">
            <v/>
          </cell>
          <cell r="BP15" t="str">
            <v/>
          </cell>
          <cell r="BQ15" t="str">
            <v/>
          </cell>
          <cell r="BR15" t="str">
            <v/>
          </cell>
          <cell r="BS15" t="str">
            <v/>
          </cell>
          <cell r="BT15" t="str">
            <v/>
          </cell>
          <cell r="BU15" t="str">
            <v/>
          </cell>
          <cell r="BV15" t="str">
            <v/>
          </cell>
          <cell r="BW15" t="str">
            <v/>
          </cell>
          <cell r="BX15" t="str">
            <v/>
          </cell>
          <cell r="BY15" t="str">
            <v/>
          </cell>
          <cell r="BZ15" t="str">
            <v/>
          </cell>
          <cell r="CA15" t="str">
            <v/>
          </cell>
          <cell r="CB15" t="str">
            <v/>
          </cell>
          <cell r="CC15" t="str">
            <v/>
          </cell>
          <cell r="CD15" t="str">
            <v/>
          </cell>
          <cell r="CE15" t="str">
            <v/>
          </cell>
          <cell r="CF15" t="str">
            <v/>
          </cell>
          <cell r="CG15" t="str">
            <v/>
          </cell>
          <cell r="CH15" t="str">
            <v/>
          </cell>
          <cell r="CI15" t="str">
            <v/>
          </cell>
          <cell r="CJ15" t="str">
            <v/>
          </cell>
          <cell r="CK15" t="str">
            <v/>
          </cell>
          <cell r="CL15" t="str">
            <v/>
          </cell>
          <cell r="CM15" t="str">
            <v/>
          </cell>
          <cell r="CN15" t="str">
            <v/>
          </cell>
          <cell r="CO15" t="str">
            <v/>
          </cell>
          <cell r="CP15" t="str">
            <v/>
          </cell>
          <cell r="CQ15" t="str">
            <v/>
          </cell>
          <cell r="CR15" t="str">
            <v/>
          </cell>
          <cell r="CS15" t="str">
            <v/>
          </cell>
          <cell r="CT15" t="str">
            <v/>
          </cell>
          <cell r="CU15" t="str">
            <v/>
          </cell>
          <cell r="CV15" t="str">
            <v/>
          </cell>
          <cell r="CW15" t="str">
            <v/>
          </cell>
          <cell r="CX15" t="str">
            <v/>
          </cell>
          <cell r="CY15" t="str">
            <v/>
          </cell>
          <cell r="CZ15" t="str">
            <v/>
          </cell>
          <cell r="DA15" t="str">
            <v/>
          </cell>
          <cell r="DB15" t="str">
            <v/>
          </cell>
        </row>
        <row r="16">
          <cell r="A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 t="str">
            <v/>
          </cell>
          <cell r="AE16" t="str">
            <v/>
          </cell>
          <cell r="AF16" t="str">
            <v/>
          </cell>
          <cell r="AG16" t="str">
            <v/>
          </cell>
          <cell r="AH16" t="str">
            <v/>
          </cell>
          <cell r="AI16" t="str">
            <v/>
          </cell>
          <cell r="AJ16" t="str">
            <v/>
          </cell>
          <cell r="AK16" t="str">
            <v/>
          </cell>
          <cell r="AL16" t="str">
            <v/>
          </cell>
          <cell r="AM16" t="str">
            <v/>
          </cell>
          <cell r="AN16" t="str">
            <v/>
          </cell>
          <cell r="AO16" t="str">
            <v/>
          </cell>
          <cell r="AP16" t="str">
            <v/>
          </cell>
          <cell r="AQ16" t="str">
            <v/>
          </cell>
          <cell r="AR16" t="str">
            <v/>
          </cell>
          <cell r="AS16" t="str">
            <v/>
          </cell>
          <cell r="AT16" t="str">
            <v/>
          </cell>
          <cell r="AU16" t="str">
            <v/>
          </cell>
          <cell r="AV16" t="str">
            <v/>
          </cell>
          <cell r="AW16" t="str">
            <v/>
          </cell>
          <cell r="AX16" t="str">
            <v/>
          </cell>
          <cell r="AY16" t="str">
            <v/>
          </cell>
          <cell r="AZ16" t="str">
            <v/>
          </cell>
          <cell r="BA16" t="str">
            <v/>
          </cell>
          <cell r="BB16" t="str">
            <v/>
          </cell>
          <cell r="BC16" t="str">
            <v/>
          </cell>
          <cell r="BD16" t="str">
            <v/>
          </cell>
          <cell r="BE16" t="str">
            <v/>
          </cell>
          <cell r="BF16" t="str">
            <v/>
          </cell>
          <cell r="BG16" t="str">
            <v/>
          </cell>
          <cell r="BH16" t="str">
            <v/>
          </cell>
          <cell r="BI16" t="str">
            <v/>
          </cell>
          <cell r="BJ16" t="str">
            <v/>
          </cell>
          <cell r="BK16" t="str">
            <v/>
          </cell>
          <cell r="BL16" t="str">
            <v/>
          </cell>
          <cell r="BM16" t="str">
            <v/>
          </cell>
          <cell r="BN16" t="str">
            <v/>
          </cell>
          <cell r="BO16" t="str">
            <v/>
          </cell>
          <cell r="BP16" t="str">
            <v/>
          </cell>
          <cell r="BQ16" t="str">
            <v/>
          </cell>
          <cell r="BR16" t="str">
            <v/>
          </cell>
          <cell r="BS16" t="str">
            <v/>
          </cell>
          <cell r="BT16" t="str">
            <v/>
          </cell>
          <cell r="BU16" t="str">
            <v/>
          </cell>
          <cell r="BV16" t="str">
            <v/>
          </cell>
          <cell r="BW16" t="str">
            <v/>
          </cell>
          <cell r="BX16" t="str">
            <v/>
          </cell>
          <cell r="BY16" t="str">
            <v/>
          </cell>
          <cell r="BZ16" t="str">
            <v/>
          </cell>
          <cell r="CA16" t="str">
            <v/>
          </cell>
          <cell r="CB16" t="str">
            <v/>
          </cell>
          <cell r="CC16" t="str">
            <v/>
          </cell>
          <cell r="CD16" t="str">
            <v/>
          </cell>
          <cell r="CE16" t="str">
            <v/>
          </cell>
          <cell r="CF16" t="str">
            <v/>
          </cell>
          <cell r="CG16" t="str">
            <v/>
          </cell>
          <cell r="CH16" t="str">
            <v/>
          </cell>
          <cell r="CI16" t="str">
            <v/>
          </cell>
          <cell r="CJ16" t="str">
            <v/>
          </cell>
          <cell r="CK16" t="str">
            <v/>
          </cell>
          <cell r="CL16" t="str">
            <v/>
          </cell>
          <cell r="CM16" t="str">
            <v/>
          </cell>
          <cell r="CN16" t="str">
            <v/>
          </cell>
          <cell r="CO16" t="str">
            <v/>
          </cell>
          <cell r="CP16" t="str">
            <v/>
          </cell>
          <cell r="CQ16" t="str">
            <v/>
          </cell>
          <cell r="CR16" t="str">
            <v/>
          </cell>
          <cell r="CS16" t="str">
            <v/>
          </cell>
          <cell r="CT16" t="str">
            <v/>
          </cell>
          <cell r="CU16" t="str">
            <v/>
          </cell>
          <cell r="CV16" t="str">
            <v/>
          </cell>
          <cell r="CW16" t="str">
            <v/>
          </cell>
          <cell r="CX16" t="str">
            <v/>
          </cell>
          <cell r="CY16" t="str">
            <v/>
          </cell>
          <cell r="CZ16" t="str">
            <v/>
          </cell>
          <cell r="DA16" t="str">
            <v/>
          </cell>
          <cell r="DB16" t="str">
            <v/>
          </cell>
        </row>
        <row r="17">
          <cell r="A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 t="str">
            <v/>
          </cell>
          <cell r="AE17" t="str">
            <v/>
          </cell>
          <cell r="AF17" t="str">
            <v/>
          </cell>
          <cell r="AG17" t="str">
            <v/>
          </cell>
          <cell r="AH17" t="str">
            <v/>
          </cell>
          <cell r="AI17" t="str">
            <v/>
          </cell>
          <cell r="AJ17" t="str">
            <v/>
          </cell>
          <cell r="AK17" t="str">
            <v/>
          </cell>
          <cell r="AL17" t="str">
            <v/>
          </cell>
          <cell r="AM17" t="str">
            <v/>
          </cell>
          <cell r="AN17" t="str">
            <v/>
          </cell>
          <cell r="AO17" t="str">
            <v/>
          </cell>
          <cell r="AP17" t="str">
            <v/>
          </cell>
          <cell r="AQ17" t="str">
            <v/>
          </cell>
          <cell r="AR17" t="str">
            <v/>
          </cell>
          <cell r="AS17" t="str">
            <v/>
          </cell>
          <cell r="AT17" t="str">
            <v/>
          </cell>
          <cell r="AU17" t="str">
            <v/>
          </cell>
          <cell r="AV17" t="str">
            <v/>
          </cell>
          <cell r="AW17" t="str">
            <v/>
          </cell>
          <cell r="AX17" t="str">
            <v/>
          </cell>
          <cell r="AY17" t="str">
            <v/>
          </cell>
          <cell r="AZ17" t="str">
            <v/>
          </cell>
          <cell r="BA17" t="str">
            <v/>
          </cell>
          <cell r="BB17" t="str">
            <v/>
          </cell>
          <cell r="BC17" t="str">
            <v/>
          </cell>
          <cell r="BD17" t="str">
            <v/>
          </cell>
          <cell r="BE17" t="str">
            <v/>
          </cell>
          <cell r="BF17" t="str">
            <v/>
          </cell>
          <cell r="BG17" t="str">
            <v/>
          </cell>
          <cell r="BH17" t="str">
            <v/>
          </cell>
          <cell r="BI17" t="str">
            <v/>
          </cell>
          <cell r="BJ17" t="str">
            <v/>
          </cell>
          <cell r="BK17" t="str">
            <v/>
          </cell>
          <cell r="BL17" t="str">
            <v/>
          </cell>
          <cell r="BM17" t="str">
            <v/>
          </cell>
          <cell r="BN17" t="str">
            <v/>
          </cell>
          <cell r="BO17" t="str">
            <v/>
          </cell>
          <cell r="BP17" t="str">
            <v/>
          </cell>
          <cell r="BQ17" t="str">
            <v/>
          </cell>
          <cell r="BR17" t="str">
            <v/>
          </cell>
          <cell r="BS17" t="str">
            <v/>
          </cell>
          <cell r="BT17" t="str">
            <v/>
          </cell>
          <cell r="BU17" t="str">
            <v/>
          </cell>
          <cell r="BV17" t="str">
            <v/>
          </cell>
          <cell r="BW17" t="str">
            <v/>
          </cell>
          <cell r="BX17" t="str">
            <v/>
          </cell>
          <cell r="BY17" t="str">
            <v/>
          </cell>
          <cell r="BZ17" t="str">
            <v/>
          </cell>
          <cell r="CA17" t="str">
            <v/>
          </cell>
          <cell r="CB17" t="str">
            <v/>
          </cell>
          <cell r="CC17" t="str">
            <v/>
          </cell>
          <cell r="CD17" t="str">
            <v/>
          </cell>
          <cell r="CE17" t="str">
            <v/>
          </cell>
          <cell r="CF17" t="str">
            <v/>
          </cell>
          <cell r="CG17" t="str">
            <v/>
          </cell>
          <cell r="CH17" t="str">
            <v/>
          </cell>
          <cell r="CI17" t="str">
            <v/>
          </cell>
          <cell r="CJ17" t="str">
            <v/>
          </cell>
          <cell r="CK17" t="str">
            <v/>
          </cell>
          <cell r="CL17" t="str">
            <v/>
          </cell>
          <cell r="CM17" t="str">
            <v/>
          </cell>
          <cell r="CN17" t="str">
            <v/>
          </cell>
          <cell r="CO17" t="str">
            <v/>
          </cell>
          <cell r="CP17" t="str">
            <v/>
          </cell>
          <cell r="CQ17" t="str">
            <v/>
          </cell>
          <cell r="CR17" t="str">
            <v/>
          </cell>
          <cell r="CS17" t="str">
            <v/>
          </cell>
          <cell r="CT17" t="str">
            <v/>
          </cell>
          <cell r="CU17" t="str">
            <v/>
          </cell>
          <cell r="CV17" t="str">
            <v/>
          </cell>
          <cell r="CW17" t="str">
            <v/>
          </cell>
          <cell r="CX17" t="str">
            <v/>
          </cell>
          <cell r="CY17" t="str">
            <v/>
          </cell>
          <cell r="CZ17" t="str">
            <v/>
          </cell>
          <cell r="DA17" t="str">
            <v/>
          </cell>
          <cell r="DB17" t="str">
            <v/>
          </cell>
        </row>
        <row r="18">
          <cell r="A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  <cell r="AF18" t="str">
            <v/>
          </cell>
          <cell r="AG18" t="str">
            <v/>
          </cell>
          <cell r="AH18" t="str">
            <v/>
          </cell>
          <cell r="AI18" t="str">
            <v/>
          </cell>
          <cell r="AJ18" t="str">
            <v/>
          </cell>
          <cell r="AK18" t="str">
            <v/>
          </cell>
          <cell r="AL18" t="str">
            <v/>
          </cell>
          <cell r="AM18" t="str">
            <v/>
          </cell>
          <cell r="AN18" t="str">
            <v/>
          </cell>
          <cell r="AO18" t="str">
            <v/>
          </cell>
          <cell r="AP18" t="str">
            <v/>
          </cell>
          <cell r="AQ18" t="str">
            <v/>
          </cell>
          <cell r="AR18" t="str">
            <v/>
          </cell>
          <cell r="AS18" t="str">
            <v/>
          </cell>
          <cell r="AT18" t="str">
            <v/>
          </cell>
          <cell r="AU18" t="str">
            <v/>
          </cell>
          <cell r="AV18" t="str">
            <v/>
          </cell>
          <cell r="AW18" t="str">
            <v/>
          </cell>
          <cell r="AX18" t="str">
            <v/>
          </cell>
          <cell r="AY18" t="str">
            <v/>
          </cell>
          <cell r="AZ18" t="str">
            <v/>
          </cell>
          <cell r="BA18" t="str">
            <v/>
          </cell>
          <cell r="BB18" t="str">
            <v/>
          </cell>
          <cell r="BC18" t="str">
            <v/>
          </cell>
          <cell r="BD18" t="str">
            <v/>
          </cell>
          <cell r="BE18" t="str">
            <v/>
          </cell>
          <cell r="BF18" t="str">
            <v/>
          </cell>
          <cell r="BG18" t="str">
            <v/>
          </cell>
          <cell r="BH18" t="str">
            <v/>
          </cell>
          <cell r="BI18" t="str">
            <v/>
          </cell>
          <cell r="BJ18" t="str">
            <v/>
          </cell>
          <cell r="BK18" t="str">
            <v/>
          </cell>
          <cell r="BL18" t="str">
            <v/>
          </cell>
          <cell r="BM18" t="str">
            <v/>
          </cell>
          <cell r="BN18" t="str">
            <v/>
          </cell>
          <cell r="BO18" t="str">
            <v/>
          </cell>
          <cell r="BP18" t="str">
            <v/>
          </cell>
          <cell r="BQ18" t="str">
            <v/>
          </cell>
          <cell r="BR18" t="str">
            <v/>
          </cell>
          <cell r="BS18" t="str">
            <v/>
          </cell>
          <cell r="BT18" t="str">
            <v/>
          </cell>
          <cell r="BU18" t="str">
            <v/>
          </cell>
          <cell r="BV18" t="str">
            <v/>
          </cell>
          <cell r="BW18" t="str">
            <v/>
          </cell>
          <cell r="BX18" t="str">
            <v/>
          </cell>
          <cell r="BY18" t="str">
            <v/>
          </cell>
          <cell r="BZ18" t="str">
            <v/>
          </cell>
          <cell r="CA18" t="str">
            <v/>
          </cell>
          <cell r="CB18" t="str">
            <v/>
          </cell>
          <cell r="CC18" t="str">
            <v/>
          </cell>
          <cell r="CD18" t="str">
            <v/>
          </cell>
          <cell r="CE18" t="str">
            <v/>
          </cell>
          <cell r="CF18" t="str">
            <v/>
          </cell>
          <cell r="CG18" t="str">
            <v/>
          </cell>
          <cell r="CH18" t="str">
            <v/>
          </cell>
          <cell r="CI18" t="str">
            <v/>
          </cell>
          <cell r="CJ18" t="str">
            <v/>
          </cell>
          <cell r="CK18" t="str">
            <v/>
          </cell>
          <cell r="CL18" t="str">
            <v/>
          </cell>
          <cell r="CM18" t="str">
            <v/>
          </cell>
          <cell r="CN18" t="str">
            <v/>
          </cell>
          <cell r="CO18" t="str">
            <v/>
          </cell>
          <cell r="CP18" t="str">
            <v/>
          </cell>
          <cell r="CQ18" t="str">
            <v/>
          </cell>
          <cell r="CR18" t="str">
            <v/>
          </cell>
          <cell r="CS18" t="str">
            <v/>
          </cell>
          <cell r="CT18" t="str">
            <v/>
          </cell>
          <cell r="CU18" t="str">
            <v/>
          </cell>
          <cell r="CV18" t="str">
            <v/>
          </cell>
          <cell r="CW18" t="str">
            <v/>
          </cell>
          <cell r="CX18" t="str">
            <v/>
          </cell>
          <cell r="CY18" t="str">
            <v/>
          </cell>
          <cell r="CZ18" t="str">
            <v/>
          </cell>
          <cell r="DA18" t="str">
            <v/>
          </cell>
          <cell r="DB18" t="str">
            <v/>
          </cell>
        </row>
        <row r="19">
          <cell r="A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  <cell r="AF19" t="str">
            <v/>
          </cell>
          <cell r="AG19" t="str">
            <v/>
          </cell>
          <cell r="AH19" t="str">
            <v/>
          </cell>
          <cell r="AI19" t="str">
            <v/>
          </cell>
          <cell r="AJ19" t="str">
            <v/>
          </cell>
          <cell r="AK19" t="str">
            <v/>
          </cell>
          <cell r="AL19" t="str">
            <v/>
          </cell>
          <cell r="AM19" t="str">
            <v/>
          </cell>
          <cell r="AN19" t="str">
            <v/>
          </cell>
          <cell r="AO19" t="str">
            <v/>
          </cell>
          <cell r="AP19" t="str">
            <v/>
          </cell>
          <cell r="AQ19" t="str">
            <v/>
          </cell>
          <cell r="AR19" t="str">
            <v/>
          </cell>
          <cell r="AS19" t="str">
            <v/>
          </cell>
          <cell r="AT19" t="str">
            <v/>
          </cell>
          <cell r="AU19" t="str">
            <v/>
          </cell>
          <cell r="AV19" t="str">
            <v/>
          </cell>
          <cell r="AW19" t="str">
            <v/>
          </cell>
          <cell r="AX19" t="str">
            <v/>
          </cell>
          <cell r="AY19" t="str">
            <v/>
          </cell>
          <cell r="AZ19" t="str">
            <v/>
          </cell>
          <cell r="BA19" t="str">
            <v/>
          </cell>
          <cell r="BB19" t="str">
            <v/>
          </cell>
          <cell r="BC19" t="str">
            <v/>
          </cell>
          <cell r="BD19" t="str">
            <v/>
          </cell>
          <cell r="BE19" t="str">
            <v/>
          </cell>
          <cell r="BF19" t="str">
            <v/>
          </cell>
          <cell r="BG19" t="str">
            <v/>
          </cell>
          <cell r="BH19" t="str">
            <v/>
          </cell>
          <cell r="BI19" t="str">
            <v/>
          </cell>
          <cell r="BJ19" t="str">
            <v/>
          </cell>
          <cell r="BK19" t="str">
            <v/>
          </cell>
          <cell r="BL19" t="str">
            <v/>
          </cell>
          <cell r="BM19" t="str">
            <v/>
          </cell>
          <cell r="BN19" t="str">
            <v/>
          </cell>
          <cell r="BO19" t="str">
            <v/>
          </cell>
          <cell r="BP19" t="str">
            <v/>
          </cell>
          <cell r="BQ19" t="str">
            <v/>
          </cell>
          <cell r="BR19" t="str">
            <v/>
          </cell>
          <cell r="BS19" t="str">
            <v/>
          </cell>
          <cell r="BT19" t="str">
            <v/>
          </cell>
          <cell r="BU19" t="str">
            <v/>
          </cell>
          <cell r="BV19" t="str">
            <v/>
          </cell>
          <cell r="BW19" t="str">
            <v/>
          </cell>
          <cell r="BX19" t="str">
            <v/>
          </cell>
          <cell r="BY19" t="str">
            <v/>
          </cell>
          <cell r="BZ19" t="str">
            <v/>
          </cell>
          <cell r="CA19" t="str">
            <v/>
          </cell>
          <cell r="CB19" t="str">
            <v/>
          </cell>
          <cell r="CC19" t="str">
            <v/>
          </cell>
          <cell r="CD19" t="str">
            <v/>
          </cell>
          <cell r="CE19" t="str">
            <v/>
          </cell>
          <cell r="CF19" t="str">
            <v/>
          </cell>
          <cell r="CG19" t="str">
            <v/>
          </cell>
          <cell r="CH19" t="str">
            <v/>
          </cell>
          <cell r="CI19" t="str">
            <v/>
          </cell>
          <cell r="CJ19" t="str">
            <v/>
          </cell>
          <cell r="CK19" t="str">
            <v/>
          </cell>
          <cell r="CL19" t="str">
            <v/>
          </cell>
          <cell r="CM19" t="str">
            <v/>
          </cell>
          <cell r="CN19" t="str">
            <v/>
          </cell>
          <cell r="CO19" t="str">
            <v/>
          </cell>
          <cell r="CP19" t="str">
            <v/>
          </cell>
          <cell r="CQ19" t="str">
            <v/>
          </cell>
          <cell r="CR19" t="str">
            <v/>
          </cell>
          <cell r="CS19" t="str">
            <v/>
          </cell>
          <cell r="CT19" t="str">
            <v/>
          </cell>
          <cell r="CU19" t="str">
            <v/>
          </cell>
          <cell r="CV19" t="str">
            <v/>
          </cell>
          <cell r="CW19" t="str">
            <v/>
          </cell>
          <cell r="CX19" t="str">
            <v/>
          </cell>
          <cell r="CY19" t="str">
            <v/>
          </cell>
          <cell r="CZ19" t="str">
            <v/>
          </cell>
          <cell r="DA19" t="str">
            <v/>
          </cell>
          <cell r="DB19" t="str">
            <v/>
          </cell>
        </row>
        <row r="20">
          <cell r="A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  <cell r="AF20" t="str">
            <v/>
          </cell>
          <cell r="AG20" t="str">
            <v/>
          </cell>
          <cell r="AH20" t="str">
            <v/>
          </cell>
          <cell r="AI20" t="str">
            <v/>
          </cell>
          <cell r="AJ20" t="str">
            <v/>
          </cell>
          <cell r="AK20" t="str">
            <v/>
          </cell>
          <cell r="AL20" t="str">
            <v/>
          </cell>
          <cell r="AM20" t="str">
            <v/>
          </cell>
          <cell r="AN20" t="str">
            <v/>
          </cell>
          <cell r="AO20" t="str">
            <v/>
          </cell>
          <cell r="AP20" t="str">
            <v/>
          </cell>
          <cell r="AQ20" t="str">
            <v/>
          </cell>
          <cell r="AR20" t="str">
            <v/>
          </cell>
          <cell r="AS20" t="str">
            <v/>
          </cell>
          <cell r="AT20" t="str">
            <v/>
          </cell>
          <cell r="AU20" t="str">
            <v/>
          </cell>
          <cell r="AV20" t="str">
            <v/>
          </cell>
          <cell r="AW20" t="str">
            <v/>
          </cell>
          <cell r="AX20" t="str">
            <v/>
          </cell>
          <cell r="AY20" t="str">
            <v/>
          </cell>
          <cell r="AZ20" t="str">
            <v/>
          </cell>
          <cell r="BA20" t="str">
            <v/>
          </cell>
          <cell r="BB20" t="str">
            <v/>
          </cell>
          <cell r="BC20" t="str">
            <v/>
          </cell>
          <cell r="BD20" t="str">
            <v/>
          </cell>
          <cell r="BE20" t="str">
            <v/>
          </cell>
          <cell r="BF20" t="str">
            <v/>
          </cell>
          <cell r="BG20" t="str">
            <v/>
          </cell>
          <cell r="BH20" t="str">
            <v/>
          </cell>
          <cell r="BI20" t="str">
            <v/>
          </cell>
          <cell r="BJ20" t="str">
            <v/>
          </cell>
          <cell r="BK20" t="str">
            <v/>
          </cell>
          <cell r="BL20" t="str">
            <v/>
          </cell>
          <cell r="BM20" t="str">
            <v/>
          </cell>
          <cell r="BN20" t="str">
            <v/>
          </cell>
          <cell r="BO20" t="str">
            <v/>
          </cell>
          <cell r="BP20" t="str">
            <v/>
          </cell>
          <cell r="BQ20" t="str">
            <v/>
          </cell>
          <cell r="BR20" t="str">
            <v/>
          </cell>
          <cell r="BS20" t="str">
            <v/>
          </cell>
          <cell r="BT20" t="str">
            <v/>
          </cell>
          <cell r="BU20" t="str">
            <v/>
          </cell>
          <cell r="BV20" t="str">
            <v/>
          </cell>
          <cell r="BW20" t="str">
            <v/>
          </cell>
          <cell r="BX20" t="str">
            <v/>
          </cell>
          <cell r="BY20" t="str">
            <v/>
          </cell>
          <cell r="BZ20" t="str">
            <v/>
          </cell>
          <cell r="CA20" t="str">
            <v/>
          </cell>
          <cell r="CB20" t="str">
            <v/>
          </cell>
          <cell r="CC20" t="str">
            <v/>
          </cell>
          <cell r="CD20" t="str">
            <v/>
          </cell>
          <cell r="CE20" t="str">
            <v/>
          </cell>
          <cell r="CF20" t="str">
            <v/>
          </cell>
          <cell r="CG20" t="str">
            <v/>
          </cell>
          <cell r="CH20" t="str">
            <v/>
          </cell>
          <cell r="CI20" t="str">
            <v/>
          </cell>
          <cell r="CJ20" t="str">
            <v/>
          </cell>
          <cell r="CK20" t="str">
            <v/>
          </cell>
          <cell r="CL20" t="str">
            <v/>
          </cell>
          <cell r="CM20" t="str">
            <v/>
          </cell>
          <cell r="CN20" t="str">
            <v/>
          </cell>
          <cell r="CO20" t="str">
            <v/>
          </cell>
          <cell r="CP20" t="str">
            <v/>
          </cell>
          <cell r="CQ20" t="str">
            <v/>
          </cell>
          <cell r="CR20" t="str">
            <v/>
          </cell>
          <cell r="CS20" t="str">
            <v/>
          </cell>
          <cell r="CT20" t="str">
            <v/>
          </cell>
          <cell r="CU20" t="str">
            <v/>
          </cell>
          <cell r="CV20" t="str">
            <v/>
          </cell>
          <cell r="CW20" t="str">
            <v/>
          </cell>
          <cell r="CX20" t="str">
            <v/>
          </cell>
          <cell r="CY20" t="str">
            <v/>
          </cell>
          <cell r="CZ20" t="str">
            <v/>
          </cell>
          <cell r="DA20" t="str">
            <v/>
          </cell>
          <cell r="DB20" t="str">
            <v/>
          </cell>
        </row>
        <row r="21">
          <cell r="A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F21" t="str">
            <v/>
          </cell>
          <cell r="AG21" t="str">
            <v/>
          </cell>
          <cell r="AH21" t="str">
            <v/>
          </cell>
          <cell r="AI21" t="str">
            <v/>
          </cell>
          <cell r="AJ21" t="str">
            <v/>
          </cell>
          <cell r="AK21" t="str">
            <v/>
          </cell>
          <cell r="AL21" t="str">
            <v/>
          </cell>
          <cell r="AM21" t="str">
            <v/>
          </cell>
          <cell r="AN21" t="str">
            <v/>
          </cell>
          <cell r="AO21" t="str">
            <v/>
          </cell>
          <cell r="AP21" t="str">
            <v/>
          </cell>
          <cell r="AQ21" t="str">
            <v/>
          </cell>
          <cell r="AR21" t="str">
            <v/>
          </cell>
          <cell r="AS21" t="str">
            <v/>
          </cell>
          <cell r="AT21" t="str">
            <v/>
          </cell>
          <cell r="AU21" t="str">
            <v/>
          </cell>
          <cell r="AV21" t="str">
            <v/>
          </cell>
          <cell r="AW21" t="str">
            <v/>
          </cell>
          <cell r="AX21" t="str">
            <v/>
          </cell>
          <cell r="AY21" t="str">
            <v/>
          </cell>
          <cell r="AZ21" t="str">
            <v/>
          </cell>
          <cell r="BA21" t="str">
            <v/>
          </cell>
          <cell r="BB21" t="str">
            <v/>
          </cell>
          <cell r="BC21" t="str">
            <v/>
          </cell>
          <cell r="BD21" t="str">
            <v/>
          </cell>
          <cell r="BE21" t="str">
            <v/>
          </cell>
          <cell r="BF21" t="str">
            <v/>
          </cell>
          <cell r="BG21" t="str">
            <v/>
          </cell>
          <cell r="BH21" t="str">
            <v/>
          </cell>
          <cell r="BI21" t="str">
            <v/>
          </cell>
          <cell r="BJ21" t="str">
            <v/>
          </cell>
          <cell r="BK21" t="str">
            <v/>
          </cell>
          <cell r="BL21" t="str">
            <v/>
          </cell>
          <cell r="BM21" t="str">
            <v/>
          </cell>
          <cell r="BN21" t="str">
            <v/>
          </cell>
          <cell r="BO21" t="str">
            <v/>
          </cell>
          <cell r="BP21" t="str">
            <v/>
          </cell>
          <cell r="BQ21" t="str">
            <v/>
          </cell>
          <cell r="BR21" t="str">
            <v/>
          </cell>
          <cell r="BS21" t="str">
            <v/>
          </cell>
          <cell r="BT21" t="str">
            <v/>
          </cell>
          <cell r="BU21" t="str">
            <v/>
          </cell>
          <cell r="BV21" t="str">
            <v/>
          </cell>
          <cell r="BW21" t="str">
            <v/>
          </cell>
          <cell r="BX21" t="str">
            <v/>
          </cell>
          <cell r="BY21" t="str">
            <v/>
          </cell>
          <cell r="BZ21" t="str">
            <v/>
          </cell>
          <cell r="CA21" t="str">
            <v/>
          </cell>
          <cell r="CB21" t="str">
            <v/>
          </cell>
          <cell r="CC21" t="str">
            <v/>
          </cell>
          <cell r="CD21" t="str">
            <v/>
          </cell>
          <cell r="CE21" t="str">
            <v/>
          </cell>
          <cell r="CF21" t="str">
            <v/>
          </cell>
          <cell r="CG21" t="str">
            <v/>
          </cell>
          <cell r="CH21" t="str">
            <v/>
          </cell>
          <cell r="CI21" t="str">
            <v/>
          </cell>
          <cell r="CJ21" t="str">
            <v/>
          </cell>
          <cell r="CK21" t="str">
            <v/>
          </cell>
          <cell r="CL21" t="str">
            <v/>
          </cell>
          <cell r="CM21" t="str">
            <v/>
          </cell>
          <cell r="CN21" t="str">
            <v/>
          </cell>
          <cell r="CO21" t="str">
            <v/>
          </cell>
          <cell r="CP21" t="str">
            <v/>
          </cell>
          <cell r="CQ21" t="str">
            <v/>
          </cell>
          <cell r="CR21" t="str">
            <v/>
          </cell>
          <cell r="CS21" t="str">
            <v/>
          </cell>
          <cell r="CT21" t="str">
            <v/>
          </cell>
          <cell r="CU21" t="str">
            <v/>
          </cell>
          <cell r="CV21" t="str">
            <v/>
          </cell>
          <cell r="CW21" t="str">
            <v/>
          </cell>
          <cell r="CX21" t="str">
            <v/>
          </cell>
          <cell r="CY21" t="str">
            <v/>
          </cell>
          <cell r="CZ21" t="str">
            <v/>
          </cell>
          <cell r="DA21" t="str">
            <v/>
          </cell>
          <cell r="DB21" t="str">
            <v/>
          </cell>
        </row>
        <row r="22">
          <cell r="A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  <cell r="AF22" t="str">
            <v/>
          </cell>
          <cell r="AG22" t="str">
            <v/>
          </cell>
          <cell r="AH22" t="str">
            <v/>
          </cell>
          <cell r="AI22" t="str">
            <v/>
          </cell>
          <cell r="AJ22" t="str">
            <v/>
          </cell>
          <cell r="AK22" t="str">
            <v/>
          </cell>
          <cell r="AL22" t="str">
            <v/>
          </cell>
          <cell r="AM22" t="str">
            <v/>
          </cell>
          <cell r="AN22" t="str">
            <v/>
          </cell>
          <cell r="AO22" t="str">
            <v/>
          </cell>
          <cell r="AP22" t="str">
            <v/>
          </cell>
          <cell r="AQ22" t="str">
            <v/>
          </cell>
          <cell r="AR22" t="str">
            <v/>
          </cell>
          <cell r="AS22" t="str">
            <v/>
          </cell>
          <cell r="AT22" t="str">
            <v/>
          </cell>
          <cell r="AU22" t="str">
            <v/>
          </cell>
          <cell r="AV22" t="str">
            <v/>
          </cell>
          <cell r="AW22" t="str">
            <v/>
          </cell>
          <cell r="AX22" t="str">
            <v/>
          </cell>
          <cell r="AY22" t="str">
            <v/>
          </cell>
          <cell r="AZ22" t="str">
            <v/>
          </cell>
          <cell r="BA22" t="str">
            <v/>
          </cell>
          <cell r="BB22" t="str">
            <v/>
          </cell>
          <cell r="BC22" t="str">
            <v/>
          </cell>
          <cell r="BD22" t="str">
            <v/>
          </cell>
          <cell r="BE22" t="str">
            <v/>
          </cell>
          <cell r="BF22" t="str">
            <v/>
          </cell>
          <cell r="BG22" t="str">
            <v/>
          </cell>
          <cell r="BH22" t="str">
            <v/>
          </cell>
          <cell r="BI22" t="str">
            <v/>
          </cell>
          <cell r="BJ22" t="str">
            <v/>
          </cell>
          <cell r="BK22" t="str">
            <v/>
          </cell>
          <cell r="BL22" t="str">
            <v/>
          </cell>
          <cell r="BM22" t="str">
            <v/>
          </cell>
          <cell r="BN22" t="str">
            <v/>
          </cell>
          <cell r="BO22" t="str">
            <v/>
          </cell>
          <cell r="BP22" t="str">
            <v/>
          </cell>
          <cell r="BQ22" t="str">
            <v/>
          </cell>
          <cell r="BR22" t="str">
            <v/>
          </cell>
          <cell r="BS22" t="str">
            <v/>
          </cell>
          <cell r="BT22" t="str">
            <v/>
          </cell>
          <cell r="BU22" t="str">
            <v/>
          </cell>
          <cell r="BV22" t="str">
            <v/>
          </cell>
          <cell r="BW22" t="str">
            <v/>
          </cell>
          <cell r="BX22" t="str">
            <v/>
          </cell>
          <cell r="BY22" t="str">
            <v/>
          </cell>
          <cell r="BZ22" t="str">
            <v/>
          </cell>
          <cell r="CA22" t="str">
            <v/>
          </cell>
          <cell r="CB22" t="str">
            <v/>
          </cell>
          <cell r="CC22" t="str">
            <v/>
          </cell>
          <cell r="CD22" t="str">
            <v/>
          </cell>
          <cell r="CE22" t="str">
            <v/>
          </cell>
          <cell r="CF22" t="str">
            <v/>
          </cell>
          <cell r="CG22" t="str">
            <v/>
          </cell>
          <cell r="CH22" t="str">
            <v/>
          </cell>
          <cell r="CI22" t="str">
            <v/>
          </cell>
          <cell r="CJ22" t="str">
            <v/>
          </cell>
          <cell r="CK22" t="str">
            <v/>
          </cell>
          <cell r="CL22" t="str">
            <v/>
          </cell>
          <cell r="CM22" t="str">
            <v/>
          </cell>
          <cell r="CN22" t="str">
            <v/>
          </cell>
          <cell r="CO22" t="str">
            <v/>
          </cell>
          <cell r="CP22" t="str">
            <v/>
          </cell>
          <cell r="CQ22" t="str">
            <v/>
          </cell>
          <cell r="CR22" t="str">
            <v/>
          </cell>
          <cell r="CS22" t="str">
            <v/>
          </cell>
          <cell r="CT22" t="str">
            <v/>
          </cell>
          <cell r="CU22" t="str">
            <v/>
          </cell>
          <cell r="CV22" t="str">
            <v/>
          </cell>
          <cell r="CW22" t="str">
            <v/>
          </cell>
          <cell r="CX22" t="str">
            <v/>
          </cell>
          <cell r="CY22" t="str">
            <v/>
          </cell>
          <cell r="CZ22" t="str">
            <v/>
          </cell>
          <cell r="DA22" t="str">
            <v/>
          </cell>
          <cell r="DB22" t="str">
            <v/>
          </cell>
        </row>
        <row r="23">
          <cell r="A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 t="str">
            <v/>
          </cell>
          <cell r="AE23" t="str">
            <v/>
          </cell>
          <cell r="AF23" t="str">
            <v/>
          </cell>
          <cell r="AG23" t="str">
            <v/>
          </cell>
          <cell r="AH23" t="str">
            <v/>
          </cell>
          <cell r="AI23" t="str">
            <v/>
          </cell>
          <cell r="AJ23" t="str">
            <v/>
          </cell>
          <cell r="AK23" t="str">
            <v/>
          </cell>
          <cell r="AL23" t="str">
            <v/>
          </cell>
          <cell r="AM23" t="str">
            <v/>
          </cell>
          <cell r="AN23" t="str">
            <v/>
          </cell>
          <cell r="AO23" t="str">
            <v/>
          </cell>
          <cell r="AP23" t="str">
            <v/>
          </cell>
          <cell r="AQ23" t="str">
            <v/>
          </cell>
          <cell r="AR23" t="str">
            <v/>
          </cell>
          <cell r="AS23" t="str">
            <v/>
          </cell>
          <cell r="AT23" t="str">
            <v/>
          </cell>
          <cell r="AU23" t="str">
            <v/>
          </cell>
          <cell r="AV23" t="str">
            <v/>
          </cell>
          <cell r="AW23" t="str">
            <v/>
          </cell>
          <cell r="AX23" t="str">
            <v/>
          </cell>
          <cell r="AY23" t="str">
            <v/>
          </cell>
          <cell r="AZ23" t="str">
            <v/>
          </cell>
          <cell r="BA23" t="str">
            <v/>
          </cell>
          <cell r="BB23" t="str">
            <v/>
          </cell>
          <cell r="BC23" t="str">
            <v/>
          </cell>
          <cell r="BD23" t="str">
            <v/>
          </cell>
          <cell r="BE23" t="str">
            <v/>
          </cell>
          <cell r="BF23" t="str">
            <v/>
          </cell>
          <cell r="BG23" t="str">
            <v/>
          </cell>
          <cell r="BH23" t="str">
            <v/>
          </cell>
          <cell r="BI23" t="str">
            <v/>
          </cell>
          <cell r="BJ23" t="str">
            <v/>
          </cell>
          <cell r="BK23" t="str">
            <v/>
          </cell>
          <cell r="BL23" t="str">
            <v/>
          </cell>
          <cell r="BM23" t="str">
            <v/>
          </cell>
          <cell r="BN23" t="str">
            <v/>
          </cell>
          <cell r="BO23" t="str">
            <v/>
          </cell>
          <cell r="BP23" t="str">
            <v/>
          </cell>
          <cell r="BQ23" t="str">
            <v/>
          </cell>
          <cell r="BR23" t="str">
            <v/>
          </cell>
          <cell r="BS23" t="str">
            <v/>
          </cell>
          <cell r="BT23" t="str">
            <v/>
          </cell>
          <cell r="BU23" t="str">
            <v/>
          </cell>
          <cell r="BV23" t="str">
            <v/>
          </cell>
          <cell r="BW23" t="str">
            <v/>
          </cell>
          <cell r="BX23" t="str">
            <v/>
          </cell>
          <cell r="BY23" t="str">
            <v/>
          </cell>
          <cell r="BZ23" t="str">
            <v/>
          </cell>
          <cell r="CA23" t="str">
            <v/>
          </cell>
          <cell r="CB23" t="str">
            <v/>
          </cell>
          <cell r="CC23" t="str">
            <v/>
          </cell>
          <cell r="CD23" t="str">
            <v/>
          </cell>
          <cell r="CE23" t="str">
            <v/>
          </cell>
          <cell r="CF23" t="str">
            <v/>
          </cell>
          <cell r="CG23" t="str">
            <v/>
          </cell>
          <cell r="CH23" t="str">
            <v/>
          </cell>
          <cell r="CI23" t="str">
            <v/>
          </cell>
          <cell r="CJ23" t="str">
            <v/>
          </cell>
          <cell r="CK23" t="str">
            <v/>
          </cell>
          <cell r="CL23" t="str">
            <v/>
          </cell>
          <cell r="CM23" t="str">
            <v/>
          </cell>
          <cell r="CN23" t="str">
            <v/>
          </cell>
          <cell r="CO23" t="str">
            <v/>
          </cell>
          <cell r="CP23" t="str">
            <v/>
          </cell>
          <cell r="CQ23" t="str">
            <v/>
          </cell>
          <cell r="CR23" t="str">
            <v/>
          </cell>
          <cell r="CS23" t="str">
            <v/>
          </cell>
          <cell r="CT23" t="str">
            <v/>
          </cell>
          <cell r="CU23" t="str">
            <v/>
          </cell>
          <cell r="CV23" t="str">
            <v/>
          </cell>
          <cell r="CW23" t="str">
            <v/>
          </cell>
          <cell r="CX23" t="str">
            <v/>
          </cell>
          <cell r="CY23" t="str">
            <v/>
          </cell>
          <cell r="CZ23" t="str">
            <v/>
          </cell>
          <cell r="DA23" t="str">
            <v/>
          </cell>
          <cell r="DB23" t="str">
            <v/>
          </cell>
        </row>
        <row r="24">
          <cell r="A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 t="str">
            <v/>
          </cell>
          <cell r="AE24" t="str">
            <v/>
          </cell>
          <cell r="AF24" t="str">
            <v/>
          </cell>
          <cell r="AG24" t="str">
            <v/>
          </cell>
          <cell r="AH24" t="str">
            <v/>
          </cell>
          <cell r="AI24" t="str">
            <v/>
          </cell>
          <cell r="AJ24" t="str">
            <v/>
          </cell>
          <cell r="AK24" t="str">
            <v/>
          </cell>
          <cell r="AL24" t="str">
            <v/>
          </cell>
          <cell r="AM24" t="str">
            <v/>
          </cell>
          <cell r="AN24" t="str">
            <v/>
          </cell>
          <cell r="AO24" t="str">
            <v/>
          </cell>
          <cell r="AP24" t="str">
            <v/>
          </cell>
          <cell r="AQ24" t="str">
            <v/>
          </cell>
          <cell r="AR24" t="str">
            <v/>
          </cell>
          <cell r="AS24" t="str">
            <v/>
          </cell>
          <cell r="AT24" t="str">
            <v/>
          </cell>
          <cell r="AU24" t="str">
            <v/>
          </cell>
          <cell r="AV24" t="str">
            <v/>
          </cell>
          <cell r="AW24" t="str">
            <v/>
          </cell>
          <cell r="AX24" t="str">
            <v/>
          </cell>
          <cell r="AY24" t="str">
            <v/>
          </cell>
          <cell r="AZ24" t="str">
            <v/>
          </cell>
          <cell r="BA24" t="str">
            <v/>
          </cell>
          <cell r="BB24" t="str">
            <v/>
          </cell>
          <cell r="BC24" t="str">
            <v/>
          </cell>
          <cell r="BD24" t="str">
            <v/>
          </cell>
          <cell r="BE24" t="str">
            <v/>
          </cell>
          <cell r="BF24" t="str">
            <v/>
          </cell>
          <cell r="BG24" t="str">
            <v/>
          </cell>
          <cell r="BH24" t="str">
            <v/>
          </cell>
          <cell r="BI24" t="str">
            <v/>
          </cell>
          <cell r="BJ24" t="str">
            <v/>
          </cell>
          <cell r="BK24" t="str">
            <v/>
          </cell>
          <cell r="BL24" t="str">
            <v/>
          </cell>
          <cell r="BM24" t="str">
            <v/>
          </cell>
          <cell r="BN24" t="str">
            <v/>
          </cell>
          <cell r="BO24" t="str">
            <v/>
          </cell>
          <cell r="BP24" t="str">
            <v/>
          </cell>
          <cell r="BQ24" t="str">
            <v/>
          </cell>
          <cell r="BR24" t="str">
            <v/>
          </cell>
          <cell r="BS24" t="str">
            <v/>
          </cell>
          <cell r="BT24" t="str">
            <v/>
          </cell>
          <cell r="BU24" t="str">
            <v/>
          </cell>
          <cell r="BV24" t="str">
            <v/>
          </cell>
          <cell r="BW24" t="str">
            <v/>
          </cell>
          <cell r="BX24" t="str">
            <v/>
          </cell>
          <cell r="BY24" t="str">
            <v/>
          </cell>
          <cell r="BZ24" t="str">
            <v/>
          </cell>
          <cell r="CA24" t="str">
            <v/>
          </cell>
          <cell r="CB24" t="str">
            <v/>
          </cell>
          <cell r="CC24" t="str">
            <v/>
          </cell>
          <cell r="CD24" t="str">
            <v/>
          </cell>
          <cell r="CE24" t="str">
            <v/>
          </cell>
          <cell r="CF24" t="str">
            <v/>
          </cell>
          <cell r="CG24" t="str">
            <v/>
          </cell>
          <cell r="CH24" t="str">
            <v/>
          </cell>
          <cell r="CI24" t="str">
            <v/>
          </cell>
          <cell r="CJ24" t="str">
            <v/>
          </cell>
          <cell r="CK24" t="str">
            <v/>
          </cell>
          <cell r="CL24" t="str">
            <v/>
          </cell>
          <cell r="CM24" t="str">
            <v/>
          </cell>
          <cell r="CN24" t="str">
            <v/>
          </cell>
          <cell r="CO24" t="str">
            <v/>
          </cell>
          <cell r="CP24" t="str">
            <v/>
          </cell>
          <cell r="CQ24" t="str">
            <v/>
          </cell>
          <cell r="CR24" t="str">
            <v/>
          </cell>
          <cell r="CS24" t="str">
            <v/>
          </cell>
          <cell r="CT24" t="str">
            <v/>
          </cell>
          <cell r="CU24" t="str">
            <v/>
          </cell>
          <cell r="CV24" t="str">
            <v/>
          </cell>
          <cell r="CW24" t="str">
            <v/>
          </cell>
          <cell r="CX24" t="str">
            <v/>
          </cell>
          <cell r="CY24" t="str">
            <v/>
          </cell>
          <cell r="CZ24" t="str">
            <v/>
          </cell>
          <cell r="DA24" t="str">
            <v/>
          </cell>
          <cell r="DB24" t="str">
            <v/>
          </cell>
        </row>
        <row r="25">
          <cell r="A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 t="str">
            <v/>
          </cell>
          <cell r="AE25" t="str">
            <v/>
          </cell>
          <cell r="AF25" t="str">
            <v/>
          </cell>
          <cell r="AG25" t="str">
            <v/>
          </cell>
          <cell r="AH25" t="str">
            <v/>
          </cell>
          <cell r="AI25" t="str">
            <v/>
          </cell>
          <cell r="AJ25" t="str">
            <v/>
          </cell>
          <cell r="AK25" t="str">
            <v/>
          </cell>
          <cell r="AL25" t="str">
            <v/>
          </cell>
          <cell r="AM25" t="str">
            <v/>
          </cell>
          <cell r="AN25" t="str">
            <v/>
          </cell>
          <cell r="AO25" t="str">
            <v/>
          </cell>
          <cell r="AP25" t="str">
            <v/>
          </cell>
          <cell r="AQ25" t="str">
            <v/>
          </cell>
          <cell r="AR25" t="str">
            <v/>
          </cell>
          <cell r="AS25" t="str">
            <v/>
          </cell>
          <cell r="AT25" t="str">
            <v/>
          </cell>
          <cell r="AU25" t="str">
            <v/>
          </cell>
          <cell r="AV25" t="str">
            <v/>
          </cell>
          <cell r="AW25" t="str">
            <v/>
          </cell>
          <cell r="AX25" t="str">
            <v/>
          </cell>
          <cell r="AY25" t="str">
            <v/>
          </cell>
          <cell r="AZ25" t="str">
            <v/>
          </cell>
          <cell r="BA25" t="str">
            <v/>
          </cell>
          <cell r="BB25" t="str">
            <v/>
          </cell>
          <cell r="BC25" t="str">
            <v/>
          </cell>
          <cell r="BD25" t="str">
            <v/>
          </cell>
          <cell r="BE25" t="str">
            <v/>
          </cell>
          <cell r="BF25" t="str">
            <v/>
          </cell>
          <cell r="BG25" t="str">
            <v/>
          </cell>
          <cell r="BH25" t="str">
            <v/>
          </cell>
          <cell r="BI25" t="str">
            <v/>
          </cell>
          <cell r="BJ25" t="str">
            <v/>
          </cell>
          <cell r="BK25" t="str">
            <v/>
          </cell>
          <cell r="BL25" t="str">
            <v/>
          </cell>
          <cell r="BM25" t="str">
            <v/>
          </cell>
          <cell r="BN25" t="str">
            <v/>
          </cell>
          <cell r="BO25" t="str">
            <v/>
          </cell>
          <cell r="BP25" t="str">
            <v/>
          </cell>
          <cell r="BQ25" t="str">
            <v/>
          </cell>
          <cell r="BR25" t="str">
            <v/>
          </cell>
          <cell r="BS25" t="str">
            <v/>
          </cell>
          <cell r="BT25" t="str">
            <v/>
          </cell>
          <cell r="BU25" t="str">
            <v/>
          </cell>
          <cell r="BV25" t="str">
            <v/>
          </cell>
          <cell r="BW25" t="str">
            <v/>
          </cell>
          <cell r="BX25" t="str">
            <v/>
          </cell>
          <cell r="BY25" t="str">
            <v/>
          </cell>
          <cell r="BZ25" t="str">
            <v/>
          </cell>
          <cell r="CA25" t="str">
            <v/>
          </cell>
          <cell r="CB25" t="str">
            <v/>
          </cell>
          <cell r="CC25" t="str">
            <v/>
          </cell>
          <cell r="CD25" t="str">
            <v/>
          </cell>
          <cell r="CE25" t="str">
            <v/>
          </cell>
          <cell r="CF25" t="str">
            <v/>
          </cell>
          <cell r="CG25" t="str">
            <v/>
          </cell>
          <cell r="CH25" t="str">
            <v/>
          </cell>
          <cell r="CI25" t="str">
            <v/>
          </cell>
          <cell r="CJ25" t="str">
            <v/>
          </cell>
          <cell r="CK25" t="str">
            <v/>
          </cell>
          <cell r="CL25" t="str">
            <v/>
          </cell>
          <cell r="CM25" t="str">
            <v/>
          </cell>
          <cell r="CN25" t="str">
            <v/>
          </cell>
          <cell r="CO25" t="str">
            <v/>
          </cell>
          <cell r="CP25" t="str">
            <v/>
          </cell>
          <cell r="CQ25" t="str">
            <v/>
          </cell>
          <cell r="CR25" t="str">
            <v/>
          </cell>
          <cell r="CS25" t="str">
            <v/>
          </cell>
          <cell r="CT25" t="str">
            <v/>
          </cell>
          <cell r="CU25" t="str">
            <v/>
          </cell>
          <cell r="CV25" t="str">
            <v/>
          </cell>
          <cell r="CW25" t="str">
            <v/>
          </cell>
          <cell r="CX25" t="str">
            <v/>
          </cell>
          <cell r="CY25" t="str">
            <v/>
          </cell>
          <cell r="CZ25" t="str">
            <v/>
          </cell>
          <cell r="DA25" t="str">
            <v/>
          </cell>
          <cell r="DB25" t="str">
            <v/>
          </cell>
        </row>
        <row r="26">
          <cell r="A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 t="str">
            <v/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 t="str">
            <v/>
          </cell>
          <cell r="AL26" t="str">
            <v/>
          </cell>
          <cell r="AM26" t="str">
            <v/>
          </cell>
          <cell r="AN26" t="str">
            <v/>
          </cell>
          <cell r="AO26" t="str">
            <v/>
          </cell>
          <cell r="AP26" t="str">
            <v/>
          </cell>
          <cell r="AQ26" t="str">
            <v/>
          </cell>
          <cell r="AR26" t="str">
            <v/>
          </cell>
          <cell r="AS26" t="str">
            <v/>
          </cell>
          <cell r="AT26" t="str">
            <v/>
          </cell>
          <cell r="AU26" t="str">
            <v/>
          </cell>
          <cell r="AV26" t="str">
            <v/>
          </cell>
          <cell r="AW26" t="str">
            <v/>
          </cell>
          <cell r="AX26" t="str">
            <v/>
          </cell>
          <cell r="AY26" t="str">
            <v/>
          </cell>
          <cell r="AZ26" t="str">
            <v/>
          </cell>
          <cell r="BA26" t="str">
            <v/>
          </cell>
          <cell r="BB26" t="str">
            <v/>
          </cell>
          <cell r="BC26" t="str">
            <v/>
          </cell>
          <cell r="BD26" t="str">
            <v/>
          </cell>
          <cell r="BE26" t="str">
            <v/>
          </cell>
          <cell r="BF26" t="str">
            <v/>
          </cell>
          <cell r="BG26" t="str">
            <v/>
          </cell>
          <cell r="BH26" t="str">
            <v/>
          </cell>
          <cell r="BI26" t="str">
            <v/>
          </cell>
          <cell r="BJ26" t="str">
            <v/>
          </cell>
          <cell r="BK26" t="str">
            <v/>
          </cell>
          <cell r="BL26" t="str">
            <v/>
          </cell>
          <cell r="BM26" t="str">
            <v/>
          </cell>
          <cell r="BN26" t="str">
            <v/>
          </cell>
          <cell r="BO26" t="str">
            <v/>
          </cell>
          <cell r="BP26" t="str">
            <v/>
          </cell>
          <cell r="BQ26" t="str">
            <v/>
          </cell>
          <cell r="BR26" t="str">
            <v/>
          </cell>
          <cell r="BS26" t="str">
            <v/>
          </cell>
          <cell r="BT26" t="str">
            <v/>
          </cell>
          <cell r="BU26" t="str">
            <v/>
          </cell>
          <cell r="BV26" t="str">
            <v/>
          </cell>
          <cell r="BW26" t="str">
            <v/>
          </cell>
          <cell r="BX26" t="str">
            <v/>
          </cell>
          <cell r="BY26" t="str">
            <v/>
          </cell>
          <cell r="BZ26" t="str">
            <v/>
          </cell>
          <cell r="CA26" t="str">
            <v/>
          </cell>
          <cell r="CB26" t="str">
            <v/>
          </cell>
          <cell r="CC26" t="str">
            <v/>
          </cell>
          <cell r="CD26" t="str">
            <v/>
          </cell>
          <cell r="CE26" t="str">
            <v/>
          </cell>
          <cell r="CF26" t="str">
            <v/>
          </cell>
          <cell r="CG26" t="str">
            <v/>
          </cell>
          <cell r="CH26" t="str">
            <v/>
          </cell>
          <cell r="CI26" t="str">
            <v/>
          </cell>
          <cell r="CJ26" t="str">
            <v/>
          </cell>
          <cell r="CK26" t="str">
            <v/>
          </cell>
          <cell r="CL26" t="str">
            <v/>
          </cell>
          <cell r="CM26" t="str">
            <v/>
          </cell>
          <cell r="CN26" t="str">
            <v/>
          </cell>
          <cell r="CO26" t="str">
            <v/>
          </cell>
          <cell r="CP26" t="str">
            <v/>
          </cell>
          <cell r="CQ26" t="str">
            <v/>
          </cell>
          <cell r="CR26" t="str">
            <v/>
          </cell>
          <cell r="CS26" t="str">
            <v/>
          </cell>
          <cell r="CT26" t="str">
            <v/>
          </cell>
          <cell r="CU26" t="str">
            <v/>
          </cell>
          <cell r="CV26" t="str">
            <v/>
          </cell>
          <cell r="CW26" t="str">
            <v/>
          </cell>
          <cell r="CX26" t="str">
            <v/>
          </cell>
          <cell r="CY26" t="str">
            <v/>
          </cell>
          <cell r="CZ26" t="str">
            <v/>
          </cell>
          <cell r="DA26" t="str">
            <v/>
          </cell>
          <cell r="DB26" t="str">
            <v/>
          </cell>
        </row>
        <row r="27">
          <cell r="A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 t="str">
            <v/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 t="str">
            <v/>
          </cell>
          <cell r="AL27" t="str">
            <v/>
          </cell>
          <cell r="AM27" t="str">
            <v/>
          </cell>
          <cell r="AN27" t="str">
            <v/>
          </cell>
          <cell r="AO27" t="str">
            <v/>
          </cell>
          <cell r="AP27" t="str">
            <v/>
          </cell>
          <cell r="AQ27" t="str">
            <v/>
          </cell>
          <cell r="AR27" t="str">
            <v/>
          </cell>
          <cell r="AS27" t="str">
            <v/>
          </cell>
          <cell r="AT27" t="str">
            <v/>
          </cell>
          <cell r="AU27" t="str">
            <v/>
          </cell>
          <cell r="AV27" t="str">
            <v/>
          </cell>
          <cell r="AW27" t="str">
            <v/>
          </cell>
          <cell r="AX27" t="str">
            <v/>
          </cell>
          <cell r="AY27" t="str">
            <v/>
          </cell>
          <cell r="AZ27" t="str">
            <v/>
          </cell>
          <cell r="BA27" t="str">
            <v/>
          </cell>
          <cell r="BB27" t="str">
            <v/>
          </cell>
          <cell r="BC27" t="str">
            <v/>
          </cell>
          <cell r="BD27" t="str">
            <v/>
          </cell>
          <cell r="BE27" t="str">
            <v/>
          </cell>
          <cell r="BF27" t="str">
            <v/>
          </cell>
          <cell r="BG27" t="str">
            <v/>
          </cell>
          <cell r="BH27" t="str">
            <v/>
          </cell>
          <cell r="BI27" t="str">
            <v/>
          </cell>
          <cell r="BJ27" t="str">
            <v/>
          </cell>
          <cell r="BK27" t="str">
            <v/>
          </cell>
          <cell r="BL27" t="str">
            <v/>
          </cell>
          <cell r="BM27" t="str">
            <v/>
          </cell>
          <cell r="BN27" t="str">
            <v/>
          </cell>
          <cell r="BO27" t="str">
            <v/>
          </cell>
          <cell r="BP27" t="str">
            <v/>
          </cell>
          <cell r="BQ27" t="str">
            <v/>
          </cell>
          <cell r="BR27" t="str">
            <v/>
          </cell>
          <cell r="BS27" t="str">
            <v/>
          </cell>
          <cell r="BT27" t="str">
            <v/>
          </cell>
          <cell r="BU27" t="str">
            <v/>
          </cell>
          <cell r="BV27" t="str">
            <v/>
          </cell>
          <cell r="BW27" t="str">
            <v/>
          </cell>
          <cell r="BX27" t="str">
            <v/>
          </cell>
          <cell r="BY27" t="str">
            <v/>
          </cell>
          <cell r="BZ27" t="str">
            <v/>
          </cell>
          <cell r="CA27" t="str">
            <v/>
          </cell>
          <cell r="CB27" t="str">
            <v/>
          </cell>
          <cell r="CC27" t="str">
            <v/>
          </cell>
          <cell r="CD27" t="str">
            <v/>
          </cell>
          <cell r="CE27" t="str">
            <v/>
          </cell>
          <cell r="CF27" t="str">
            <v/>
          </cell>
          <cell r="CG27" t="str">
            <v/>
          </cell>
          <cell r="CH27" t="str">
            <v/>
          </cell>
          <cell r="CI27" t="str">
            <v/>
          </cell>
          <cell r="CJ27" t="str">
            <v/>
          </cell>
          <cell r="CK27" t="str">
            <v/>
          </cell>
          <cell r="CL27" t="str">
            <v/>
          </cell>
          <cell r="CM27" t="str">
            <v/>
          </cell>
          <cell r="CN27" t="str">
            <v/>
          </cell>
          <cell r="CO27" t="str">
            <v/>
          </cell>
          <cell r="CP27" t="str">
            <v/>
          </cell>
          <cell r="CQ27" t="str">
            <v/>
          </cell>
          <cell r="CR27" t="str">
            <v/>
          </cell>
          <cell r="CS27" t="str">
            <v/>
          </cell>
          <cell r="CT27" t="str">
            <v/>
          </cell>
          <cell r="CU27" t="str">
            <v/>
          </cell>
          <cell r="CV27" t="str">
            <v/>
          </cell>
          <cell r="CW27" t="str">
            <v/>
          </cell>
          <cell r="CX27" t="str">
            <v/>
          </cell>
          <cell r="CY27" t="str">
            <v/>
          </cell>
          <cell r="CZ27" t="str">
            <v/>
          </cell>
          <cell r="DA27" t="str">
            <v/>
          </cell>
          <cell r="DB27" t="str">
            <v/>
          </cell>
        </row>
        <row r="28">
          <cell r="A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 t="str">
            <v/>
          </cell>
          <cell r="AE28" t="str">
            <v/>
          </cell>
          <cell r="AF28" t="str">
            <v/>
          </cell>
          <cell r="AG28" t="str">
            <v/>
          </cell>
          <cell r="AH28" t="str">
            <v/>
          </cell>
          <cell r="AI28" t="str">
            <v/>
          </cell>
          <cell r="AJ28" t="str">
            <v/>
          </cell>
          <cell r="AK28" t="str">
            <v/>
          </cell>
          <cell r="AL28" t="str">
            <v/>
          </cell>
          <cell r="AM28" t="str">
            <v/>
          </cell>
          <cell r="AN28" t="str">
            <v/>
          </cell>
          <cell r="AO28" t="str">
            <v/>
          </cell>
          <cell r="AP28" t="str">
            <v/>
          </cell>
          <cell r="AQ28" t="str">
            <v/>
          </cell>
          <cell r="AR28" t="str">
            <v/>
          </cell>
          <cell r="AS28" t="str">
            <v/>
          </cell>
          <cell r="AT28" t="str">
            <v/>
          </cell>
          <cell r="AU28" t="str">
            <v/>
          </cell>
          <cell r="AV28" t="str">
            <v/>
          </cell>
          <cell r="AW28" t="str">
            <v/>
          </cell>
          <cell r="AX28" t="str">
            <v/>
          </cell>
          <cell r="AY28" t="str">
            <v/>
          </cell>
          <cell r="AZ28" t="str">
            <v/>
          </cell>
          <cell r="BA28" t="str">
            <v/>
          </cell>
          <cell r="BB28" t="str">
            <v/>
          </cell>
          <cell r="BC28" t="str">
            <v/>
          </cell>
          <cell r="BD28" t="str">
            <v/>
          </cell>
          <cell r="BE28" t="str">
            <v/>
          </cell>
          <cell r="BF28" t="str">
            <v/>
          </cell>
          <cell r="BG28" t="str">
            <v/>
          </cell>
          <cell r="BH28" t="str">
            <v/>
          </cell>
          <cell r="BI28" t="str">
            <v/>
          </cell>
          <cell r="BJ28" t="str">
            <v/>
          </cell>
          <cell r="BK28" t="str">
            <v/>
          </cell>
          <cell r="BL28" t="str">
            <v/>
          </cell>
          <cell r="BM28" t="str">
            <v/>
          </cell>
          <cell r="BN28" t="str">
            <v/>
          </cell>
          <cell r="BO28" t="str">
            <v/>
          </cell>
          <cell r="BP28" t="str">
            <v/>
          </cell>
          <cell r="BQ28" t="str">
            <v/>
          </cell>
          <cell r="BR28" t="str">
            <v/>
          </cell>
          <cell r="BS28" t="str">
            <v/>
          </cell>
          <cell r="BT28" t="str">
            <v/>
          </cell>
          <cell r="BU28" t="str">
            <v/>
          </cell>
          <cell r="BV28" t="str">
            <v/>
          </cell>
          <cell r="BW28" t="str">
            <v/>
          </cell>
          <cell r="BX28" t="str">
            <v/>
          </cell>
          <cell r="BY28" t="str">
            <v/>
          </cell>
          <cell r="BZ28" t="str">
            <v/>
          </cell>
          <cell r="CA28" t="str">
            <v/>
          </cell>
          <cell r="CB28" t="str">
            <v/>
          </cell>
          <cell r="CC28" t="str">
            <v/>
          </cell>
          <cell r="CD28" t="str">
            <v/>
          </cell>
          <cell r="CE28" t="str">
            <v/>
          </cell>
          <cell r="CF28" t="str">
            <v/>
          </cell>
          <cell r="CG28" t="str">
            <v/>
          </cell>
          <cell r="CH28" t="str">
            <v/>
          </cell>
          <cell r="CI28" t="str">
            <v/>
          </cell>
          <cell r="CJ28" t="str">
            <v/>
          </cell>
          <cell r="CK28" t="str">
            <v/>
          </cell>
          <cell r="CL28" t="str">
            <v/>
          </cell>
          <cell r="CM28" t="str">
            <v/>
          </cell>
          <cell r="CN28" t="str">
            <v/>
          </cell>
          <cell r="CO28" t="str">
            <v/>
          </cell>
          <cell r="CP28" t="str">
            <v/>
          </cell>
          <cell r="CQ28" t="str">
            <v/>
          </cell>
          <cell r="CR28" t="str">
            <v/>
          </cell>
          <cell r="CS28" t="str">
            <v/>
          </cell>
          <cell r="CT28" t="str">
            <v/>
          </cell>
          <cell r="CU28" t="str">
            <v/>
          </cell>
          <cell r="CV28" t="str">
            <v/>
          </cell>
          <cell r="CW28" t="str">
            <v/>
          </cell>
          <cell r="CX28" t="str">
            <v/>
          </cell>
          <cell r="CY28" t="str">
            <v/>
          </cell>
          <cell r="CZ28" t="str">
            <v/>
          </cell>
          <cell r="DA28" t="str">
            <v/>
          </cell>
          <cell r="DB28" t="str">
            <v/>
          </cell>
        </row>
        <row r="29">
          <cell r="A29" t="str">
            <v/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  <cell r="Y29" t="str">
            <v/>
          </cell>
          <cell r="Z29" t="str">
            <v/>
          </cell>
          <cell r="AA29" t="str">
            <v/>
          </cell>
          <cell r="AB29" t="str">
            <v/>
          </cell>
          <cell r="AC29" t="str">
            <v/>
          </cell>
          <cell r="AD29" t="str">
            <v/>
          </cell>
          <cell r="AE29" t="str">
            <v/>
          </cell>
          <cell r="AF29" t="str">
            <v/>
          </cell>
          <cell r="AG29" t="str">
            <v/>
          </cell>
          <cell r="AH29" t="str">
            <v/>
          </cell>
          <cell r="AI29" t="str">
            <v/>
          </cell>
          <cell r="AJ29" t="str">
            <v/>
          </cell>
          <cell r="AK29" t="str">
            <v/>
          </cell>
          <cell r="AL29" t="str">
            <v/>
          </cell>
          <cell r="AM29" t="str">
            <v/>
          </cell>
          <cell r="AN29" t="str">
            <v/>
          </cell>
          <cell r="AO29" t="str">
            <v/>
          </cell>
          <cell r="AP29" t="str">
            <v/>
          </cell>
          <cell r="AQ29" t="str">
            <v/>
          </cell>
          <cell r="AR29" t="str">
            <v/>
          </cell>
          <cell r="AS29" t="str">
            <v/>
          </cell>
          <cell r="AT29" t="str">
            <v/>
          </cell>
          <cell r="AU29" t="str">
            <v/>
          </cell>
          <cell r="AV29" t="str">
            <v/>
          </cell>
          <cell r="AW29" t="str">
            <v/>
          </cell>
          <cell r="AX29" t="str">
            <v/>
          </cell>
          <cell r="AY29" t="str">
            <v/>
          </cell>
          <cell r="AZ29" t="str">
            <v/>
          </cell>
          <cell r="BA29" t="str">
            <v/>
          </cell>
          <cell r="BB29" t="str">
            <v/>
          </cell>
          <cell r="BC29" t="str">
            <v/>
          </cell>
          <cell r="BD29" t="str">
            <v/>
          </cell>
          <cell r="BE29" t="str">
            <v/>
          </cell>
          <cell r="BF29" t="str">
            <v/>
          </cell>
          <cell r="BG29" t="str">
            <v/>
          </cell>
          <cell r="BH29" t="str">
            <v/>
          </cell>
          <cell r="BI29" t="str">
            <v/>
          </cell>
          <cell r="BJ29" t="str">
            <v/>
          </cell>
          <cell r="BK29" t="str">
            <v/>
          </cell>
          <cell r="BL29" t="str">
            <v/>
          </cell>
          <cell r="BM29" t="str">
            <v/>
          </cell>
          <cell r="BN29" t="str">
            <v/>
          </cell>
          <cell r="BO29" t="str">
            <v/>
          </cell>
          <cell r="BP29" t="str">
            <v/>
          </cell>
          <cell r="BQ29" t="str">
            <v/>
          </cell>
          <cell r="BR29" t="str">
            <v/>
          </cell>
          <cell r="BS29" t="str">
            <v/>
          </cell>
          <cell r="BT29" t="str">
            <v/>
          </cell>
          <cell r="BU29" t="str">
            <v/>
          </cell>
          <cell r="BV29" t="str">
            <v/>
          </cell>
          <cell r="BW29" t="str">
            <v/>
          </cell>
          <cell r="BX29" t="str">
            <v/>
          </cell>
          <cell r="BY29" t="str">
            <v/>
          </cell>
          <cell r="BZ29" t="str">
            <v/>
          </cell>
          <cell r="CA29" t="str">
            <v/>
          </cell>
          <cell r="CB29" t="str">
            <v/>
          </cell>
          <cell r="CC29" t="str">
            <v/>
          </cell>
          <cell r="CD29" t="str">
            <v/>
          </cell>
          <cell r="CE29" t="str">
            <v/>
          </cell>
          <cell r="CF29" t="str">
            <v/>
          </cell>
          <cell r="CG29" t="str">
            <v/>
          </cell>
          <cell r="CH29" t="str">
            <v/>
          </cell>
          <cell r="CI29" t="str">
            <v/>
          </cell>
          <cell r="CJ29" t="str">
            <v/>
          </cell>
          <cell r="CK29" t="str">
            <v/>
          </cell>
          <cell r="CL29" t="str">
            <v/>
          </cell>
          <cell r="CM29" t="str">
            <v/>
          </cell>
          <cell r="CN29" t="str">
            <v/>
          </cell>
          <cell r="CO29" t="str">
            <v/>
          </cell>
          <cell r="CP29" t="str">
            <v/>
          </cell>
          <cell r="CQ29" t="str">
            <v/>
          </cell>
          <cell r="CR29" t="str">
            <v/>
          </cell>
          <cell r="CS29" t="str">
            <v/>
          </cell>
          <cell r="CT29" t="str">
            <v/>
          </cell>
          <cell r="CU29" t="str">
            <v/>
          </cell>
          <cell r="CV29" t="str">
            <v/>
          </cell>
          <cell r="CW29" t="str">
            <v/>
          </cell>
          <cell r="CX29" t="str">
            <v/>
          </cell>
          <cell r="CY29" t="str">
            <v/>
          </cell>
          <cell r="CZ29" t="str">
            <v/>
          </cell>
          <cell r="DA29" t="str">
            <v/>
          </cell>
          <cell r="DB29" t="str">
            <v/>
          </cell>
        </row>
        <row r="30">
          <cell r="A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 t="str">
            <v/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 t="str">
            <v/>
          </cell>
          <cell r="AL30" t="str">
            <v/>
          </cell>
          <cell r="AM30" t="str">
            <v/>
          </cell>
          <cell r="AN30" t="str">
            <v/>
          </cell>
          <cell r="AO30" t="str">
            <v/>
          </cell>
          <cell r="AP30" t="str">
            <v/>
          </cell>
          <cell r="AQ30" t="str">
            <v/>
          </cell>
          <cell r="AR30" t="str">
            <v/>
          </cell>
          <cell r="AS30" t="str">
            <v/>
          </cell>
          <cell r="AT30" t="str">
            <v/>
          </cell>
          <cell r="AU30" t="str">
            <v/>
          </cell>
          <cell r="AV30" t="str">
            <v/>
          </cell>
          <cell r="AW30" t="str">
            <v/>
          </cell>
          <cell r="AX30" t="str">
            <v/>
          </cell>
          <cell r="AY30" t="str">
            <v/>
          </cell>
          <cell r="AZ30" t="str">
            <v/>
          </cell>
          <cell r="BA30" t="str">
            <v/>
          </cell>
          <cell r="BB30" t="str">
            <v/>
          </cell>
          <cell r="BC30" t="str">
            <v/>
          </cell>
          <cell r="BD30" t="str">
            <v/>
          </cell>
          <cell r="BE30" t="str">
            <v/>
          </cell>
          <cell r="BF30" t="str">
            <v/>
          </cell>
          <cell r="BG30" t="str">
            <v/>
          </cell>
          <cell r="BH30" t="str">
            <v/>
          </cell>
          <cell r="BI30" t="str">
            <v/>
          </cell>
          <cell r="BJ30" t="str">
            <v/>
          </cell>
          <cell r="BK30" t="str">
            <v/>
          </cell>
          <cell r="BL30" t="str">
            <v/>
          </cell>
          <cell r="BM30" t="str">
            <v/>
          </cell>
          <cell r="BN30" t="str">
            <v/>
          </cell>
          <cell r="BO30" t="str">
            <v/>
          </cell>
          <cell r="BP30" t="str">
            <v/>
          </cell>
          <cell r="BQ30" t="str">
            <v/>
          </cell>
          <cell r="BR30" t="str">
            <v/>
          </cell>
          <cell r="BS30" t="str">
            <v/>
          </cell>
          <cell r="BT30" t="str">
            <v/>
          </cell>
          <cell r="BU30" t="str">
            <v/>
          </cell>
          <cell r="BV30" t="str">
            <v/>
          </cell>
          <cell r="BW30" t="str">
            <v/>
          </cell>
          <cell r="BX30" t="str">
            <v/>
          </cell>
          <cell r="BY30" t="str">
            <v/>
          </cell>
          <cell r="BZ30" t="str">
            <v/>
          </cell>
          <cell r="CA30" t="str">
            <v/>
          </cell>
          <cell r="CB30" t="str">
            <v/>
          </cell>
          <cell r="CC30" t="str">
            <v/>
          </cell>
          <cell r="CD30" t="str">
            <v/>
          </cell>
          <cell r="CE30" t="str">
            <v/>
          </cell>
          <cell r="CF30" t="str">
            <v/>
          </cell>
          <cell r="CG30" t="str">
            <v/>
          </cell>
          <cell r="CH30" t="str">
            <v/>
          </cell>
          <cell r="CI30" t="str">
            <v/>
          </cell>
          <cell r="CJ30" t="str">
            <v/>
          </cell>
          <cell r="CK30" t="str">
            <v/>
          </cell>
          <cell r="CL30" t="str">
            <v/>
          </cell>
          <cell r="CM30" t="str">
            <v/>
          </cell>
          <cell r="CN30" t="str">
            <v/>
          </cell>
          <cell r="CO30" t="str">
            <v/>
          </cell>
          <cell r="CP30" t="str">
            <v/>
          </cell>
          <cell r="CQ30" t="str">
            <v/>
          </cell>
          <cell r="CR30" t="str">
            <v/>
          </cell>
          <cell r="CS30" t="str">
            <v/>
          </cell>
          <cell r="CT30" t="str">
            <v/>
          </cell>
          <cell r="CU30" t="str">
            <v/>
          </cell>
          <cell r="CV30" t="str">
            <v/>
          </cell>
          <cell r="CW30" t="str">
            <v/>
          </cell>
          <cell r="CX30" t="str">
            <v/>
          </cell>
          <cell r="CY30" t="str">
            <v/>
          </cell>
          <cell r="CZ30" t="str">
            <v/>
          </cell>
          <cell r="DA30" t="str">
            <v/>
          </cell>
          <cell r="DB30" t="str">
            <v/>
          </cell>
        </row>
        <row r="31">
          <cell r="A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 t="str">
            <v/>
          </cell>
          <cell r="AE31" t="str">
            <v/>
          </cell>
          <cell r="AF31" t="str">
            <v/>
          </cell>
          <cell r="AG31" t="str">
            <v/>
          </cell>
          <cell r="AH31" t="str">
            <v/>
          </cell>
          <cell r="AI31" t="str">
            <v/>
          </cell>
          <cell r="AJ31" t="str">
            <v/>
          </cell>
          <cell r="AK31" t="str">
            <v/>
          </cell>
          <cell r="AL31" t="str">
            <v/>
          </cell>
          <cell r="AM31" t="str">
            <v/>
          </cell>
          <cell r="AN31" t="str">
            <v/>
          </cell>
          <cell r="AO31" t="str">
            <v/>
          </cell>
          <cell r="AP31" t="str">
            <v/>
          </cell>
          <cell r="AQ31" t="str">
            <v/>
          </cell>
          <cell r="AR31" t="str">
            <v/>
          </cell>
          <cell r="AS31" t="str">
            <v/>
          </cell>
          <cell r="AT31" t="str">
            <v/>
          </cell>
          <cell r="AU31" t="str">
            <v/>
          </cell>
          <cell r="AV31" t="str">
            <v/>
          </cell>
          <cell r="AW31" t="str">
            <v/>
          </cell>
          <cell r="AX31" t="str">
            <v/>
          </cell>
          <cell r="AY31" t="str">
            <v/>
          </cell>
          <cell r="AZ31" t="str">
            <v/>
          </cell>
          <cell r="BA31" t="str">
            <v/>
          </cell>
          <cell r="BB31" t="str">
            <v/>
          </cell>
          <cell r="BC31" t="str">
            <v/>
          </cell>
          <cell r="BD31" t="str">
            <v/>
          </cell>
          <cell r="BE31" t="str">
            <v/>
          </cell>
          <cell r="BF31" t="str">
            <v/>
          </cell>
          <cell r="BG31" t="str">
            <v/>
          </cell>
          <cell r="BH31" t="str">
            <v/>
          </cell>
          <cell r="BI31" t="str">
            <v/>
          </cell>
          <cell r="BJ31" t="str">
            <v/>
          </cell>
          <cell r="BK31" t="str">
            <v/>
          </cell>
          <cell r="BL31" t="str">
            <v/>
          </cell>
          <cell r="BM31" t="str">
            <v/>
          </cell>
          <cell r="BN31" t="str">
            <v/>
          </cell>
          <cell r="BO31" t="str">
            <v/>
          </cell>
          <cell r="BP31" t="str">
            <v/>
          </cell>
          <cell r="BQ31" t="str">
            <v/>
          </cell>
          <cell r="BR31" t="str">
            <v/>
          </cell>
          <cell r="BS31" t="str">
            <v/>
          </cell>
          <cell r="BT31" t="str">
            <v/>
          </cell>
          <cell r="BU31" t="str">
            <v/>
          </cell>
          <cell r="BV31" t="str">
            <v/>
          </cell>
          <cell r="BW31" t="str">
            <v/>
          </cell>
          <cell r="BX31" t="str">
            <v/>
          </cell>
          <cell r="BY31" t="str">
            <v/>
          </cell>
          <cell r="BZ31" t="str">
            <v/>
          </cell>
          <cell r="CA31" t="str">
            <v/>
          </cell>
          <cell r="CB31" t="str">
            <v/>
          </cell>
          <cell r="CC31" t="str">
            <v/>
          </cell>
          <cell r="CD31" t="str">
            <v/>
          </cell>
          <cell r="CE31" t="str">
            <v/>
          </cell>
          <cell r="CF31" t="str">
            <v/>
          </cell>
          <cell r="CG31" t="str">
            <v/>
          </cell>
          <cell r="CH31" t="str">
            <v/>
          </cell>
          <cell r="CI31" t="str">
            <v/>
          </cell>
          <cell r="CJ31" t="str">
            <v/>
          </cell>
          <cell r="CK31" t="str">
            <v/>
          </cell>
          <cell r="CL31" t="str">
            <v/>
          </cell>
          <cell r="CM31" t="str">
            <v/>
          </cell>
          <cell r="CN31" t="str">
            <v/>
          </cell>
          <cell r="CO31" t="str">
            <v/>
          </cell>
          <cell r="CP31" t="str">
            <v/>
          </cell>
          <cell r="CQ31" t="str">
            <v/>
          </cell>
          <cell r="CR31" t="str">
            <v/>
          </cell>
          <cell r="CS31" t="str">
            <v/>
          </cell>
          <cell r="CT31" t="str">
            <v/>
          </cell>
          <cell r="CU31" t="str">
            <v/>
          </cell>
          <cell r="CV31" t="str">
            <v/>
          </cell>
          <cell r="CW31" t="str">
            <v/>
          </cell>
          <cell r="CX31" t="str">
            <v/>
          </cell>
          <cell r="CY31" t="str">
            <v/>
          </cell>
          <cell r="CZ31" t="str">
            <v/>
          </cell>
          <cell r="DA31" t="str">
            <v/>
          </cell>
          <cell r="DB31" t="str">
            <v/>
          </cell>
        </row>
        <row r="32">
          <cell r="A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 t="str">
            <v/>
          </cell>
          <cell r="AE32" t="str">
            <v/>
          </cell>
          <cell r="AF32" t="str">
            <v/>
          </cell>
          <cell r="AG32" t="str">
            <v/>
          </cell>
          <cell r="AH32" t="str">
            <v/>
          </cell>
          <cell r="AI32" t="str">
            <v/>
          </cell>
          <cell r="AJ32" t="str">
            <v/>
          </cell>
          <cell r="AK32" t="str">
            <v/>
          </cell>
          <cell r="AL32" t="str">
            <v/>
          </cell>
          <cell r="AM32" t="str">
            <v/>
          </cell>
          <cell r="AN32" t="str">
            <v/>
          </cell>
          <cell r="AO32" t="str">
            <v/>
          </cell>
          <cell r="AP32" t="str">
            <v/>
          </cell>
          <cell r="AQ32" t="str">
            <v/>
          </cell>
          <cell r="AR32" t="str">
            <v/>
          </cell>
          <cell r="AS32" t="str">
            <v/>
          </cell>
          <cell r="AT32" t="str">
            <v/>
          </cell>
          <cell r="AU32" t="str">
            <v/>
          </cell>
          <cell r="AV32" t="str">
            <v/>
          </cell>
          <cell r="AW32" t="str">
            <v/>
          </cell>
          <cell r="AX32" t="str">
            <v/>
          </cell>
          <cell r="AY32" t="str">
            <v/>
          </cell>
          <cell r="AZ32" t="str">
            <v/>
          </cell>
          <cell r="BA32" t="str">
            <v/>
          </cell>
          <cell r="BB32" t="str">
            <v/>
          </cell>
          <cell r="BC32" t="str">
            <v/>
          </cell>
          <cell r="BD32" t="str">
            <v/>
          </cell>
          <cell r="BE32" t="str">
            <v/>
          </cell>
          <cell r="BF32" t="str">
            <v/>
          </cell>
          <cell r="BG32" t="str">
            <v/>
          </cell>
          <cell r="BH32" t="str">
            <v/>
          </cell>
          <cell r="BI32" t="str">
            <v/>
          </cell>
          <cell r="BJ32" t="str">
            <v/>
          </cell>
          <cell r="BK32" t="str">
            <v/>
          </cell>
          <cell r="BL32" t="str">
            <v/>
          </cell>
          <cell r="BM32" t="str">
            <v/>
          </cell>
          <cell r="BN32" t="str">
            <v/>
          </cell>
          <cell r="BO32" t="str">
            <v/>
          </cell>
          <cell r="BP32" t="str">
            <v/>
          </cell>
          <cell r="BQ32" t="str">
            <v/>
          </cell>
          <cell r="BR32" t="str">
            <v/>
          </cell>
          <cell r="BS32" t="str">
            <v/>
          </cell>
          <cell r="BT32" t="str">
            <v/>
          </cell>
          <cell r="BU32" t="str">
            <v/>
          </cell>
          <cell r="BV32" t="str">
            <v/>
          </cell>
          <cell r="BW32" t="str">
            <v/>
          </cell>
          <cell r="BX32" t="str">
            <v/>
          </cell>
          <cell r="BY32" t="str">
            <v/>
          </cell>
          <cell r="BZ32" t="str">
            <v/>
          </cell>
          <cell r="CA32" t="str">
            <v/>
          </cell>
          <cell r="CB32" t="str">
            <v/>
          </cell>
          <cell r="CC32" t="str">
            <v/>
          </cell>
          <cell r="CD32" t="str">
            <v/>
          </cell>
          <cell r="CE32" t="str">
            <v/>
          </cell>
          <cell r="CF32" t="str">
            <v/>
          </cell>
          <cell r="CG32" t="str">
            <v/>
          </cell>
          <cell r="CH32" t="str">
            <v/>
          </cell>
          <cell r="CI32" t="str">
            <v/>
          </cell>
          <cell r="CJ32" t="str">
            <v/>
          </cell>
          <cell r="CK32" t="str">
            <v/>
          </cell>
          <cell r="CL32" t="str">
            <v/>
          </cell>
          <cell r="CM32" t="str">
            <v/>
          </cell>
          <cell r="CN32" t="str">
            <v/>
          </cell>
          <cell r="CO32" t="str">
            <v/>
          </cell>
          <cell r="CP32" t="str">
            <v/>
          </cell>
          <cell r="CQ32" t="str">
            <v/>
          </cell>
          <cell r="CR32" t="str">
            <v/>
          </cell>
          <cell r="CS32" t="str">
            <v/>
          </cell>
          <cell r="CT32" t="str">
            <v/>
          </cell>
          <cell r="CU32" t="str">
            <v/>
          </cell>
          <cell r="CV32" t="str">
            <v/>
          </cell>
          <cell r="CW32" t="str">
            <v/>
          </cell>
          <cell r="CX32" t="str">
            <v/>
          </cell>
          <cell r="CY32" t="str">
            <v/>
          </cell>
          <cell r="CZ32" t="str">
            <v/>
          </cell>
          <cell r="DA32" t="str">
            <v/>
          </cell>
          <cell r="DB32" t="str">
            <v/>
          </cell>
        </row>
        <row r="33">
          <cell r="A33" t="str">
            <v/>
          </cell>
        </row>
      </sheetData>
      <sheetData sheetId="5">
        <row r="1">
          <cell r="B1">
            <v>9</v>
          </cell>
        </row>
        <row r="2">
          <cell r="B2">
            <v>1</v>
          </cell>
        </row>
        <row r="50">
          <cell r="B50">
            <v>13</v>
          </cell>
        </row>
        <row r="51">
          <cell r="B51">
            <v>56.090909090909093</v>
          </cell>
          <cell r="C51">
            <v>49.858585858585862</v>
          </cell>
          <cell r="D51">
            <v>43.62626262626263</v>
          </cell>
          <cell r="E51">
            <v>37.393939393939391</v>
          </cell>
          <cell r="F51">
            <v>31.161616161616163</v>
          </cell>
          <cell r="G51">
            <v>24.929292929292927</v>
          </cell>
          <cell r="H51">
            <v>18.696969696969695</v>
          </cell>
          <cell r="I51">
            <v>12.464646464646471</v>
          </cell>
          <cell r="J51">
            <v>6.2323232323232318</v>
          </cell>
          <cell r="K51">
            <v>0</v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  <cell r="AF51" t="str">
            <v/>
          </cell>
          <cell r="AG51" t="str">
            <v/>
          </cell>
          <cell r="AH51" t="str">
            <v/>
          </cell>
          <cell r="AI51" t="str">
            <v/>
          </cell>
          <cell r="AJ51" t="str">
            <v/>
          </cell>
          <cell r="AK51" t="str">
            <v/>
          </cell>
          <cell r="AL51" t="str">
            <v/>
          </cell>
          <cell r="AM51" t="str">
            <v/>
          </cell>
          <cell r="AN51" t="str">
            <v/>
          </cell>
          <cell r="AO51" t="str">
            <v/>
          </cell>
          <cell r="AP51" t="str">
            <v/>
          </cell>
          <cell r="AQ51" t="str">
            <v/>
          </cell>
          <cell r="AR51" t="str">
            <v/>
          </cell>
          <cell r="AS51" t="str">
            <v/>
          </cell>
          <cell r="AT51" t="str">
            <v/>
          </cell>
          <cell r="AU51" t="str">
            <v/>
          </cell>
          <cell r="AV51" t="str">
            <v/>
          </cell>
          <cell r="AW51" t="str">
            <v/>
          </cell>
          <cell r="AX51" t="str">
            <v/>
          </cell>
          <cell r="AY51" t="str">
            <v/>
          </cell>
          <cell r="AZ51" t="str">
            <v/>
          </cell>
          <cell r="BA51" t="str">
            <v/>
          </cell>
          <cell r="BB51" t="str">
            <v/>
          </cell>
          <cell r="BC51" t="str">
            <v/>
          </cell>
          <cell r="BD51" t="str">
            <v/>
          </cell>
          <cell r="BE51" t="str">
            <v/>
          </cell>
          <cell r="BF51" t="str">
            <v/>
          </cell>
          <cell r="BG51" t="str">
            <v/>
          </cell>
          <cell r="BH51" t="str">
            <v/>
          </cell>
          <cell r="BI51" t="str">
            <v/>
          </cell>
          <cell r="BJ51" t="str">
            <v/>
          </cell>
          <cell r="BK51" t="str">
            <v/>
          </cell>
          <cell r="BL51" t="str">
            <v/>
          </cell>
          <cell r="BM51" t="str">
            <v/>
          </cell>
          <cell r="BN51" t="str">
            <v/>
          </cell>
          <cell r="BO51" t="str">
            <v/>
          </cell>
          <cell r="BP51" t="str">
            <v/>
          </cell>
          <cell r="BQ51" t="str">
            <v/>
          </cell>
          <cell r="BR51" t="str">
            <v/>
          </cell>
          <cell r="BS51" t="str">
            <v/>
          </cell>
          <cell r="BT51" t="str">
            <v/>
          </cell>
          <cell r="BU51" t="str">
            <v/>
          </cell>
          <cell r="BV51" t="str">
            <v/>
          </cell>
          <cell r="BW51" t="str">
            <v/>
          </cell>
          <cell r="BX51" t="str">
            <v/>
          </cell>
          <cell r="BY51" t="str">
            <v/>
          </cell>
          <cell r="BZ51" t="str">
            <v/>
          </cell>
          <cell r="CA51" t="str">
            <v/>
          </cell>
          <cell r="CB51" t="str">
            <v/>
          </cell>
          <cell r="CC51" t="str">
            <v/>
          </cell>
          <cell r="CD51" t="str">
            <v/>
          </cell>
          <cell r="CE51" t="str">
            <v/>
          </cell>
          <cell r="CF51" t="str">
            <v/>
          </cell>
          <cell r="CG51" t="str">
            <v/>
          </cell>
          <cell r="CH51" t="str">
            <v/>
          </cell>
          <cell r="CI51" t="str">
            <v/>
          </cell>
          <cell r="CJ51" t="str">
            <v/>
          </cell>
          <cell r="CK51" t="str">
            <v/>
          </cell>
          <cell r="CL51" t="str">
            <v/>
          </cell>
          <cell r="CM51" t="str">
            <v/>
          </cell>
          <cell r="CN51" t="str">
            <v/>
          </cell>
          <cell r="CO51" t="str">
            <v/>
          </cell>
          <cell r="CP51" t="str">
            <v/>
          </cell>
          <cell r="CQ51" t="str">
            <v/>
          </cell>
          <cell r="CR51" t="str">
            <v/>
          </cell>
          <cell r="CS51" t="str">
            <v/>
          </cell>
          <cell r="CT51" t="str">
            <v/>
          </cell>
          <cell r="CU51" t="str">
            <v/>
          </cell>
          <cell r="CV51" t="str">
            <v/>
          </cell>
          <cell r="CW51" t="str">
            <v/>
          </cell>
          <cell r="CX51" t="str">
            <v/>
          </cell>
          <cell r="CY51" t="str">
            <v/>
          </cell>
          <cell r="CZ51" t="str">
            <v/>
          </cell>
        </row>
        <row r="52">
          <cell r="B52" t="b">
            <v>1</v>
          </cell>
          <cell r="C52" t="b">
            <v>1</v>
          </cell>
          <cell r="D52" t="b">
            <v>1</v>
          </cell>
          <cell r="E52" t="b">
            <v>1</v>
          </cell>
          <cell r="F52" t="b">
            <v>0</v>
          </cell>
          <cell r="G52" t="b">
            <v>0</v>
          </cell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  <cell r="R52" t="b">
            <v>0</v>
          </cell>
          <cell r="S52" t="b">
            <v>0</v>
          </cell>
          <cell r="T52" t="b">
            <v>0</v>
          </cell>
          <cell r="U52" t="b">
            <v>0</v>
          </cell>
          <cell r="V52" t="b">
            <v>0</v>
          </cell>
          <cell r="W52" t="b">
            <v>0</v>
          </cell>
          <cell r="X52" t="b">
            <v>0</v>
          </cell>
          <cell r="Y52" t="b">
            <v>0</v>
          </cell>
          <cell r="Z52" t="b">
            <v>0</v>
          </cell>
          <cell r="AA52" t="b">
            <v>0</v>
          </cell>
          <cell r="AB52" t="b">
            <v>0</v>
          </cell>
          <cell r="AC52" t="b">
            <v>0</v>
          </cell>
          <cell r="AD52" t="b">
            <v>0</v>
          </cell>
          <cell r="AE52" t="b">
            <v>0</v>
          </cell>
          <cell r="AF52" t="b">
            <v>0</v>
          </cell>
          <cell r="AG52" t="b">
            <v>0</v>
          </cell>
          <cell r="AH52" t="b">
            <v>0</v>
          </cell>
          <cell r="AI52" t="b">
            <v>0</v>
          </cell>
          <cell r="AJ52" t="b">
            <v>0</v>
          </cell>
          <cell r="AK52" t="b">
            <v>0</v>
          </cell>
          <cell r="AL52" t="b">
            <v>0</v>
          </cell>
          <cell r="AM52" t="b">
            <v>0</v>
          </cell>
          <cell r="AN52" t="b">
            <v>0</v>
          </cell>
          <cell r="AO52" t="b">
            <v>0</v>
          </cell>
          <cell r="AP52" t="b">
            <v>0</v>
          </cell>
          <cell r="AQ52" t="b">
            <v>0</v>
          </cell>
          <cell r="AR52" t="b">
            <v>0</v>
          </cell>
          <cell r="AS52" t="b">
            <v>0</v>
          </cell>
          <cell r="AT52" t="b">
            <v>0</v>
          </cell>
          <cell r="AU52" t="b">
            <v>0</v>
          </cell>
          <cell r="AV52" t="b">
            <v>0</v>
          </cell>
          <cell r="AW52" t="b">
            <v>0</v>
          </cell>
          <cell r="AX52" t="b">
            <v>0</v>
          </cell>
          <cell r="AY52" t="b">
            <v>0</v>
          </cell>
          <cell r="AZ52" t="b">
            <v>0</v>
          </cell>
          <cell r="BA52" t="b">
            <v>0</v>
          </cell>
          <cell r="BB52" t="b">
            <v>0</v>
          </cell>
          <cell r="BC52" t="b">
            <v>0</v>
          </cell>
          <cell r="BD52" t="b">
            <v>0</v>
          </cell>
          <cell r="BE52" t="b">
            <v>0</v>
          </cell>
          <cell r="BF52" t="b">
            <v>0</v>
          </cell>
          <cell r="BG52" t="b">
            <v>0</v>
          </cell>
          <cell r="BH52" t="b">
            <v>0</v>
          </cell>
          <cell r="BI52" t="b">
            <v>0</v>
          </cell>
          <cell r="BJ52" t="b">
            <v>0</v>
          </cell>
          <cell r="BK52" t="b">
            <v>0</v>
          </cell>
          <cell r="BL52" t="b">
            <v>0</v>
          </cell>
          <cell r="BM52" t="b">
            <v>0</v>
          </cell>
          <cell r="BN52" t="b">
            <v>0</v>
          </cell>
          <cell r="BO52" t="b">
            <v>0</v>
          </cell>
          <cell r="BP52" t="b">
            <v>0</v>
          </cell>
          <cell r="BQ52" t="b">
            <v>0</v>
          </cell>
          <cell r="BR52" t="b">
            <v>0</v>
          </cell>
          <cell r="BS52" t="b">
            <v>0</v>
          </cell>
          <cell r="BT52" t="b">
            <v>0</v>
          </cell>
          <cell r="BU52" t="b">
            <v>0</v>
          </cell>
          <cell r="BV52" t="b">
            <v>0</v>
          </cell>
          <cell r="BW52" t="b">
            <v>0</v>
          </cell>
          <cell r="BX52" t="b">
            <v>0</v>
          </cell>
          <cell r="BY52" t="b">
            <v>0</v>
          </cell>
          <cell r="BZ52" t="b">
            <v>0</v>
          </cell>
          <cell r="CA52" t="b">
            <v>0</v>
          </cell>
          <cell r="CB52" t="b">
            <v>0</v>
          </cell>
          <cell r="CC52" t="b">
            <v>0</v>
          </cell>
          <cell r="CD52" t="b">
            <v>0</v>
          </cell>
          <cell r="CE52" t="b">
            <v>0</v>
          </cell>
          <cell r="CF52" t="b">
            <v>0</v>
          </cell>
          <cell r="CG52" t="b">
            <v>0</v>
          </cell>
          <cell r="CH52" t="b">
            <v>0</v>
          </cell>
          <cell r="CI52" t="b">
            <v>0</v>
          </cell>
          <cell r="CJ52" t="b">
            <v>0</v>
          </cell>
          <cell r="CK52" t="b">
            <v>0</v>
          </cell>
          <cell r="CL52" t="b">
            <v>0</v>
          </cell>
          <cell r="CM52" t="b">
            <v>0</v>
          </cell>
          <cell r="CN52" t="b">
            <v>0</v>
          </cell>
          <cell r="CO52" t="b">
            <v>0</v>
          </cell>
          <cell r="CP52" t="b">
            <v>0</v>
          </cell>
          <cell r="CQ52" t="b">
            <v>0</v>
          </cell>
          <cell r="CR52" t="b">
            <v>0</v>
          </cell>
          <cell r="CS52" t="b">
            <v>0</v>
          </cell>
          <cell r="CT52" t="b">
            <v>0</v>
          </cell>
          <cell r="CU52" t="b">
            <v>0</v>
          </cell>
          <cell r="CV52" t="b">
            <v>0</v>
          </cell>
          <cell r="CW52" t="b">
            <v>0</v>
          </cell>
          <cell r="CX52" t="b">
            <v>0</v>
          </cell>
          <cell r="CY52" t="b">
            <v>0</v>
          </cell>
          <cell r="CZ52" t="b">
            <v>0</v>
          </cell>
        </row>
        <row r="53">
          <cell r="B53" t="str">
            <v>Yes</v>
          </cell>
          <cell r="C53" t="str">
            <v>No</v>
          </cell>
        </row>
        <row r="54"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 t="str">
            <v/>
          </cell>
          <cell r="AL54" t="str">
            <v/>
          </cell>
          <cell r="AM54" t="str">
            <v/>
          </cell>
          <cell r="AN54" t="str">
            <v/>
          </cell>
          <cell r="AO54" t="str">
            <v/>
          </cell>
          <cell r="AP54" t="str">
            <v/>
          </cell>
          <cell r="AQ54" t="str">
            <v/>
          </cell>
          <cell r="AR54" t="str">
            <v/>
          </cell>
          <cell r="AS54" t="str">
            <v/>
          </cell>
          <cell r="AT54" t="str">
            <v/>
          </cell>
          <cell r="AU54" t="str">
            <v/>
          </cell>
          <cell r="AV54" t="str">
            <v/>
          </cell>
          <cell r="AW54" t="str">
            <v/>
          </cell>
          <cell r="AX54" t="str">
            <v/>
          </cell>
          <cell r="AY54" t="str">
            <v/>
          </cell>
          <cell r="AZ54" t="str">
            <v/>
          </cell>
          <cell r="BA54" t="str">
            <v/>
          </cell>
          <cell r="BB54" t="str">
            <v/>
          </cell>
          <cell r="BC54" t="str">
            <v/>
          </cell>
          <cell r="BD54" t="str">
            <v/>
          </cell>
          <cell r="BE54" t="str">
            <v/>
          </cell>
          <cell r="BF54" t="str">
            <v/>
          </cell>
          <cell r="BG54" t="str">
            <v/>
          </cell>
          <cell r="BH54" t="str">
            <v/>
          </cell>
          <cell r="BI54" t="str">
            <v/>
          </cell>
          <cell r="BJ54" t="str">
            <v/>
          </cell>
          <cell r="BK54" t="str">
            <v/>
          </cell>
          <cell r="BL54" t="str">
            <v/>
          </cell>
          <cell r="BM54" t="str">
            <v/>
          </cell>
          <cell r="BN54" t="str">
            <v/>
          </cell>
          <cell r="BO54" t="str">
            <v/>
          </cell>
          <cell r="BP54" t="str">
            <v/>
          </cell>
          <cell r="BQ54" t="str">
            <v/>
          </cell>
          <cell r="BR54" t="str">
            <v/>
          </cell>
          <cell r="BS54" t="str">
            <v/>
          </cell>
          <cell r="BT54" t="str">
            <v/>
          </cell>
          <cell r="BU54" t="str">
            <v/>
          </cell>
          <cell r="BV54" t="str">
            <v/>
          </cell>
          <cell r="BW54" t="str">
            <v/>
          </cell>
          <cell r="BX54" t="str">
            <v/>
          </cell>
          <cell r="BY54" t="str">
            <v/>
          </cell>
          <cell r="BZ54" t="str">
            <v/>
          </cell>
          <cell r="CA54" t="str">
            <v/>
          </cell>
          <cell r="CB54" t="str">
            <v/>
          </cell>
          <cell r="CC54" t="str">
            <v/>
          </cell>
          <cell r="CD54" t="str">
            <v/>
          </cell>
          <cell r="CE54" t="str">
            <v/>
          </cell>
          <cell r="CF54" t="str">
            <v/>
          </cell>
          <cell r="CG54" t="str">
            <v/>
          </cell>
          <cell r="CH54" t="str">
            <v/>
          </cell>
          <cell r="CI54" t="str">
            <v/>
          </cell>
          <cell r="CJ54" t="str">
            <v/>
          </cell>
          <cell r="CK54" t="str">
            <v/>
          </cell>
          <cell r="CL54" t="str">
            <v/>
          </cell>
          <cell r="CM54" t="str">
            <v/>
          </cell>
          <cell r="CN54" t="str">
            <v/>
          </cell>
          <cell r="CO54" t="str">
            <v/>
          </cell>
          <cell r="CP54" t="str">
            <v/>
          </cell>
          <cell r="CQ54" t="str">
            <v/>
          </cell>
          <cell r="CR54" t="str">
            <v/>
          </cell>
          <cell r="CS54" t="str">
            <v/>
          </cell>
          <cell r="CT54" t="str">
            <v/>
          </cell>
          <cell r="CU54" t="str">
            <v/>
          </cell>
          <cell r="CV54" t="str">
            <v/>
          </cell>
          <cell r="CW54" t="str">
            <v/>
          </cell>
          <cell r="CX54" t="str">
            <v/>
          </cell>
          <cell r="CY54" t="str">
            <v/>
          </cell>
          <cell r="CZ54" t="str">
            <v/>
          </cell>
        </row>
        <row r="58">
          <cell r="A58" t="str">
            <v>Upper Trend</v>
          </cell>
          <cell r="B58">
            <v>122.5</v>
          </cell>
          <cell r="C58">
            <v>105</v>
          </cell>
          <cell r="D58">
            <v>87.5</v>
          </cell>
          <cell r="E58">
            <v>70</v>
          </cell>
          <cell r="F58">
            <v>52.5</v>
          </cell>
          <cell r="G58">
            <v>35</v>
          </cell>
          <cell r="H58">
            <v>17.5</v>
          </cell>
          <cell r="I58">
            <v>0</v>
          </cell>
          <cell r="J58">
            <v>-17.5</v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 t="str">
            <v/>
          </cell>
          <cell r="AE58" t="str">
            <v/>
          </cell>
          <cell r="AF58" t="str">
            <v/>
          </cell>
          <cell r="AG58" t="str">
            <v/>
          </cell>
          <cell r="AH58" t="str">
            <v/>
          </cell>
          <cell r="AI58" t="str">
            <v/>
          </cell>
          <cell r="AJ58" t="str">
            <v/>
          </cell>
          <cell r="AK58" t="str">
            <v/>
          </cell>
          <cell r="AL58" t="str">
            <v/>
          </cell>
          <cell r="AM58" t="str">
            <v/>
          </cell>
          <cell r="AN58" t="str">
            <v/>
          </cell>
          <cell r="AO58" t="str">
            <v/>
          </cell>
          <cell r="AP58" t="str">
            <v/>
          </cell>
          <cell r="AQ58" t="str">
            <v/>
          </cell>
          <cell r="AR58" t="str">
            <v/>
          </cell>
          <cell r="AS58" t="str">
            <v/>
          </cell>
          <cell r="AT58" t="str">
            <v/>
          </cell>
          <cell r="AU58" t="str">
            <v/>
          </cell>
          <cell r="AV58" t="str">
            <v/>
          </cell>
          <cell r="AW58" t="str">
            <v/>
          </cell>
          <cell r="AX58" t="str">
            <v/>
          </cell>
          <cell r="AY58" t="str">
            <v/>
          </cell>
          <cell r="AZ58" t="str">
            <v/>
          </cell>
          <cell r="BA58" t="str">
            <v/>
          </cell>
          <cell r="BB58" t="str">
            <v/>
          </cell>
          <cell r="BC58" t="str">
            <v/>
          </cell>
          <cell r="BD58" t="str">
            <v/>
          </cell>
          <cell r="BE58" t="str">
            <v/>
          </cell>
          <cell r="BF58" t="str">
            <v/>
          </cell>
          <cell r="BG58" t="str">
            <v/>
          </cell>
          <cell r="BH58" t="str">
            <v/>
          </cell>
          <cell r="BI58" t="str">
            <v/>
          </cell>
          <cell r="BJ58" t="str">
            <v/>
          </cell>
          <cell r="BK58" t="str">
            <v/>
          </cell>
          <cell r="BL58" t="str">
            <v/>
          </cell>
          <cell r="BM58" t="str">
            <v/>
          </cell>
          <cell r="BN58" t="str">
            <v/>
          </cell>
          <cell r="BO58" t="str">
            <v/>
          </cell>
          <cell r="BP58" t="str">
            <v/>
          </cell>
          <cell r="BQ58" t="str">
            <v/>
          </cell>
          <cell r="BR58" t="str">
            <v/>
          </cell>
          <cell r="BS58" t="str">
            <v/>
          </cell>
          <cell r="BT58" t="str">
            <v/>
          </cell>
          <cell r="BU58" t="str">
            <v/>
          </cell>
          <cell r="BV58" t="str">
            <v/>
          </cell>
          <cell r="BW58" t="str">
            <v/>
          </cell>
          <cell r="BX58" t="str">
            <v/>
          </cell>
          <cell r="BY58" t="str">
            <v/>
          </cell>
          <cell r="BZ58" t="str">
            <v/>
          </cell>
          <cell r="CA58" t="str">
            <v/>
          </cell>
          <cell r="CB58" t="str">
            <v/>
          </cell>
          <cell r="CC58" t="str">
            <v/>
          </cell>
          <cell r="CD58" t="str">
            <v/>
          </cell>
          <cell r="CE58" t="str">
            <v/>
          </cell>
          <cell r="CF58" t="str">
            <v/>
          </cell>
          <cell r="CG58" t="str">
            <v/>
          </cell>
          <cell r="CH58" t="str">
            <v/>
          </cell>
          <cell r="CI58" t="str">
            <v/>
          </cell>
          <cell r="CJ58" t="str">
            <v/>
          </cell>
          <cell r="CK58" t="str">
            <v/>
          </cell>
          <cell r="CL58" t="str">
            <v/>
          </cell>
          <cell r="CM58" t="str">
            <v/>
          </cell>
          <cell r="CN58" t="str">
            <v/>
          </cell>
          <cell r="CO58" t="str">
            <v/>
          </cell>
          <cell r="CP58" t="str">
            <v/>
          </cell>
          <cell r="CQ58" t="str">
            <v/>
          </cell>
          <cell r="CR58" t="str">
            <v/>
          </cell>
          <cell r="CS58" t="str">
            <v/>
          </cell>
          <cell r="CT58" t="str">
            <v/>
          </cell>
          <cell r="CU58" t="str">
            <v/>
          </cell>
          <cell r="CV58" t="str">
            <v/>
          </cell>
          <cell r="CW58" t="str">
            <v/>
          </cell>
          <cell r="CX58" t="str">
            <v/>
          </cell>
          <cell r="CY58" t="str">
            <v/>
          </cell>
          <cell r="CZ58" t="str">
            <v/>
          </cell>
          <cell r="DA58" t="str">
            <v/>
          </cell>
          <cell r="DB58" t="str">
            <v/>
          </cell>
          <cell r="DC58" t="str">
            <v/>
          </cell>
          <cell r="DD58" t="str">
            <v/>
          </cell>
          <cell r="DE58" t="str">
            <v/>
          </cell>
          <cell r="DF58" t="str">
            <v/>
          </cell>
          <cell r="DG58" t="str">
            <v/>
          </cell>
          <cell r="DH58" t="str">
            <v/>
          </cell>
          <cell r="DI58" t="str">
            <v/>
          </cell>
          <cell r="DJ58" t="str">
            <v/>
          </cell>
          <cell r="DK58" t="str">
            <v/>
          </cell>
          <cell r="DL58" t="str">
            <v/>
          </cell>
          <cell r="DM58" t="str">
            <v/>
          </cell>
          <cell r="DN58" t="str">
            <v/>
          </cell>
          <cell r="DO58" t="str">
            <v/>
          </cell>
          <cell r="DP58" t="str">
            <v/>
          </cell>
          <cell r="DQ58" t="str">
            <v/>
          </cell>
          <cell r="DR58" t="str">
            <v/>
          </cell>
          <cell r="DS58" t="str">
            <v/>
          </cell>
          <cell r="DT58" t="str">
            <v/>
          </cell>
          <cell r="DU58" t="str">
            <v/>
          </cell>
          <cell r="DV58" t="str">
            <v/>
          </cell>
          <cell r="DW58" t="str">
            <v/>
          </cell>
          <cell r="DX58" t="str">
            <v/>
          </cell>
          <cell r="DY58" t="str">
            <v/>
          </cell>
          <cell r="DZ58" t="str">
            <v/>
          </cell>
          <cell r="EA58" t="str">
            <v/>
          </cell>
          <cell r="EB58" t="str">
            <v/>
          </cell>
          <cell r="EC58" t="str">
            <v/>
          </cell>
          <cell r="ED58" t="str">
            <v/>
          </cell>
          <cell r="EE58" t="str">
            <v/>
          </cell>
          <cell r="EF58" t="str">
            <v/>
          </cell>
          <cell r="EG58" t="str">
            <v/>
          </cell>
          <cell r="EH58" t="str">
            <v/>
          </cell>
          <cell r="EI58" t="str">
            <v/>
          </cell>
          <cell r="EJ58" t="str">
            <v/>
          </cell>
          <cell r="EK58" t="str">
            <v/>
          </cell>
          <cell r="EL58" t="str">
            <v/>
          </cell>
          <cell r="EM58" t="str">
            <v/>
          </cell>
          <cell r="EN58" t="str">
            <v/>
          </cell>
          <cell r="EO58" t="str">
            <v/>
          </cell>
          <cell r="EP58" t="str">
            <v/>
          </cell>
          <cell r="EQ58" t="str">
            <v/>
          </cell>
          <cell r="ER58" t="str">
            <v/>
          </cell>
          <cell r="ES58" t="str">
            <v/>
          </cell>
          <cell r="ET58" t="str">
            <v/>
          </cell>
          <cell r="EU58" t="str">
            <v/>
          </cell>
          <cell r="EV58" t="str">
            <v/>
          </cell>
          <cell r="EW58" t="str">
            <v/>
          </cell>
          <cell r="EX58" t="str">
            <v/>
          </cell>
          <cell r="EY58" t="str">
            <v/>
          </cell>
          <cell r="EZ58" t="str">
            <v/>
          </cell>
          <cell r="FA58" t="str">
            <v/>
          </cell>
        </row>
        <row r="59">
          <cell r="A59" t="str">
            <v>Lower Trend</v>
          </cell>
          <cell r="B59">
            <v>-1.5</v>
          </cell>
          <cell r="C59">
            <v>-2.5</v>
          </cell>
          <cell r="D59">
            <v>-3.5</v>
          </cell>
          <cell r="E59">
            <v>-4.5</v>
          </cell>
          <cell r="F59">
            <v>-5.5</v>
          </cell>
          <cell r="G59">
            <v>-6.5</v>
          </cell>
          <cell r="H59">
            <v>-7.5</v>
          </cell>
          <cell r="I59">
            <v>-8.5</v>
          </cell>
          <cell r="J59">
            <v>-9.5</v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 t="str">
            <v/>
          </cell>
          <cell r="AE59" t="str">
            <v/>
          </cell>
          <cell r="AF59" t="str">
            <v/>
          </cell>
          <cell r="AG59" t="str">
            <v/>
          </cell>
          <cell r="AH59" t="str">
            <v/>
          </cell>
          <cell r="AI59" t="str">
            <v/>
          </cell>
          <cell r="AJ59" t="str">
            <v/>
          </cell>
          <cell r="AK59" t="str">
            <v/>
          </cell>
          <cell r="AL59" t="str">
            <v/>
          </cell>
          <cell r="AM59" t="str">
            <v/>
          </cell>
          <cell r="AN59" t="str">
            <v/>
          </cell>
          <cell r="AO59" t="str">
            <v/>
          </cell>
          <cell r="AP59" t="str">
            <v/>
          </cell>
          <cell r="AQ59" t="str">
            <v/>
          </cell>
          <cell r="AR59" t="str">
            <v/>
          </cell>
          <cell r="AS59" t="str">
            <v/>
          </cell>
          <cell r="AT59" t="str">
            <v/>
          </cell>
          <cell r="AU59" t="str">
            <v/>
          </cell>
          <cell r="AV59" t="str">
            <v/>
          </cell>
          <cell r="AW59" t="str">
            <v/>
          </cell>
          <cell r="AX59" t="str">
            <v/>
          </cell>
          <cell r="AY59" t="str">
            <v/>
          </cell>
          <cell r="AZ59" t="str">
            <v/>
          </cell>
          <cell r="BA59" t="str">
            <v/>
          </cell>
          <cell r="BB59" t="str">
            <v/>
          </cell>
          <cell r="BC59" t="str">
            <v/>
          </cell>
          <cell r="BD59" t="str">
            <v/>
          </cell>
          <cell r="BE59" t="str">
            <v/>
          </cell>
          <cell r="BF59" t="str">
            <v/>
          </cell>
          <cell r="BG59" t="str">
            <v/>
          </cell>
          <cell r="BH59" t="str">
            <v/>
          </cell>
          <cell r="BI59" t="str">
            <v/>
          </cell>
          <cell r="BJ59" t="str">
            <v/>
          </cell>
          <cell r="BK59" t="str">
            <v/>
          </cell>
          <cell r="BL59" t="str">
            <v/>
          </cell>
          <cell r="BM59" t="str">
            <v/>
          </cell>
          <cell r="BN59" t="str">
            <v/>
          </cell>
          <cell r="BO59" t="str">
            <v/>
          </cell>
          <cell r="BP59" t="str">
            <v/>
          </cell>
          <cell r="BQ59" t="str">
            <v/>
          </cell>
          <cell r="BR59" t="str">
            <v/>
          </cell>
          <cell r="BS59" t="str">
            <v/>
          </cell>
          <cell r="BT59" t="str">
            <v/>
          </cell>
          <cell r="BU59" t="str">
            <v/>
          </cell>
          <cell r="BV59" t="str">
            <v/>
          </cell>
          <cell r="BW59" t="str">
            <v/>
          </cell>
          <cell r="BX59" t="str">
            <v/>
          </cell>
          <cell r="BY59" t="str">
            <v/>
          </cell>
          <cell r="BZ59" t="str">
            <v/>
          </cell>
          <cell r="CA59" t="str">
            <v/>
          </cell>
          <cell r="CB59" t="str">
            <v/>
          </cell>
          <cell r="CC59" t="str">
            <v/>
          </cell>
          <cell r="CD59" t="str">
            <v/>
          </cell>
          <cell r="CE59" t="str">
            <v/>
          </cell>
          <cell r="CF59" t="str">
            <v/>
          </cell>
          <cell r="CG59" t="str">
            <v/>
          </cell>
          <cell r="CH59" t="str">
            <v/>
          </cell>
          <cell r="CI59" t="str">
            <v/>
          </cell>
          <cell r="CJ59" t="str">
            <v/>
          </cell>
          <cell r="CK59" t="str">
            <v/>
          </cell>
          <cell r="CL59" t="str">
            <v/>
          </cell>
          <cell r="CM59" t="str">
            <v/>
          </cell>
          <cell r="CN59" t="str">
            <v/>
          </cell>
          <cell r="CO59" t="str">
            <v/>
          </cell>
          <cell r="CP59" t="str">
            <v/>
          </cell>
          <cell r="CQ59" t="str">
            <v/>
          </cell>
          <cell r="CR59" t="str">
            <v/>
          </cell>
          <cell r="CS59" t="str">
            <v/>
          </cell>
          <cell r="CT59" t="str">
            <v/>
          </cell>
          <cell r="CU59" t="str">
            <v/>
          </cell>
          <cell r="CV59" t="str">
            <v/>
          </cell>
          <cell r="CW59" t="str">
            <v/>
          </cell>
          <cell r="CX59" t="str">
            <v/>
          </cell>
          <cell r="CY59" t="str">
            <v/>
          </cell>
          <cell r="CZ59" t="str">
            <v/>
          </cell>
          <cell r="DA59" t="str">
            <v/>
          </cell>
          <cell r="DB59" t="str">
            <v/>
          </cell>
          <cell r="DC59" t="str">
            <v/>
          </cell>
          <cell r="DD59" t="str">
            <v/>
          </cell>
          <cell r="DE59" t="str">
            <v/>
          </cell>
          <cell r="DF59" t="str">
            <v/>
          </cell>
          <cell r="DG59" t="str">
            <v/>
          </cell>
          <cell r="DH59" t="str">
            <v/>
          </cell>
          <cell r="DI59" t="str">
            <v/>
          </cell>
          <cell r="DJ59" t="str">
            <v/>
          </cell>
          <cell r="DK59" t="str">
            <v/>
          </cell>
          <cell r="DL59" t="str">
            <v/>
          </cell>
          <cell r="DM59" t="str">
            <v/>
          </cell>
          <cell r="DN59" t="str">
            <v/>
          </cell>
          <cell r="DO59" t="str">
            <v/>
          </cell>
          <cell r="DP59" t="str">
            <v/>
          </cell>
          <cell r="DQ59" t="str">
            <v/>
          </cell>
          <cell r="DR59" t="str">
            <v/>
          </cell>
          <cell r="DS59" t="str">
            <v/>
          </cell>
          <cell r="DT59" t="str">
            <v/>
          </cell>
          <cell r="DU59" t="str">
            <v/>
          </cell>
          <cell r="DV59" t="str">
            <v/>
          </cell>
          <cell r="DW59" t="str">
            <v/>
          </cell>
          <cell r="DX59" t="str">
            <v/>
          </cell>
          <cell r="DY59" t="str">
            <v/>
          </cell>
          <cell r="DZ59" t="str">
            <v/>
          </cell>
          <cell r="EA59" t="str">
            <v/>
          </cell>
          <cell r="EB59" t="str">
            <v/>
          </cell>
          <cell r="EC59" t="str">
            <v/>
          </cell>
          <cell r="ED59" t="str">
            <v/>
          </cell>
          <cell r="EE59" t="str">
            <v/>
          </cell>
          <cell r="EF59" t="str">
            <v/>
          </cell>
          <cell r="EG59" t="str">
            <v/>
          </cell>
          <cell r="EH59" t="str">
            <v/>
          </cell>
          <cell r="EI59" t="str">
            <v/>
          </cell>
          <cell r="EJ59" t="str">
            <v/>
          </cell>
          <cell r="EK59" t="str">
            <v/>
          </cell>
          <cell r="EL59" t="str">
            <v/>
          </cell>
          <cell r="EM59" t="str">
            <v/>
          </cell>
          <cell r="EN59" t="str">
            <v/>
          </cell>
          <cell r="EO59" t="str">
            <v/>
          </cell>
          <cell r="EP59" t="str">
            <v/>
          </cell>
          <cell r="EQ59" t="str">
            <v/>
          </cell>
          <cell r="ER59" t="str">
            <v/>
          </cell>
          <cell r="ES59" t="str">
            <v/>
          </cell>
          <cell r="ET59" t="str">
            <v/>
          </cell>
          <cell r="EU59" t="str">
            <v/>
          </cell>
          <cell r="EV59" t="str">
            <v/>
          </cell>
          <cell r="EW59" t="str">
            <v/>
          </cell>
          <cell r="EX59" t="str">
            <v/>
          </cell>
          <cell r="EY59" t="str">
            <v/>
          </cell>
          <cell r="EZ59" t="str">
            <v/>
          </cell>
          <cell r="FA59" t="str">
            <v/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webgate.ec.europa.eu/CITnet/jira/browse/CCTASK-534" TargetMode="External"/><Relationship Id="rId18" Type="http://schemas.openxmlformats.org/officeDocument/2006/relationships/hyperlink" Target="https://webgate.ec.europa.eu/CITnet/jira/browse/TSKACTION-245" TargetMode="External"/><Relationship Id="rId26" Type="http://schemas.openxmlformats.org/officeDocument/2006/relationships/hyperlink" Target="https://webgate.ec.europa.eu/CITnet/jira/browse/TSKACTION-56" TargetMode="External"/><Relationship Id="rId39" Type="http://schemas.openxmlformats.org/officeDocument/2006/relationships/hyperlink" Target="https://webgate.ec.europa.eu/CITnet/jira/browse/CCTASK-532" TargetMode="External"/><Relationship Id="rId21" Type="http://schemas.openxmlformats.org/officeDocument/2006/relationships/hyperlink" Target="https://webgate.ec.europa.eu/CITnet/jira/browse/CCTASK-527" TargetMode="External"/><Relationship Id="rId34" Type="http://schemas.openxmlformats.org/officeDocument/2006/relationships/hyperlink" Target="https://webgate.ec.europa.eu/CITnet/jira/browse/INTERCOM-71" TargetMode="External"/><Relationship Id="rId42" Type="http://schemas.openxmlformats.org/officeDocument/2006/relationships/hyperlink" Target="https://webgate.ec.europa.eu/CITnet/jira/browse/CCPMO-76" TargetMode="External"/><Relationship Id="rId47" Type="http://schemas.openxmlformats.org/officeDocument/2006/relationships/hyperlink" Target="https://webgate.ec.europa.eu/CITnet/jira/browse/INTERCOM-76" TargetMode="External"/><Relationship Id="rId50" Type="http://schemas.openxmlformats.org/officeDocument/2006/relationships/hyperlink" Target="https://webgate.ec.europa.eu/CITnet/jira/browse/CCTASK-518" TargetMode="External"/><Relationship Id="rId55" Type="http://schemas.openxmlformats.org/officeDocument/2006/relationships/drawing" Target="../drawings/drawing2.xml"/><Relationship Id="rId7" Type="http://schemas.openxmlformats.org/officeDocument/2006/relationships/hyperlink" Target="https://webgate.ec.europa.eu/CITnet/jira/browse/CCARCHITEC-37" TargetMode="External"/><Relationship Id="rId12" Type="http://schemas.openxmlformats.org/officeDocument/2006/relationships/hyperlink" Target="https://webgate.ec.europa.eu/CITnet/jira/browse/CCDOCLIST-157" TargetMode="External"/><Relationship Id="rId17" Type="http://schemas.openxmlformats.org/officeDocument/2006/relationships/hyperlink" Target="https://webgate.ec.europa.eu/CITnet/jira/browse/CCARCHITEC-49" TargetMode="External"/><Relationship Id="rId25" Type="http://schemas.openxmlformats.org/officeDocument/2006/relationships/hyperlink" Target="https://webgate.ec.europa.eu/CITnet/jira/browse/CCTASK-476" TargetMode="External"/><Relationship Id="rId33" Type="http://schemas.openxmlformats.org/officeDocument/2006/relationships/hyperlink" Target="https://webgate.ec.europa.eu/CITnet/jira/browse/INTERCOM-54" TargetMode="External"/><Relationship Id="rId38" Type="http://schemas.openxmlformats.org/officeDocument/2006/relationships/hyperlink" Target="https://webgate.ec.europa.eu/CITnet/jira/browse/PROCESS-33" TargetMode="External"/><Relationship Id="rId46" Type="http://schemas.openxmlformats.org/officeDocument/2006/relationships/hyperlink" Target="https://webgate.ec.europa.eu/CITnet/jira/browse/CCADMIN-44" TargetMode="External"/><Relationship Id="rId2" Type="http://schemas.openxmlformats.org/officeDocument/2006/relationships/hyperlink" Target="https://webgate.ec.europa.eu/CITnet/jira/browse/TSKACTION-217" TargetMode="External"/><Relationship Id="rId16" Type="http://schemas.openxmlformats.org/officeDocument/2006/relationships/hyperlink" Target="https://webgate.ec.europa.eu/CITnet/jira/browse/CCDOCLIST-25" TargetMode="External"/><Relationship Id="rId20" Type="http://schemas.openxmlformats.org/officeDocument/2006/relationships/hyperlink" Target="https://webgate.ec.europa.eu/CITnet/jira/browse/CCDOCLIST-181" TargetMode="External"/><Relationship Id="rId29" Type="http://schemas.openxmlformats.org/officeDocument/2006/relationships/hyperlink" Target="https://webgate.ec.europa.eu/CITnet/jira/browse/CCPMO-77" TargetMode="External"/><Relationship Id="rId41" Type="http://schemas.openxmlformats.org/officeDocument/2006/relationships/hyperlink" Target="https://webgate.ec.europa.eu/CITnet/jira/browse/WAVECC-34" TargetMode="External"/><Relationship Id="rId54" Type="http://schemas.openxmlformats.org/officeDocument/2006/relationships/hyperlink" Target="https://webgate.ec.europa.eu/CITnet/jira/browse/PROCESS-96" TargetMode="External"/><Relationship Id="rId1" Type="http://schemas.openxmlformats.org/officeDocument/2006/relationships/hyperlink" Target="https://webgate.ec.europa.eu/CITnet/jira/issues/?filter=238855" TargetMode="External"/><Relationship Id="rId6" Type="http://schemas.openxmlformats.org/officeDocument/2006/relationships/hyperlink" Target="https://webgate.ec.europa.eu/CITnet/jira/browse/PROCESS-75" TargetMode="External"/><Relationship Id="rId11" Type="http://schemas.openxmlformats.org/officeDocument/2006/relationships/hyperlink" Target="https://webgate.ec.europa.eu/CITnet/jira/browse/CCDOCLIST-19" TargetMode="External"/><Relationship Id="rId24" Type="http://schemas.openxmlformats.org/officeDocument/2006/relationships/hyperlink" Target="https://webgate.ec.europa.eu/CITnet/jira/browse/CCDOCLIST-174" TargetMode="External"/><Relationship Id="rId32" Type="http://schemas.openxmlformats.org/officeDocument/2006/relationships/hyperlink" Target="https://webgate.ec.europa.eu/CITnet/jira/browse/CCADMIN-42" TargetMode="External"/><Relationship Id="rId37" Type="http://schemas.openxmlformats.org/officeDocument/2006/relationships/hyperlink" Target="https://webgate.ec.europa.eu/CITnet/jira/browse/PROCESS-95" TargetMode="External"/><Relationship Id="rId40" Type="http://schemas.openxmlformats.org/officeDocument/2006/relationships/hyperlink" Target="https://webgate.ec.europa.eu/CITnet/jira/browse/CCDOCLIST-116" TargetMode="External"/><Relationship Id="rId45" Type="http://schemas.openxmlformats.org/officeDocument/2006/relationships/hyperlink" Target="https://webgate.ec.europa.eu/CITnet/jira/browse/PROCESS-125" TargetMode="External"/><Relationship Id="rId53" Type="http://schemas.openxmlformats.org/officeDocument/2006/relationships/hyperlink" Target="https://webgate.ec.europa.eu/CITnet/jira/browse/PFM-126" TargetMode="External"/><Relationship Id="rId5" Type="http://schemas.openxmlformats.org/officeDocument/2006/relationships/hyperlink" Target="https://webgate.ec.europa.eu/CITnet/jira/browse/PROCESS-92" TargetMode="External"/><Relationship Id="rId15" Type="http://schemas.openxmlformats.org/officeDocument/2006/relationships/hyperlink" Target="https://webgate.ec.europa.eu/CITnet/jira/browse/CCDOCLIST-27" TargetMode="External"/><Relationship Id="rId23" Type="http://schemas.openxmlformats.org/officeDocument/2006/relationships/hyperlink" Target="https://webgate.ec.europa.eu/CITnet/jira/browse/CCTASK-519" TargetMode="External"/><Relationship Id="rId28" Type="http://schemas.openxmlformats.org/officeDocument/2006/relationships/hyperlink" Target="https://webgate.ec.europa.eu/CITnet/jira/browse/CCPMO-129" TargetMode="External"/><Relationship Id="rId36" Type="http://schemas.openxmlformats.org/officeDocument/2006/relationships/hyperlink" Target="https://webgate.ec.europa.eu/CITnet/jira/browse/PFM-125" TargetMode="External"/><Relationship Id="rId49" Type="http://schemas.openxmlformats.org/officeDocument/2006/relationships/hyperlink" Target="https://webgate.ec.europa.eu/CITnet/jira/browse/INTERCOM-72" TargetMode="External"/><Relationship Id="rId10" Type="http://schemas.openxmlformats.org/officeDocument/2006/relationships/hyperlink" Target="https://webgate.ec.europa.eu/CITnet/jira/browse/CCDOCLIST-156" TargetMode="External"/><Relationship Id="rId19" Type="http://schemas.openxmlformats.org/officeDocument/2006/relationships/hyperlink" Target="https://webgate.ec.europa.eu/CITnet/jira/browse/CCTASK-579" TargetMode="External"/><Relationship Id="rId31" Type="http://schemas.openxmlformats.org/officeDocument/2006/relationships/hyperlink" Target="https://webgate.ec.europa.eu/CITnet/jira/browse/WAVECC-42" TargetMode="External"/><Relationship Id="rId44" Type="http://schemas.openxmlformats.org/officeDocument/2006/relationships/hyperlink" Target="https://webgate.ec.europa.eu/CITnet/jira/browse/CCADMIN-55" TargetMode="External"/><Relationship Id="rId52" Type="http://schemas.openxmlformats.org/officeDocument/2006/relationships/hyperlink" Target="https://webgate.ec.europa.eu/CITnet/jira/browse/INTERCOM-52" TargetMode="External"/><Relationship Id="rId4" Type="http://schemas.openxmlformats.org/officeDocument/2006/relationships/hyperlink" Target="https://webgate.ec.europa.eu/CITnet/jira/browse/PROCESS-44" TargetMode="External"/><Relationship Id="rId9" Type="http://schemas.openxmlformats.org/officeDocument/2006/relationships/hyperlink" Target="https://webgate.ec.europa.eu/CITnet/jira/browse/CCTASK-533" TargetMode="External"/><Relationship Id="rId14" Type="http://schemas.openxmlformats.org/officeDocument/2006/relationships/hyperlink" Target="https://webgate.ec.europa.eu/CITnet/jira/browse/CCDOCLIST-17" TargetMode="External"/><Relationship Id="rId22" Type="http://schemas.openxmlformats.org/officeDocument/2006/relationships/hyperlink" Target="https://webgate.ec.europa.eu/CITnet/jira/browse/CCTASK-272" TargetMode="External"/><Relationship Id="rId27" Type="http://schemas.openxmlformats.org/officeDocument/2006/relationships/hyperlink" Target="https://webgate.ec.europa.eu/CITnet/jira/browse/INTERCOM-55" TargetMode="External"/><Relationship Id="rId30" Type="http://schemas.openxmlformats.org/officeDocument/2006/relationships/hyperlink" Target="https://webgate.ec.europa.eu/CITnet/jira/browse/CCPMO-63" TargetMode="External"/><Relationship Id="rId35" Type="http://schemas.openxmlformats.org/officeDocument/2006/relationships/hyperlink" Target="https://webgate.ec.europa.eu/CITnet/jira/browse/PROCESS-98" TargetMode="External"/><Relationship Id="rId43" Type="http://schemas.openxmlformats.org/officeDocument/2006/relationships/hyperlink" Target="https://webgate.ec.europa.eu/CITnet/jira/browse/INTERCOM-75" TargetMode="External"/><Relationship Id="rId48" Type="http://schemas.openxmlformats.org/officeDocument/2006/relationships/hyperlink" Target="https://webgate.ec.europa.eu/CITnet/jira/browse/INTERCOM-59" TargetMode="External"/><Relationship Id="rId8" Type="http://schemas.openxmlformats.org/officeDocument/2006/relationships/hyperlink" Target="https://webgate.ec.europa.eu/CITnet/jira/browse/COMPCORP-114" TargetMode="External"/><Relationship Id="rId51" Type="http://schemas.openxmlformats.org/officeDocument/2006/relationships/hyperlink" Target="https://webgate.ec.europa.eu/CITnet/jira/browse/PFM-131" TargetMode="External"/><Relationship Id="rId3" Type="http://schemas.openxmlformats.org/officeDocument/2006/relationships/hyperlink" Target="https://webgate.ec.europa.eu/CITnet/jira/browse/CCDOCLIST-165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ebgate.ec.europa.eu/CITnet/jira/browse/PROCESS-114" TargetMode="External"/><Relationship Id="rId117" Type="http://schemas.openxmlformats.org/officeDocument/2006/relationships/hyperlink" Target="https://webgate.ec.europa.eu/CITnet/jira/browse/COMPASS-240" TargetMode="External"/><Relationship Id="rId21" Type="http://schemas.openxmlformats.org/officeDocument/2006/relationships/hyperlink" Target="https://webgate.ec.europa.eu/CITnet/jira/browse/PROCESS-119" TargetMode="External"/><Relationship Id="rId42" Type="http://schemas.openxmlformats.org/officeDocument/2006/relationships/hyperlink" Target="https://webgate.ec.europa.eu/CITnet/jira/browse/PFM-155" TargetMode="External"/><Relationship Id="rId47" Type="http://schemas.openxmlformats.org/officeDocument/2006/relationships/hyperlink" Target="https://webgate.ec.europa.eu/CITnet/jira/browse/PFM-149" TargetMode="External"/><Relationship Id="rId63" Type="http://schemas.openxmlformats.org/officeDocument/2006/relationships/hyperlink" Target="https://webgate.ec.europa.eu/CITnet/jira/browse/PFM-71" TargetMode="External"/><Relationship Id="rId68" Type="http://schemas.openxmlformats.org/officeDocument/2006/relationships/hyperlink" Target="https://webgate.ec.europa.eu/CITnet/jira/browse/PFM-59" TargetMode="External"/><Relationship Id="rId84" Type="http://schemas.openxmlformats.org/officeDocument/2006/relationships/hyperlink" Target="https://webgate.ec.europa.eu/CITnet/jira/browse/INTERCOM-70" TargetMode="External"/><Relationship Id="rId89" Type="http://schemas.openxmlformats.org/officeDocument/2006/relationships/hyperlink" Target="https://webgate.ec.europa.eu/CITnet/jira/browse/INTERCOM-60" TargetMode="External"/><Relationship Id="rId112" Type="http://schemas.openxmlformats.org/officeDocument/2006/relationships/hyperlink" Target="https://webgate.ec.europa.eu/CITnet/jira/browse/COMPASS-245" TargetMode="External"/><Relationship Id="rId133" Type="http://schemas.openxmlformats.org/officeDocument/2006/relationships/hyperlink" Target="https://webgate.ec.europa.eu/CITnet/jira/browse/CCTASK-562" TargetMode="External"/><Relationship Id="rId138" Type="http://schemas.openxmlformats.org/officeDocument/2006/relationships/hyperlink" Target="https://webgate.ec.europa.eu/CITnet/jira/browse/CCTASK-550" TargetMode="External"/><Relationship Id="rId154" Type="http://schemas.openxmlformats.org/officeDocument/2006/relationships/hyperlink" Target="https://webgate.ec.europa.eu/CITnet/jira/browse/CCPMO-62" TargetMode="External"/><Relationship Id="rId159" Type="http://schemas.openxmlformats.org/officeDocument/2006/relationships/hyperlink" Target="https://webgate.ec.europa.eu/CITnet/jira/browse/CCDOCLIST-186" TargetMode="External"/><Relationship Id="rId175" Type="http://schemas.openxmlformats.org/officeDocument/2006/relationships/hyperlink" Target="https://webgate.ec.europa.eu/CITnet/jira/browse/CCDOCLIST-117" TargetMode="External"/><Relationship Id="rId170" Type="http://schemas.openxmlformats.org/officeDocument/2006/relationships/hyperlink" Target="https://webgate.ec.europa.eu/CITnet/jira/browse/CCDOCLIST-159" TargetMode="External"/><Relationship Id="rId191" Type="http://schemas.openxmlformats.org/officeDocument/2006/relationships/hyperlink" Target="https://webgate.ec.europa.eu/CITnet/jira/browse/CCADMIN-12" TargetMode="External"/><Relationship Id="rId16" Type="http://schemas.openxmlformats.org/officeDocument/2006/relationships/hyperlink" Target="https://webgate.ec.europa.eu/CITnet/jira/browse/PROCESS-128" TargetMode="External"/><Relationship Id="rId107" Type="http://schemas.openxmlformats.org/officeDocument/2006/relationships/hyperlink" Target="https://webgate.ec.europa.eu/CITnet/jira/browse/COMPASS-276" TargetMode="External"/><Relationship Id="rId11" Type="http://schemas.openxmlformats.org/officeDocument/2006/relationships/hyperlink" Target="https://webgate.ec.europa.eu/CITnet/jira/browse/TSKACTION-237" TargetMode="External"/><Relationship Id="rId32" Type="http://schemas.openxmlformats.org/officeDocument/2006/relationships/hyperlink" Target="https://webgate.ec.europa.eu/CITnet/jira/browse/PROCESS-108" TargetMode="External"/><Relationship Id="rId37" Type="http://schemas.openxmlformats.org/officeDocument/2006/relationships/hyperlink" Target="https://webgate.ec.europa.eu/CITnet/jira/browse/PROCESS-76" TargetMode="External"/><Relationship Id="rId53" Type="http://schemas.openxmlformats.org/officeDocument/2006/relationships/hyperlink" Target="https://webgate.ec.europa.eu/CITnet/jira/browse/PFM-142" TargetMode="External"/><Relationship Id="rId58" Type="http://schemas.openxmlformats.org/officeDocument/2006/relationships/hyperlink" Target="https://webgate.ec.europa.eu/CITnet/jira/browse/PFM-91" TargetMode="External"/><Relationship Id="rId74" Type="http://schemas.openxmlformats.org/officeDocument/2006/relationships/hyperlink" Target="https://webgate.ec.europa.eu/CITnet/jira/browse/PFM-50" TargetMode="External"/><Relationship Id="rId79" Type="http://schemas.openxmlformats.org/officeDocument/2006/relationships/hyperlink" Target="https://webgate.ec.europa.eu/CITnet/jira/browse/INTERCOM-79" TargetMode="External"/><Relationship Id="rId102" Type="http://schemas.openxmlformats.org/officeDocument/2006/relationships/hyperlink" Target="https://webgate.ec.europa.eu/CITnet/jira/browse/COMPASS-282" TargetMode="External"/><Relationship Id="rId123" Type="http://schemas.openxmlformats.org/officeDocument/2006/relationships/hyperlink" Target="https://webgate.ec.europa.eu/CITnet/jira/browse/COMPASS-201" TargetMode="External"/><Relationship Id="rId128" Type="http://schemas.openxmlformats.org/officeDocument/2006/relationships/hyperlink" Target="https://webgate.ec.europa.eu/CITnet/jira/browse/CCTASK-584" TargetMode="External"/><Relationship Id="rId144" Type="http://schemas.openxmlformats.org/officeDocument/2006/relationships/hyperlink" Target="https://webgate.ec.europa.eu/CITnet/jira/browse/CCTASK-512" TargetMode="External"/><Relationship Id="rId149" Type="http://schemas.openxmlformats.org/officeDocument/2006/relationships/hyperlink" Target="https://webgate.ec.europa.eu/CITnet/jira/browse/CCPMO-111" TargetMode="External"/><Relationship Id="rId5" Type="http://schemas.openxmlformats.org/officeDocument/2006/relationships/hyperlink" Target="https://webgate.ec.europa.eu/CITnet/jira/browse/WAVECC-7" TargetMode="External"/><Relationship Id="rId90" Type="http://schemas.openxmlformats.org/officeDocument/2006/relationships/hyperlink" Target="https://webgate.ec.europa.eu/CITnet/jira/browse/INTERCOM-58" TargetMode="External"/><Relationship Id="rId95" Type="http://schemas.openxmlformats.org/officeDocument/2006/relationships/hyperlink" Target="https://webgate.ec.europa.eu/CITnet/jira/browse/INTERCOM-41" TargetMode="External"/><Relationship Id="rId160" Type="http://schemas.openxmlformats.org/officeDocument/2006/relationships/hyperlink" Target="https://webgate.ec.europa.eu/CITnet/jira/browse/CCDOCLIST-184" TargetMode="External"/><Relationship Id="rId165" Type="http://schemas.openxmlformats.org/officeDocument/2006/relationships/hyperlink" Target="https://webgate.ec.europa.eu/CITnet/jira/browse/CCDOCLIST-169" TargetMode="External"/><Relationship Id="rId181" Type="http://schemas.openxmlformats.org/officeDocument/2006/relationships/hyperlink" Target="https://webgate.ec.europa.eu/CITnet/jira/browse/CCADMIN-51" TargetMode="External"/><Relationship Id="rId186" Type="http://schemas.openxmlformats.org/officeDocument/2006/relationships/hyperlink" Target="https://webgate.ec.europa.eu/CITnet/jira/browse/CCADMIN-43" TargetMode="External"/><Relationship Id="rId22" Type="http://schemas.openxmlformats.org/officeDocument/2006/relationships/hyperlink" Target="https://webgate.ec.europa.eu/CITnet/jira/browse/PROCESS-118" TargetMode="External"/><Relationship Id="rId27" Type="http://schemas.openxmlformats.org/officeDocument/2006/relationships/hyperlink" Target="https://webgate.ec.europa.eu/CITnet/jira/browse/PROCESS-113" TargetMode="External"/><Relationship Id="rId43" Type="http://schemas.openxmlformats.org/officeDocument/2006/relationships/hyperlink" Target="https://webgate.ec.europa.eu/CITnet/jira/browse/PFM-153" TargetMode="External"/><Relationship Id="rId48" Type="http://schemas.openxmlformats.org/officeDocument/2006/relationships/hyperlink" Target="https://webgate.ec.europa.eu/CITnet/jira/browse/PFM-148" TargetMode="External"/><Relationship Id="rId64" Type="http://schemas.openxmlformats.org/officeDocument/2006/relationships/hyperlink" Target="https://webgate.ec.europa.eu/CITnet/jira/browse/PFM-69" TargetMode="External"/><Relationship Id="rId69" Type="http://schemas.openxmlformats.org/officeDocument/2006/relationships/hyperlink" Target="https://webgate.ec.europa.eu/CITnet/jira/browse/PFM-56" TargetMode="External"/><Relationship Id="rId113" Type="http://schemas.openxmlformats.org/officeDocument/2006/relationships/hyperlink" Target="https://webgate.ec.europa.eu/CITnet/jira/browse/COMPASS-244" TargetMode="External"/><Relationship Id="rId118" Type="http://schemas.openxmlformats.org/officeDocument/2006/relationships/hyperlink" Target="https://webgate.ec.europa.eu/CITnet/jira/browse/COMPASS-223" TargetMode="External"/><Relationship Id="rId134" Type="http://schemas.openxmlformats.org/officeDocument/2006/relationships/hyperlink" Target="https://webgate.ec.europa.eu/CITnet/jira/browse/CCTASK-561" TargetMode="External"/><Relationship Id="rId139" Type="http://schemas.openxmlformats.org/officeDocument/2006/relationships/hyperlink" Target="https://webgate.ec.europa.eu/CITnet/jira/browse/CCTASK-547" TargetMode="External"/><Relationship Id="rId80" Type="http://schemas.openxmlformats.org/officeDocument/2006/relationships/hyperlink" Target="https://webgate.ec.europa.eu/CITnet/jira/browse/INTERCOM-78" TargetMode="External"/><Relationship Id="rId85" Type="http://schemas.openxmlformats.org/officeDocument/2006/relationships/hyperlink" Target="https://webgate.ec.europa.eu/CITnet/jira/browse/INTERCOM-67" TargetMode="External"/><Relationship Id="rId150" Type="http://schemas.openxmlformats.org/officeDocument/2006/relationships/hyperlink" Target="https://webgate.ec.europa.eu/CITnet/jira/browse/CCPMO-103" TargetMode="External"/><Relationship Id="rId155" Type="http://schemas.openxmlformats.org/officeDocument/2006/relationships/hyperlink" Target="https://webgate.ec.europa.eu/CITnet/jira/browse/CCPMO-59" TargetMode="External"/><Relationship Id="rId171" Type="http://schemas.openxmlformats.org/officeDocument/2006/relationships/hyperlink" Target="https://webgate.ec.europa.eu/CITnet/jira/browse/CCDOCLIST-149" TargetMode="External"/><Relationship Id="rId176" Type="http://schemas.openxmlformats.org/officeDocument/2006/relationships/hyperlink" Target="https://webgate.ec.europa.eu/CITnet/jira/browse/CCDOCLIST-63" TargetMode="External"/><Relationship Id="rId192" Type="http://schemas.openxmlformats.org/officeDocument/2006/relationships/drawing" Target="../drawings/drawing3.xml"/><Relationship Id="rId12" Type="http://schemas.openxmlformats.org/officeDocument/2006/relationships/hyperlink" Target="https://webgate.ec.europa.eu/CITnet/jira/browse/TSKACTION-219" TargetMode="External"/><Relationship Id="rId17" Type="http://schemas.openxmlformats.org/officeDocument/2006/relationships/hyperlink" Target="https://webgate.ec.europa.eu/CITnet/jira/browse/PROCESS-124" TargetMode="External"/><Relationship Id="rId33" Type="http://schemas.openxmlformats.org/officeDocument/2006/relationships/hyperlink" Target="https://webgate.ec.europa.eu/CITnet/jira/browse/PROCESS-107" TargetMode="External"/><Relationship Id="rId38" Type="http://schemas.openxmlformats.org/officeDocument/2006/relationships/hyperlink" Target="https://webgate.ec.europa.eu/CITnet/jira/browse/PROCESS-74" TargetMode="External"/><Relationship Id="rId59" Type="http://schemas.openxmlformats.org/officeDocument/2006/relationships/hyperlink" Target="https://webgate.ec.europa.eu/CITnet/jira/browse/PFM-87" TargetMode="External"/><Relationship Id="rId103" Type="http://schemas.openxmlformats.org/officeDocument/2006/relationships/hyperlink" Target="https://webgate.ec.europa.eu/CITnet/jira/browse/COMPASS-281" TargetMode="External"/><Relationship Id="rId108" Type="http://schemas.openxmlformats.org/officeDocument/2006/relationships/hyperlink" Target="https://webgate.ec.europa.eu/CITnet/jira/browse/COMPASS-274" TargetMode="External"/><Relationship Id="rId124" Type="http://schemas.openxmlformats.org/officeDocument/2006/relationships/hyperlink" Target="https://webgate.ec.europa.eu/CITnet/jira/browse/CCTASK-593" TargetMode="External"/><Relationship Id="rId129" Type="http://schemas.openxmlformats.org/officeDocument/2006/relationships/hyperlink" Target="https://webgate.ec.europa.eu/CITnet/jira/browse/CCTASK-581" TargetMode="External"/><Relationship Id="rId54" Type="http://schemas.openxmlformats.org/officeDocument/2006/relationships/hyperlink" Target="https://webgate.ec.europa.eu/CITnet/jira/browse/PFM-116" TargetMode="External"/><Relationship Id="rId70" Type="http://schemas.openxmlformats.org/officeDocument/2006/relationships/hyperlink" Target="https://webgate.ec.europa.eu/CITnet/jira/browse/PFM-54" TargetMode="External"/><Relationship Id="rId75" Type="http://schemas.openxmlformats.org/officeDocument/2006/relationships/hyperlink" Target="https://webgate.ec.europa.eu/CITnet/jira/browse/PFM-49" TargetMode="External"/><Relationship Id="rId91" Type="http://schemas.openxmlformats.org/officeDocument/2006/relationships/hyperlink" Target="https://webgate.ec.europa.eu/CITnet/jira/browse/INTERCOM-57" TargetMode="External"/><Relationship Id="rId96" Type="http://schemas.openxmlformats.org/officeDocument/2006/relationships/hyperlink" Target="https://webgate.ec.europa.eu/CITnet/jira/browse/INTERCOM-36" TargetMode="External"/><Relationship Id="rId140" Type="http://schemas.openxmlformats.org/officeDocument/2006/relationships/hyperlink" Target="https://webgate.ec.europa.eu/CITnet/jira/browse/CCTASK-540" TargetMode="External"/><Relationship Id="rId145" Type="http://schemas.openxmlformats.org/officeDocument/2006/relationships/hyperlink" Target="https://webgate.ec.europa.eu/CITnet/jira/browse/CCTASK-455" TargetMode="External"/><Relationship Id="rId161" Type="http://schemas.openxmlformats.org/officeDocument/2006/relationships/hyperlink" Target="https://webgate.ec.europa.eu/CITnet/jira/browse/CCDOCLIST-183" TargetMode="External"/><Relationship Id="rId166" Type="http://schemas.openxmlformats.org/officeDocument/2006/relationships/hyperlink" Target="https://webgate.ec.europa.eu/CITnet/jira/browse/CCDOCLIST-167" TargetMode="External"/><Relationship Id="rId182" Type="http://schemas.openxmlformats.org/officeDocument/2006/relationships/hyperlink" Target="https://webgate.ec.europa.eu/CITnet/jira/browse/CCADMIN-48" TargetMode="External"/><Relationship Id="rId187" Type="http://schemas.openxmlformats.org/officeDocument/2006/relationships/hyperlink" Target="https://webgate.ec.europa.eu/CITnet/jira/browse/CCADMIN-16" TargetMode="External"/><Relationship Id="rId1" Type="http://schemas.openxmlformats.org/officeDocument/2006/relationships/hyperlink" Target="https://webgate.ec.europa.eu/CITnet/jira/issues/?jql=%28issuetype+in+%28Story%29+AND+project+in+%28COMPCORP%2C+CCADMIN%2C+CCARCHITEC%2C+CCDOCLIST%2C+ECKL%2C+CCINFRAEC%2C+INTERCOM%2C+CCPMO%2C+PFM%2C+PROCESS%2C+CCTASK%2C+TSKACTION%2C+WAVECC%2C+COMPASS%29%29+AND+%28fixversion+IN+%28COMPCORP-PI4%2C+COMPCORP-PI3%2C+COMPCORP-PI2%2C+COMPCORP-PI1%29+OR+sprint+IN+%28%22CC+Process+Centre+PI4+It1%22%2C+%22CC+Portfolio+Manager+PI4+It1%22%2C+%22Comp+Corp+RTD+PI4+It1%22%2C+%22Comp+Corp+REGIO+PI4+It1%22%2C+%22EC+eUI+My+Workplace+PI9+It1%22%2C+%22COMCORP-PMO-4.1%22%2C%22CC+Process+Centre+PI4+It2%22%2C+%22CC+Portfolio+Manager+PI4+It2%22%2C+%22Comp+Corp+RTD+PI4+It2%22%2C+%22Comp+Corp+REGIO+PI4+It2%22%2C+%22EC+eUI+My+Workplace+PI9+It2%22%2C+%22COMCORP-PMO-4.2%22%2C%22CC+Process+Centre+PI4+It3%22%2C+%22CC+Portfolio+Manager+PI4+It3%22%2C+%22Comp+Corp+RTD+PI4+It3%22%2C+%22Comp+Corp+REGIO+PI4+It3%22%2C+%22EC+eUI+My+Workplace+PI9+It3%22%2C%22CC+Process+Centre+PI4+It4%22%2C+%22CC+Portfolio+Manager+PI4+It4%22%2C+%22Comp+Corp+RTD+PI4+It4%22%2C+%22Comp+Corp+REGIO+PI4+It4%22%2C+%22EC+eUI+My+Workplace+PI9+It4%22%2C%22CC+Process+Centre+PI4+It5%22%2C+%22CC+Portfolio+Manager+PI4+It5%22%2C+%22Comp+Corp+RTD+PI4+It5%22%2C+%22Comp+Corp+REGIO+PI4+It5%22%2C+%22EC+eUI+My+Workplace+PI9+It5%22%29%29" TargetMode="External"/><Relationship Id="rId6" Type="http://schemas.openxmlformats.org/officeDocument/2006/relationships/hyperlink" Target="https://webgate.ec.europa.eu/CITnet/jira/browse/WAVECC-6" TargetMode="External"/><Relationship Id="rId23" Type="http://schemas.openxmlformats.org/officeDocument/2006/relationships/hyperlink" Target="https://webgate.ec.europa.eu/CITnet/jira/browse/PROCESS-117" TargetMode="External"/><Relationship Id="rId28" Type="http://schemas.openxmlformats.org/officeDocument/2006/relationships/hyperlink" Target="https://webgate.ec.europa.eu/CITnet/jira/browse/PROCESS-112" TargetMode="External"/><Relationship Id="rId49" Type="http://schemas.openxmlformats.org/officeDocument/2006/relationships/hyperlink" Target="https://webgate.ec.europa.eu/CITnet/jira/browse/PFM-147" TargetMode="External"/><Relationship Id="rId114" Type="http://schemas.openxmlformats.org/officeDocument/2006/relationships/hyperlink" Target="https://webgate.ec.europa.eu/CITnet/jira/browse/COMPASS-243" TargetMode="External"/><Relationship Id="rId119" Type="http://schemas.openxmlformats.org/officeDocument/2006/relationships/hyperlink" Target="https://webgate.ec.europa.eu/CITnet/jira/browse/COMPASS-210" TargetMode="External"/><Relationship Id="rId44" Type="http://schemas.openxmlformats.org/officeDocument/2006/relationships/hyperlink" Target="https://webgate.ec.europa.eu/CITnet/jira/browse/PFM-152" TargetMode="External"/><Relationship Id="rId60" Type="http://schemas.openxmlformats.org/officeDocument/2006/relationships/hyperlink" Target="https://webgate.ec.europa.eu/CITnet/jira/browse/PFM-82" TargetMode="External"/><Relationship Id="rId65" Type="http://schemas.openxmlformats.org/officeDocument/2006/relationships/hyperlink" Target="https://webgate.ec.europa.eu/CITnet/jira/browse/PFM-68" TargetMode="External"/><Relationship Id="rId81" Type="http://schemas.openxmlformats.org/officeDocument/2006/relationships/hyperlink" Target="https://webgate.ec.europa.eu/CITnet/jira/browse/INTERCOM-77" TargetMode="External"/><Relationship Id="rId86" Type="http://schemas.openxmlformats.org/officeDocument/2006/relationships/hyperlink" Target="https://webgate.ec.europa.eu/CITnet/jira/browse/INTERCOM-66" TargetMode="External"/><Relationship Id="rId130" Type="http://schemas.openxmlformats.org/officeDocument/2006/relationships/hyperlink" Target="https://webgate.ec.europa.eu/CITnet/jira/browse/CCTASK-567" TargetMode="External"/><Relationship Id="rId135" Type="http://schemas.openxmlformats.org/officeDocument/2006/relationships/hyperlink" Target="https://webgate.ec.europa.eu/CITnet/jira/browse/CCTASK-553" TargetMode="External"/><Relationship Id="rId151" Type="http://schemas.openxmlformats.org/officeDocument/2006/relationships/hyperlink" Target="https://webgate.ec.europa.eu/CITnet/jira/browse/CCPMO-95" TargetMode="External"/><Relationship Id="rId156" Type="http://schemas.openxmlformats.org/officeDocument/2006/relationships/hyperlink" Target="https://webgate.ec.europa.eu/CITnet/jira/browse/CCPMO-58" TargetMode="External"/><Relationship Id="rId177" Type="http://schemas.openxmlformats.org/officeDocument/2006/relationships/hyperlink" Target="https://webgate.ec.europa.eu/CITnet/jira/browse/CCDOCLIST-62" TargetMode="External"/><Relationship Id="rId172" Type="http://schemas.openxmlformats.org/officeDocument/2006/relationships/hyperlink" Target="https://webgate.ec.europa.eu/CITnet/jira/browse/CCDOCLIST-142" TargetMode="External"/><Relationship Id="rId13" Type="http://schemas.openxmlformats.org/officeDocument/2006/relationships/hyperlink" Target="https://webgate.ec.europa.eu/CITnet/jira/browse/TSKACTION-218" TargetMode="External"/><Relationship Id="rId18" Type="http://schemas.openxmlformats.org/officeDocument/2006/relationships/hyperlink" Target="https://webgate.ec.europa.eu/CITnet/jira/browse/PROCESS-122" TargetMode="External"/><Relationship Id="rId39" Type="http://schemas.openxmlformats.org/officeDocument/2006/relationships/hyperlink" Target="https://webgate.ec.europa.eu/CITnet/jira/browse/PROCESS-49" TargetMode="External"/><Relationship Id="rId109" Type="http://schemas.openxmlformats.org/officeDocument/2006/relationships/hyperlink" Target="https://webgate.ec.europa.eu/CITnet/jira/browse/COMPASS-248" TargetMode="External"/><Relationship Id="rId34" Type="http://schemas.openxmlformats.org/officeDocument/2006/relationships/hyperlink" Target="https://webgate.ec.europa.eu/CITnet/jira/browse/PROCESS-90" TargetMode="External"/><Relationship Id="rId50" Type="http://schemas.openxmlformats.org/officeDocument/2006/relationships/hyperlink" Target="https://webgate.ec.europa.eu/CITnet/jira/browse/PFM-146" TargetMode="External"/><Relationship Id="rId55" Type="http://schemas.openxmlformats.org/officeDocument/2006/relationships/hyperlink" Target="https://webgate.ec.europa.eu/CITnet/jira/browse/PFM-114" TargetMode="External"/><Relationship Id="rId76" Type="http://schemas.openxmlformats.org/officeDocument/2006/relationships/hyperlink" Target="https://webgate.ec.europa.eu/CITnet/jira/browse/PFM-8" TargetMode="External"/><Relationship Id="rId97" Type="http://schemas.openxmlformats.org/officeDocument/2006/relationships/hyperlink" Target="https://webgate.ec.europa.eu/CITnet/jira/browse/COMPASS-299" TargetMode="External"/><Relationship Id="rId104" Type="http://schemas.openxmlformats.org/officeDocument/2006/relationships/hyperlink" Target="https://webgate.ec.europa.eu/CITnet/jira/browse/COMPASS-279" TargetMode="External"/><Relationship Id="rId120" Type="http://schemas.openxmlformats.org/officeDocument/2006/relationships/hyperlink" Target="https://webgate.ec.europa.eu/CITnet/jira/browse/COMPASS-208" TargetMode="External"/><Relationship Id="rId125" Type="http://schemas.openxmlformats.org/officeDocument/2006/relationships/hyperlink" Target="https://webgate.ec.europa.eu/CITnet/jira/browse/CCTASK-592" TargetMode="External"/><Relationship Id="rId141" Type="http://schemas.openxmlformats.org/officeDocument/2006/relationships/hyperlink" Target="https://webgate.ec.europa.eu/CITnet/jira/browse/CCTASK-538" TargetMode="External"/><Relationship Id="rId146" Type="http://schemas.openxmlformats.org/officeDocument/2006/relationships/hyperlink" Target="https://webgate.ec.europa.eu/CITnet/jira/browse/CCTASK-423" TargetMode="External"/><Relationship Id="rId167" Type="http://schemas.openxmlformats.org/officeDocument/2006/relationships/hyperlink" Target="https://webgate.ec.europa.eu/CITnet/jira/browse/CCDOCLIST-166" TargetMode="External"/><Relationship Id="rId188" Type="http://schemas.openxmlformats.org/officeDocument/2006/relationships/hyperlink" Target="https://webgate.ec.europa.eu/CITnet/jira/browse/CCADMIN-15" TargetMode="External"/><Relationship Id="rId7" Type="http://schemas.openxmlformats.org/officeDocument/2006/relationships/hyperlink" Target="https://webgate.ec.europa.eu/CITnet/jira/browse/TSKACTION-273" TargetMode="External"/><Relationship Id="rId71" Type="http://schemas.openxmlformats.org/officeDocument/2006/relationships/hyperlink" Target="https://webgate.ec.europa.eu/CITnet/jira/browse/PFM-53" TargetMode="External"/><Relationship Id="rId92" Type="http://schemas.openxmlformats.org/officeDocument/2006/relationships/hyperlink" Target="https://webgate.ec.europa.eu/CITnet/jira/browse/INTERCOM-56" TargetMode="External"/><Relationship Id="rId162" Type="http://schemas.openxmlformats.org/officeDocument/2006/relationships/hyperlink" Target="https://webgate.ec.europa.eu/CITnet/jira/browse/CCDOCLIST-173" TargetMode="External"/><Relationship Id="rId183" Type="http://schemas.openxmlformats.org/officeDocument/2006/relationships/hyperlink" Target="https://webgate.ec.europa.eu/CITnet/jira/browse/CCADMIN-47" TargetMode="External"/><Relationship Id="rId2" Type="http://schemas.openxmlformats.org/officeDocument/2006/relationships/hyperlink" Target="https://webgate.ec.europa.eu/CITnet/jira/browse/WAVECC-44" TargetMode="External"/><Relationship Id="rId29" Type="http://schemas.openxmlformats.org/officeDocument/2006/relationships/hyperlink" Target="https://webgate.ec.europa.eu/CITnet/jira/browse/PROCESS-111" TargetMode="External"/><Relationship Id="rId24" Type="http://schemas.openxmlformats.org/officeDocument/2006/relationships/hyperlink" Target="https://webgate.ec.europa.eu/CITnet/jira/browse/PROCESS-116" TargetMode="External"/><Relationship Id="rId40" Type="http://schemas.openxmlformats.org/officeDocument/2006/relationships/hyperlink" Target="https://webgate.ec.europa.eu/CITnet/jira/browse/PROCESS-48" TargetMode="External"/><Relationship Id="rId45" Type="http://schemas.openxmlformats.org/officeDocument/2006/relationships/hyperlink" Target="https://webgate.ec.europa.eu/CITnet/jira/browse/PFM-151" TargetMode="External"/><Relationship Id="rId66" Type="http://schemas.openxmlformats.org/officeDocument/2006/relationships/hyperlink" Target="https://webgate.ec.europa.eu/CITnet/jira/browse/PFM-64" TargetMode="External"/><Relationship Id="rId87" Type="http://schemas.openxmlformats.org/officeDocument/2006/relationships/hyperlink" Target="https://webgate.ec.europa.eu/CITnet/jira/browse/INTERCOM-65" TargetMode="External"/><Relationship Id="rId110" Type="http://schemas.openxmlformats.org/officeDocument/2006/relationships/hyperlink" Target="https://webgate.ec.europa.eu/CITnet/jira/browse/COMPASS-247" TargetMode="External"/><Relationship Id="rId115" Type="http://schemas.openxmlformats.org/officeDocument/2006/relationships/hyperlink" Target="https://webgate.ec.europa.eu/CITnet/jira/browse/COMPASS-242" TargetMode="External"/><Relationship Id="rId131" Type="http://schemas.openxmlformats.org/officeDocument/2006/relationships/hyperlink" Target="https://webgate.ec.europa.eu/CITnet/jira/browse/CCTASK-564" TargetMode="External"/><Relationship Id="rId136" Type="http://schemas.openxmlformats.org/officeDocument/2006/relationships/hyperlink" Target="https://webgate.ec.europa.eu/CITnet/jira/browse/CCTASK-552" TargetMode="External"/><Relationship Id="rId157" Type="http://schemas.openxmlformats.org/officeDocument/2006/relationships/hyperlink" Target="https://webgate.ec.europa.eu/CITnet/jira/browse/CCPMO-46" TargetMode="External"/><Relationship Id="rId178" Type="http://schemas.openxmlformats.org/officeDocument/2006/relationships/hyperlink" Target="https://webgate.ec.europa.eu/CITnet/jira/browse/CCADMIN-56" TargetMode="External"/><Relationship Id="rId61" Type="http://schemas.openxmlformats.org/officeDocument/2006/relationships/hyperlink" Target="https://webgate.ec.europa.eu/CITnet/jira/browse/PFM-81" TargetMode="External"/><Relationship Id="rId82" Type="http://schemas.openxmlformats.org/officeDocument/2006/relationships/hyperlink" Target="https://webgate.ec.europa.eu/CITnet/jira/browse/INTERCOM-74" TargetMode="External"/><Relationship Id="rId152" Type="http://schemas.openxmlformats.org/officeDocument/2006/relationships/hyperlink" Target="https://webgate.ec.europa.eu/CITnet/jira/browse/CCPMO-87" TargetMode="External"/><Relationship Id="rId173" Type="http://schemas.openxmlformats.org/officeDocument/2006/relationships/hyperlink" Target="https://webgate.ec.europa.eu/CITnet/jira/browse/CCDOCLIST-122" TargetMode="External"/><Relationship Id="rId19" Type="http://schemas.openxmlformats.org/officeDocument/2006/relationships/hyperlink" Target="https://webgate.ec.europa.eu/CITnet/jira/browse/PROCESS-121" TargetMode="External"/><Relationship Id="rId14" Type="http://schemas.openxmlformats.org/officeDocument/2006/relationships/hyperlink" Target="https://webgate.ec.europa.eu/CITnet/jira/browse/TSKACTION-216" TargetMode="External"/><Relationship Id="rId30" Type="http://schemas.openxmlformats.org/officeDocument/2006/relationships/hyperlink" Target="https://webgate.ec.europa.eu/CITnet/jira/browse/PROCESS-110" TargetMode="External"/><Relationship Id="rId35" Type="http://schemas.openxmlformats.org/officeDocument/2006/relationships/hyperlink" Target="https://webgate.ec.europa.eu/CITnet/jira/browse/PROCESS-89" TargetMode="External"/><Relationship Id="rId56" Type="http://schemas.openxmlformats.org/officeDocument/2006/relationships/hyperlink" Target="https://webgate.ec.europa.eu/CITnet/jira/browse/PFM-110" TargetMode="External"/><Relationship Id="rId77" Type="http://schemas.openxmlformats.org/officeDocument/2006/relationships/hyperlink" Target="https://webgate.ec.europa.eu/CITnet/jira/browse/INTERCOM-89" TargetMode="External"/><Relationship Id="rId100" Type="http://schemas.openxmlformats.org/officeDocument/2006/relationships/hyperlink" Target="https://webgate.ec.europa.eu/CITnet/jira/browse/COMPASS-284" TargetMode="External"/><Relationship Id="rId105" Type="http://schemas.openxmlformats.org/officeDocument/2006/relationships/hyperlink" Target="https://webgate.ec.europa.eu/CITnet/jira/browse/COMPASS-278" TargetMode="External"/><Relationship Id="rId126" Type="http://schemas.openxmlformats.org/officeDocument/2006/relationships/hyperlink" Target="https://webgate.ec.europa.eu/CITnet/jira/browse/CCTASK-591" TargetMode="External"/><Relationship Id="rId147" Type="http://schemas.openxmlformats.org/officeDocument/2006/relationships/hyperlink" Target="https://webgate.ec.europa.eu/CITnet/jira/browse/CCTASK-291" TargetMode="External"/><Relationship Id="rId168" Type="http://schemas.openxmlformats.org/officeDocument/2006/relationships/hyperlink" Target="https://webgate.ec.europa.eu/CITnet/jira/browse/CCDOCLIST-163" TargetMode="External"/><Relationship Id="rId8" Type="http://schemas.openxmlformats.org/officeDocument/2006/relationships/hyperlink" Target="https://webgate.ec.europa.eu/CITnet/jira/browse/TSKACTION-271" TargetMode="External"/><Relationship Id="rId51" Type="http://schemas.openxmlformats.org/officeDocument/2006/relationships/hyperlink" Target="https://webgate.ec.europa.eu/CITnet/jira/browse/PFM-144" TargetMode="External"/><Relationship Id="rId72" Type="http://schemas.openxmlformats.org/officeDocument/2006/relationships/hyperlink" Target="https://webgate.ec.europa.eu/CITnet/jira/browse/PFM-52" TargetMode="External"/><Relationship Id="rId93" Type="http://schemas.openxmlformats.org/officeDocument/2006/relationships/hyperlink" Target="https://webgate.ec.europa.eu/CITnet/jira/browse/INTERCOM-53" TargetMode="External"/><Relationship Id="rId98" Type="http://schemas.openxmlformats.org/officeDocument/2006/relationships/hyperlink" Target="https://webgate.ec.europa.eu/CITnet/jira/browse/COMPASS-298" TargetMode="External"/><Relationship Id="rId121" Type="http://schemas.openxmlformats.org/officeDocument/2006/relationships/hyperlink" Target="https://webgate.ec.europa.eu/CITnet/jira/browse/COMPASS-206" TargetMode="External"/><Relationship Id="rId142" Type="http://schemas.openxmlformats.org/officeDocument/2006/relationships/hyperlink" Target="https://webgate.ec.europa.eu/CITnet/jira/browse/CCTASK-536" TargetMode="External"/><Relationship Id="rId163" Type="http://schemas.openxmlformats.org/officeDocument/2006/relationships/hyperlink" Target="https://webgate.ec.europa.eu/CITnet/jira/browse/CCDOCLIST-172" TargetMode="External"/><Relationship Id="rId184" Type="http://schemas.openxmlformats.org/officeDocument/2006/relationships/hyperlink" Target="https://webgate.ec.europa.eu/CITnet/jira/browse/CCADMIN-46" TargetMode="External"/><Relationship Id="rId189" Type="http://schemas.openxmlformats.org/officeDocument/2006/relationships/hyperlink" Target="https://webgate.ec.europa.eu/CITnet/jira/browse/CCADMIN-14" TargetMode="External"/><Relationship Id="rId3" Type="http://schemas.openxmlformats.org/officeDocument/2006/relationships/hyperlink" Target="https://webgate.ec.europa.eu/CITnet/jira/browse/WAVECC-43" TargetMode="External"/><Relationship Id="rId25" Type="http://schemas.openxmlformats.org/officeDocument/2006/relationships/hyperlink" Target="https://webgate.ec.europa.eu/CITnet/jira/browse/PROCESS-115" TargetMode="External"/><Relationship Id="rId46" Type="http://schemas.openxmlformats.org/officeDocument/2006/relationships/hyperlink" Target="https://webgate.ec.europa.eu/CITnet/jira/browse/PFM-150" TargetMode="External"/><Relationship Id="rId67" Type="http://schemas.openxmlformats.org/officeDocument/2006/relationships/hyperlink" Target="https://webgate.ec.europa.eu/CITnet/jira/browse/PFM-63" TargetMode="External"/><Relationship Id="rId116" Type="http://schemas.openxmlformats.org/officeDocument/2006/relationships/hyperlink" Target="https://webgate.ec.europa.eu/CITnet/jira/browse/COMPASS-241" TargetMode="External"/><Relationship Id="rId137" Type="http://schemas.openxmlformats.org/officeDocument/2006/relationships/hyperlink" Target="https://webgate.ec.europa.eu/CITnet/jira/browse/CCTASK-551" TargetMode="External"/><Relationship Id="rId158" Type="http://schemas.openxmlformats.org/officeDocument/2006/relationships/hyperlink" Target="https://webgate.ec.europa.eu/CITnet/jira/browse/CCDOCLIST-190" TargetMode="External"/><Relationship Id="rId20" Type="http://schemas.openxmlformats.org/officeDocument/2006/relationships/hyperlink" Target="https://webgate.ec.europa.eu/CITnet/jira/browse/PROCESS-120" TargetMode="External"/><Relationship Id="rId41" Type="http://schemas.openxmlformats.org/officeDocument/2006/relationships/hyperlink" Target="https://webgate.ec.europa.eu/CITnet/jira/browse/PFM-160" TargetMode="External"/><Relationship Id="rId62" Type="http://schemas.openxmlformats.org/officeDocument/2006/relationships/hyperlink" Target="https://webgate.ec.europa.eu/CITnet/jira/browse/PFM-73" TargetMode="External"/><Relationship Id="rId83" Type="http://schemas.openxmlformats.org/officeDocument/2006/relationships/hyperlink" Target="https://webgate.ec.europa.eu/CITnet/jira/browse/INTERCOM-73" TargetMode="External"/><Relationship Id="rId88" Type="http://schemas.openxmlformats.org/officeDocument/2006/relationships/hyperlink" Target="https://webgate.ec.europa.eu/CITnet/jira/browse/INTERCOM-64" TargetMode="External"/><Relationship Id="rId111" Type="http://schemas.openxmlformats.org/officeDocument/2006/relationships/hyperlink" Target="https://webgate.ec.europa.eu/CITnet/jira/browse/COMPASS-246" TargetMode="External"/><Relationship Id="rId132" Type="http://schemas.openxmlformats.org/officeDocument/2006/relationships/hyperlink" Target="https://webgate.ec.europa.eu/CITnet/jira/browse/CCTASK-563" TargetMode="External"/><Relationship Id="rId153" Type="http://schemas.openxmlformats.org/officeDocument/2006/relationships/hyperlink" Target="https://webgate.ec.europa.eu/CITnet/jira/browse/CCPMO-79" TargetMode="External"/><Relationship Id="rId174" Type="http://schemas.openxmlformats.org/officeDocument/2006/relationships/hyperlink" Target="https://webgate.ec.europa.eu/CITnet/jira/browse/CCDOCLIST-121" TargetMode="External"/><Relationship Id="rId179" Type="http://schemas.openxmlformats.org/officeDocument/2006/relationships/hyperlink" Target="https://webgate.ec.europa.eu/CITnet/jira/browse/CCADMIN-53" TargetMode="External"/><Relationship Id="rId190" Type="http://schemas.openxmlformats.org/officeDocument/2006/relationships/hyperlink" Target="https://webgate.ec.europa.eu/CITnet/jira/browse/CCADMIN-13" TargetMode="External"/><Relationship Id="rId15" Type="http://schemas.openxmlformats.org/officeDocument/2006/relationships/hyperlink" Target="https://webgate.ec.europa.eu/CITnet/jira/browse/PROCESS-129" TargetMode="External"/><Relationship Id="rId36" Type="http://schemas.openxmlformats.org/officeDocument/2006/relationships/hyperlink" Target="https://webgate.ec.europa.eu/CITnet/jira/browse/PROCESS-86" TargetMode="External"/><Relationship Id="rId57" Type="http://schemas.openxmlformats.org/officeDocument/2006/relationships/hyperlink" Target="https://webgate.ec.europa.eu/CITnet/jira/browse/PFM-92" TargetMode="External"/><Relationship Id="rId106" Type="http://schemas.openxmlformats.org/officeDocument/2006/relationships/hyperlink" Target="https://webgate.ec.europa.eu/CITnet/jira/browse/COMPASS-277" TargetMode="External"/><Relationship Id="rId127" Type="http://schemas.openxmlformats.org/officeDocument/2006/relationships/hyperlink" Target="https://webgate.ec.europa.eu/CITnet/jira/browse/CCTASK-590" TargetMode="External"/><Relationship Id="rId10" Type="http://schemas.openxmlformats.org/officeDocument/2006/relationships/hyperlink" Target="https://webgate.ec.europa.eu/CITnet/jira/browse/TSKACTION-259" TargetMode="External"/><Relationship Id="rId31" Type="http://schemas.openxmlformats.org/officeDocument/2006/relationships/hyperlink" Target="https://webgate.ec.europa.eu/CITnet/jira/browse/PROCESS-109" TargetMode="External"/><Relationship Id="rId52" Type="http://schemas.openxmlformats.org/officeDocument/2006/relationships/hyperlink" Target="https://webgate.ec.europa.eu/CITnet/jira/browse/PFM-143" TargetMode="External"/><Relationship Id="rId73" Type="http://schemas.openxmlformats.org/officeDocument/2006/relationships/hyperlink" Target="https://webgate.ec.europa.eu/CITnet/jira/browse/PFM-51" TargetMode="External"/><Relationship Id="rId78" Type="http://schemas.openxmlformats.org/officeDocument/2006/relationships/hyperlink" Target="https://webgate.ec.europa.eu/CITnet/jira/browse/INTERCOM-83" TargetMode="External"/><Relationship Id="rId94" Type="http://schemas.openxmlformats.org/officeDocument/2006/relationships/hyperlink" Target="https://webgate.ec.europa.eu/CITnet/jira/browse/INTERCOM-43" TargetMode="External"/><Relationship Id="rId99" Type="http://schemas.openxmlformats.org/officeDocument/2006/relationships/hyperlink" Target="https://webgate.ec.europa.eu/CITnet/jira/browse/COMPASS-293" TargetMode="External"/><Relationship Id="rId101" Type="http://schemas.openxmlformats.org/officeDocument/2006/relationships/hyperlink" Target="https://webgate.ec.europa.eu/CITnet/jira/browse/COMPASS-283" TargetMode="External"/><Relationship Id="rId122" Type="http://schemas.openxmlformats.org/officeDocument/2006/relationships/hyperlink" Target="https://webgate.ec.europa.eu/CITnet/jira/browse/COMPASS-202" TargetMode="External"/><Relationship Id="rId143" Type="http://schemas.openxmlformats.org/officeDocument/2006/relationships/hyperlink" Target="https://webgate.ec.europa.eu/CITnet/jira/browse/CCTASK-522" TargetMode="External"/><Relationship Id="rId148" Type="http://schemas.openxmlformats.org/officeDocument/2006/relationships/hyperlink" Target="https://webgate.ec.europa.eu/CITnet/jira/browse/CCPMO-119" TargetMode="External"/><Relationship Id="rId164" Type="http://schemas.openxmlformats.org/officeDocument/2006/relationships/hyperlink" Target="https://webgate.ec.europa.eu/CITnet/jira/browse/CCDOCLIST-171" TargetMode="External"/><Relationship Id="rId169" Type="http://schemas.openxmlformats.org/officeDocument/2006/relationships/hyperlink" Target="https://webgate.ec.europa.eu/CITnet/jira/browse/CCDOCLIST-161" TargetMode="External"/><Relationship Id="rId185" Type="http://schemas.openxmlformats.org/officeDocument/2006/relationships/hyperlink" Target="https://webgate.ec.europa.eu/CITnet/jira/browse/CCADMIN-45" TargetMode="External"/><Relationship Id="rId4" Type="http://schemas.openxmlformats.org/officeDocument/2006/relationships/hyperlink" Target="https://webgate.ec.europa.eu/CITnet/jira/browse/WAVECC-35" TargetMode="External"/><Relationship Id="rId9" Type="http://schemas.openxmlformats.org/officeDocument/2006/relationships/hyperlink" Target="https://webgate.ec.europa.eu/CITnet/jira/browse/TSKACTION-260" TargetMode="External"/><Relationship Id="rId180" Type="http://schemas.openxmlformats.org/officeDocument/2006/relationships/hyperlink" Target="https://webgate.ec.europa.eu/CITnet/jira/browse/CCADMIN-52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ebgate.ec.europa.eu/CITnet/jira/browse/CCTASK-534" TargetMode="External"/><Relationship Id="rId18" Type="http://schemas.openxmlformats.org/officeDocument/2006/relationships/hyperlink" Target="https://webgate.ec.europa.eu/CITnet/jira/browse/TSKACTION-245" TargetMode="External"/><Relationship Id="rId26" Type="http://schemas.openxmlformats.org/officeDocument/2006/relationships/hyperlink" Target="https://webgate.ec.europa.eu/CITnet/jira/browse/TSKACTION-56" TargetMode="External"/><Relationship Id="rId39" Type="http://schemas.openxmlformats.org/officeDocument/2006/relationships/hyperlink" Target="https://webgate.ec.europa.eu/CITnet/jira/browse/CCTASK-532" TargetMode="External"/><Relationship Id="rId3" Type="http://schemas.openxmlformats.org/officeDocument/2006/relationships/hyperlink" Target="https://webgate.ec.europa.eu/CITnet/jira/browse/CCDOCLIST-165" TargetMode="External"/><Relationship Id="rId21" Type="http://schemas.openxmlformats.org/officeDocument/2006/relationships/hyperlink" Target="https://webgate.ec.europa.eu/CITnet/jira/browse/CCTASK-527" TargetMode="External"/><Relationship Id="rId34" Type="http://schemas.openxmlformats.org/officeDocument/2006/relationships/hyperlink" Target="https://webgate.ec.europa.eu/CITnet/jira/browse/INTERCOM-71" TargetMode="External"/><Relationship Id="rId42" Type="http://schemas.openxmlformats.org/officeDocument/2006/relationships/hyperlink" Target="https://webgate.ec.europa.eu/CITnet/jira/browse/CCPMO-76" TargetMode="External"/><Relationship Id="rId47" Type="http://schemas.openxmlformats.org/officeDocument/2006/relationships/hyperlink" Target="https://webgate.ec.europa.eu/CITnet/jira/browse/INTERCOM-59" TargetMode="External"/><Relationship Id="rId50" Type="http://schemas.openxmlformats.org/officeDocument/2006/relationships/hyperlink" Target="https://webgate.ec.europa.eu/CITnet/jira/browse/PFM-131" TargetMode="External"/><Relationship Id="rId7" Type="http://schemas.openxmlformats.org/officeDocument/2006/relationships/hyperlink" Target="https://webgate.ec.europa.eu/CITnet/jira/browse/CCARCHITEC-37" TargetMode="External"/><Relationship Id="rId12" Type="http://schemas.openxmlformats.org/officeDocument/2006/relationships/hyperlink" Target="https://webgate.ec.europa.eu/CITnet/jira/browse/CCDOCLIST-157" TargetMode="External"/><Relationship Id="rId17" Type="http://schemas.openxmlformats.org/officeDocument/2006/relationships/hyperlink" Target="https://webgate.ec.europa.eu/CITnet/jira/browse/CCARCHITEC-49" TargetMode="External"/><Relationship Id="rId25" Type="http://schemas.openxmlformats.org/officeDocument/2006/relationships/hyperlink" Target="https://webgate.ec.europa.eu/CITnet/jira/browse/CCTASK-476" TargetMode="External"/><Relationship Id="rId33" Type="http://schemas.openxmlformats.org/officeDocument/2006/relationships/hyperlink" Target="https://webgate.ec.europa.eu/CITnet/jira/browse/INTERCOM-54" TargetMode="External"/><Relationship Id="rId38" Type="http://schemas.openxmlformats.org/officeDocument/2006/relationships/hyperlink" Target="https://webgate.ec.europa.eu/CITnet/jira/browse/PROCESS-33" TargetMode="External"/><Relationship Id="rId46" Type="http://schemas.openxmlformats.org/officeDocument/2006/relationships/hyperlink" Target="https://webgate.ec.europa.eu/CITnet/jira/browse/CCADMIN-44" TargetMode="External"/><Relationship Id="rId2" Type="http://schemas.openxmlformats.org/officeDocument/2006/relationships/hyperlink" Target="https://webgate.ec.europa.eu/CITnet/jira/browse/TSKACTION-217" TargetMode="External"/><Relationship Id="rId16" Type="http://schemas.openxmlformats.org/officeDocument/2006/relationships/hyperlink" Target="https://webgate.ec.europa.eu/CITnet/jira/browse/CCDOCLIST-25" TargetMode="External"/><Relationship Id="rId20" Type="http://schemas.openxmlformats.org/officeDocument/2006/relationships/hyperlink" Target="https://webgate.ec.europa.eu/CITnet/jira/browse/CCTASK-579" TargetMode="External"/><Relationship Id="rId29" Type="http://schemas.openxmlformats.org/officeDocument/2006/relationships/hyperlink" Target="https://webgate.ec.europa.eu/CITnet/jira/browse/CCPMO-77" TargetMode="External"/><Relationship Id="rId41" Type="http://schemas.openxmlformats.org/officeDocument/2006/relationships/hyperlink" Target="https://webgate.ec.europa.eu/CITnet/jira/browse/WAVECC-34" TargetMode="External"/><Relationship Id="rId54" Type="http://schemas.openxmlformats.org/officeDocument/2006/relationships/drawing" Target="../drawings/drawing4.xml"/><Relationship Id="rId1" Type="http://schemas.openxmlformats.org/officeDocument/2006/relationships/hyperlink" Target="https://webgate.ec.europa.eu/CITnet/jira/issues/?jql=project+in+%28COMPCORP%2C+CCADMIN%2C+CCARCHITEC%2C+CCDOCLIST%2C+ECKL%2C+CCINFRAEC%2C+INTERCOM%2C+CCPMO%2C+PFM%2C+PROCESS%2C+CCTASK%2C+TSKACTION%2C+WAVECC%2C+COMPASS%29+AND+issuetype+in+%28Enabler%2C+%22New+Feature%22%29+AND+fixVersion+in+%28COMPCORP-PI4%29+ORDER+BY+progress+ASC%2C+cf%5B12631%5D+ASC%2C+summary+ASC%2C+WSJF+DESC" TargetMode="External"/><Relationship Id="rId6" Type="http://schemas.openxmlformats.org/officeDocument/2006/relationships/hyperlink" Target="https://webgate.ec.europa.eu/CITnet/jira/browse/PROCESS-75" TargetMode="External"/><Relationship Id="rId11" Type="http://schemas.openxmlformats.org/officeDocument/2006/relationships/hyperlink" Target="https://webgate.ec.europa.eu/CITnet/jira/browse/CCDOCLIST-19" TargetMode="External"/><Relationship Id="rId24" Type="http://schemas.openxmlformats.org/officeDocument/2006/relationships/hyperlink" Target="https://webgate.ec.europa.eu/CITnet/jira/browse/CCDOCLIST-174" TargetMode="External"/><Relationship Id="rId32" Type="http://schemas.openxmlformats.org/officeDocument/2006/relationships/hyperlink" Target="https://webgate.ec.europa.eu/CITnet/jira/browse/CCADMIN-42" TargetMode="External"/><Relationship Id="rId37" Type="http://schemas.openxmlformats.org/officeDocument/2006/relationships/hyperlink" Target="https://webgate.ec.europa.eu/CITnet/jira/browse/PROCESS-95" TargetMode="External"/><Relationship Id="rId40" Type="http://schemas.openxmlformats.org/officeDocument/2006/relationships/hyperlink" Target="https://webgate.ec.europa.eu/CITnet/jira/browse/CCDOCLIST-116" TargetMode="External"/><Relationship Id="rId45" Type="http://schemas.openxmlformats.org/officeDocument/2006/relationships/hyperlink" Target="https://webgate.ec.europa.eu/CITnet/jira/browse/PROCESS-125" TargetMode="External"/><Relationship Id="rId53" Type="http://schemas.openxmlformats.org/officeDocument/2006/relationships/hyperlink" Target="https://webgate.ec.europa.eu/CITnet/jira/browse/PROCESS-96" TargetMode="External"/><Relationship Id="rId5" Type="http://schemas.openxmlformats.org/officeDocument/2006/relationships/hyperlink" Target="https://webgate.ec.europa.eu/CITnet/jira/browse/PROCESS-92" TargetMode="External"/><Relationship Id="rId15" Type="http://schemas.openxmlformats.org/officeDocument/2006/relationships/hyperlink" Target="https://webgate.ec.europa.eu/CITnet/jira/browse/CCDOCLIST-27" TargetMode="External"/><Relationship Id="rId23" Type="http://schemas.openxmlformats.org/officeDocument/2006/relationships/hyperlink" Target="https://webgate.ec.europa.eu/CITnet/jira/browse/CCTASK-519" TargetMode="External"/><Relationship Id="rId28" Type="http://schemas.openxmlformats.org/officeDocument/2006/relationships/hyperlink" Target="https://webgate.ec.europa.eu/CITnet/jira/browse/CCPMO-129" TargetMode="External"/><Relationship Id="rId36" Type="http://schemas.openxmlformats.org/officeDocument/2006/relationships/hyperlink" Target="https://webgate.ec.europa.eu/CITnet/jira/browse/PFM-125" TargetMode="External"/><Relationship Id="rId49" Type="http://schemas.openxmlformats.org/officeDocument/2006/relationships/hyperlink" Target="https://webgate.ec.europa.eu/CITnet/jira/browse/CCTASK-518" TargetMode="External"/><Relationship Id="rId10" Type="http://schemas.openxmlformats.org/officeDocument/2006/relationships/hyperlink" Target="https://webgate.ec.europa.eu/CITnet/jira/browse/CCDOCLIST-156" TargetMode="External"/><Relationship Id="rId19" Type="http://schemas.openxmlformats.org/officeDocument/2006/relationships/hyperlink" Target="https://webgate.ec.europa.eu/CITnet/jira/browse/CCDOCLIST-181" TargetMode="External"/><Relationship Id="rId31" Type="http://schemas.openxmlformats.org/officeDocument/2006/relationships/hyperlink" Target="https://webgate.ec.europa.eu/CITnet/jira/browse/WAVECC-42" TargetMode="External"/><Relationship Id="rId44" Type="http://schemas.openxmlformats.org/officeDocument/2006/relationships/hyperlink" Target="https://webgate.ec.europa.eu/CITnet/jira/browse/CCADMIN-55" TargetMode="External"/><Relationship Id="rId52" Type="http://schemas.openxmlformats.org/officeDocument/2006/relationships/hyperlink" Target="https://webgate.ec.europa.eu/CITnet/jira/browse/PFM-126" TargetMode="External"/><Relationship Id="rId4" Type="http://schemas.openxmlformats.org/officeDocument/2006/relationships/hyperlink" Target="https://webgate.ec.europa.eu/CITnet/jira/browse/PROCESS-44" TargetMode="External"/><Relationship Id="rId9" Type="http://schemas.openxmlformats.org/officeDocument/2006/relationships/hyperlink" Target="https://webgate.ec.europa.eu/CITnet/jira/browse/CCTASK-533" TargetMode="External"/><Relationship Id="rId14" Type="http://schemas.openxmlformats.org/officeDocument/2006/relationships/hyperlink" Target="https://webgate.ec.europa.eu/CITnet/jira/browse/CCDOCLIST-17" TargetMode="External"/><Relationship Id="rId22" Type="http://schemas.openxmlformats.org/officeDocument/2006/relationships/hyperlink" Target="https://webgate.ec.europa.eu/CITnet/jira/browse/CCTASK-272" TargetMode="External"/><Relationship Id="rId27" Type="http://schemas.openxmlformats.org/officeDocument/2006/relationships/hyperlink" Target="https://webgate.ec.europa.eu/CITnet/jira/browse/INTERCOM-55" TargetMode="External"/><Relationship Id="rId30" Type="http://schemas.openxmlformats.org/officeDocument/2006/relationships/hyperlink" Target="https://webgate.ec.europa.eu/CITnet/jira/browse/CCPMO-63" TargetMode="External"/><Relationship Id="rId35" Type="http://schemas.openxmlformats.org/officeDocument/2006/relationships/hyperlink" Target="https://webgate.ec.europa.eu/CITnet/jira/browse/PROCESS-98" TargetMode="External"/><Relationship Id="rId43" Type="http://schemas.openxmlformats.org/officeDocument/2006/relationships/hyperlink" Target="https://webgate.ec.europa.eu/CITnet/jira/browse/INTERCOM-75" TargetMode="External"/><Relationship Id="rId48" Type="http://schemas.openxmlformats.org/officeDocument/2006/relationships/hyperlink" Target="https://webgate.ec.europa.eu/CITnet/jira/browse/INTERCOM-72" TargetMode="External"/><Relationship Id="rId8" Type="http://schemas.openxmlformats.org/officeDocument/2006/relationships/hyperlink" Target="https://webgate.ec.europa.eu/CITnet/jira/browse/COMPCORP-114" TargetMode="External"/><Relationship Id="rId51" Type="http://schemas.openxmlformats.org/officeDocument/2006/relationships/hyperlink" Target="https://webgate.ec.europa.eu/CITnet/jira/browse/INTERCOM-52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webgate.ec.europa.eu/CITnet/jira/browse/CCTASK-84" TargetMode="External"/><Relationship Id="rId117" Type="http://schemas.openxmlformats.org/officeDocument/2006/relationships/hyperlink" Target="https://webgate.ec.europa.eu/CITnet/jira/browse/WAVECC-35" TargetMode="External"/><Relationship Id="rId21" Type="http://schemas.openxmlformats.org/officeDocument/2006/relationships/hyperlink" Target="https://webgate.ec.europa.eu/CITnet/jira/browse/CCTASK-117" TargetMode="External"/><Relationship Id="rId42" Type="http://schemas.openxmlformats.org/officeDocument/2006/relationships/hyperlink" Target="https://webgate.ec.europa.eu/CITnet/jira/browse/CCTASK-93" TargetMode="External"/><Relationship Id="rId47" Type="http://schemas.openxmlformats.org/officeDocument/2006/relationships/hyperlink" Target="https://webgate.ec.europa.eu/CITnet/jira/browse/CCTASK-82" TargetMode="External"/><Relationship Id="rId63" Type="http://schemas.openxmlformats.org/officeDocument/2006/relationships/hyperlink" Target="https://webgate.ec.europa.eu/CITnet/jira/browse/CCADMIN-51" TargetMode="External"/><Relationship Id="rId68" Type="http://schemas.openxmlformats.org/officeDocument/2006/relationships/hyperlink" Target="https://webgate.ec.europa.eu/CITnet/jira/browse/CCADMIN-47" TargetMode="External"/><Relationship Id="rId84" Type="http://schemas.openxmlformats.org/officeDocument/2006/relationships/hyperlink" Target="https://webgate.ec.europa.eu/CITnet/jira/browse/CCPMO-79" TargetMode="External"/><Relationship Id="rId89" Type="http://schemas.openxmlformats.org/officeDocument/2006/relationships/hyperlink" Target="https://webgate.ec.europa.eu/CITnet/jira/browse/PFM-92" TargetMode="External"/><Relationship Id="rId112" Type="http://schemas.openxmlformats.org/officeDocument/2006/relationships/hyperlink" Target="https://webgate.ec.europa.eu/CITnet/jira/browse/PROCESS-108" TargetMode="External"/><Relationship Id="rId133" Type="http://schemas.openxmlformats.org/officeDocument/2006/relationships/hyperlink" Target="https://webgate.ec.europa.eu/CITnet/jira/browse/CCTASK-53" TargetMode="External"/><Relationship Id="rId138" Type="http://schemas.openxmlformats.org/officeDocument/2006/relationships/hyperlink" Target="https://webgate.ec.europa.eu/CITnet/jira/browse/CCTASK-564" TargetMode="External"/><Relationship Id="rId154" Type="http://schemas.openxmlformats.org/officeDocument/2006/relationships/drawing" Target="../drawings/drawing5.xml"/><Relationship Id="rId16" Type="http://schemas.openxmlformats.org/officeDocument/2006/relationships/hyperlink" Target="https://webgate.ec.europa.eu/CITnet/jira/browse/PFM-51" TargetMode="External"/><Relationship Id="rId107" Type="http://schemas.openxmlformats.org/officeDocument/2006/relationships/hyperlink" Target="https://webgate.ec.europa.eu/CITnet/jira/browse/PFM-150" TargetMode="External"/><Relationship Id="rId11" Type="http://schemas.openxmlformats.org/officeDocument/2006/relationships/hyperlink" Target="https://webgate.ec.europa.eu/CITnet/jira/browse/INTERCOM-36" TargetMode="External"/><Relationship Id="rId32" Type="http://schemas.openxmlformats.org/officeDocument/2006/relationships/hyperlink" Target="https://webgate.ec.europa.eu/CITnet/jira/browse/CCTASK-100" TargetMode="External"/><Relationship Id="rId37" Type="http://schemas.openxmlformats.org/officeDocument/2006/relationships/hyperlink" Target="https://webgate.ec.europa.eu/CITnet/jira/browse/CCTASK-77" TargetMode="External"/><Relationship Id="rId53" Type="http://schemas.openxmlformats.org/officeDocument/2006/relationships/hyperlink" Target="https://webgate.ec.europa.eu/CITnet/jira/browse/PROCESS-89" TargetMode="External"/><Relationship Id="rId58" Type="http://schemas.openxmlformats.org/officeDocument/2006/relationships/hyperlink" Target="https://webgate.ec.europa.eu/CITnet/jira/browse/INTERCOM-65" TargetMode="External"/><Relationship Id="rId74" Type="http://schemas.openxmlformats.org/officeDocument/2006/relationships/hyperlink" Target="https://webgate.ec.europa.eu/CITnet/jira/browse/INTERCOM-57" TargetMode="External"/><Relationship Id="rId79" Type="http://schemas.openxmlformats.org/officeDocument/2006/relationships/hyperlink" Target="https://webgate.ec.europa.eu/CITnet/jira/browse/INTERCOM-74" TargetMode="External"/><Relationship Id="rId102" Type="http://schemas.openxmlformats.org/officeDocument/2006/relationships/hyperlink" Target="https://webgate.ec.europa.eu/CITnet/jira/browse/PROCESS-128" TargetMode="External"/><Relationship Id="rId123" Type="http://schemas.openxmlformats.org/officeDocument/2006/relationships/hyperlink" Target="https://webgate.ec.europa.eu/CITnet/jira/browse/CCTASK-455" TargetMode="External"/><Relationship Id="rId128" Type="http://schemas.openxmlformats.org/officeDocument/2006/relationships/hyperlink" Target="https://webgate.ec.europa.eu/CITnet/jira/browse/PFM-68" TargetMode="External"/><Relationship Id="rId144" Type="http://schemas.openxmlformats.org/officeDocument/2006/relationships/hyperlink" Target="https://webgate.ec.europa.eu/CITnet/jira/browse/PROCESS-119" TargetMode="External"/><Relationship Id="rId149" Type="http://schemas.openxmlformats.org/officeDocument/2006/relationships/hyperlink" Target="https://webgate.ec.europa.eu/CITnet/jira/browse/PROCESS-118" TargetMode="External"/><Relationship Id="rId5" Type="http://schemas.openxmlformats.org/officeDocument/2006/relationships/hyperlink" Target="https://webgate.ec.europa.eu/CITnet/jira/browse/CCADMIN-12" TargetMode="External"/><Relationship Id="rId90" Type="http://schemas.openxmlformats.org/officeDocument/2006/relationships/hyperlink" Target="https://webgate.ec.europa.eu/CITnet/jira/browse/PFM-91" TargetMode="External"/><Relationship Id="rId95" Type="http://schemas.openxmlformats.org/officeDocument/2006/relationships/hyperlink" Target="https://webgate.ec.europa.eu/CITnet/jira/browse/PFM-54" TargetMode="External"/><Relationship Id="rId22" Type="http://schemas.openxmlformats.org/officeDocument/2006/relationships/hyperlink" Target="https://webgate.ec.europa.eu/CITnet/jira/browse/CCTASK-121" TargetMode="External"/><Relationship Id="rId27" Type="http://schemas.openxmlformats.org/officeDocument/2006/relationships/hyperlink" Target="https://webgate.ec.europa.eu/CITnet/jira/browse/CCTASK-90" TargetMode="External"/><Relationship Id="rId43" Type="http://schemas.openxmlformats.org/officeDocument/2006/relationships/hyperlink" Target="https://webgate.ec.europa.eu/CITnet/jira/browse/CCTASK-123" TargetMode="External"/><Relationship Id="rId48" Type="http://schemas.openxmlformats.org/officeDocument/2006/relationships/hyperlink" Target="https://webgate.ec.europa.eu/CITnet/jira/browse/CCTASK-89" TargetMode="External"/><Relationship Id="rId64" Type="http://schemas.openxmlformats.org/officeDocument/2006/relationships/hyperlink" Target="https://webgate.ec.europa.eu/CITnet/jira/browse/CCADMIN-35" TargetMode="External"/><Relationship Id="rId69" Type="http://schemas.openxmlformats.org/officeDocument/2006/relationships/hyperlink" Target="https://webgate.ec.europa.eu/CITnet/jira/browse/CCADMIN-45" TargetMode="External"/><Relationship Id="rId113" Type="http://schemas.openxmlformats.org/officeDocument/2006/relationships/hyperlink" Target="https://webgate.ec.europa.eu/CITnet/jira/browse/PROCESS-107" TargetMode="External"/><Relationship Id="rId118" Type="http://schemas.openxmlformats.org/officeDocument/2006/relationships/hyperlink" Target="https://webgate.ec.europa.eu/CITnet/jira/browse/PFM-143" TargetMode="External"/><Relationship Id="rId134" Type="http://schemas.openxmlformats.org/officeDocument/2006/relationships/hyperlink" Target="https://webgate.ec.europa.eu/CITnet/jira/browse/CCTASK-137" TargetMode="External"/><Relationship Id="rId139" Type="http://schemas.openxmlformats.org/officeDocument/2006/relationships/hyperlink" Target="https://webgate.ec.europa.eu/CITnet/jira/browse/CCTASK-522" TargetMode="External"/><Relationship Id="rId80" Type="http://schemas.openxmlformats.org/officeDocument/2006/relationships/hyperlink" Target="https://webgate.ec.europa.eu/CITnet/jira/browse/CCDOCLIST-63" TargetMode="External"/><Relationship Id="rId85" Type="http://schemas.openxmlformats.org/officeDocument/2006/relationships/hyperlink" Target="https://webgate.ec.europa.eu/CITnet/jira/browse/WAVECC-25" TargetMode="External"/><Relationship Id="rId150" Type="http://schemas.openxmlformats.org/officeDocument/2006/relationships/hyperlink" Target="https://webgate.ec.europa.eu/CITnet/jira/browse/PROCESS-121" TargetMode="External"/><Relationship Id="rId12" Type="http://schemas.openxmlformats.org/officeDocument/2006/relationships/hyperlink" Target="https://webgate.ec.europa.eu/CITnet/jira/browse/PROCESS-86" TargetMode="External"/><Relationship Id="rId17" Type="http://schemas.openxmlformats.org/officeDocument/2006/relationships/hyperlink" Target="https://webgate.ec.europa.eu/CITnet/jira/browse/PFM-53" TargetMode="External"/><Relationship Id="rId25" Type="http://schemas.openxmlformats.org/officeDocument/2006/relationships/hyperlink" Target="https://webgate.ec.europa.eu/CITnet/jira/browse/CCTASK-107" TargetMode="External"/><Relationship Id="rId33" Type="http://schemas.openxmlformats.org/officeDocument/2006/relationships/hyperlink" Target="https://webgate.ec.europa.eu/CITnet/jira/browse/CCTASK-88" TargetMode="External"/><Relationship Id="rId38" Type="http://schemas.openxmlformats.org/officeDocument/2006/relationships/hyperlink" Target="https://webgate.ec.europa.eu/CITnet/jira/browse/CCTASK-120" TargetMode="External"/><Relationship Id="rId46" Type="http://schemas.openxmlformats.org/officeDocument/2006/relationships/hyperlink" Target="https://webgate.ec.europa.eu/CITnet/jira/browse/CCTASK-112" TargetMode="External"/><Relationship Id="rId59" Type="http://schemas.openxmlformats.org/officeDocument/2006/relationships/hyperlink" Target="https://webgate.ec.europa.eu/CITnet/jira/browse/INTERCOM-64" TargetMode="External"/><Relationship Id="rId67" Type="http://schemas.openxmlformats.org/officeDocument/2006/relationships/hyperlink" Target="https://webgate.ec.europa.eu/CITnet/jira/browse/PFM-144" TargetMode="External"/><Relationship Id="rId103" Type="http://schemas.openxmlformats.org/officeDocument/2006/relationships/hyperlink" Target="https://webgate.ec.europa.eu/CITnet/jira/browse/CCPMO-119" TargetMode="External"/><Relationship Id="rId108" Type="http://schemas.openxmlformats.org/officeDocument/2006/relationships/hyperlink" Target="https://webgate.ec.europa.eu/CITnet/jira/browse/PFM-148" TargetMode="External"/><Relationship Id="rId116" Type="http://schemas.openxmlformats.org/officeDocument/2006/relationships/hyperlink" Target="https://webgate.ec.europa.eu/CITnet/jira/browse/INTERCOM-66" TargetMode="External"/><Relationship Id="rId124" Type="http://schemas.openxmlformats.org/officeDocument/2006/relationships/hyperlink" Target="https://webgate.ec.europa.eu/CITnet/jira/browse/PROCESS-74" TargetMode="External"/><Relationship Id="rId129" Type="http://schemas.openxmlformats.org/officeDocument/2006/relationships/hyperlink" Target="https://webgate.ec.europa.eu/CITnet/jira/browse/PFM-59" TargetMode="External"/><Relationship Id="rId137" Type="http://schemas.openxmlformats.org/officeDocument/2006/relationships/hyperlink" Target="https://webgate.ec.europa.eu/CITnet/jira/browse/CCPMO-62" TargetMode="External"/><Relationship Id="rId20" Type="http://schemas.openxmlformats.org/officeDocument/2006/relationships/hyperlink" Target="https://webgate.ec.europa.eu/CITnet/jira/browse/CCTASK-118" TargetMode="External"/><Relationship Id="rId41" Type="http://schemas.openxmlformats.org/officeDocument/2006/relationships/hyperlink" Target="https://webgate.ec.europa.eu/CITnet/jira/browse/CCTASK-113" TargetMode="External"/><Relationship Id="rId54" Type="http://schemas.openxmlformats.org/officeDocument/2006/relationships/hyperlink" Target="https://webgate.ec.europa.eu/CITnet/jira/browse/CCADMIN-56" TargetMode="External"/><Relationship Id="rId62" Type="http://schemas.openxmlformats.org/officeDocument/2006/relationships/hyperlink" Target="https://webgate.ec.europa.eu/CITnet/jira/browse/INTERCOM-60" TargetMode="External"/><Relationship Id="rId70" Type="http://schemas.openxmlformats.org/officeDocument/2006/relationships/hyperlink" Target="https://webgate.ec.europa.eu/CITnet/jira/browse/CCADMIN-43" TargetMode="External"/><Relationship Id="rId75" Type="http://schemas.openxmlformats.org/officeDocument/2006/relationships/hyperlink" Target="https://webgate.ec.europa.eu/CITnet/jira/browse/INTERCOM-56" TargetMode="External"/><Relationship Id="rId83" Type="http://schemas.openxmlformats.org/officeDocument/2006/relationships/hyperlink" Target="https://webgate.ec.europa.eu/CITnet/jira/browse/CCPMO-111" TargetMode="External"/><Relationship Id="rId88" Type="http://schemas.openxmlformats.org/officeDocument/2006/relationships/hyperlink" Target="https://webgate.ec.europa.eu/CITnet/jira/browse/CCADMIN-48" TargetMode="External"/><Relationship Id="rId91" Type="http://schemas.openxmlformats.org/officeDocument/2006/relationships/hyperlink" Target="https://webgate.ec.europa.eu/CITnet/jira/browse/CCADMIN-14" TargetMode="External"/><Relationship Id="rId96" Type="http://schemas.openxmlformats.org/officeDocument/2006/relationships/hyperlink" Target="https://webgate.ec.europa.eu/CITnet/jira/browse/PFM-50" TargetMode="External"/><Relationship Id="rId111" Type="http://schemas.openxmlformats.org/officeDocument/2006/relationships/hyperlink" Target="https://webgate.ec.europa.eu/CITnet/jira/browse/PROCESS-110" TargetMode="External"/><Relationship Id="rId132" Type="http://schemas.openxmlformats.org/officeDocument/2006/relationships/hyperlink" Target="https://webgate.ec.europa.eu/CITnet/jira/browse/CCTASK-67" TargetMode="External"/><Relationship Id="rId140" Type="http://schemas.openxmlformats.org/officeDocument/2006/relationships/hyperlink" Target="https://webgate.ec.europa.eu/CITnet/jira/browse/CCTASK-512" TargetMode="External"/><Relationship Id="rId145" Type="http://schemas.openxmlformats.org/officeDocument/2006/relationships/hyperlink" Target="https://webgate.ec.europa.eu/CITnet/jira/browse/PFM-146" TargetMode="External"/><Relationship Id="rId153" Type="http://schemas.openxmlformats.org/officeDocument/2006/relationships/hyperlink" Target="https://webgate.ec.europa.eu/CITnet/jira/browse/PROCESS-115" TargetMode="External"/><Relationship Id="rId1" Type="http://schemas.openxmlformats.org/officeDocument/2006/relationships/hyperlink" Target="https://webgate.ec.europa.eu/CITnet/jira/issues/?jql=project+in+%28COMPCORP%2C+CCADMIN%2C+CCARCHITEC%2C+CCDOCLIST%2C+ECKL%2C+CCINFRAEC%2C+INTERCOM%2C+CCPMO%2C+PFM%2C+PROCESS%2C+CCTASK%2C+TSKACTION%2C+WAVECC%2C+COMPASS%29+AND+issuetype+in+%28Story%29+AND+fixversion+is+not+EMPTY+ORDER+BY+status+DESC" TargetMode="External"/><Relationship Id="rId6" Type="http://schemas.openxmlformats.org/officeDocument/2006/relationships/hyperlink" Target="https://webgate.ec.europa.eu/CITnet/jira/browse/PFM-116" TargetMode="External"/><Relationship Id="rId15" Type="http://schemas.openxmlformats.org/officeDocument/2006/relationships/hyperlink" Target="https://webgate.ec.europa.eu/CITnet/jira/browse/CCADMIN-15" TargetMode="External"/><Relationship Id="rId23" Type="http://schemas.openxmlformats.org/officeDocument/2006/relationships/hyperlink" Target="https://webgate.ec.europa.eu/CITnet/jira/browse/CCTASK-99" TargetMode="External"/><Relationship Id="rId28" Type="http://schemas.openxmlformats.org/officeDocument/2006/relationships/hyperlink" Target="https://webgate.ec.europa.eu/CITnet/jira/browse/CCTASK-79" TargetMode="External"/><Relationship Id="rId36" Type="http://schemas.openxmlformats.org/officeDocument/2006/relationships/hyperlink" Target="https://webgate.ec.europa.eu/CITnet/jira/browse/CCTASK-98" TargetMode="External"/><Relationship Id="rId49" Type="http://schemas.openxmlformats.org/officeDocument/2006/relationships/hyperlink" Target="https://webgate.ec.europa.eu/CITnet/jira/browse/CCTASK-102" TargetMode="External"/><Relationship Id="rId57" Type="http://schemas.openxmlformats.org/officeDocument/2006/relationships/hyperlink" Target="https://webgate.ec.europa.eu/CITnet/jira/browse/INTERCOM-70" TargetMode="External"/><Relationship Id="rId106" Type="http://schemas.openxmlformats.org/officeDocument/2006/relationships/hyperlink" Target="https://webgate.ec.europa.eu/CITnet/jira/browse/PFM-149" TargetMode="External"/><Relationship Id="rId114" Type="http://schemas.openxmlformats.org/officeDocument/2006/relationships/hyperlink" Target="https://webgate.ec.europa.eu/CITnet/jira/browse/PROCESS-109" TargetMode="External"/><Relationship Id="rId119" Type="http://schemas.openxmlformats.org/officeDocument/2006/relationships/hyperlink" Target="https://webgate.ec.europa.eu/CITnet/jira/browse/PROCESS-112" TargetMode="External"/><Relationship Id="rId127" Type="http://schemas.openxmlformats.org/officeDocument/2006/relationships/hyperlink" Target="https://webgate.ec.europa.eu/CITnet/jira/browse/PFM-69" TargetMode="External"/><Relationship Id="rId10" Type="http://schemas.openxmlformats.org/officeDocument/2006/relationships/hyperlink" Target="https://webgate.ec.europa.eu/CITnet/jira/browse/WAVECC-7" TargetMode="External"/><Relationship Id="rId31" Type="http://schemas.openxmlformats.org/officeDocument/2006/relationships/hyperlink" Target="https://webgate.ec.europa.eu/CITnet/jira/browse/CCTASK-80" TargetMode="External"/><Relationship Id="rId44" Type="http://schemas.openxmlformats.org/officeDocument/2006/relationships/hyperlink" Target="https://webgate.ec.europa.eu/CITnet/jira/browse/CCTASK-78" TargetMode="External"/><Relationship Id="rId52" Type="http://schemas.openxmlformats.org/officeDocument/2006/relationships/hyperlink" Target="https://webgate.ec.europa.eu/CITnet/jira/browse/CCPMO-58" TargetMode="External"/><Relationship Id="rId60" Type="http://schemas.openxmlformats.org/officeDocument/2006/relationships/hyperlink" Target="https://webgate.ec.europa.eu/CITnet/jira/browse/PFM-160" TargetMode="External"/><Relationship Id="rId65" Type="http://schemas.openxmlformats.org/officeDocument/2006/relationships/hyperlink" Target="https://webgate.ec.europa.eu/CITnet/jira/browse/WAVECC-26" TargetMode="External"/><Relationship Id="rId73" Type="http://schemas.openxmlformats.org/officeDocument/2006/relationships/hyperlink" Target="https://webgate.ec.europa.eu/CITnet/jira/browse/PFM-155" TargetMode="External"/><Relationship Id="rId78" Type="http://schemas.openxmlformats.org/officeDocument/2006/relationships/hyperlink" Target="https://webgate.ec.europa.eu/CITnet/jira/browse/PFM-64" TargetMode="External"/><Relationship Id="rId81" Type="http://schemas.openxmlformats.org/officeDocument/2006/relationships/hyperlink" Target="https://webgate.ec.europa.eu/CITnet/jira/browse/CCTASK-567" TargetMode="External"/><Relationship Id="rId86" Type="http://schemas.openxmlformats.org/officeDocument/2006/relationships/hyperlink" Target="https://webgate.ec.europa.eu/CITnet/jira/browse/PROCESS-90" TargetMode="External"/><Relationship Id="rId94" Type="http://schemas.openxmlformats.org/officeDocument/2006/relationships/hyperlink" Target="https://webgate.ec.europa.eu/CITnet/jira/browse/PFM-110" TargetMode="External"/><Relationship Id="rId99" Type="http://schemas.openxmlformats.org/officeDocument/2006/relationships/hyperlink" Target="https://webgate.ec.europa.eu/CITnet/jira/browse/PFM-63" TargetMode="External"/><Relationship Id="rId101" Type="http://schemas.openxmlformats.org/officeDocument/2006/relationships/hyperlink" Target="https://webgate.ec.europa.eu/CITnet/jira/browse/PROCESS-129" TargetMode="External"/><Relationship Id="rId122" Type="http://schemas.openxmlformats.org/officeDocument/2006/relationships/hyperlink" Target="https://webgate.ec.europa.eu/CITnet/jira/browse/PFM-82" TargetMode="External"/><Relationship Id="rId130" Type="http://schemas.openxmlformats.org/officeDocument/2006/relationships/hyperlink" Target="https://webgate.ec.europa.eu/CITnet/jira/browse/PROCESS-48" TargetMode="External"/><Relationship Id="rId135" Type="http://schemas.openxmlformats.org/officeDocument/2006/relationships/hyperlink" Target="https://webgate.ec.europa.eu/CITnet/jira/browse/CCTASK-62" TargetMode="External"/><Relationship Id="rId143" Type="http://schemas.openxmlformats.org/officeDocument/2006/relationships/hyperlink" Target="https://webgate.ec.europa.eu/CITnet/jira/browse/PROCESS-117" TargetMode="External"/><Relationship Id="rId148" Type="http://schemas.openxmlformats.org/officeDocument/2006/relationships/hyperlink" Target="https://webgate.ec.europa.eu/CITnet/jira/browse/PFM-147" TargetMode="External"/><Relationship Id="rId151" Type="http://schemas.openxmlformats.org/officeDocument/2006/relationships/hyperlink" Target="https://webgate.ec.europa.eu/CITnet/jira/browse/PROCESS-114" TargetMode="External"/><Relationship Id="rId4" Type="http://schemas.openxmlformats.org/officeDocument/2006/relationships/hyperlink" Target="https://webgate.ec.europa.eu/CITnet/jira/browse/CCADMIN-13" TargetMode="External"/><Relationship Id="rId9" Type="http://schemas.openxmlformats.org/officeDocument/2006/relationships/hyperlink" Target="https://webgate.ec.europa.eu/CITnet/jira/browse/CCPMO-46" TargetMode="External"/><Relationship Id="rId13" Type="http://schemas.openxmlformats.org/officeDocument/2006/relationships/hyperlink" Target="https://webgate.ec.europa.eu/CITnet/jira/browse/PROCESS-76" TargetMode="External"/><Relationship Id="rId18" Type="http://schemas.openxmlformats.org/officeDocument/2006/relationships/hyperlink" Target="https://webgate.ec.europa.eu/CITnet/jira/browse/PFM-56" TargetMode="External"/><Relationship Id="rId39" Type="http://schemas.openxmlformats.org/officeDocument/2006/relationships/hyperlink" Target="https://webgate.ec.europa.eu/CITnet/jira/browse/CCTASK-75" TargetMode="External"/><Relationship Id="rId109" Type="http://schemas.openxmlformats.org/officeDocument/2006/relationships/hyperlink" Target="https://webgate.ec.europa.eu/CITnet/jira/browse/PROCESS-111" TargetMode="External"/><Relationship Id="rId34" Type="http://schemas.openxmlformats.org/officeDocument/2006/relationships/hyperlink" Target="https://webgate.ec.europa.eu/CITnet/jira/browse/CCTASK-109" TargetMode="External"/><Relationship Id="rId50" Type="http://schemas.openxmlformats.org/officeDocument/2006/relationships/hyperlink" Target="https://webgate.ec.europa.eu/CITnet/jira/browse/CCTASK-110" TargetMode="External"/><Relationship Id="rId55" Type="http://schemas.openxmlformats.org/officeDocument/2006/relationships/hyperlink" Target="https://webgate.ec.europa.eu/CITnet/jira/browse/INTERCOM-73" TargetMode="External"/><Relationship Id="rId76" Type="http://schemas.openxmlformats.org/officeDocument/2006/relationships/hyperlink" Target="https://webgate.ec.europa.eu/CITnet/jira/browse/INTERCOM-58" TargetMode="External"/><Relationship Id="rId97" Type="http://schemas.openxmlformats.org/officeDocument/2006/relationships/hyperlink" Target="https://webgate.ec.europa.eu/CITnet/jira/browse/PFM-49" TargetMode="External"/><Relationship Id="rId104" Type="http://schemas.openxmlformats.org/officeDocument/2006/relationships/hyperlink" Target="https://webgate.ec.europa.eu/CITnet/jira/browse/CCPMO-95" TargetMode="External"/><Relationship Id="rId120" Type="http://schemas.openxmlformats.org/officeDocument/2006/relationships/hyperlink" Target="https://webgate.ec.europa.eu/CITnet/jira/browse/WAVECC-44" TargetMode="External"/><Relationship Id="rId125" Type="http://schemas.openxmlformats.org/officeDocument/2006/relationships/hyperlink" Target="https://webgate.ec.europa.eu/CITnet/jira/browse/PFM-52" TargetMode="External"/><Relationship Id="rId141" Type="http://schemas.openxmlformats.org/officeDocument/2006/relationships/hyperlink" Target="https://webgate.ec.europa.eu/CITnet/jira/browse/PROCESS-122" TargetMode="External"/><Relationship Id="rId146" Type="http://schemas.openxmlformats.org/officeDocument/2006/relationships/hyperlink" Target="https://webgate.ec.europa.eu/CITnet/jira/browse/PFM-151" TargetMode="External"/><Relationship Id="rId7" Type="http://schemas.openxmlformats.org/officeDocument/2006/relationships/hyperlink" Target="https://webgate.ec.europa.eu/CITnet/jira/browse/INTERCOM-41" TargetMode="External"/><Relationship Id="rId71" Type="http://schemas.openxmlformats.org/officeDocument/2006/relationships/hyperlink" Target="https://webgate.ec.europa.eu/CITnet/jira/browse/CCADMIN-46" TargetMode="External"/><Relationship Id="rId92" Type="http://schemas.openxmlformats.org/officeDocument/2006/relationships/hyperlink" Target="https://webgate.ec.europa.eu/CITnet/jira/browse/INTERCOM-43" TargetMode="External"/><Relationship Id="rId2" Type="http://schemas.openxmlformats.org/officeDocument/2006/relationships/hyperlink" Target="https://webgate.ec.europa.eu/CITnet/jira/browse/PFM-87" TargetMode="External"/><Relationship Id="rId29" Type="http://schemas.openxmlformats.org/officeDocument/2006/relationships/hyperlink" Target="https://webgate.ec.europa.eu/CITnet/jira/browse/CCTASK-104" TargetMode="External"/><Relationship Id="rId24" Type="http://schemas.openxmlformats.org/officeDocument/2006/relationships/hyperlink" Target="https://webgate.ec.europa.eu/CITnet/jira/browse/CCTASK-94" TargetMode="External"/><Relationship Id="rId40" Type="http://schemas.openxmlformats.org/officeDocument/2006/relationships/hyperlink" Target="https://webgate.ec.europa.eu/CITnet/jira/browse/CCTASK-103" TargetMode="External"/><Relationship Id="rId45" Type="http://schemas.openxmlformats.org/officeDocument/2006/relationships/hyperlink" Target="https://webgate.ec.europa.eu/CITnet/jira/browse/CCTASK-101" TargetMode="External"/><Relationship Id="rId66" Type="http://schemas.openxmlformats.org/officeDocument/2006/relationships/hyperlink" Target="https://webgate.ec.europa.eu/CITnet/jira/browse/WAVECC-28" TargetMode="External"/><Relationship Id="rId87" Type="http://schemas.openxmlformats.org/officeDocument/2006/relationships/hyperlink" Target="https://webgate.ec.europa.eu/CITnet/jira/browse/PFM-142" TargetMode="External"/><Relationship Id="rId110" Type="http://schemas.openxmlformats.org/officeDocument/2006/relationships/hyperlink" Target="https://webgate.ec.europa.eu/CITnet/jira/browse/PROCESS-113" TargetMode="External"/><Relationship Id="rId115" Type="http://schemas.openxmlformats.org/officeDocument/2006/relationships/hyperlink" Target="https://webgate.ec.europa.eu/CITnet/jira/browse/INTERCOM-67" TargetMode="External"/><Relationship Id="rId131" Type="http://schemas.openxmlformats.org/officeDocument/2006/relationships/hyperlink" Target="https://webgate.ec.europa.eu/CITnet/jira/browse/PROCESS-49" TargetMode="External"/><Relationship Id="rId136" Type="http://schemas.openxmlformats.org/officeDocument/2006/relationships/hyperlink" Target="https://webgate.ec.europa.eu/CITnet/jira/browse/CCTASK-65" TargetMode="External"/><Relationship Id="rId61" Type="http://schemas.openxmlformats.org/officeDocument/2006/relationships/hyperlink" Target="https://webgate.ec.europa.eu/CITnet/jira/browse/WAVECC-43" TargetMode="External"/><Relationship Id="rId82" Type="http://schemas.openxmlformats.org/officeDocument/2006/relationships/hyperlink" Target="https://webgate.ec.europa.eu/CITnet/jira/browse/CCPMO-103" TargetMode="External"/><Relationship Id="rId152" Type="http://schemas.openxmlformats.org/officeDocument/2006/relationships/hyperlink" Target="https://webgate.ec.europa.eu/CITnet/jira/browse/PROCESS-116" TargetMode="External"/><Relationship Id="rId19" Type="http://schemas.openxmlformats.org/officeDocument/2006/relationships/hyperlink" Target="https://webgate.ec.europa.eu/CITnet/jira/browse/CCTASK-116" TargetMode="External"/><Relationship Id="rId14" Type="http://schemas.openxmlformats.org/officeDocument/2006/relationships/hyperlink" Target="https://webgate.ec.europa.eu/CITnet/jira/browse/CCADMIN-16" TargetMode="External"/><Relationship Id="rId30" Type="http://schemas.openxmlformats.org/officeDocument/2006/relationships/hyperlink" Target="https://webgate.ec.europa.eu/CITnet/jira/browse/CCTASK-87" TargetMode="External"/><Relationship Id="rId35" Type="http://schemas.openxmlformats.org/officeDocument/2006/relationships/hyperlink" Target="https://webgate.ec.europa.eu/CITnet/jira/browse/CCTASK-97" TargetMode="External"/><Relationship Id="rId56" Type="http://schemas.openxmlformats.org/officeDocument/2006/relationships/hyperlink" Target="https://webgate.ec.europa.eu/CITnet/jira/browse/CCADMIN-53" TargetMode="External"/><Relationship Id="rId77" Type="http://schemas.openxmlformats.org/officeDocument/2006/relationships/hyperlink" Target="https://webgate.ec.europa.eu/CITnet/jira/browse/CCADMIN-52" TargetMode="External"/><Relationship Id="rId100" Type="http://schemas.openxmlformats.org/officeDocument/2006/relationships/hyperlink" Target="https://webgate.ec.europa.eu/CITnet/jira/browse/PFM-8" TargetMode="External"/><Relationship Id="rId105" Type="http://schemas.openxmlformats.org/officeDocument/2006/relationships/hyperlink" Target="https://webgate.ec.europa.eu/CITnet/jira/browse/CCPMO-87" TargetMode="External"/><Relationship Id="rId126" Type="http://schemas.openxmlformats.org/officeDocument/2006/relationships/hyperlink" Target="https://webgate.ec.europa.eu/CITnet/jira/browse/PFM-71" TargetMode="External"/><Relationship Id="rId147" Type="http://schemas.openxmlformats.org/officeDocument/2006/relationships/hyperlink" Target="https://webgate.ec.europa.eu/CITnet/jira/browse/PFM-152" TargetMode="External"/><Relationship Id="rId8" Type="http://schemas.openxmlformats.org/officeDocument/2006/relationships/hyperlink" Target="https://webgate.ec.europa.eu/CITnet/jira/browse/PFM-114" TargetMode="External"/><Relationship Id="rId51" Type="http://schemas.openxmlformats.org/officeDocument/2006/relationships/hyperlink" Target="https://webgate.ec.europa.eu/CITnet/jira/browse/CCPMO-59" TargetMode="External"/><Relationship Id="rId72" Type="http://schemas.openxmlformats.org/officeDocument/2006/relationships/hyperlink" Target="https://webgate.ec.europa.eu/CITnet/jira/browse/INTERCOM-53" TargetMode="External"/><Relationship Id="rId93" Type="http://schemas.openxmlformats.org/officeDocument/2006/relationships/hyperlink" Target="https://webgate.ec.europa.eu/CITnet/jira/browse/WAVECC-6" TargetMode="External"/><Relationship Id="rId98" Type="http://schemas.openxmlformats.org/officeDocument/2006/relationships/hyperlink" Target="https://webgate.ec.europa.eu/CITnet/jira/browse/PFM-73" TargetMode="External"/><Relationship Id="rId121" Type="http://schemas.openxmlformats.org/officeDocument/2006/relationships/hyperlink" Target="https://webgate.ec.europa.eu/CITnet/jira/browse/CCTASK-50" TargetMode="External"/><Relationship Id="rId142" Type="http://schemas.openxmlformats.org/officeDocument/2006/relationships/hyperlink" Target="https://webgate.ec.europa.eu/CITnet/jira/browse/PROCESS-120" TargetMode="External"/><Relationship Id="rId3" Type="http://schemas.openxmlformats.org/officeDocument/2006/relationships/hyperlink" Target="https://webgate.ec.europa.eu/CITnet/jira/browse/PFM-81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https://webgate.ec.europa.eu/CITnet/jira/browse/PROCESS-108" TargetMode="External"/><Relationship Id="rId117" Type="http://schemas.openxmlformats.org/officeDocument/2006/relationships/hyperlink" Target="https://webgate.ec.europa.eu/CITnet/jira/browse/CCTASK-82" TargetMode="External"/><Relationship Id="rId21" Type="http://schemas.openxmlformats.org/officeDocument/2006/relationships/hyperlink" Target="https://webgate.ec.europa.eu/CITnet/jira/browse/PROCESS-113" TargetMode="External"/><Relationship Id="rId42" Type="http://schemas.openxmlformats.org/officeDocument/2006/relationships/hyperlink" Target="https://webgate.ec.europa.eu/CITnet/jira/browse/PFM-147" TargetMode="External"/><Relationship Id="rId47" Type="http://schemas.openxmlformats.org/officeDocument/2006/relationships/hyperlink" Target="https://webgate.ec.europa.eu/CITnet/jira/browse/PFM-116" TargetMode="External"/><Relationship Id="rId63" Type="http://schemas.openxmlformats.org/officeDocument/2006/relationships/hyperlink" Target="https://webgate.ec.europa.eu/CITnet/jira/browse/PFM-54" TargetMode="External"/><Relationship Id="rId68" Type="http://schemas.openxmlformats.org/officeDocument/2006/relationships/hyperlink" Target="https://webgate.ec.europa.eu/CITnet/jira/browse/PFM-49" TargetMode="External"/><Relationship Id="rId84" Type="http://schemas.openxmlformats.org/officeDocument/2006/relationships/hyperlink" Target="https://webgate.ec.europa.eu/CITnet/jira/browse/INTERCOM-36" TargetMode="External"/><Relationship Id="rId89" Type="http://schemas.openxmlformats.org/officeDocument/2006/relationships/hyperlink" Target="https://webgate.ec.europa.eu/CITnet/jira/browse/CCTASK-455" TargetMode="External"/><Relationship Id="rId112" Type="http://schemas.openxmlformats.org/officeDocument/2006/relationships/hyperlink" Target="https://webgate.ec.europa.eu/CITnet/jira/browse/CCTASK-90" TargetMode="External"/><Relationship Id="rId133" Type="http://schemas.openxmlformats.org/officeDocument/2006/relationships/hyperlink" Target="https://webgate.ec.europa.eu/CITnet/jira/browse/CCPMO-79" TargetMode="External"/><Relationship Id="rId138" Type="http://schemas.openxmlformats.org/officeDocument/2006/relationships/hyperlink" Target="https://webgate.ec.europa.eu/CITnet/jira/browse/CCDOCLIST-63" TargetMode="External"/><Relationship Id="rId154" Type="http://schemas.openxmlformats.org/officeDocument/2006/relationships/drawing" Target="../drawings/drawing6.xml"/><Relationship Id="rId16" Type="http://schemas.openxmlformats.org/officeDocument/2006/relationships/hyperlink" Target="https://webgate.ec.europa.eu/CITnet/jira/browse/PROCESS-118" TargetMode="External"/><Relationship Id="rId107" Type="http://schemas.openxmlformats.org/officeDocument/2006/relationships/hyperlink" Target="https://webgate.ec.europa.eu/CITnet/jira/browse/CCTASK-99" TargetMode="External"/><Relationship Id="rId11" Type="http://schemas.openxmlformats.org/officeDocument/2006/relationships/hyperlink" Target="https://webgate.ec.europa.eu/CITnet/jira/browse/PROCESS-128" TargetMode="External"/><Relationship Id="rId32" Type="http://schemas.openxmlformats.org/officeDocument/2006/relationships/hyperlink" Target="https://webgate.ec.europa.eu/CITnet/jira/browse/PROCESS-74" TargetMode="External"/><Relationship Id="rId37" Type="http://schemas.openxmlformats.org/officeDocument/2006/relationships/hyperlink" Target="https://webgate.ec.europa.eu/CITnet/jira/browse/PFM-152" TargetMode="External"/><Relationship Id="rId53" Type="http://schemas.openxmlformats.org/officeDocument/2006/relationships/hyperlink" Target="https://webgate.ec.europa.eu/CITnet/jira/browse/PFM-82" TargetMode="External"/><Relationship Id="rId58" Type="http://schemas.openxmlformats.org/officeDocument/2006/relationships/hyperlink" Target="https://webgate.ec.europa.eu/CITnet/jira/browse/PFM-68" TargetMode="External"/><Relationship Id="rId74" Type="http://schemas.openxmlformats.org/officeDocument/2006/relationships/hyperlink" Target="https://webgate.ec.europa.eu/CITnet/jira/browse/INTERCOM-66" TargetMode="External"/><Relationship Id="rId79" Type="http://schemas.openxmlformats.org/officeDocument/2006/relationships/hyperlink" Target="https://webgate.ec.europa.eu/CITnet/jira/browse/INTERCOM-57" TargetMode="External"/><Relationship Id="rId102" Type="http://schemas.openxmlformats.org/officeDocument/2006/relationships/hyperlink" Target="https://webgate.ec.europa.eu/CITnet/jira/browse/CCTASK-104" TargetMode="External"/><Relationship Id="rId123" Type="http://schemas.openxmlformats.org/officeDocument/2006/relationships/hyperlink" Target="https://webgate.ec.europa.eu/CITnet/jira/browse/CCTASK-67" TargetMode="External"/><Relationship Id="rId128" Type="http://schemas.openxmlformats.org/officeDocument/2006/relationships/hyperlink" Target="https://webgate.ec.europa.eu/CITnet/jira/browse/CCPMO-119" TargetMode="External"/><Relationship Id="rId144" Type="http://schemas.openxmlformats.org/officeDocument/2006/relationships/hyperlink" Target="https://webgate.ec.europa.eu/CITnet/jira/browse/CCADMIN-47" TargetMode="External"/><Relationship Id="rId149" Type="http://schemas.openxmlformats.org/officeDocument/2006/relationships/hyperlink" Target="https://webgate.ec.europa.eu/CITnet/jira/browse/CCADMIN-16" TargetMode="External"/><Relationship Id="rId5" Type="http://schemas.openxmlformats.org/officeDocument/2006/relationships/hyperlink" Target="https://webgate.ec.europa.eu/CITnet/jira/browse/WAVECC-28" TargetMode="External"/><Relationship Id="rId90" Type="http://schemas.openxmlformats.org/officeDocument/2006/relationships/hyperlink" Target="https://webgate.ec.europa.eu/CITnet/jira/browse/CCTASK-137" TargetMode="External"/><Relationship Id="rId95" Type="http://schemas.openxmlformats.org/officeDocument/2006/relationships/hyperlink" Target="https://webgate.ec.europa.eu/CITnet/jira/browse/CCTASK-117" TargetMode="External"/><Relationship Id="rId22" Type="http://schemas.openxmlformats.org/officeDocument/2006/relationships/hyperlink" Target="https://webgate.ec.europa.eu/CITnet/jira/browse/PROCESS-112" TargetMode="External"/><Relationship Id="rId27" Type="http://schemas.openxmlformats.org/officeDocument/2006/relationships/hyperlink" Target="https://webgate.ec.europa.eu/CITnet/jira/browse/PROCESS-107" TargetMode="External"/><Relationship Id="rId43" Type="http://schemas.openxmlformats.org/officeDocument/2006/relationships/hyperlink" Target="https://webgate.ec.europa.eu/CITnet/jira/browse/PFM-146" TargetMode="External"/><Relationship Id="rId48" Type="http://schemas.openxmlformats.org/officeDocument/2006/relationships/hyperlink" Target="https://webgate.ec.europa.eu/CITnet/jira/browse/PFM-114" TargetMode="External"/><Relationship Id="rId64" Type="http://schemas.openxmlformats.org/officeDocument/2006/relationships/hyperlink" Target="https://webgate.ec.europa.eu/CITnet/jira/browse/PFM-53" TargetMode="External"/><Relationship Id="rId69" Type="http://schemas.openxmlformats.org/officeDocument/2006/relationships/hyperlink" Target="https://webgate.ec.europa.eu/CITnet/jira/browse/PFM-8" TargetMode="External"/><Relationship Id="rId113" Type="http://schemas.openxmlformats.org/officeDocument/2006/relationships/hyperlink" Target="https://webgate.ec.europa.eu/CITnet/jira/browse/CCTASK-89" TargetMode="External"/><Relationship Id="rId118" Type="http://schemas.openxmlformats.org/officeDocument/2006/relationships/hyperlink" Target="https://webgate.ec.europa.eu/CITnet/jira/browse/CCTASK-80" TargetMode="External"/><Relationship Id="rId134" Type="http://schemas.openxmlformats.org/officeDocument/2006/relationships/hyperlink" Target="https://webgate.ec.europa.eu/CITnet/jira/browse/CCPMO-62" TargetMode="External"/><Relationship Id="rId139" Type="http://schemas.openxmlformats.org/officeDocument/2006/relationships/hyperlink" Target="https://webgate.ec.europa.eu/CITnet/jira/browse/CCADMIN-56" TargetMode="External"/><Relationship Id="rId80" Type="http://schemas.openxmlformats.org/officeDocument/2006/relationships/hyperlink" Target="https://webgate.ec.europa.eu/CITnet/jira/browse/INTERCOM-56" TargetMode="External"/><Relationship Id="rId85" Type="http://schemas.openxmlformats.org/officeDocument/2006/relationships/hyperlink" Target="https://webgate.ec.europa.eu/CITnet/jira/browse/CCTASK-567" TargetMode="External"/><Relationship Id="rId150" Type="http://schemas.openxmlformats.org/officeDocument/2006/relationships/hyperlink" Target="https://webgate.ec.europa.eu/CITnet/jira/browse/CCADMIN-15" TargetMode="External"/><Relationship Id="rId12" Type="http://schemas.openxmlformats.org/officeDocument/2006/relationships/hyperlink" Target="https://webgate.ec.europa.eu/CITnet/jira/browse/PROCESS-122" TargetMode="External"/><Relationship Id="rId17" Type="http://schemas.openxmlformats.org/officeDocument/2006/relationships/hyperlink" Target="https://webgate.ec.europa.eu/CITnet/jira/browse/PROCESS-117" TargetMode="External"/><Relationship Id="rId25" Type="http://schemas.openxmlformats.org/officeDocument/2006/relationships/hyperlink" Target="https://webgate.ec.europa.eu/CITnet/jira/browse/PROCESS-109" TargetMode="External"/><Relationship Id="rId33" Type="http://schemas.openxmlformats.org/officeDocument/2006/relationships/hyperlink" Target="https://webgate.ec.europa.eu/CITnet/jira/browse/PROCESS-49" TargetMode="External"/><Relationship Id="rId38" Type="http://schemas.openxmlformats.org/officeDocument/2006/relationships/hyperlink" Target="https://webgate.ec.europa.eu/CITnet/jira/browse/PFM-151" TargetMode="External"/><Relationship Id="rId46" Type="http://schemas.openxmlformats.org/officeDocument/2006/relationships/hyperlink" Target="https://webgate.ec.europa.eu/CITnet/jira/browse/PFM-142" TargetMode="External"/><Relationship Id="rId59" Type="http://schemas.openxmlformats.org/officeDocument/2006/relationships/hyperlink" Target="https://webgate.ec.europa.eu/CITnet/jira/browse/PFM-64" TargetMode="External"/><Relationship Id="rId67" Type="http://schemas.openxmlformats.org/officeDocument/2006/relationships/hyperlink" Target="https://webgate.ec.europa.eu/CITnet/jira/browse/PFM-50" TargetMode="External"/><Relationship Id="rId103" Type="http://schemas.openxmlformats.org/officeDocument/2006/relationships/hyperlink" Target="https://webgate.ec.europa.eu/CITnet/jira/browse/CCTASK-103" TargetMode="External"/><Relationship Id="rId108" Type="http://schemas.openxmlformats.org/officeDocument/2006/relationships/hyperlink" Target="https://webgate.ec.europa.eu/CITnet/jira/browse/CCTASK-98" TargetMode="External"/><Relationship Id="rId116" Type="http://schemas.openxmlformats.org/officeDocument/2006/relationships/hyperlink" Target="https://webgate.ec.europa.eu/CITnet/jira/browse/CCTASK-84" TargetMode="External"/><Relationship Id="rId124" Type="http://schemas.openxmlformats.org/officeDocument/2006/relationships/hyperlink" Target="https://webgate.ec.europa.eu/CITnet/jira/browse/CCTASK-65" TargetMode="External"/><Relationship Id="rId129" Type="http://schemas.openxmlformats.org/officeDocument/2006/relationships/hyperlink" Target="https://webgate.ec.europa.eu/CITnet/jira/browse/CCPMO-111" TargetMode="External"/><Relationship Id="rId137" Type="http://schemas.openxmlformats.org/officeDocument/2006/relationships/hyperlink" Target="https://webgate.ec.europa.eu/CITnet/jira/browse/CCPMO-46" TargetMode="External"/><Relationship Id="rId20" Type="http://schemas.openxmlformats.org/officeDocument/2006/relationships/hyperlink" Target="https://webgate.ec.europa.eu/CITnet/jira/browse/PROCESS-114" TargetMode="External"/><Relationship Id="rId41" Type="http://schemas.openxmlformats.org/officeDocument/2006/relationships/hyperlink" Target="https://webgate.ec.europa.eu/CITnet/jira/browse/PFM-148" TargetMode="External"/><Relationship Id="rId54" Type="http://schemas.openxmlformats.org/officeDocument/2006/relationships/hyperlink" Target="https://webgate.ec.europa.eu/CITnet/jira/browse/PFM-81" TargetMode="External"/><Relationship Id="rId62" Type="http://schemas.openxmlformats.org/officeDocument/2006/relationships/hyperlink" Target="https://webgate.ec.europa.eu/CITnet/jira/browse/PFM-56" TargetMode="External"/><Relationship Id="rId70" Type="http://schemas.openxmlformats.org/officeDocument/2006/relationships/hyperlink" Target="https://webgate.ec.europa.eu/CITnet/jira/browse/INTERCOM-74" TargetMode="External"/><Relationship Id="rId75" Type="http://schemas.openxmlformats.org/officeDocument/2006/relationships/hyperlink" Target="https://webgate.ec.europa.eu/CITnet/jira/browse/INTERCOM-65" TargetMode="External"/><Relationship Id="rId83" Type="http://schemas.openxmlformats.org/officeDocument/2006/relationships/hyperlink" Target="https://webgate.ec.europa.eu/CITnet/jira/browse/INTERCOM-41" TargetMode="External"/><Relationship Id="rId88" Type="http://schemas.openxmlformats.org/officeDocument/2006/relationships/hyperlink" Target="https://webgate.ec.europa.eu/CITnet/jira/browse/CCTASK-512" TargetMode="External"/><Relationship Id="rId91" Type="http://schemas.openxmlformats.org/officeDocument/2006/relationships/hyperlink" Target="https://webgate.ec.europa.eu/CITnet/jira/browse/CCTASK-123" TargetMode="External"/><Relationship Id="rId96" Type="http://schemas.openxmlformats.org/officeDocument/2006/relationships/hyperlink" Target="https://webgate.ec.europa.eu/CITnet/jira/browse/CCTASK-116" TargetMode="External"/><Relationship Id="rId111" Type="http://schemas.openxmlformats.org/officeDocument/2006/relationships/hyperlink" Target="https://webgate.ec.europa.eu/CITnet/jira/browse/CCTASK-93" TargetMode="External"/><Relationship Id="rId132" Type="http://schemas.openxmlformats.org/officeDocument/2006/relationships/hyperlink" Target="https://webgate.ec.europa.eu/CITnet/jira/browse/CCPMO-87" TargetMode="External"/><Relationship Id="rId140" Type="http://schemas.openxmlformats.org/officeDocument/2006/relationships/hyperlink" Target="https://webgate.ec.europa.eu/CITnet/jira/browse/CCADMIN-53" TargetMode="External"/><Relationship Id="rId145" Type="http://schemas.openxmlformats.org/officeDocument/2006/relationships/hyperlink" Target="https://webgate.ec.europa.eu/CITnet/jira/browse/CCADMIN-46" TargetMode="External"/><Relationship Id="rId153" Type="http://schemas.openxmlformats.org/officeDocument/2006/relationships/hyperlink" Target="https://webgate.ec.europa.eu/CITnet/jira/browse/CCADMIN-12" TargetMode="External"/><Relationship Id="rId1" Type="http://schemas.openxmlformats.org/officeDocument/2006/relationships/hyperlink" Target="https://webgate.ec.europa.eu/CITnet/jira/issues/?jql=project+in+%28COMPCORP%2C+CCADMIN%2C+CCARCHITEC%2C+CCDOCLIST%2C+ECKL%2C+CCINFRAEC%2C+INTERCOM%2C+CCPMO%2C+PFM%2C+PROCESS%2C+CCTASK%2C+TSKACTION%2C+WAVECC%2C+COMPASS%29+AND+issuetype+in+%28Story%29+and+fixversion+is+not+empty" TargetMode="External"/><Relationship Id="rId6" Type="http://schemas.openxmlformats.org/officeDocument/2006/relationships/hyperlink" Target="https://webgate.ec.europa.eu/CITnet/jira/browse/WAVECC-26" TargetMode="External"/><Relationship Id="rId15" Type="http://schemas.openxmlformats.org/officeDocument/2006/relationships/hyperlink" Target="https://webgate.ec.europa.eu/CITnet/jira/browse/PROCESS-119" TargetMode="External"/><Relationship Id="rId23" Type="http://schemas.openxmlformats.org/officeDocument/2006/relationships/hyperlink" Target="https://webgate.ec.europa.eu/CITnet/jira/browse/PROCESS-111" TargetMode="External"/><Relationship Id="rId28" Type="http://schemas.openxmlformats.org/officeDocument/2006/relationships/hyperlink" Target="https://webgate.ec.europa.eu/CITnet/jira/browse/PROCESS-90" TargetMode="External"/><Relationship Id="rId36" Type="http://schemas.openxmlformats.org/officeDocument/2006/relationships/hyperlink" Target="https://webgate.ec.europa.eu/CITnet/jira/browse/PFM-155" TargetMode="External"/><Relationship Id="rId49" Type="http://schemas.openxmlformats.org/officeDocument/2006/relationships/hyperlink" Target="https://webgate.ec.europa.eu/CITnet/jira/browse/PFM-110" TargetMode="External"/><Relationship Id="rId57" Type="http://schemas.openxmlformats.org/officeDocument/2006/relationships/hyperlink" Target="https://webgate.ec.europa.eu/CITnet/jira/browse/PFM-69" TargetMode="External"/><Relationship Id="rId106" Type="http://schemas.openxmlformats.org/officeDocument/2006/relationships/hyperlink" Target="https://webgate.ec.europa.eu/CITnet/jira/browse/CCTASK-100" TargetMode="External"/><Relationship Id="rId114" Type="http://schemas.openxmlformats.org/officeDocument/2006/relationships/hyperlink" Target="https://webgate.ec.europa.eu/CITnet/jira/browse/CCTASK-88" TargetMode="External"/><Relationship Id="rId119" Type="http://schemas.openxmlformats.org/officeDocument/2006/relationships/hyperlink" Target="https://webgate.ec.europa.eu/CITnet/jira/browse/CCTASK-79" TargetMode="External"/><Relationship Id="rId127" Type="http://schemas.openxmlformats.org/officeDocument/2006/relationships/hyperlink" Target="https://webgate.ec.europa.eu/CITnet/jira/browse/CCTASK-50" TargetMode="External"/><Relationship Id="rId10" Type="http://schemas.openxmlformats.org/officeDocument/2006/relationships/hyperlink" Target="https://webgate.ec.europa.eu/CITnet/jira/browse/PROCESS-129" TargetMode="External"/><Relationship Id="rId31" Type="http://schemas.openxmlformats.org/officeDocument/2006/relationships/hyperlink" Target="https://webgate.ec.europa.eu/CITnet/jira/browse/PROCESS-76" TargetMode="External"/><Relationship Id="rId44" Type="http://schemas.openxmlformats.org/officeDocument/2006/relationships/hyperlink" Target="https://webgate.ec.europa.eu/CITnet/jira/browse/PFM-144" TargetMode="External"/><Relationship Id="rId52" Type="http://schemas.openxmlformats.org/officeDocument/2006/relationships/hyperlink" Target="https://webgate.ec.europa.eu/CITnet/jira/browse/PFM-87" TargetMode="External"/><Relationship Id="rId60" Type="http://schemas.openxmlformats.org/officeDocument/2006/relationships/hyperlink" Target="https://webgate.ec.europa.eu/CITnet/jira/browse/PFM-63" TargetMode="External"/><Relationship Id="rId65" Type="http://schemas.openxmlformats.org/officeDocument/2006/relationships/hyperlink" Target="https://webgate.ec.europa.eu/CITnet/jira/browse/PFM-52" TargetMode="External"/><Relationship Id="rId73" Type="http://schemas.openxmlformats.org/officeDocument/2006/relationships/hyperlink" Target="https://webgate.ec.europa.eu/CITnet/jira/browse/INTERCOM-67" TargetMode="External"/><Relationship Id="rId78" Type="http://schemas.openxmlformats.org/officeDocument/2006/relationships/hyperlink" Target="https://webgate.ec.europa.eu/CITnet/jira/browse/INTERCOM-58" TargetMode="External"/><Relationship Id="rId81" Type="http://schemas.openxmlformats.org/officeDocument/2006/relationships/hyperlink" Target="https://webgate.ec.europa.eu/CITnet/jira/browse/INTERCOM-53" TargetMode="External"/><Relationship Id="rId86" Type="http://schemas.openxmlformats.org/officeDocument/2006/relationships/hyperlink" Target="https://webgate.ec.europa.eu/CITnet/jira/browse/CCTASK-564" TargetMode="External"/><Relationship Id="rId94" Type="http://schemas.openxmlformats.org/officeDocument/2006/relationships/hyperlink" Target="https://webgate.ec.europa.eu/CITnet/jira/browse/CCTASK-118" TargetMode="External"/><Relationship Id="rId99" Type="http://schemas.openxmlformats.org/officeDocument/2006/relationships/hyperlink" Target="https://webgate.ec.europa.eu/CITnet/jira/browse/CCTASK-110" TargetMode="External"/><Relationship Id="rId101" Type="http://schemas.openxmlformats.org/officeDocument/2006/relationships/hyperlink" Target="https://webgate.ec.europa.eu/CITnet/jira/browse/CCTASK-107" TargetMode="External"/><Relationship Id="rId122" Type="http://schemas.openxmlformats.org/officeDocument/2006/relationships/hyperlink" Target="https://webgate.ec.europa.eu/CITnet/jira/browse/CCTASK-75" TargetMode="External"/><Relationship Id="rId130" Type="http://schemas.openxmlformats.org/officeDocument/2006/relationships/hyperlink" Target="https://webgate.ec.europa.eu/CITnet/jira/browse/CCPMO-103" TargetMode="External"/><Relationship Id="rId135" Type="http://schemas.openxmlformats.org/officeDocument/2006/relationships/hyperlink" Target="https://webgate.ec.europa.eu/CITnet/jira/browse/CCPMO-59" TargetMode="External"/><Relationship Id="rId143" Type="http://schemas.openxmlformats.org/officeDocument/2006/relationships/hyperlink" Target="https://webgate.ec.europa.eu/CITnet/jira/browse/CCADMIN-48" TargetMode="External"/><Relationship Id="rId148" Type="http://schemas.openxmlformats.org/officeDocument/2006/relationships/hyperlink" Target="https://webgate.ec.europa.eu/CITnet/jira/browse/CCADMIN-35" TargetMode="External"/><Relationship Id="rId151" Type="http://schemas.openxmlformats.org/officeDocument/2006/relationships/hyperlink" Target="https://webgate.ec.europa.eu/CITnet/jira/browse/CCADMIN-14" TargetMode="External"/><Relationship Id="rId4" Type="http://schemas.openxmlformats.org/officeDocument/2006/relationships/hyperlink" Target="https://webgate.ec.europa.eu/CITnet/jira/browse/WAVECC-35" TargetMode="External"/><Relationship Id="rId9" Type="http://schemas.openxmlformats.org/officeDocument/2006/relationships/hyperlink" Target="https://webgate.ec.europa.eu/CITnet/jira/browse/WAVECC-6" TargetMode="External"/><Relationship Id="rId13" Type="http://schemas.openxmlformats.org/officeDocument/2006/relationships/hyperlink" Target="https://webgate.ec.europa.eu/CITnet/jira/browse/PROCESS-121" TargetMode="External"/><Relationship Id="rId18" Type="http://schemas.openxmlformats.org/officeDocument/2006/relationships/hyperlink" Target="https://webgate.ec.europa.eu/CITnet/jira/browse/PROCESS-116" TargetMode="External"/><Relationship Id="rId39" Type="http://schemas.openxmlformats.org/officeDocument/2006/relationships/hyperlink" Target="https://webgate.ec.europa.eu/CITnet/jira/browse/PFM-150" TargetMode="External"/><Relationship Id="rId109" Type="http://schemas.openxmlformats.org/officeDocument/2006/relationships/hyperlink" Target="https://webgate.ec.europa.eu/CITnet/jira/browse/CCTASK-97" TargetMode="External"/><Relationship Id="rId34" Type="http://schemas.openxmlformats.org/officeDocument/2006/relationships/hyperlink" Target="https://webgate.ec.europa.eu/CITnet/jira/browse/PROCESS-48" TargetMode="External"/><Relationship Id="rId50" Type="http://schemas.openxmlformats.org/officeDocument/2006/relationships/hyperlink" Target="https://webgate.ec.europa.eu/CITnet/jira/browse/PFM-92" TargetMode="External"/><Relationship Id="rId55" Type="http://schemas.openxmlformats.org/officeDocument/2006/relationships/hyperlink" Target="https://webgate.ec.europa.eu/CITnet/jira/browse/PFM-73" TargetMode="External"/><Relationship Id="rId76" Type="http://schemas.openxmlformats.org/officeDocument/2006/relationships/hyperlink" Target="https://webgate.ec.europa.eu/CITnet/jira/browse/INTERCOM-64" TargetMode="External"/><Relationship Id="rId97" Type="http://schemas.openxmlformats.org/officeDocument/2006/relationships/hyperlink" Target="https://webgate.ec.europa.eu/CITnet/jira/browse/CCTASK-113" TargetMode="External"/><Relationship Id="rId104" Type="http://schemas.openxmlformats.org/officeDocument/2006/relationships/hyperlink" Target="https://webgate.ec.europa.eu/CITnet/jira/browse/CCTASK-102" TargetMode="External"/><Relationship Id="rId120" Type="http://schemas.openxmlformats.org/officeDocument/2006/relationships/hyperlink" Target="https://webgate.ec.europa.eu/CITnet/jira/browse/CCTASK-78" TargetMode="External"/><Relationship Id="rId125" Type="http://schemas.openxmlformats.org/officeDocument/2006/relationships/hyperlink" Target="https://webgate.ec.europa.eu/CITnet/jira/browse/CCTASK-62" TargetMode="External"/><Relationship Id="rId141" Type="http://schemas.openxmlformats.org/officeDocument/2006/relationships/hyperlink" Target="https://webgate.ec.europa.eu/CITnet/jira/browse/CCADMIN-52" TargetMode="External"/><Relationship Id="rId146" Type="http://schemas.openxmlformats.org/officeDocument/2006/relationships/hyperlink" Target="https://webgate.ec.europa.eu/CITnet/jira/browse/CCADMIN-45" TargetMode="External"/><Relationship Id="rId7" Type="http://schemas.openxmlformats.org/officeDocument/2006/relationships/hyperlink" Target="https://webgate.ec.europa.eu/CITnet/jira/browse/WAVECC-25" TargetMode="External"/><Relationship Id="rId71" Type="http://schemas.openxmlformats.org/officeDocument/2006/relationships/hyperlink" Target="https://webgate.ec.europa.eu/CITnet/jira/browse/INTERCOM-73" TargetMode="External"/><Relationship Id="rId92" Type="http://schemas.openxmlformats.org/officeDocument/2006/relationships/hyperlink" Target="https://webgate.ec.europa.eu/CITnet/jira/browse/CCTASK-121" TargetMode="External"/><Relationship Id="rId2" Type="http://schemas.openxmlformats.org/officeDocument/2006/relationships/hyperlink" Target="https://webgate.ec.europa.eu/CITnet/jira/browse/WAVECC-44" TargetMode="External"/><Relationship Id="rId29" Type="http://schemas.openxmlformats.org/officeDocument/2006/relationships/hyperlink" Target="https://webgate.ec.europa.eu/CITnet/jira/browse/PROCESS-89" TargetMode="External"/><Relationship Id="rId24" Type="http://schemas.openxmlformats.org/officeDocument/2006/relationships/hyperlink" Target="https://webgate.ec.europa.eu/CITnet/jira/browse/PROCESS-110" TargetMode="External"/><Relationship Id="rId40" Type="http://schemas.openxmlformats.org/officeDocument/2006/relationships/hyperlink" Target="https://webgate.ec.europa.eu/CITnet/jira/browse/PFM-149" TargetMode="External"/><Relationship Id="rId45" Type="http://schemas.openxmlformats.org/officeDocument/2006/relationships/hyperlink" Target="https://webgate.ec.europa.eu/CITnet/jira/browse/PFM-143" TargetMode="External"/><Relationship Id="rId66" Type="http://schemas.openxmlformats.org/officeDocument/2006/relationships/hyperlink" Target="https://webgate.ec.europa.eu/CITnet/jira/browse/PFM-51" TargetMode="External"/><Relationship Id="rId87" Type="http://schemas.openxmlformats.org/officeDocument/2006/relationships/hyperlink" Target="https://webgate.ec.europa.eu/CITnet/jira/browse/CCTASK-522" TargetMode="External"/><Relationship Id="rId110" Type="http://schemas.openxmlformats.org/officeDocument/2006/relationships/hyperlink" Target="https://webgate.ec.europa.eu/CITnet/jira/browse/CCTASK-94" TargetMode="External"/><Relationship Id="rId115" Type="http://schemas.openxmlformats.org/officeDocument/2006/relationships/hyperlink" Target="https://webgate.ec.europa.eu/CITnet/jira/browse/CCTASK-87" TargetMode="External"/><Relationship Id="rId131" Type="http://schemas.openxmlformats.org/officeDocument/2006/relationships/hyperlink" Target="https://webgate.ec.europa.eu/CITnet/jira/browse/CCPMO-95" TargetMode="External"/><Relationship Id="rId136" Type="http://schemas.openxmlformats.org/officeDocument/2006/relationships/hyperlink" Target="https://webgate.ec.europa.eu/CITnet/jira/browse/CCPMO-58" TargetMode="External"/><Relationship Id="rId61" Type="http://schemas.openxmlformats.org/officeDocument/2006/relationships/hyperlink" Target="https://webgate.ec.europa.eu/CITnet/jira/browse/PFM-59" TargetMode="External"/><Relationship Id="rId82" Type="http://schemas.openxmlformats.org/officeDocument/2006/relationships/hyperlink" Target="https://webgate.ec.europa.eu/CITnet/jira/browse/INTERCOM-43" TargetMode="External"/><Relationship Id="rId152" Type="http://schemas.openxmlformats.org/officeDocument/2006/relationships/hyperlink" Target="https://webgate.ec.europa.eu/CITnet/jira/browse/CCADMIN-13" TargetMode="External"/><Relationship Id="rId19" Type="http://schemas.openxmlformats.org/officeDocument/2006/relationships/hyperlink" Target="https://webgate.ec.europa.eu/CITnet/jira/browse/PROCESS-115" TargetMode="External"/><Relationship Id="rId14" Type="http://schemas.openxmlformats.org/officeDocument/2006/relationships/hyperlink" Target="https://webgate.ec.europa.eu/CITnet/jira/browse/PROCESS-120" TargetMode="External"/><Relationship Id="rId30" Type="http://schemas.openxmlformats.org/officeDocument/2006/relationships/hyperlink" Target="https://webgate.ec.europa.eu/CITnet/jira/browse/PROCESS-86" TargetMode="External"/><Relationship Id="rId35" Type="http://schemas.openxmlformats.org/officeDocument/2006/relationships/hyperlink" Target="https://webgate.ec.europa.eu/CITnet/jira/browse/PFM-160" TargetMode="External"/><Relationship Id="rId56" Type="http://schemas.openxmlformats.org/officeDocument/2006/relationships/hyperlink" Target="https://webgate.ec.europa.eu/CITnet/jira/browse/PFM-71" TargetMode="External"/><Relationship Id="rId77" Type="http://schemas.openxmlformats.org/officeDocument/2006/relationships/hyperlink" Target="https://webgate.ec.europa.eu/CITnet/jira/browse/INTERCOM-60" TargetMode="External"/><Relationship Id="rId100" Type="http://schemas.openxmlformats.org/officeDocument/2006/relationships/hyperlink" Target="https://webgate.ec.europa.eu/CITnet/jira/browse/CCTASK-109" TargetMode="External"/><Relationship Id="rId105" Type="http://schemas.openxmlformats.org/officeDocument/2006/relationships/hyperlink" Target="https://webgate.ec.europa.eu/CITnet/jira/browse/CCTASK-101" TargetMode="External"/><Relationship Id="rId126" Type="http://schemas.openxmlformats.org/officeDocument/2006/relationships/hyperlink" Target="https://webgate.ec.europa.eu/CITnet/jira/browse/CCTASK-53" TargetMode="External"/><Relationship Id="rId147" Type="http://schemas.openxmlformats.org/officeDocument/2006/relationships/hyperlink" Target="https://webgate.ec.europa.eu/CITnet/jira/browse/CCADMIN-43" TargetMode="External"/><Relationship Id="rId8" Type="http://schemas.openxmlformats.org/officeDocument/2006/relationships/hyperlink" Target="https://webgate.ec.europa.eu/CITnet/jira/browse/WAVECC-7" TargetMode="External"/><Relationship Id="rId51" Type="http://schemas.openxmlformats.org/officeDocument/2006/relationships/hyperlink" Target="https://webgate.ec.europa.eu/CITnet/jira/browse/PFM-91" TargetMode="External"/><Relationship Id="rId72" Type="http://schemas.openxmlformats.org/officeDocument/2006/relationships/hyperlink" Target="https://webgate.ec.europa.eu/CITnet/jira/browse/INTERCOM-70" TargetMode="External"/><Relationship Id="rId93" Type="http://schemas.openxmlformats.org/officeDocument/2006/relationships/hyperlink" Target="https://webgate.ec.europa.eu/CITnet/jira/browse/CCTASK-120" TargetMode="External"/><Relationship Id="rId98" Type="http://schemas.openxmlformats.org/officeDocument/2006/relationships/hyperlink" Target="https://webgate.ec.europa.eu/CITnet/jira/browse/CCTASK-112" TargetMode="External"/><Relationship Id="rId121" Type="http://schemas.openxmlformats.org/officeDocument/2006/relationships/hyperlink" Target="https://webgate.ec.europa.eu/CITnet/jira/browse/CCTASK-77" TargetMode="External"/><Relationship Id="rId142" Type="http://schemas.openxmlformats.org/officeDocument/2006/relationships/hyperlink" Target="https://webgate.ec.europa.eu/CITnet/jira/browse/CCADMIN-51" TargetMode="External"/><Relationship Id="rId3" Type="http://schemas.openxmlformats.org/officeDocument/2006/relationships/hyperlink" Target="https://webgate.ec.europa.eu/CITnet/jira/browse/WAVECC-43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webgate.ec.europa.eu/CITnet/jira/browse/CCTASK-272" TargetMode="External"/><Relationship Id="rId18" Type="http://schemas.openxmlformats.org/officeDocument/2006/relationships/hyperlink" Target="https://webgate.ec.europa.eu/CITnet/jira/browse/CCTASK-527" TargetMode="External"/><Relationship Id="rId26" Type="http://schemas.openxmlformats.org/officeDocument/2006/relationships/hyperlink" Target="https://webgate.ec.europa.eu/CITnet/jira/browse/COMPCORP-114" TargetMode="External"/><Relationship Id="rId39" Type="http://schemas.openxmlformats.org/officeDocument/2006/relationships/hyperlink" Target="https://webgate.ec.europa.eu/CITnet/jira/browse/CCDOCLIST-19" TargetMode="External"/><Relationship Id="rId3" Type="http://schemas.openxmlformats.org/officeDocument/2006/relationships/hyperlink" Target="https://webgate.ec.europa.eu/CITnet/jira/browse/PROCESS-96" TargetMode="External"/><Relationship Id="rId21" Type="http://schemas.openxmlformats.org/officeDocument/2006/relationships/hyperlink" Target="https://webgate.ec.europa.eu/CITnet/jira/browse/CCDOCLIST-165" TargetMode="External"/><Relationship Id="rId34" Type="http://schemas.openxmlformats.org/officeDocument/2006/relationships/hyperlink" Target="https://webgate.ec.europa.eu/CITnet/jira/browse/PROCESS-95" TargetMode="External"/><Relationship Id="rId42" Type="http://schemas.openxmlformats.org/officeDocument/2006/relationships/hyperlink" Target="https://webgate.ec.europa.eu/CITnet/jira/browse/CCDOCLIST-156" TargetMode="External"/><Relationship Id="rId47" Type="http://schemas.openxmlformats.org/officeDocument/2006/relationships/hyperlink" Target="https://webgate.ec.europa.eu/CITnet/jira/browse/CCPMO-77" TargetMode="External"/><Relationship Id="rId50" Type="http://schemas.openxmlformats.org/officeDocument/2006/relationships/hyperlink" Target="https://webgate.ec.europa.eu/CITnet/jira/browse/CCTASK-533" TargetMode="External"/><Relationship Id="rId7" Type="http://schemas.openxmlformats.org/officeDocument/2006/relationships/hyperlink" Target="https://webgate.ec.europa.eu/CITnet/jira/browse/CCARCHITEC-49" TargetMode="External"/><Relationship Id="rId12" Type="http://schemas.openxmlformats.org/officeDocument/2006/relationships/hyperlink" Target="https://webgate.ec.europa.eu/CITnet/jira/browse/INTERCOM-72" TargetMode="External"/><Relationship Id="rId17" Type="http://schemas.openxmlformats.org/officeDocument/2006/relationships/hyperlink" Target="https://webgate.ec.europa.eu/CITnet/jira/browse/CCADMIN-55" TargetMode="External"/><Relationship Id="rId25" Type="http://schemas.openxmlformats.org/officeDocument/2006/relationships/hyperlink" Target="https://webgate.ec.europa.eu/CITnet/jira/browse/CCDOCLIST-25" TargetMode="External"/><Relationship Id="rId33" Type="http://schemas.openxmlformats.org/officeDocument/2006/relationships/hyperlink" Target="https://webgate.ec.europa.eu/CITnet/jira/browse/PFM-125" TargetMode="External"/><Relationship Id="rId38" Type="http://schemas.openxmlformats.org/officeDocument/2006/relationships/hyperlink" Target="https://webgate.ec.europa.eu/CITnet/jira/browse/INTERCOM-71" TargetMode="External"/><Relationship Id="rId46" Type="http://schemas.openxmlformats.org/officeDocument/2006/relationships/hyperlink" Target="https://webgate.ec.europa.eu/CITnet/jira/browse/CCPMO-63" TargetMode="External"/><Relationship Id="rId2" Type="http://schemas.openxmlformats.org/officeDocument/2006/relationships/hyperlink" Target="https://webgate.ec.europa.eu/CITnet/jira/browse/PFM-126" TargetMode="External"/><Relationship Id="rId16" Type="http://schemas.openxmlformats.org/officeDocument/2006/relationships/hyperlink" Target="https://webgate.ec.europa.eu/CITnet/jira/browse/PROCESS-125" TargetMode="External"/><Relationship Id="rId20" Type="http://schemas.openxmlformats.org/officeDocument/2006/relationships/hyperlink" Target="https://webgate.ec.europa.eu/CITnet/jira/browse/INTERCOM-75" TargetMode="External"/><Relationship Id="rId29" Type="http://schemas.openxmlformats.org/officeDocument/2006/relationships/hyperlink" Target="https://webgate.ec.europa.eu/CITnet/jira/browse/CCTASK-579" TargetMode="External"/><Relationship Id="rId41" Type="http://schemas.openxmlformats.org/officeDocument/2006/relationships/hyperlink" Target="https://webgate.ec.europa.eu/CITnet/jira/browse/CCDOCLIST-27" TargetMode="External"/><Relationship Id="rId54" Type="http://schemas.openxmlformats.org/officeDocument/2006/relationships/drawing" Target="../drawings/drawing7.xml"/><Relationship Id="rId1" Type="http://schemas.openxmlformats.org/officeDocument/2006/relationships/hyperlink" Target="https://webgate.ec.europa.eu/CITnet/jira/issues/?jql=project+in+%28COMPCORP%2C+CCADMIN%2C+CCARCHITEC%2C+CCDOCLIST%2C+ECKL%2C+CCINFRAEC%2C+INTERCOM%2C+CCPMO%2C+PFM%2C+PROCESS%2C+CCTASK%2C+TSKACTION%2C+WAVECC%2C+COMPASS%29+AND+issuetype+in+%28Enabler%2C+%22New+Feature%22%29+AND+fixVersion+in+%28COMPCORP-PI4%29+ORDER+BY+summary+DESC%2C+issuetype+DESC%2C+cf%5B12631%5D+ASC%2C+WSJF+DESC" TargetMode="External"/><Relationship Id="rId6" Type="http://schemas.openxmlformats.org/officeDocument/2006/relationships/hyperlink" Target="https://webgate.ec.europa.eu/CITnet/jira/browse/CCTASK-476" TargetMode="External"/><Relationship Id="rId11" Type="http://schemas.openxmlformats.org/officeDocument/2006/relationships/hyperlink" Target="https://webgate.ec.europa.eu/CITnet/jira/browse/PROCESS-75" TargetMode="External"/><Relationship Id="rId24" Type="http://schemas.openxmlformats.org/officeDocument/2006/relationships/hyperlink" Target="https://webgate.ec.europa.eu/CITnet/jira/browse/CCDOCLIST-116" TargetMode="External"/><Relationship Id="rId32" Type="http://schemas.openxmlformats.org/officeDocument/2006/relationships/hyperlink" Target="https://webgate.ec.europa.eu/CITnet/jira/browse/PROCESS-33" TargetMode="External"/><Relationship Id="rId37" Type="http://schemas.openxmlformats.org/officeDocument/2006/relationships/hyperlink" Target="https://webgate.ec.europa.eu/CITnet/jira/browse/PROCESS-98" TargetMode="External"/><Relationship Id="rId40" Type="http://schemas.openxmlformats.org/officeDocument/2006/relationships/hyperlink" Target="https://webgate.ec.europa.eu/CITnet/jira/browse/INTERCOM-54" TargetMode="External"/><Relationship Id="rId45" Type="http://schemas.openxmlformats.org/officeDocument/2006/relationships/hyperlink" Target="https://webgate.ec.europa.eu/CITnet/jira/browse/WAVECC-42" TargetMode="External"/><Relationship Id="rId53" Type="http://schemas.openxmlformats.org/officeDocument/2006/relationships/hyperlink" Target="https://webgate.ec.europa.eu/CITnet/jira/browse/TSKACTION-56" TargetMode="External"/><Relationship Id="rId5" Type="http://schemas.openxmlformats.org/officeDocument/2006/relationships/hyperlink" Target="https://webgate.ec.europa.eu/CITnet/jira/browse/PFM-131" TargetMode="External"/><Relationship Id="rId15" Type="http://schemas.openxmlformats.org/officeDocument/2006/relationships/hyperlink" Target="https://webgate.ec.europa.eu/CITnet/jira/browse/CCADMIN-44" TargetMode="External"/><Relationship Id="rId23" Type="http://schemas.openxmlformats.org/officeDocument/2006/relationships/hyperlink" Target="https://webgate.ec.europa.eu/CITnet/jira/browse/WAVECC-34" TargetMode="External"/><Relationship Id="rId28" Type="http://schemas.openxmlformats.org/officeDocument/2006/relationships/hyperlink" Target="https://webgate.ec.europa.eu/CITnet/jira/browse/CCDOCLIST-181" TargetMode="External"/><Relationship Id="rId36" Type="http://schemas.openxmlformats.org/officeDocument/2006/relationships/hyperlink" Target="https://webgate.ec.europa.eu/CITnet/jira/browse/PROCESS-44" TargetMode="External"/><Relationship Id="rId49" Type="http://schemas.openxmlformats.org/officeDocument/2006/relationships/hyperlink" Target="https://webgate.ec.europa.eu/CITnet/jira/browse/INTERCOM-55" TargetMode="External"/><Relationship Id="rId10" Type="http://schemas.openxmlformats.org/officeDocument/2006/relationships/hyperlink" Target="https://webgate.ec.europa.eu/CITnet/jira/browse/CCTASK-518" TargetMode="External"/><Relationship Id="rId19" Type="http://schemas.openxmlformats.org/officeDocument/2006/relationships/hyperlink" Target="https://webgate.ec.europa.eu/CITnet/jira/browse/CCTASK-534" TargetMode="External"/><Relationship Id="rId31" Type="http://schemas.openxmlformats.org/officeDocument/2006/relationships/hyperlink" Target="https://webgate.ec.europa.eu/CITnet/jira/browse/CCTASK-532" TargetMode="External"/><Relationship Id="rId44" Type="http://schemas.openxmlformats.org/officeDocument/2006/relationships/hyperlink" Target="https://webgate.ec.europa.eu/CITnet/jira/browse/CCADMIN-42" TargetMode="External"/><Relationship Id="rId52" Type="http://schemas.openxmlformats.org/officeDocument/2006/relationships/hyperlink" Target="https://webgate.ec.europa.eu/CITnet/jira/browse/TSKACTION-245" TargetMode="External"/><Relationship Id="rId4" Type="http://schemas.openxmlformats.org/officeDocument/2006/relationships/hyperlink" Target="https://webgate.ec.europa.eu/CITnet/jira/browse/INTERCOM-52" TargetMode="External"/><Relationship Id="rId9" Type="http://schemas.openxmlformats.org/officeDocument/2006/relationships/hyperlink" Target="https://webgate.ec.europa.eu/CITnet/jira/browse/CCTASK-519" TargetMode="External"/><Relationship Id="rId14" Type="http://schemas.openxmlformats.org/officeDocument/2006/relationships/hyperlink" Target="https://webgate.ec.europa.eu/CITnet/jira/browse/INTERCOM-59" TargetMode="External"/><Relationship Id="rId22" Type="http://schemas.openxmlformats.org/officeDocument/2006/relationships/hyperlink" Target="https://webgate.ec.europa.eu/CITnet/jira/browse/CCPMO-76" TargetMode="External"/><Relationship Id="rId27" Type="http://schemas.openxmlformats.org/officeDocument/2006/relationships/hyperlink" Target="https://webgate.ec.europa.eu/CITnet/jira/browse/CCARCHITEC-37" TargetMode="External"/><Relationship Id="rId30" Type="http://schemas.openxmlformats.org/officeDocument/2006/relationships/hyperlink" Target="https://webgate.ec.europa.eu/CITnet/jira/browse/PROCESS-92" TargetMode="External"/><Relationship Id="rId35" Type="http://schemas.openxmlformats.org/officeDocument/2006/relationships/hyperlink" Target="https://webgate.ec.europa.eu/CITnet/jira/browse/CCDOCLIST-157" TargetMode="External"/><Relationship Id="rId43" Type="http://schemas.openxmlformats.org/officeDocument/2006/relationships/hyperlink" Target="https://webgate.ec.europa.eu/CITnet/jira/browse/CCDOCLIST-17" TargetMode="External"/><Relationship Id="rId48" Type="http://schemas.openxmlformats.org/officeDocument/2006/relationships/hyperlink" Target="https://webgate.ec.europa.eu/CITnet/jira/browse/CCPMO-129" TargetMode="External"/><Relationship Id="rId8" Type="http://schemas.openxmlformats.org/officeDocument/2006/relationships/hyperlink" Target="https://webgate.ec.europa.eu/CITnet/jira/browse/CCDOCLIST-174" TargetMode="External"/><Relationship Id="rId51" Type="http://schemas.openxmlformats.org/officeDocument/2006/relationships/hyperlink" Target="https://webgate.ec.europa.eu/CITnet/jira/browse/TSKACTION-217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E30"/>
  <sheetViews>
    <sheetView zoomScale="80" zoomScaleNormal="80" zoomScalePageLayoutView="80" workbookViewId="0">
      <selection activeCell="D31" sqref="D31"/>
    </sheetView>
  </sheetViews>
  <sheetFormatPr defaultColWidth="8.875" defaultRowHeight="15.75" x14ac:dyDescent="0.25"/>
  <cols>
    <col min="3" max="3" width="27.125" customWidth="1"/>
    <col min="4" max="4" width="125.375" customWidth="1"/>
  </cols>
  <sheetData>
    <row r="1" spans="1:5" x14ac:dyDescent="0.25">
      <c r="A1" s="5"/>
      <c r="B1" s="5"/>
      <c r="C1" s="5"/>
      <c r="D1" s="5"/>
      <c r="E1" s="5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6" t="s">
        <v>26</v>
      </c>
      <c r="D3" s="7" t="s">
        <v>1125</v>
      </c>
      <c r="E3" s="5"/>
    </row>
    <row r="4" spans="1:5" x14ac:dyDescent="0.25">
      <c r="A4" s="5"/>
      <c r="B4" s="5"/>
      <c r="C4" s="6" t="s">
        <v>29</v>
      </c>
      <c r="D4" s="7" t="s">
        <v>398</v>
      </c>
      <c r="E4" s="5"/>
    </row>
    <row r="5" spans="1:5" x14ac:dyDescent="0.25">
      <c r="A5" s="5"/>
      <c r="B5" s="5"/>
      <c r="C5" s="6" t="s">
        <v>30</v>
      </c>
      <c r="D5" s="7" t="s">
        <v>406</v>
      </c>
      <c r="E5" s="5"/>
    </row>
    <row r="6" spans="1:5" x14ac:dyDescent="0.25">
      <c r="A6" s="5"/>
      <c r="B6" s="5"/>
      <c r="C6" s="6" t="s">
        <v>31</v>
      </c>
      <c r="D6" s="7" t="s">
        <v>399</v>
      </c>
      <c r="E6" s="5"/>
    </row>
    <row r="7" spans="1:5" x14ac:dyDescent="0.25">
      <c r="A7" s="5"/>
      <c r="B7" s="5"/>
      <c r="C7" s="6" t="s">
        <v>32</v>
      </c>
      <c r="D7" s="7" t="s">
        <v>405</v>
      </c>
      <c r="E7" s="5"/>
    </row>
    <row r="8" spans="1:5" x14ac:dyDescent="0.25">
      <c r="A8" s="5"/>
      <c r="B8" s="5"/>
      <c r="C8" s="6" t="s">
        <v>34</v>
      </c>
      <c r="D8" s="7" t="s">
        <v>400</v>
      </c>
      <c r="E8" s="8"/>
    </row>
    <row r="9" spans="1:5" x14ac:dyDescent="0.25">
      <c r="A9" s="5"/>
      <c r="B9" s="5"/>
      <c r="C9" s="6" t="s">
        <v>33</v>
      </c>
      <c r="D9" s="7" t="s">
        <v>413</v>
      </c>
      <c r="E9" s="5"/>
    </row>
    <row r="10" spans="1:5" x14ac:dyDescent="0.25">
      <c r="A10" s="5"/>
      <c r="B10" s="5"/>
      <c r="C10" s="6" t="s">
        <v>35</v>
      </c>
      <c r="D10" s="7" t="s">
        <v>401</v>
      </c>
      <c r="E10" s="5"/>
    </row>
    <row r="11" spans="1:5" x14ac:dyDescent="0.25">
      <c r="A11" s="5"/>
      <c r="B11" s="5"/>
      <c r="C11" s="6" t="s">
        <v>36</v>
      </c>
      <c r="D11" s="7" t="s">
        <v>50</v>
      </c>
      <c r="E11" s="5"/>
    </row>
    <row r="12" spans="1:5" x14ac:dyDescent="0.25">
      <c r="A12" s="5"/>
      <c r="B12" s="5"/>
      <c r="C12" s="6" t="s">
        <v>37</v>
      </c>
      <c r="D12" s="7" t="s">
        <v>402</v>
      </c>
      <c r="E12" s="5"/>
    </row>
    <row r="13" spans="1:5" x14ac:dyDescent="0.25">
      <c r="A13" s="5"/>
      <c r="B13" s="5"/>
      <c r="C13" s="6" t="s">
        <v>38</v>
      </c>
      <c r="D13" s="7" t="s">
        <v>407</v>
      </c>
      <c r="E13" s="5"/>
    </row>
    <row r="14" spans="1:5" x14ac:dyDescent="0.25">
      <c r="A14" s="5"/>
      <c r="B14" s="5"/>
      <c r="C14" s="6" t="s">
        <v>39</v>
      </c>
      <c r="D14" s="7" t="s">
        <v>403</v>
      </c>
      <c r="E14" s="5"/>
    </row>
    <row r="15" spans="1:5" x14ac:dyDescent="0.25">
      <c r="A15" s="5"/>
      <c r="B15" s="5"/>
      <c r="C15" s="6" t="s">
        <v>40</v>
      </c>
      <c r="D15" s="7" t="s">
        <v>404</v>
      </c>
      <c r="E15" s="5"/>
    </row>
    <row r="16" spans="1:5" x14ac:dyDescent="0.25">
      <c r="A16" s="5"/>
      <c r="B16" s="5"/>
      <c r="C16" s="6" t="s">
        <v>41</v>
      </c>
      <c r="D16" s="7" t="s">
        <v>411</v>
      </c>
      <c r="E16" s="5"/>
    </row>
    <row r="17" spans="1:5" x14ac:dyDescent="0.25">
      <c r="A17" s="5"/>
      <c r="B17" s="5"/>
      <c r="C17" s="6" t="s">
        <v>42</v>
      </c>
      <c r="D17" s="7" t="s">
        <v>412</v>
      </c>
      <c r="E17" s="5"/>
    </row>
    <row r="18" spans="1:5" x14ac:dyDescent="0.25">
      <c r="A18" s="5"/>
      <c r="B18" s="5"/>
      <c r="C18" s="6" t="s">
        <v>43</v>
      </c>
      <c r="D18" s="7"/>
      <c r="E18" s="5"/>
    </row>
    <row r="19" spans="1:5" x14ac:dyDescent="0.25">
      <c r="A19" s="5"/>
      <c r="B19" s="5"/>
      <c r="C19" s="6" t="s">
        <v>44</v>
      </c>
      <c r="D19" s="7"/>
      <c r="E19" s="5"/>
    </row>
    <row r="20" spans="1:5" x14ac:dyDescent="0.25">
      <c r="A20" s="5"/>
      <c r="B20" s="5"/>
      <c r="C20" s="6" t="s">
        <v>45</v>
      </c>
      <c r="D20" s="7"/>
      <c r="E20" s="5"/>
    </row>
    <row r="21" spans="1:5" x14ac:dyDescent="0.25">
      <c r="A21" s="5"/>
      <c r="B21" s="5"/>
      <c r="C21" s="6" t="s">
        <v>46</v>
      </c>
      <c r="D21" s="7"/>
      <c r="E21" s="5"/>
    </row>
    <row r="22" spans="1:5" x14ac:dyDescent="0.25">
      <c r="A22" s="5"/>
      <c r="B22" s="5"/>
      <c r="C22" s="6" t="s">
        <v>47</v>
      </c>
      <c r="D22" s="7"/>
      <c r="E22" s="5"/>
    </row>
    <row r="23" spans="1:5" x14ac:dyDescent="0.25">
      <c r="A23" s="5"/>
      <c r="B23" s="5"/>
      <c r="C23" s="6" t="s">
        <v>48</v>
      </c>
      <c r="D23" s="7"/>
      <c r="E23" s="5"/>
    </row>
    <row r="24" spans="1:5" x14ac:dyDescent="0.25">
      <c r="A24" s="5"/>
      <c r="B24" s="5"/>
      <c r="C24" s="6" t="s">
        <v>49</v>
      </c>
      <c r="D24" s="7" t="s">
        <v>1124</v>
      </c>
      <c r="E24" s="5"/>
    </row>
    <row r="25" spans="1:5" ht="30" customHeight="1" x14ac:dyDescent="0.25">
      <c r="A25" s="5"/>
      <c r="B25" s="5"/>
      <c r="C25" s="6" t="s">
        <v>58</v>
      </c>
      <c r="D25" s="11" t="s">
        <v>64</v>
      </c>
      <c r="E25" s="5"/>
    </row>
    <row r="26" spans="1:5" ht="30" customHeight="1" x14ac:dyDescent="0.25">
      <c r="A26" s="5"/>
      <c r="B26" s="5"/>
      <c r="C26" s="6" t="s">
        <v>59</v>
      </c>
      <c r="D26" s="11" t="s">
        <v>65</v>
      </c>
      <c r="E26" s="5"/>
    </row>
    <row r="27" spans="1:5" ht="30" customHeight="1" x14ac:dyDescent="0.25">
      <c r="A27" s="5"/>
      <c r="B27" s="5"/>
      <c r="C27" s="6" t="s">
        <v>60</v>
      </c>
      <c r="D27" s="11" t="s">
        <v>66</v>
      </c>
      <c r="E27" s="5"/>
    </row>
    <row r="28" spans="1:5" ht="30" customHeight="1" x14ac:dyDescent="0.25">
      <c r="A28" s="5"/>
      <c r="B28" s="5"/>
      <c r="C28" s="6" t="s">
        <v>61</v>
      </c>
      <c r="D28" s="11" t="s">
        <v>63</v>
      </c>
      <c r="E28" s="5"/>
    </row>
    <row r="29" spans="1:5" ht="30" customHeight="1" x14ac:dyDescent="0.25">
      <c r="A29" s="5"/>
      <c r="B29" s="5"/>
      <c r="C29" s="6" t="s">
        <v>62</v>
      </c>
      <c r="D29" s="11" t="s">
        <v>67</v>
      </c>
      <c r="E29" s="5"/>
    </row>
    <row r="30" spans="1:5" ht="30" customHeight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arseData">
                <anchor moveWithCells="1" sizeWithCells="1">
                  <from>
                    <xdr:col>0</xdr:col>
                    <xdr:colOff>295275</xdr:colOff>
                    <xdr:row>3</xdr:row>
                    <xdr:rowOff>152400</xdr:rowOff>
                  </from>
                  <to>
                    <xdr:col>2</xdr:col>
                    <xdr:colOff>238125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FF0000"/>
  </sheetPr>
  <dimension ref="B1:B760"/>
  <sheetViews>
    <sheetView topLeftCell="B1" workbookViewId="0">
      <selection activeCell="G1" sqref="G1:G1048576"/>
    </sheetView>
  </sheetViews>
  <sheetFormatPr defaultColWidth="11" defaultRowHeight="15.75" x14ac:dyDescent="0.25"/>
  <cols>
    <col min="1" max="1" width="4.625" customWidth="1"/>
    <col min="2" max="2" width="95" customWidth="1"/>
  </cols>
  <sheetData>
    <row r="1" spans="2:2" ht="21" x14ac:dyDescent="0.35">
      <c r="B1" s="1" t="s">
        <v>1555</v>
      </c>
    </row>
    <row r="2" spans="2:2" x14ac:dyDescent="0.25">
      <c r="B2" t="s">
        <v>1556</v>
      </c>
    </row>
    <row r="3" spans="2:2" x14ac:dyDescent="0.25">
      <c r="B3" t="s">
        <v>1555</v>
      </c>
    </row>
    <row r="4" spans="2:2" x14ac:dyDescent="0.25">
      <c r="B4" t="s">
        <v>1556</v>
      </c>
    </row>
    <row r="5" spans="2:2" x14ac:dyDescent="0.25">
      <c r="B5" t="s">
        <v>1555</v>
      </c>
    </row>
    <row r="6" spans="2:2" x14ac:dyDescent="0.25">
      <c r="B6" t="s">
        <v>1556</v>
      </c>
    </row>
    <row r="7" spans="2:2" x14ac:dyDescent="0.25">
      <c r="B7" t="s">
        <v>1555</v>
      </c>
    </row>
    <row r="8" spans="2:2" x14ac:dyDescent="0.25">
      <c r="B8" t="s">
        <v>1556</v>
      </c>
    </row>
    <row r="9" spans="2:2" x14ac:dyDescent="0.25">
      <c r="B9" t="s">
        <v>1555</v>
      </c>
    </row>
    <row r="10" spans="2:2" x14ac:dyDescent="0.25">
      <c r="B10" t="s">
        <v>1556</v>
      </c>
    </row>
    <row r="11" spans="2:2" x14ac:dyDescent="0.25">
      <c r="B11" t="s">
        <v>1555</v>
      </c>
    </row>
    <row r="12" spans="2:2" x14ac:dyDescent="0.25">
      <c r="B12" t="s">
        <v>1556</v>
      </c>
    </row>
    <row r="13" spans="2:2" x14ac:dyDescent="0.25">
      <c r="B13" t="s">
        <v>1555</v>
      </c>
    </row>
    <row r="14" spans="2:2" x14ac:dyDescent="0.25">
      <c r="B14" t="s">
        <v>1556</v>
      </c>
    </row>
    <row r="15" spans="2:2" x14ac:dyDescent="0.25">
      <c r="B15" t="s">
        <v>1555</v>
      </c>
    </row>
    <row r="16" spans="2:2" x14ac:dyDescent="0.25">
      <c r="B16" t="s">
        <v>1556</v>
      </c>
    </row>
    <row r="17" spans="2:2" x14ac:dyDescent="0.25">
      <c r="B17" t="s">
        <v>1555</v>
      </c>
    </row>
    <row r="18" spans="2:2" x14ac:dyDescent="0.25">
      <c r="B18" t="s">
        <v>1556</v>
      </c>
    </row>
    <row r="19" spans="2:2" x14ac:dyDescent="0.25">
      <c r="B19" t="s">
        <v>1555</v>
      </c>
    </row>
    <row r="20" spans="2:2" x14ac:dyDescent="0.25">
      <c r="B20" t="s">
        <v>1556</v>
      </c>
    </row>
    <row r="21" spans="2:2" x14ac:dyDescent="0.25">
      <c r="B21" t="s">
        <v>1555</v>
      </c>
    </row>
    <row r="22" spans="2:2" x14ac:dyDescent="0.25">
      <c r="B22" t="s">
        <v>1556</v>
      </c>
    </row>
    <row r="23" spans="2:2" x14ac:dyDescent="0.25">
      <c r="B23" t="s">
        <v>1555</v>
      </c>
    </row>
    <row r="24" spans="2:2" x14ac:dyDescent="0.25">
      <c r="B24" t="s">
        <v>1556</v>
      </c>
    </row>
    <row r="25" spans="2:2" x14ac:dyDescent="0.25">
      <c r="B25" t="s">
        <v>1555</v>
      </c>
    </row>
    <row r="26" spans="2:2" x14ac:dyDescent="0.25">
      <c r="B26" t="s">
        <v>1556</v>
      </c>
    </row>
    <row r="27" spans="2:2" x14ac:dyDescent="0.25">
      <c r="B27" t="s">
        <v>1555</v>
      </c>
    </row>
    <row r="28" spans="2:2" x14ac:dyDescent="0.25">
      <c r="B28" t="s">
        <v>1556</v>
      </c>
    </row>
    <row r="29" spans="2:2" x14ac:dyDescent="0.25">
      <c r="B29" t="s">
        <v>1555</v>
      </c>
    </row>
    <row r="30" spans="2:2" x14ac:dyDescent="0.25">
      <c r="B30" t="s">
        <v>1556</v>
      </c>
    </row>
    <row r="31" spans="2:2" x14ac:dyDescent="0.25">
      <c r="B31" t="s">
        <v>1555</v>
      </c>
    </row>
    <row r="32" spans="2:2" x14ac:dyDescent="0.25">
      <c r="B32" t="s">
        <v>1556</v>
      </c>
    </row>
    <row r="33" spans="2:2" x14ac:dyDescent="0.25">
      <c r="B33" t="s">
        <v>1555</v>
      </c>
    </row>
    <row r="34" spans="2:2" x14ac:dyDescent="0.25">
      <c r="B34" t="s">
        <v>1556</v>
      </c>
    </row>
    <row r="35" spans="2:2" x14ac:dyDescent="0.25">
      <c r="B35" t="s">
        <v>1555</v>
      </c>
    </row>
    <row r="36" spans="2:2" x14ac:dyDescent="0.25">
      <c r="B36" t="s">
        <v>1556</v>
      </c>
    </row>
    <row r="37" spans="2:2" x14ac:dyDescent="0.25">
      <c r="B37" t="s">
        <v>1555</v>
      </c>
    </row>
    <row r="38" spans="2:2" x14ac:dyDescent="0.25">
      <c r="B38" t="s">
        <v>1556</v>
      </c>
    </row>
    <row r="39" spans="2:2" x14ac:dyDescent="0.25">
      <c r="B39" t="s">
        <v>1555</v>
      </c>
    </row>
    <row r="40" spans="2:2" x14ac:dyDescent="0.25">
      <c r="B40" t="s">
        <v>1556</v>
      </c>
    </row>
    <row r="41" spans="2:2" x14ac:dyDescent="0.25">
      <c r="B41" t="s">
        <v>1555</v>
      </c>
    </row>
    <row r="42" spans="2:2" x14ac:dyDescent="0.25">
      <c r="B42" t="s">
        <v>1556</v>
      </c>
    </row>
    <row r="43" spans="2:2" x14ac:dyDescent="0.25">
      <c r="B43" s="23" t="s">
        <v>777</v>
      </c>
    </row>
    <row r="44" spans="2:2" x14ac:dyDescent="0.25">
      <c r="B44" t="s">
        <v>1126</v>
      </c>
    </row>
    <row r="45" spans="2:2" x14ac:dyDescent="0.25">
      <c r="B45" t="s">
        <v>796</v>
      </c>
    </row>
    <row r="46" spans="2:2" x14ac:dyDescent="0.25">
      <c r="B46" t="s">
        <v>661</v>
      </c>
    </row>
    <row r="47" spans="2:2" x14ac:dyDescent="0.25">
      <c r="B47" t="s">
        <v>662</v>
      </c>
    </row>
    <row r="48" spans="2:2" x14ac:dyDescent="0.25">
      <c r="B48" t="s">
        <v>663</v>
      </c>
    </row>
    <row r="49" spans="2:2" x14ac:dyDescent="0.25">
      <c r="B49" t="s">
        <v>1127</v>
      </c>
    </row>
    <row r="50" spans="2:2" x14ac:dyDescent="0.25">
      <c r="B50" t="s">
        <v>1128</v>
      </c>
    </row>
    <row r="51" spans="2:2" x14ac:dyDescent="0.25">
      <c r="B51" t="s">
        <v>1129</v>
      </c>
    </row>
    <row r="52" spans="2:2" x14ac:dyDescent="0.25">
      <c r="B52" t="s">
        <v>1130</v>
      </c>
    </row>
    <row r="53" spans="2:2" x14ac:dyDescent="0.25">
      <c r="B53" t="s">
        <v>1131</v>
      </c>
    </row>
    <row r="54" spans="2:2" x14ac:dyDescent="0.25">
      <c r="B54" t="s">
        <v>1132</v>
      </c>
    </row>
    <row r="55" spans="2:2" x14ac:dyDescent="0.25">
      <c r="B55" t="s">
        <v>1133</v>
      </c>
    </row>
    <row r="56" spans="2:2" x14ac:dyDescent="0.25">
      <c r="B56" t="s">
        <v>1134</v>
      </c>
    </row>
    <row r="57" spans="2:2" x14ac:dyDescent="0.25">
      <c r="B57" t="s">
        <v>1135</v>
      </c>
    </row>
    <row r="58" spans="2:2" x14ac:dyDescent="0.25">
      <c r="B58" t="s">
        <v>890</v>
      </c>
    </row>
    <row r="59" spans="2:2" x14ac:dyDescent="0.25">
      <c r="B59" t="s">
        <v>884</v>
      </c>
    </row>
    <row r="60" spans="2:2" x14ac:dyDescent="0.25">
      <c r="B60" t="s">
        <v>886</v>
      </c>
    </row>
    <row r="61" spans="2:2" x14ac:dyDescent="0.25">
      <c r="B61" t="s">
        <v>889</v>
      </c>
    </row>
    <row r="62" spans="2:2" x14ac:dyDescent="0.25">
      <c r="B62" t="s">
        <v>885</v>
      </c>
    </row>
    <row r="63" spans="2:2" x14ac:dyDescent="0.25">
      <c r="B63" t="s">
        <v>892</v>
      </c>
    </row>
    <row r="64" spans="2:2" x14ac:dyDescent="0.25">
      <c r="B64" t="s">
        <v>893</v>
      </c>
    </row>
    <row r="65" spans="2:2" x14ac:dyDescent="0.25">
      <c r="B65" t="s">
        <v>891</v>
      </c>
    </row>
    <row r="66" spans="2:2" x14ac:dyDescent="0.25">
      <c r="B66" t="s">
        <v>664</v>
      </c>
    </row>
    <row r="67" spans="2:2" x14ac:dyDescent="0.25">
      <c r="B67" t="s">
        <v>665</v>
      </c>
    </row>
    <row r="68" spans="2:2" x14ac:dyDescent="0.25">
      <c r="B68" t="s">
        <v>666</v>
      </c>
    </row>
    <row r="69" spans="2:2" x14ac:dyDescent="0.25">
      <c r="B69" t="s">
        <v>667</v>
      </c>
    </row>
    <row r="70" spans="2:2" x14ac:dyDescent="0.25">
      <c r="B70" t="s">
        <v>668</v>
      </c>
    </row>
    <row r="71" spans="2:2" x14ac:dyDescent="0.25">
      <c r="B71" t="s">
        <v>669</v>
      </c>
    </row>
    <row r="72" spans="2:2" x14ac:dyDescent="0.25">
      <c r="B72" t="s">
        <v>670</v>
      </c>
    </row>
    <row r="73" spans="2:2" x14ac:dyDescent="0.25">
      <c r="B73" t="s">
        <v>881</v>
      </c>
    </row>
    <row r="74" spans="2:2" x14ac:dyDescent="0.25">
      <c r="B74" t="s">
        <v>880</v>
      </c>
    </row>
    <row r="75" spans="2:2" x14ac:dyDescent="0.25">
      <c r="B75" t="s">
        <v>1136</v>
      </c>
    </row>
    <row r="76" spans="2:2" x14ac:dyDescent="0.25">
      <c r="B76" t="s">
        <v>671</v>
      </c>
    </row>
    <row r="77" spans="2:2" x14ac:dyDescent="0.25">
      <c r="B77" t="s">
        <v>1137</v>
      </c>
    </row>
    <row r="78" spans="2:2" x14ac:dyDescent="0.25">
      <c r="B78" t="s">
        <v>672</v>
      </c>
    </row>
    <row r="79" spans="2:2" x14ac:dyDescent="0.25">
      <c r="B79" t="s">
        <v>888</v>
      </c>
    </row>
    <row r="80" spans="2:2" x14ac:dyDescent="0.25">
      <c r="B80" t="s">
        <v>887</v>
      </c>
    </row>
    <row r="81" spans="2:2" x14ac:dyDescent="0.25">
      <c r="B81" t="s">
        <v>673</v>
      </c>
    </row>
    <row r="82" spans="2:2" x14ac:dyDescent="0.25">
      <c r="B82" t="s">
        <v>674</v>
      </c>
    </row>
    <row r="83" spans="2:2" x14ac:dyDescent="0.25">
      <c r="B83" t="s">
        <v>1138</v>
      </c>
    </row>
    <row r="84" spans="2:2" x14ac:dyDescent="0.25">
      <c r="B84" t="s">
        <v>1139</v>
      </c>
    </row>
    <row r="85" spans="2:2" x14ac:dyDescent="0.25">
      <c r="B85" t="s">
        <v>1140</v>
      </c>
    </row>
    <row r="86" spans="2:2" x14ac:dyDescent="0.25">
      <c r="B86" t="s">
        <v>1141</v>
      </c>
    </row>
    <row r="87" spans="2:2" x14ac:dyDescent="0.25">
      <c r="B87" t="s">
        <v>1142</v>
      </c>
    </row>
    <row r="88" spans="2:2" x14ac:dyDescent="0.25">
      <c r="B88" t="s">
        <v>1143</v>
      </c>
    </row>
    <row r="89" spans="2:2" x14ac:dyDescent="0.25">
      <c r="B89" t="s">
        <v>1144</v>
      </c>
    </row>
    <row r="90" spans="2:2" x14ac:dyDescent="0.25">
      <c r="B90" t="s">
        <v>675</v>
      </c>
    </row>
    <row r="91" spans="2:2" x14ac:dyDescent="0.25">
      <c r="B91" t="s">
        <v>676</v>
      </c>
    </row>
    <row r="92" spans="2:2" x14ac:dyDescent="0.25">
      <c r="B92" t="s">
        <v>677</v>
      </c>
    </row>
    <row r="93" spans="2:2" x14ac:dyDescent="0.25">
      <c r="B93" t="s">
        <v>678</v>
      </c>
    </row>
    <row r="94" spans="2:2" x14ac:dyDescent="0.25">
      <c r="B94" t="s">
        <v>679</v>
      </c>
    </row>
    <row r="95" spans="2:2" x14ac:dyDescent="0.25">
      <c r="B95" t="s">
        <v>680</v>
      </c>
    </row>
    <row r="96" spans="2:2" x14ac:dyDescent="0.25">
      <c r="B96" t="s">
        <v>681</v>
      </c>
    </row>
    <row r="97" spans="2:2" x14ac:dyDescent="0.25">
      <c r="B97" t="s">
        <v>682</v>
      </c>
    </row>
    <row r="98" spans="2:2" x14ac:dyDescent="0.25">
      <c r="B98" t="s">
        <v>683</v>
      </c>
    </row>
    <row r="99" spans="2:2" x14ac:dyDescent="0.25">
      <c r="B99" t="s">
        <v>684</v>
      </c>
    </row>
    <row r="100" spans="2:2" x14ac:dyDescent="0.25">
      <c r="B100" t="s">
        <v>685</v>
      </c>
    </row>
    <row r="101" spans="2:2" x14ac:dyDescent="0.25">
      <c r="B101" t="s">
        <v>686</v>
      </c>
    </row>
    <row r="102" spans="2:2" x14ac:dyDescent="0.25">
      <c r="B102" t="s">
        <v>1145</v>
      </c>
    </row>
    <row r="103" spans="2:2" x14ac:dyDescent="0.25">
      <c r="B103" t="s">
        <v>1146</v>
      </c>
    </row>
    <row r="104" spans="2:2" x14ac:dyDescent="0.25">
      <c r="B104" t="s">
        <v>1147</v>
      </c>
    </row>
    <row r="105" spans="2:2" x14ac:dyDescent="0.25">
      <c r="B105" t="s">
        <v>1148</v>
      </c>
    </row>
    <row r="106" spans="2:2" x14ac:dyDescent="0.25">
      <c r="B106" t="s">
        <v>687</v>
      </c>
    </row>
    <row r="107" spans="2:2" x14ac:dyDescent="0.25">
      <c r="B107" t="s">
        <v>883</v>
      </c>
    </row>
    <row r="108" spans="2:2" x14ac:dyDescent="0.25">
      <c r="B108" t="s">
        <v>1149</v>
      </c>
    </row>
    <row r="109" spans="2:2" x14ac:dyDescent="0.25">
      <c r="B109" t="s">
        <v>1150</v>
      </c>
    </row>
    <row r="110" spans="2:2" x14ac:dyDescent="0.25">
      <c r="B110" t="s">
        <v>1151</v>
      </c>
    </row>
    <row r="111" spans="2:2" x14ac:dyDescent="0.25">
      <c r="B111" t="s">
        <v>1152</v>
      </c>
    </row>
    <row r="112" spans="2:2" x14ac:dyDescent="0.25">
      <c r="B112" t="s">
        <v>1153</v>
      </c>
    </row>
    <row r="113" spans="2:2" x14ac:dyDescent="0.25">
      <c r="B113" t="s">
        <v>1154</v>
      </c>
    </row>
    <row r="114" spans="2:2" x14ac:dyDescent="0.25">
      <c r="B114" t="s">
        <v>1155</v>
      </c>
    </row>
    <row r="115" spans="2:2" x14ac:dyDescent="0.25">
      <c r="B115" t="s">
        <v>1156</v>
      </c>
    </row>
    <row r="116" spans="2:2" x14ac:dyDescent="0.25">
      <c r="B116" t="s">
        <v>1157</v>
      </c>
    </row>
    <row r="117" spans="2:2" x14ac:dyDescent="0.25">
      <c r="B117" t="s">
        <v>1158</v>
      </c>
    </row>
    <row r="118" spans="2:2" x14ac:dyDescent="0.25">
      <c r="B118" t="s">
        <v>1159</v>
      </c>
    </row>
    <row r="119" spans="2:2" x14ac:dyDescent="0.25">
      <c r="B119" t="s">
        <v>688</v>
      </c>
    </row>
    <row r="120" spans="2:2" x14ac:dyDescent="0.25">
      <c r="B120" t="s">
        <v>1160</v>
      </c>
    </row>
    <row r="121" spans="2:2" x14ac:dyDescent="0.25">
      <c r="B121" t="s">
        <v>1161</v>
      </c>
    </row>
    <row r="122" spans="2:2" x14ac:dyDescent="0.25">
      <c r="B122" t="s">
        <v>811</v>
      </c>
    </row>
    <row r="123" spans="2:2" x14ac:dyDescent="0.25">
      <c r="B123" t="s">
        <v>809</v>
      </c>
    </row>
    <row r="124" spans="2:2" x14ac:dyDescent="0.25">
      <c r="B124" t="s">
        <v>808</v>
      </c>
    </row>
    <row r="125" spans="2:2" x14ac:dyDescent="0.25">
      <c r="B125" t="s">
        <v>812</v>
      </c>
    </row>
    <row r="126" spans="2:2" x14ac:dyDescent="0.25">
      <c r="B126" t="s">
        <v>813</v>
      </c>
    </row>
    <row r="127" spans="2:2" x14ac:dyDescent="0.25">
      <c r="B127" t="s">
        <v>810</v>
      </c>
    </row>
    <row r="128" spans="2:2" x14ac:dyDescent="0.25">
      <c r="B128" t="s">
        <v>882</v>
      </c>
    </row>
    <row r="129" spans="2:2" x14ac:dyDescent="0.25">
      <c r="B129" t="s">
        <v>798</v>
      </c>
    </row>
    <row r="130" spans="2:2" x14ac:dyDescent="0.25">
      <c r="B130" t="s">
        <v>799</v>
      </c>
    </row>
    <row r="131" spans="2:2" x14ac:dyDescent="0.25">
      <c r="B131" t="s">
        <v>797</v>
      </c>
    </row>
    <row r="132" spans="2:2" x14ac:dyDescent="0.25">
      <c r="B132" t="s">
        <v>1162</v>
      </c>
    </row>
    <row r="133" spans="2:2" x14ac:dyDescent="0.25">
      <c r="B133" t="s">
        <v>1163</v>
      </c>
    </row>
    <row r="134" spans="2:2" x14ac:dyDescent="0.25">
      <c r="B134" t="s">
        <v>1164</v>
      </c>
    </row>
    <row r="135" spans="2:2" x14ac:dyDescent="0.25">
      <c r="B135" t="s">
        <v>1165</v>
      </c>
    </row>
    <row r="136" spans="2:2" x14ac:dyDescent="0.25">
      <c r="B136" t="s">
        <v>1166</v>
      </c>
    </row>
    <row r="137" spans="2:2" x14ac:dyDescent="0.25">
      <c r="B137" t="s">
        <v>1167</v>
      </c>
    </row>
    <row r="138" spans="2:2" x14ac:dyDescent="0.25">
      <c r="B138" t="s">
        <v>1168</v>
      </c>
    </row>
    <row r="139" spans="2:2" x14ac:dyDescent="0.25">
      <c r="B139" t="s">
        <v>1169</v>
      </c>
    </row>
    <row r="140" spans="2:2" x14ac:dyDescent="0.25">
      <c r="B140" t="s">
        <v>1170</v>
      </c>
    </row>
    <row r="141" spans="2:2" x14ac:dyDescent="0.25">
      <c r="B141" t="s">
        <v>1171</v>
      </c>
    </row>
    <row r="142" spans="2:2" x14ac:dyDescent="0.25">
      <c r="B142" t="s">
        <v>1172</v>
      </c>
    </row>
    <row r="143" spans="2:2" x14ac:dyDescent="0.25">
      <c r="B143" t="s">
        <v>1173</v>
      </c>
    </row>
    <row r="144" spans="2:2" x14ac:dyDescent="0.25">
      <c r="B144" t="s">
        <v>1174</v>
      </c>
    </row>
    <row r="145" spans="2:2" x14ac:dyDescent="0.25">
      <c r="B145" t="s">
        <v>1175</v>
      </c>
    </row>
    <row r="146" spans="2:2" x14ac:dyDescent="0.25">
      <c r="B146" t="s">
        <v>1176</v>
      </c>
    </row>
    <row r="147" spans="2:2" x14ac:dyDescent="0.25">
      <c r="B147" t="s">
        <v>800</v>
      </c>
    </row>
    <row r="148" spans="2:2" x14ac:dyDescent="0.25">
      <c r="B148" t="s">
        <v>801</v>
      </c>
    </row>
    <row r="149" spans="2:2" x14ac:dyDescent="0.25">
      <c r="B149" t="s">
        <v>807</v>
      </c>
    </row>
    <row r="150" spans="2:2" x14ac:dyDescent="0.25">
      <c r="B150" t="s">
        <v>802</v>
      </c>
    </row>
    <row r="151" spans="2:2" x14ac:dyDescent="0.25">
      <c r="B151" t="s">
        <v>1177</v>
      </c>
    </row>
    <row r="152" spans="2:2" x14ac:dyDescent="0.25">
      <c r="B152" t="s">
        <v>803</v>
      </c>
    </row>
    <row r="153" spans="2:2" x14ac:dyDescent="0.25">
      <c r="B153" t="s">
        <v>806</v>
      </c>
    </row>
    <row r="154" spans="2:2" x14ac:dyDescent="0.25">
      <c r="B154" t="s">
        <v>804</v>
      </c>
    </row>
    <row r="155" spans="2:2" x14ac:dyDescent="0.25">
      <c r="B155" t="s">
        <v>805</v>
      </c>
    </row>
    <row r="156" spans="2:2" x14ac:dyDescent="0.25">
      <c r="B156" t="s">
        <v>1178</v>
      </c>
    </row>
    <row r="157" spans="2:2" x14ac:dyDescent="0.25">
      <c r="B157" t="s">
        <v>1179</v>
      </c>
    </row>
    <row r="158" spans="2:2" x14ac:dyDescent="0.25">
      <c r="B158" s="23" t="s">
        <v>1570</v>
      </c>
    </row>
    <row r="159" spans="2:2" x14ac:dyDescent="0.25">
      <c r="B159" t="s">
        <v>1571</v>
      </c>
    </row>
    <row r="160" spans="2:2" x14ac:dyDescent="0.25">
      <c r="B160" s="23" t="s">
        <v>778</v>
      </c>
    </row>
    <row r="161" spans="2:2" x14ac:dyDescent="0.25">
      <c r="B161" t="s">
        <v>1180</v>
      </c>
    </row>
    <row r="162" spans="2:2" x14ac:dyDescent="0.25">
      <c r="B162" t="s">
        <v>1181</v>
      </c>
    </row>
    <row r="163" spans="2:2" x14ac:dyDescent="0.25">
      <c r="B163" t="s">
        <v>689</v>
      </c>
    </row>
    <row r="164" spans="2:2" x14ac:dyDescent="0.25">
      <c r="B164" t="s">
        <v>690</v>
      </c>
    </row>
    <row r="165" spans="2:2" x14ac:dyDescent="0.25">
      <c r="B165" t="s">
        <v>1182</v>
      </c>
    </row>
    <row r="166" spans="2:2" x14ac:dyDescent="0.25">
      <c r="B166" t="s">
        <v>1183</v>
      </c>
    </row>
    <row r="167" spans="2:2" x14ac:dyDescent="0.25">
      <c r="B167" t="s">
        <v>1184</v>
      </c>
    </row>
    <row r="168" spans="2:2" x14ac:dyDescent="0.25">
      <c r="B168" t="s">
        <v>1185</v>
      </c>
    </row>
    <row r="169" spans="2:2" x14ac:dyDescent="0.25">
      <c r="B169" t="s">
        <v>1186</v>
      </c>
    </row>
    <row r="170" spans="2:2" x14ac:dyDescent="0.25">
      <c r="B170" t="s">
        <v>815</v>
      </c>
    </row>
    <row r="171" spans="2:2" x14ac:dyDescent="0.25">
      <c r="B171" t="s">
        <v>1187</v>
      </c>
    </row>
    <row r="172" spans="2:2" x14ac:dyDescent="0.25">
      <c r="B172" t="s">
        <v>1188</v>
      </c>
    </row>
    <row r="173" spans="2:2" x14ac:dyDescent="0.25">
      <c r="B173" t="s">
        <v>1189</v>
      </c>
    </row>
    <row r="174" spans="2:2" x14ac:dyDescent="0.25">
      <c r="B174" t="s">
        <v>1190</v>
      </c>
    </row>
    <row r="175" spans="2:2" x14ac:dyDescent="0.25">
      <c r="B175" t="s">
        <v>1191</v>
      </c>
    </row>
    <row r="176" spans="2:2" x14ac:dyDescent="0.25">
      <c r="B176" t="s">
        <v>1192</v>
      </c>
    </row>
    <row r="177" spans="2:2" x14ac:dyDescent="0.25">
      <c r="B177" t="s">
        <v>1193</v>
      </c>
    </row>
    <row r="178" spans="2:2" x14ac:dyDescent="0.25">
      <c r="B178" t="s">
        <v>1194</v>
      </c>
    </row>
    <row r="179" spans="2:2" x14ac:dyDescent="0.25">
      <c r="B179" t="s">
        <v>1195</v>
      </c>
    </row>
    <row r="180" spans="2:2" x14ac:dyDescent="0.25">
      <c r="B180" t="s">
        <v>814</v>
      </c>
    </row>
    <row r="181" spans="2:2" x14ac:dyDescent="0.25">
      <c r="B181" t="s">
        <v>691</v>
      </c>
    </row>
    <row r="182" spans="2:2" x14ac:dyDescent="0.25">
      <c r="B182" t="s">
        <v>692</v>
      </c>
    </row>
    <row r="183" spans="2:2" x14ac:dyDescent="0.25">
      <c r="B183" t="s">
        <v>636</v>
      </c>
    </row>
    <row r="184" spans="2:2" x14ac:dyDescent="0.25">
      <c r="B184" t="s">
        <v>912</v>
      </c>
    </row>
    <row r="185" spans="2:2" x14ac:dyDescent="0.25">
      <c r="B185" t="s">
        <v>913</v>
      </c>
    </row>
    <row r="186" spans="2:2" x14ac:dyDescent="0.25">
      <c r="B186" t="s">
        <v>914</v>
      </c>
    </row>
    <row r="187" spans="2:2" x14ac:dyDescent="0.25">
      <c r="B187" t="s">
        <v>909</v>
      </c>
    </row>
    <row r="188" spans="2:2" x14ac:dyDescent="0.25">
      <c r="B188" t="s">
        <v>910</v>
      </c>
    </row>
    <row r="189" spans="2:2" x14ac:dyDescent="0.25">
      <c r="B189" t="s">
        <v>911</v>
      </c>
    </row>
    <row r="190" spans="2:2" x14ac:dyDescent="0.25">
      <c r="B190" t="s">
        <v>693</v>
      </c>
    </row>
    <row r="191" spans="2:2" x14ac:dyDescent="0.25">
      <c r="B191" t="s">
        <v>694</v>
      </c>
    </row>
    <row r="192" spans="2:2" x14ac:dyDescent="0.25">
      <c r="B192" t="s">
        <v>637</v>
      </c>
    </row>
    <row r="193" spans="2:2" x14ac:dyDescent="0.25">
      <c r="B193" t="s">
        <v>695</v>
      </c>
    </row>
    <row r="194" spans="2:2" x14ac:dyDescent="0.25">
      <c r="B194" t="s">
        <v>696</v>
      </c>
    </row>
    <row r="195" spans="2:2" x14ac:dyDescent="0.25">
      <c r="B195" t="s">
        <v>638</v>
      </c>
    </row>
    <row r="196" spans="2:2" x14ac:dyDescent="0.25">
      <c r="B196" t="s">
        <v>697</v>
      </c>
    </row>
    <row r="197" spans="2:2" x14ac:dyDescent="0.25">
      <c r="B197" t="s">
        <v>698</v>
      </c>
    </row>
    <row r="198" spans="2:2" x14ac:dyDescent="0.25">
      <c r="B198" t="s">
        <v>639</v>
      </c>
    </row>
    <row r="199" spans="2:2" x14ac:dyDescent="0.25">
      <c r="B199" t="s">
        <v>1196</v>
      </c>
    </row>
    <row r="200" spans="2:2" x14ac:dyDescent="0.25">
      <c r="B200" t="s">
        <v>1197</v>
      </c>
    </row>
    <row r="201" spans="2:2" x14ac:dyDescent="0.25">
      <c r="B201" t="s">
        <v>640</v>
      </c>
    </row>
    <row r="202" spans="2:2" x14ac:dyDescent="0.25">
      <c r="B202" t="s">
        <v>699</v>
      </c>
    </row>
    <row r="203" spans="2:2" x14ac:dyDescent="0.25">
      <c r="B203" t="s">
        <v>700</v>
      </c>
    </row>
    <row r="204" spans="2:2" x14ac:dyDescent="0.25">
      <c r="B204" t="s">
        <v>641</v>
      </c>
    </row>
    <row r="205" spans="2:2" x14ac:dyDescent="0.25">
      <c r="B205" t="s">
        <v>701</v>
      </c>
    </row>
    <row r="206" spans="2:2" x14ac:dyDescent="0.25">
      <c r="B206" t="s">
        <v>702</v>
      </c>
    </row>
    <row r="207" spans="2:2" x14ac:dyDescent="0.25">
      <c r="B207" t="s">
        <v>642</v>
      </c>
    </row>
    <row r="208" spans="2:2" x14ac:dyDescent="0.25">
      <c r="B208" t="s">
        <v>703</v>
      </c>
    </row>
    <row r="209" spans="2:2" x14ac:dyDescent="0.25">
      <c r="B209" t="s">
        <v>704</v>
      </c>
    </row>
    <row r="210" spans="2:2" x14ac:dyDescent="0.25">
      <c r="B210" t="s">
        <v>643</v>
      </c>
    </row>
    <row r="211" spans="2:2" x14ac:dyDescent="0.25">
      <c r="B211" t="s">
        <v>705</v>
      </c>
    </row>
    <row r="212" spans="2:2" x14ac:dyDescent="0.25">
      <c r="B212" t="s">
        <v>706</v>
      </c>
    </row>
    <row r="213" spans="2:2" x14ac:dyDescent="0.25">
      <c r="B213" t="s">
        <v>644</v>
      </c>
    </row>
    <row r="214" spans="2:2" x14ac:dyDescent="0.25">
      <c r="B214" t="s">
        <v>707</v>
      </c>
    </row>
    <row r="215" spans="2:2" x14ac:dyDescent="0.25">
      <c r="B215" t="s">
        <v>708</v>
      </c>
    </row>
    <row r="216" spans="2:2" x14ac:dyDescent="0.25">
      <c r="B216" t="s">
        <v>645</v>
      </c>
    </row>
    <row r="217" spans="2:2" x14ac:dyDescent="0.25">
      <c r="B217" t="s">
        <v>709</v>
      </c>
    </row>
    <row r="218" spans="2:2" x14ac:dyDescent="0.25">
      <c r="B218" t="s">
        <v>710</v>
      </c>
    </row>
    <row r="219" spans="2:2" x14ac:dyDescent="0.25">
      <c r="B219" t="s">
        <v>646</v>
      </c>
    </row>
    <row r="220" spans="2:2" x14ac:dyDescent="0.25">
      <c r="B220" t="s">
        <v>897</v>
      </c>
    </row>
    <row r="221" spans="2:2" x14ac:dyDescent="0.25">
      <c r="B221" t="s">
        <v>898</v>
      </c>
    </row>
    <row r="222" spans="2:2" x14ac:dyDescent="0.25">
      <c r="B222" t="s">
        <v>899</v>
      </c>
    </row>
    <row r="223" spans="2:2" x14ac:dyDescent="0.25">
      <c r="B223" t="s">
        <v>900</v>
      </c>
    </row>
    <row r="224" spans="2:2" x14ac:dyDescent="0.25">
      <c r="B224" t="s">
        <v>901</v>
      </c>
    </row>
    <row r="225" spans="2:2" x14ac:dyDescent="0.25">
      <c r="B225" t="s">
        <v>902</v>
      </c>
    </row>
    <row r="226" spans="2:2" x14ac:dyDescent="0.25">
      <c r="B226" t="s">
        <v>903</v>
      </c>
    </row>
    <row r="227" spans="2:2" x14ac:dyDescent="0.25">
      <c r="B227" t="s">
        <v>904</v>
      </c>
    </row>
    <row r="228" spans="2:2" x14ac:dyDescent="0.25">
      <c r="B228" t="s">
        <v>905</v>
      </c>
    </row>
    <row r="229" spans="2:2" x14ac:dyDescent="0.25">
      <c r="B229" t="s">
        <v>711</v>
      </c>
    </row>
    <row r="230" spans="2:2" x14ac:dyDescent="0.25">
      <c r="B230" t="s">
        <v>712</v>
      </c>
    </row>
    <row r="231" spans="2:2" x14ac:dyDescent="0.25">
      <c r="B231" t="s">
        <v>647</v>
      </c>
    </row>
    <row r="232" spans="2:2" x14ac:dyDescent="0.25">
      <c r="B232" t="s">
        <v>713</v>
      </c>
    </row>
    <row r="233" spans="2:2" x14ac:dyDescent="0.25">
      <c r="B233" t="s">
        <v>714</v>
      </c>
    </row>
    <row r="234" spans="2:2" x14ac:dyDescent="0.25">
      <c r="B234" t="s">
        <v>648</v>
      </c>
    </row>
    <row r="235" spans="2:2" x14ac:dyDescent="0.25">
      <c r="B235" t="s">
        <v>906</v>
      </c>
    </row>
    <row r="236" spans="2:2" x14ac:dyDescent="0.25">
      <c r="B236" t="s">
        <v>907</v>
      </c>
    </row>
    <row r="237" spans="2:2" x14ac:dyDescent="0.25">
      <c r="B237" t="s">
        <v>908</v>
      </c>
    </row>
    <row r="238" spans="2:2" x14ac:dyDescent="0.25">
      <c r="B238" t="s">
        <v>715</v>
      </c>
    </row>
    <row r="239" spans="2:2" x14ac:dyDescent="0.25">
      <c r="B239" t="s">
        <v>716</v>
      </c>
    </row>
    <row r="240" spans="2:2" x14ac:dyDescent="0.25">
      <c r="B240" t="s">
        <v>717</v>
      </c>
    </row>
    <row r="241" spans="2:2" x14ac:dyDescent="0.25">
      <c r="B241" t="s">
        <v>718</v>
      </c>
    </row>
    <row r="242" spans="2:2" x14ac:dyDescent="0.25">
      <c r="B242" t="s">
        <v>649</v>
      </c>
    </row>
    <row r="243" spans="2:2" x14ac:dyDescent="0.25">
      <c r="B243" t="s">
        <v>719</v>
      </c>
    </row>
    <row r="244" spans="2:2" x14ac:dyDescent="0.25">
      <c r="B244" t="s">
        <v>720</v>
      </c>
    </row>
    <row r="245" spans="2:2" x14ac:dyDescent="0.25">
      <c r="B245" t="s">
        <v>650</v>
      </c>
    </row>
    <row r="246" spans="2:2" x14ac:dyDescent="0.25">
      <c r="B246" t="s">
        <v>721</v>
      </c>
    </row>
    <row r="247" spans="2:2" x14ac:dyDescent="0.25">
      <c r="B247" t="s">
        <v>722</v>
      </c>
    </row>
    <row r="248" spans="2:2" x14ac:dyDescent="0.25">
      <c r="B248" t="s">
        <v>651</v>
      </c>
    </row>
    <row r="249" spans="2:2" x14ac:dyDescent="0.25">
      <c r="B249" t="s">
        <v>894</v>
      </c>
    </row>
    <row r="250" spans="2:2" x14ac:dyDescent="0.25">
      <c r="B250" t="s">
        <v>895</v>
      </c>
    </row>
    <row r="251" spans="2:2" x14ac:dyDescent="0.25">
      <c r="B251" t="s">
        <v>896</v>
      </c>
    </row>
    <row r="252" spans="2:2" x14ac:dyDescent="0.25">
      <c r="B252" t="s">
        <v>723</v>
      </c>
    </row>
    <row r="253" spans="2:2" x14ac:dyDescent="0.25">
      <c r="B253" t="s">
        <v>724</v>
      </c>
    </row>
    <row r="254" spans="2:2" x14ac:dyDescent="0.25">
      <c r="B254" t="s">
        <v>652</v>
      </c>
    </row>
    <row r="255" spans="2:2" x14ac:dyDescent="0.25">
      <c r="B255" t="s">
        <v>725</v>
      </c>
    </row>
    <row r="256" spans="2:2" x14ac:dyDescent="0.25">
      <c r="B256" t="s">
        <v>726</v>
      </c>
    </row>
    <row r="257" spans="2:2" x14ac:dyDescent="0.25">
      <c r="B257" t="s">
        <v>653</v>
      </c>
    </row>
    <row r="258" spans="2:2" x14ac:dyDescent="0.25">
      <c r="B258" t="s">
        <v>727</v>
      </c>
    </row>
    <row r="259" spans="2:2" x14ac:dyDescent="0.25">
      <c r="B259" t="s">
        <v>728</v>
      </c>
    </row>
    <row r="260" spans="2:2" x14ac:dyDescent="0.25">
      <c r="B260" t="s">
        <v>654</v>
      </c>
    </row>
    <row r="261" spans="2:2" x14ac:dyDescent="0.25">
      <c r="B261" t="s">
        <v>729</v>
      </c>
    </row>
    <row r="262" spans="2:2" x14ac:dyDescent="0.25">
      <c r="B262" t="s">
        <v>730</v>
      </c>
    </row>
    <row r="263" spans="2:2" x14ac:dyDescent="0.25">
      <c r="B263" t="s">
        <v>731</v>
      </c>
    </row>
    <row r="264" spans="2:2" x14ac:dyDescent="0.25">
      <c r="B264" t="s">
        <v>732</v>
      </c>
    </row>
    <row r="265" spans="2:2" x14ac:dyDescent="0.25">
      <c r="B265" t="s">
        <v>655</v>
      </c>
    </row>
    <row r="266" spans="2:2" x14ac:dyDescent="0.25">
      <c r="B266" t="s">
        <v>1198</v>
      </c>
    </row>
    <row r="267" spans="2:2" x14ac:dyDescent="0.25">
      <c r="B267" t="s">
        <v>1199</v>
      </c>
    </row>
    <row r="268" spans="2:2" x14ac:dyDescent="0.25">
      <c r="B268" t="s">
        <v>1200</v>
      </c>
    </row>
    <row r="269" spans="2:2" x14ac:dyDescent="0.25">
      <c r="B269" t="s">
        <v>1201</v>
      </c>
    </row>
    <row r="270" spans="2:2" x14ac:dyDescent="0.25">
      <c r="B270" t="s">
        <v>1202</v>
      </c>
    </row>
    <row r="271" spans="2:2" x14ac:dyDescent="0.25">
      <c r="B271" t="s">
        <v>1203</v>
      </c>
    </row>
    <row r="272" spans="2:2" x14ac:dyDescent="0.25">
      <c r="B272" t="s">
        <v>1204</v>
      </c>
    </row>
    <row r="273" spans="2:2" x14ac:dyDescent="0.25">
      <c r="B273" t="s">
        <v>1205</v>
      </c>
    </row>
    <row r="274" spans="2:2" x14ac:dyDescent="0.25">
      <c r="B274" t="s">
        <v>1206</v>
      </c>
    </row>
    <row r="275" spans="2:2" x14ac:dyDescent="0.25">
      <c r="B275" t="s">
        <v>1207</v>
      </c>
    </row>
    <row r="276" spans="2:2" x14ac:dyDescent="0.25">
      <c r="B276" t="s">
        <v>1208</v>
      </c>
    </row>
    <row r="277" spans="2:2" x14ac:dyDescent="0.25">
      <c r="B277" t="s">
        <v>1209</v>
      </c>
    </row>
    <row r="278" spans="2:2" x14ac:dyDescent="0.25">
      <c r="B278" t="s">
        <v>923</v>
      </c>
    </row>
    <row r="279" spans="2:2" x14ac:dyDescent="0.25">
      <c r="B279" t="s">
        <v>917</v>
      </c>
    </row>
    <row r="280" spans="2:2" x14ac:dyDescent="0.25">
      <c r="B280" t="s">
        <v>919</v>
      </c>
    </row>
    <row r="281" spans="2:2" x14ac:dyDescent="0.25">
      <c r="B281" t="s">
        <v>922</v>
      </c>
    </row>
    <row r="282" spans="2:2" x14ac:dyDescent="0.25">
      <c r="B282" t="s">
        <v>918</v>
      </c>
    </row>
    <row r="283" spans="2:2" x14ac:dyDescent="0.25">
      <c r="B283" t="s">
        <v>925</v>
      </c>
    </row>
    <row r="284" spans="2:2" x14ac:dyDescent="0.25">
      <c r="B284" t="s">
        <v>926</v>
      </c>
    </row>
    <row r="285" spans="2:2" x14ac:dyDescent="0.25">
      <c r="B285" t="s">
        <v>924</v>
      </c>
    </row>
    <row r="286" spans="2:2" x14ac:dyDescent="0.25">
      <c r="B286" t="s">
        <v>733</v>
      </c>
    </row>
    <row r="287" spans="2:2" x14ac:dyDescent="0.25">
      <c r="B287" t="s">
        <v>734</v>
      </c>
    </row>
    <row r="288" spans="2:2" x14ac:dyDescent="0.25">
      <c r="B288" t="s">
        <v>735</v>
      </c>
    </row>
    <row r="289" spans="2:2" x14ac:dyDescent="0.25">
      <c r="B289" t="s">
        <v>736</v>
      </c>
    </row>
    <row r="290" spans="2:2" x14ac:dyDescent="0.25">
      <c r="B290" t="s">
        <v>737</v>
      </c>
    </row>
    <row r="291" spans="2:2" x14ac:dyDescent="0.25">
      <c r="B291" t="s">
        <v>738</v>
      </c>
    </row>
    <row r="292" spans="2:2" x14ac:dyDescent="0.25">
      <c r="B292" t="s">
        <v>739</v>
      </c>
    </row>
    <row r="293" spans="2:2" x14ac:dyDescent="0.25">
      <c r="B293" t="s">
        <v>916</v>
      </c>
    </row>
    <row r="294" spans="2:2" x14ac:dyDescent="0.25">
      <c r="B294" t="s">
        <v>915</v>
      </c>
    </row>
    <row r="295" spans="2:2" x14ac:dyDescent="0.25">
      <c r="B295" t="s">
        <v>1210</v>
      </c>
    </row>
    <row r="296" spans="2:2" x14ac:dyDescent="0.25">
      <c r="B296" t="s">
        <v>740</v>
      </c>
    </row>
    <row r="297" spans="2:2" x14ac:dyDescent="0.25">
      <c r="B297" t="s">
        <v>1211</v>
      </c>
    </row>
    <row r="298" spans="2:2" x14ac:dyDescent="0.25">
      <c r="B298" t="s">
        <v>741</v>
      </c>
    </row>
    <row r="299" spans="2:2" x14ac:dyDescent="0.25">
      <c r="B299" t="s">
        <v>921</v>
      </c>
    </row>
    <row r="300" spans="2:2" x14ac:dyDescent="0.25">
      <c r="B300" t="s">
        <v>920</v>
      </c>
    </row>
    <row r="301" spans="2:2" x14ac:dyDescent="0.25">
      <c r="B301" t="s">
        <v>742</v>
      </c>
    </row>
    <row r="302" spans="2:2" x14ac:dyDescent="0.25">
      <c r="B302" t="s">
        <v>743</v>
      </c>
    </row>
    <row r="303" spans="2:2" x14ac:dyDescent="0.25">
      <c r="B303" t="s">
        <v>1212</v>
      </c>
    </row>
    <row r="304" spans="2:2" x14ac:dyDescent="0.25">
      <c r="B304" t="s">
        <v>1213</v>
      </c>
    </row>
    <row r="305" spans="2:2" x14ac:dyDescent="0.25">
      <c r="B305" t="s">
        <v>1214</v>
      </c>
    </row>
    <row r="306" spans="2:2" x14ac:dyDescent="0.25">
      <c r="B306" t="s">
        <v>1215</v>
      </c>
    </row>
    <row r="307" spans="2:2" x14ac:dyDescent="0.25">
      <c r="B307" t="s">
        <v>1216</v>
      </c>
    </row>
    <row r="308" spans="2:2" x14ac:dyDescent="0.25">
      <c r="B308" t="s">
        <v>1217</v>
      </c>
    </row>
    <row r="309" spans="2:2" x14ac:dyDescent="0.25">
      <c r="B309" t="s">
        <v>1218</v>
      </c>
    </row>
    <row r="310" spans="2:2" x14ac:dyDescent="0.25">
      <c r="B310" t="s">
        <v>1219</v>
      </c>
    </row>
    <row r="311" spans="2:2" x14ac:dyDescent="0.25">
      <c r="B311" t="s">
        <v>1220</v>
      </c>
    </row>
    <row r="312" spans="2:2" x14ac:dyDescent="0.25">
      <c r="B312" t="s">
        <v>1221</v>
      </c>
    </row>
    <row r="313" spans="2:2" x14ac:dyDescent="0.25">
      <c r="B313" t="s">
        <v>1222</v>
      </c>
    </row>
    <row r="314" spans="2:2" x14ac:dyDescent="0.25">
      <c r="B314" t="s">
        <v>1223</v>
      </c>
    </row>
    <row r="315" spans="2:2" x14ac:dyDescent="0.25">
      <c r="B315" t="s">
        <v>1224</v>
      </c>
    </row>
    <row r="316" spans="2:2" x14ac:dyDescent="0.25">
      <c r="B316" t="s">
        <v>1225</v>
      </c>
    </row>
    <row r="317" spans="2:2" x14ac:dyDescent="0.25">
      <c r="B317" t="s">
        <v>1226</v>
      </c>
    </row>
    <row r="318" spans="2:2" x14ac:dyDescent="0.25">
      <c r="B318" t="s">
        <v>1227</v>
      </c>
    </row>
    <row r="319" spans="2:2" x14ac:dyDescent="0.25">
      <c r="B319" t="s">
        <v>1228</v>
      </c>
    </row>
    <row r="320" spans="2:2" x14ac:dyDescent="0.25">
      <c r="B320" t="s">
        <v>1229</v>
      </c>
    </row>
    <row r="321" spans="2:2" x14ac:dyDescent="0.25">
      <c r="B321" t="s">
        <v>1230</v>
      </c>
    </row>
    <row r="322" spans="2:2" x14ac:dyDescent="0.25">
      <c r="B322" t="s">
        <v>1231</v>
      </c>
    </row>
    <row r="323" spans="2:2" x14ac:dyDescent="0.25">
      <c r="B323" t="s">
        <v>1232</v>
      </c>
    </row>
    <row r="324" spans="2:2" x14ac:dyDescent="0.25">
      <c r="B324" t="s">
        <v>1233</v>
      </c>
    </row>
    <row r="325" spans="2:2" x14ac:dyDescent="0.25">
      <c r="B325" t="s">
        <v>1234</v>
      </c>
    </row>
    <row r="326" spans="2:2" x14ac:dyDescent="0.25">
      <c r="B326" t="s">
        <v>1235</v>
      </c>
    </row>
    <row r="327" spans="2:2" x14ac:dyDescent="0.25">
      <c r="B327" t="s">
        <v>1236</v>
      </c>
    </row>
    <row r="328" spans="2:2" x14ac:dyDescent="0.25">
      <c r="B328" t="s">
        <v>1237</v>
      </c>
    </row>
    <row r="329" spans="2:2" x14ac:dyDescent="0.25">
      <c r="B329" s="23" t="s">
        <v>1238</v>
      </c>
    </row>
    <row r="330" spans="2:2" x14ac:dyDescent="0.25">
      <c r="B330" t="s">
        <v>1239</v>
      </c>
    </row>
    <row r="331" spans="2:2" x14ac:dyDescent="0.25">
      <c r="B331" s="23" t="s">
        <v>779</v>
      </c>
    </row>
    <row r="332" spans="2:2" x14ac:dyDescent="0.25">
      <c r="B332" t="s">
        <v>1240</v>
      </c>
    </row>
    <row r="333" spans="2:2" x14ac:dyDescent="0.25">
      <c r="B333" t="s">
        <v>1241</v>
      </c>
    </row>
    <row r="334" spans="2:2" x14ac:dyDescent="0.25">
      <c r="B334" t="s">
        <v>1242</v>
      </c>
    </row>
    <row r="335" spans="2:2" x14ac:dyDescent="0.25">
      <c r="B335" t="s">
        <v>1243</v>
      </c>
    </row>
    <row r="336" spans="2:2" x14ac:dyDescent="0.25">
      <c r="B336" t="s">
        <v>1244</v>
      </c>
    </row>
    <row r="337" spans="2:2" x14ac:dyDescent="0.25">
      <c r="B337" t="s">
        <v>1245</v>
      </c>
    </row>
    <row r="338" spans="2:2" x14ac:dyDescent="0.25">
      <c r="B338" t="s">
        <v>1246</v>
      </c>
    </row>
    <row r="339" spans="2:2" x14ac:dyDescent="0.25">
      <c r="B339" t="s">
        <v>1247</v>
      </c>
    </row>
    <row r="340" spans="2:2" x14ac:dyDescent="0.25">
      <c r="B340" t="s">
        <v>1248</v>
      </c>
    </row>
    <row r="341" spans="2:2" x14ac:dyDescent="0.25">
      <c r="B341" t="s">
        <v>1249</v>
      </c>
    </row>
    <row r="342" spans="2:2" x14ac:dyDescent="0.25">
      <c r="B342" t="s">
        <v>1250</v>
      </c>
    </row>
    <row r="343" spans="2:2" x14ac:dyDescent="0.25">
      <c r="B343" t="s">
        <v>1251</v>
      </c>
    </row>
    <row r="344" spans="2:2" x14ac:dyDescent="0.25">
      <c r="B344" t="s">
        <v>1252</v>
      </c>
    </row>
    <row r="345" spans="2:2" x14ac:dyDescent="0.25">
      <c r="B345" t="s">
        <v>1253</v>
      </c>
    </row>
    <row r="346" spans="2:2" x14ac:dyDescent="0.25">
      <c r="B346" t="s">
        <v>1254</v>
      </c>
    </row>
    <row r="347" spans="2:2" x14ac:dyDescent="0.25">
      <c r="B347" t="s">
        <v>1255</v>
      </c>
    </row>
    <row r="348" spans="2:2" x14ac:dyDescent="0.25">
      <c r="B348" t="s">
        <v>1256</v>
      </c>
    </row>
    <row r="349" spans="2:2" x14ac:dyDescent="0.25">
      <c r="B349" t="s">
        <v>1257</v>
      </c>
    </row>
    <row r="350" spans="2:2" x14ac:dyDescent="0.25">
      <c r="B350" t="s">
        <v>1258</v>
      </c>
    </row>
    <row r="351" spans="2:2" x14ac:dyDescent="0.25">
      <c r="B351" t="s">
        <v>1259</v>
      </c>
    </row>
    <row r="352" spans="2:2" x14ac:dyDescent="0.25">
      <c r="B352" t="s">
        <v>1260</v>
      </c>
    </row>
    <row r="353" spans="2:2" x14ac:dyDescent="0.25">
      <c r="B353" t="s">
        <v>1261</v>
      </c>
    </row>
    <row r="354" spans="2:2" x14ac:dyDescent="0.25">
      <c r="B354" t="s">
        <v>1262</v>
      </c>
    </row>
    <row r="355" spans="2:2" x14ac:dyDescent="0.25">
      <c r="B355" t="s">
        <v>1263</v>
      </c>
    </row>
    <row r="356" spans="2:2" x14ac:dyDescent="0.25">
      <c r="B356" t="s">
        <v>1264</v>
      </c>
    </row>
    <row r="357" spans="2:2" x14ac:dyDescent="0.25">
      <c r="B357" t="s">
        <v>1265</v>
      </c>
    </row>
    <row r="358" spans="2:2" x14ac:dyDescent="0.25">
      <c r="B358" t="s">
        <v>1266</v>
      </c>
    </row>
    <row r="359" spans="2:2" x14ac:dyDescent="0.25">
      <c r="B359" t="s">
        <v>1267</v>
      </c>
    </row>
    <row r="360" spans="2:2" x14ac:dyDescent="0.25">
      <c r="B360" t="s">
        <v>1268</v>
      </c>
    </row>
    <row r="361" spans="2:2" x14ac:dyDescent="0.25">
      <c r="B361" t="s">
        <v>1269</v>
      </c>
    </row>
    <row r="362" spans="2:2" x14ac:dyDescent="0.25">
      <c r="B362" t="s">
        <v>1270</v>
      </c>
    </row>
    <row r="363" spans="2:2" x14ac:dyDescent="0.25">
      <c r="B363" t="s">
        <v>1271</v>
      </c>
    </row>
    <row r="364" spans="2:2" x14ac:dyDescent="0.25">
      <c r="B364" t="s">
        <v>1272</v>
      </c>
    </row>
    <row r="365" spans="2:2" x14ac:dyDescent="0.25">
      <c r="B365" t="s">
        <v>1273</v>
      </c>
    </row>
    <row r="366" spans="2:2" x14ac:dyDescent="0.25">
      <c r="B366" t="s">
        <v>1274</v>
      </c>
    </row>
    <row r="367" spans="2:2" x14ac:dyDescent="0.25">
      <c r="B367" t="s">
        <v>1275</v>
      </c>
    </row>
    <row r="368" spans="2:2" x14ac:dyDescent="0.25">
      <c r="B368" t="s">
        <v>1276</v>
      </c>
    </row>
    <row r="369" spans="2:2" x14ac:dyDescent="0.25">
      <c r="B369" t="s">
        <v>1277</v>
      </c>
    </row>
    <row r="370" spans="2:2" x14ac:dyDescent="0.25">
      <c r="B370" t="s">
        <v>1278</v>
      </c>
    </row>
    <row r="371" spans="2:2" x14ac:dyDescent="0.25">
      <c r="B371" t="s">
        <v>1279</v>
      </c>
    </row>
    <row r="372" spans="2:2" x14ac:dyDescent="0.25">
      <c r="B372" t="s">
        <v>1280</v>
      </c>
    </row>
    <row r="373" spans="2:2" x14ac:dyDescent="0.25">
      <c r="B373" t="s">
        <v>1281</v>
      </c>
    </row>
    <row r="374" spans="2:2" x14ac:dyDescent="0.25">
      <c r="B374" t="s">
        <v>1282</v>
      </c>
    </row>
    <row r="375" spans="2:2" x14ac:dyDescent="0.25">
      <c r="B375" t="s">
        <v>1283</v>
      </c>
    </row>
    <row r="376" spans="2:2" x14ac:dyDescent="0.25">
      <c r="B376" t="s">
        <v>1284</v>
      </c>
    </row>
    <row r="377" spans="2:2" x14ac:dyDescent="0.25">
      <c r="B377" t="s">
        <v>1285</v>
      </c>
    </row>
    <row r="378" spans="2:2" x14ac:dyDescent="0.25">
      <c r="B378" t="s">
        <v>1286</v>
      </c>
    </row>
    <row r="379" spans="2:2" x14ac:dyDescent="0.25">
      <c r="B379" t="s">
        <v>1287</v>
      </c>
    </row>
    <row r="380" spans="2:2" x14ac:dyDescent="0.25">
      <c r="B380" t="s">
        <v>1288</v>
      </c>
    </row>
    <row r="381" spans="2:2" x14ac:dyDescent="0.25">
      <c r="B381" t="s">
        <v>1289</v>
      </c>
    </row>
    <row r="382" spans="2:2" x14ac:dyDescent="0.25">
      <c r="B382" t="s">
        <v>1290</v>
      </c>
    </row>
    <row r="383" spans="2:2" x14ac:dyDescent="0.25">
      <c r="B383" t="s">
        <v>1291</v>
      </c>
    </row>
    <row r="384" spans="2:2" x14ac:dyDescent="0.25">
      <c r="B384" t="s">
        <v>1292</v>
      </c>
    </row>
    <row r="385" spans="2:2" x14ac:dyDescent="0.25">
      <c r="B385" t="s">
        <v>1293</v>
      </c>
    </row>
    <row r="386" spans="2:2" x14ac:dyDescent="0.25">
      <c r="B386" t="s">
        <v>1294</v>
      </c>
    </row>
    <row r="387" spans="2:2" x14ac:dyDescent="0.25">
      <c r="B387" t="s">
        <v>1295</v>
      </c>
    </row>
    <row r="388" spans="2:2" x14ac:dyDescent="0.25">
      <c r="B388" t="s">
        <v>1296</v>
      </c>
    </row>
    <row r="389" spans="2:2" x14ac:dyDescent="0.25">
      <c r="B389" t="s">
        <v>1297</v>
      </c>
    </row>
    <row r="390" spans="2:2" x14ac:dyDescent="0.25">
      <c r="B390" t="s">
        <v>1298</v>
      </c>
    </row>
    <row r="391" spans="2:2" x14ac:dyDescent="0.25">
      <c r="B391" t="s">
        <v>1299</v>
      </c>
    </row>
    <row r="392" spans="2:2" x14ac:dyDescent="0.25">
      <c r="B392" t="s">
        <v>1300</v>
      </c>
    </row>
    <row r="393" spans="2:2" x14ac:dyDescent="0.25">
      <c r="B393" t="s">
        <v>1301</v>
      </c>
    </row>
    <row r="394" spans="2:2" x14ac:dyDescent="0.25">
      <c r="B394" t="s">
        <v>1302</v>
      </c>
    </row>
    <row r="395" spans="2:2" x14ac:dyDescent="0.25">
      <c r="B395" t="s">
        <v>1303</v>
      </c>
    </row>
    <row r="396" spans="2:2" x14ac:dyDescent="0.25">
      <c r="B396" t="s">
        <v>1304</v>
      </c>
    </row>
    <row r="397" spans="2:2" x14ac:dyDescent="0.25">
      <c r="B397" t="s">
        <v>1305</v>
      </c>
    </row>
    <row r="398" spans="2:2" x14ac:dyDescent="0.25">
      <c r="B398" t="s">
        <v>1306</v>
      </c>
    </row>
    <row r="399" spans="2:2" x14ac:dyDescent="0.25">
      <c r="B399" t="s">
        <v>1307</v>
      </c>
    </row>
    <row r="400" spans="2:2" x14ac:dyDescent="0.25">
      <c r="B400" t="s">
        <v>1308</v>
      </c>
    </row>
    <row r="401" spans="2:2" x14ac:dyDescent="0.25">
      <c r="B401" t="s">
        <v>1309</v>
      </c>
    </row>
    <row r="402" spans="2:2" x14ac:dyDescent="0.25">
      <c r="B402" t="s">
        <v>1310</v>
      </c>
    </row>
    <row r="403" spans="2:2" x14ac:dyDescent="0.25">
      <c r="B403" t="s">
        <v>1311</v>
      </c>
    </row>
    <row r="404" spans="2:2" x14ac:dyDescent="0.25">
      <c r="B404" t="s">
        <v>1312</v>
      </c>
    </row>
    <row r="405" spans="2:2" x14ac:dyDescent="0.25">
      <c r="B405" t="s">
        <v>1313</v>
      </c>
    </row>
    <row r="406" spans="2:2" x14ac:dyDescent="0.25">
      <c r="B406" t="s">
        <v>1314</v>
      </c>
    </row>
    <row r="407" spans="2:2" x14ac:dyDescent="0.25">
      <c r="B407" t="s">
        <v>1315</v>
      </c>
    </row>
    <row r="408" spans="2:2" x14ac:dyDescent="0.25">
      <c r="B408" t="s">
        <v>1316</v>
      </c>
    </row>
    <row r="409" spans="2:2" x14ac:dyDescent="0.25">
      <c r="B409" t="s">
        <v>1317</v>
      </c>
    </row>
    <row r="410" spans="2:2" x14ac:dyDescent="0.25">
      <c r="B410" t="s">
        <v>1318</v>
      </c>
    </row>
    <row r="411" spans="2:2" x14ac:dyDescent="0.25">
      <c r="B411" t="s">
        <v>1319</v>
      </c>
    </row>
    <row r="412" spans="2:2" x14ac:dyDescent="0.25">
      <c r="B412" t="s">
        <v>1320</v>
      </c>
    </row>
    <row r="413" spans="2:2" x14ac:dyDescent="0.25">
      <c r="B413" t="s">
        <v>1321</v>
      </c>
    </row>
    <row r="414" spans="2:2" x14ac:dyDescent="0.25">
      <c r="B414" t="s">
        <v>1322</v>
      </c>
    </row>
    <row r="415" spans="2:2" x14ac:dyDescent="0.25">
      <c r="B415" t="s">
        <v>1323</v>
      </c>
    </row>
    <row r="416" spans="2:2" x14ac:dyDescent="0.25">
      <c r="B416" t="s">
        <v>1324</v>
      </c>
    </row>
    <row r="417" spans="2:2" x14ac:dyDescent="0.25">
      <c r="B417" t="s">
        <v>1325</v>
      </c>
    </row>
    <row r="418" spans="2:2" x14ac:dyDescent="0.25">
      <c r="B418" t="s">
        <v>1326</v>
      </c>
    </row>
    <row r="419" spans="2:2" x14ac:dyDescent="0.25">
      <c r="B419" t="s">
        <v>1327</v>
      </c>
    </row>
    <row r="420" spans="2:2" x14ac:dyDescent="0.25">
      <c r="B420" t="s">
        <v>1328</v>
      </c>
    </row>
    <row r="421" spans="2:2" x14ac:dyDescent="0.25">
      <c r="B421" t="s">
        <v>1329</v>
      </c>
    </row>
    <row r="422" spans="2:2" x14ac:dyDescent="0.25">
      <c r="B422" t="s">
        <v>1330</v>
      </c>
    </row>
    <row r="423" spans="2:2" x14ac:dyDescent="0.25">
      <c r="B423" t="s">
        <v>1331</v>
      </c>
    </row>
    <row r="424" spans="2:2" x14ac:dyDescent="0.25">
      <c r="B424" t="s">
        <v>1332</v>
      </c>
    </row>
    <row r="425" spans="2:2" x14ac:dyDescent="0.25">
      <c r="B425" t="s">
        <v>1333</v>
      </c>
    </row>
    <row r="426" spans="2:2" x14ac:dyDescent="0.25">
      <c r="B426" t="s">
        <v>1334</v>
      </c>
    </row>
    <row r="427" spans="2:2" x14ac:dyDescent="0.25">
      <c r="B427" t="s">
        <v>1335</v>
      </c>
    </row>
    <row r="428" spans="2:2" x14ac:dyDescent="0.25">
      <c r="B428" t="s">
        <v>1336</v>
      </c>
    </row>
    <row r="429" spans="2:2" x14ac:dyDescent="0.25">
      <c r="B429" t="s">
        <v>1337</v>
      </c>
    </row>
    <row r="430" spans="2:2" x14ac:dyDescent="0.25">
      <c r="B430" t="s">
        <v>1338</v>
      </c>
    </row>
    <row r="431" spans="2:2" x14ac:dyDescent="0.25">
      <c r="B431" t="s">
        <v>1339</v>
      </c>
    </row>
    <row r="432" spans="2:2" x14ac:dyDescent="0.25">
      <c r="B432" t="s">
        <v>1340</v>
      </c>
    </row>
    <row r="433" spans="2:2" x14ac:dyDescent="0.25">
      <c r="B433" t="s">
        <v>1341</v>
      </c>
    </row>
    <row r="434" spans="2:2" x14ac:dyDescent="0.25">
      <c r="B434" t="s">
        <v>1342</v>
      </c>
    </row>
    <row r="435" spans="2:2" x14ac:dyDescent="0.25">
      <c r="B435" t="s">
        <v>1343</v>
      </c>
    </row>
    <row r="436" spans="2:2" x14ac:dyDescent="0.25">
      <c r="B436" t="s">
        <v>1344</v>
      </c>
    </row>
    <row r="437" spans="2:2" x14ac:dyDescent="0.25">
      <c r="B437" t="s">
        <v>1345</v>
      </c>
    </row>
    <row r="438" spans="2:2" x14ac:dyDescent="0.25">
      <c r="B438" t="s">
        <v>1346</v>
      </c>
    </row>
    <row r="439" spans="2:2" x14ac:dyDescent="0.25">
      <c r="B439" t="s">
        <v>1347</v>
      </c>
    </row>
    <row r="440" spans="2:2" x14ac:dyDescent="0.25">
      <c r="B440" t="s">
        <v>1348</v>
      </c>
    </row>
    <row r="441" spans="2:2" x14ac:dyDescent="0.25">
      <c r="B441" t="s">
        <v>1349</v>
      </c>
    </row>
    <row r="442" spans="2:2" x14ac:dyDescent="0.25">
      <c r="B442" t="s">
        <v>1350</v>
      </c>
    </row>
    <row r="443" spans="2:2" x14ac:dyDescent="0.25">
      <c r="B443" t="s">
        <v>1351</v>
      </c>
    </row>
    <row r="444" spans="2:2" x14ac:dyDescent="0.25">
      <c r="B444" t="s">
        <v>927</v>
      </c>
    </row>
    <row r="445" spans="2:2" x14ac:dyDescent="0.25">
      <c r="B445" t="s">
        <v>928</v>
      </c>
    </row>
    <row r="446" spans="2:2" x14ac:dyDescent="0.25">
      <c r="B446" t="s">
        <v>929</v>
      </c>
    </row>
    <row r="447" spans="2:2" x14ac:dyDescent="0.25">
      <c r="B447" t="s">
        <v>930</v>
      </c>
    </row>
    <row r="448" spans="2:2" x14ac:dyDescent="0.25">
      <c r="B448" t="s">
        <v>931</v>
      </c>
    </row>
    <row r="449" spans="2:2" x14ac:dyDescent="0.25">
      <c r="B449" t="s">
        <v>1352</v>
      </c>
    </row>
    <row r="450" spans="2:2" x14ac:dyDescent="0.25">
      <c r="B450" t="s">
        <v>1353</v>
      </c>
    </row>
    <row r="451" spans="2:2" x14ac:dyDescent="0.25">
      <c r="B451" t="s">
        <v>1354</v>
      </c>
    </row>
    <row r="452" spans="2:2" x14ac:dyDescent="0.25">
      <c r="B452" t="s">
        <v>1355</v>
      </c>
    </row>
    <row r="453" spans="2:2" x14ac:dyDescent="0.25">
      <c r="B453" t="s">
        <v>1356</v>
      </c>
    </row>
    <row r="454" spans="2:2" x14ac:dyDescent="0.25">
      <c r="B454" t="s">
        <v>1357</v>
      </c>
    </row>
    <row r="455" spans="2:2" x14ac:dyDescent="0.25">
      <c r="B455" t="s">
        <v>1358</v>
      </c>
    </row>
    <row r="456" spans="2:2" x14ac:dyDescent="0.25">
      <c r="B456" t="s">
        <v>1359</v>
      </c>
    </row>
    <row r="457" spans="2:2" x14ac:dyDescent="0.25">
      <c r="B457" t="s">
        <v>1360</v>
      </c>
    </row>
    <row r="458" spans="2:2" x14ac:dyDescent="0.25">
      <c r="B458" t="s">
        <v>1361</v>
      </c>
    </row>
    <row r="459" spans="2:2" x14ac:dyDescent="0.25">
      <c r="B459" t="s">
        <v>1362</v>
      </c>
    </row>
    <row r="460" spans="2:2" x14ac:dyDescent="0.25">
      <c r="B460" t="s">
        <v>1363</v>
      </c>
    </row>
    <row r="461" spans="2:2" x14ac:dyDescent="0.25">
      <c r="B461" t="s">
        <v>1364</v>
      </c>
    </row>
    <row r="462" spans="2:2" x14ac:dyDescent="0.25">
      <c r="B462" t="s">
        <v>1365</v>
      </c>
    </row>
    <row r="463" spans="2:2" x14ac:dyDescent="0.25">
      <c r="B463" t="s">
        <v>1366</v>
      </c>
    </row>
    <row r="464" spans="2:2" x14ac:dyDescent="0.25">
      <c r="B464" t="s">
        <v>1367</v>
      </c>
    </row>
    <row r="465" spans="2:2" x14ac:dyDescent="0.25">
      <c r="B465" t="s">
        <v>1368</v>
      </c>
    </row>
    <row r="466" spans="2:2" x14ac:dyDescent="0.25">
      <c r="B466" t="s">
        <v>1369</v>
      </c>
    </row>
    <row r="467" spans="2:2" x14ac:dyDescent="0.25">
      <c r="B467" t="s">
        <v>1370</v>
      </c>
    </row>
    <row r="468" spans="2:2" x14ac:dyDescent="0.25">
      <c r="B468" t="s">
        <v>1371</v>
      </c>
    </row>
    <row r="469" spans="2:2" x14ac:dyDescent="0.25">
      <c r="B469" t="s">
        <v>816</v>
      </c>
    </row>
    <row r="470" spans="2:2" x14ac:dyDescent="0.25">
      <c r="B470" t="s">
        <v>817</v>
      </c>
    </row>
    <row r="471" spans="2:2" x14ac:dyDescent="0.25">
      <c r="B471" t="s">
        <v>1372</v>
      </c>
    </row>
    <row r="472" spans="2:2" x14ac:dyDescent="0.25">
      <c r="B472" t="s">
        <v>1373</v>
      </c>
    </row>
    <row r="473" spans="2:2" x14ac:dyDescent="0.25">
      <c r="B473" t="s">
        <v>1374</v>
      </c>
    </row>
    <row r="474" spans="2:2" x14ac:dyDescent="0.25">
      <c r="B474" t="s">
        <v>1375</v>
      </c>
    </row>
    <row r="475" spans="2:2" x14ac:dyDescent="0.25">
      <c r="B475" t="s">
        <v>1376</v>
      </c>
    </row>
    <row r="476" spans="2:2" x14ac:dyDescent="0.25">
      <c r="B476" t="s">
        <v>1377</v>
      </c>
    </row>
    <row r="477" spans="2:2" x14ac:dyDescent="0.25">
      <c r="B477" t="s">
        <v>1378</v>
      </c>
    </row>
    <row r="478" spans="2:2" x14ac:dyDescent="0.25">
      <c r="B478" t="s">
        <v>1379</v>
      </c>
    </row>
    <row r="479" spans="2:2" x14ac:dyDescent="0.25">
      <c r="B479" t="s">
        <v>1380</v>
      </c>
    </row>
    <row r="480" spans="2:2" x14ac:dyDescent="0.25">
      <c r="B480" t="s">
        <v>1381</v>
      </c>
    </row>
    <row r="481" spans="2:2" x14ac:dyDescent="0.25">
      <c r="B481" t="s">
        <v>1382</v>
      </c>
    </row>
    <row r="482" spans="2:2" x14ac:dyDescent="0.25">
      <c r="B482" t="s">
        <v>1383</v>
      </c>
    </row>
    <row r="483" spans="2:2" x14ac:dyDescent="0.25">
      <c r="B483" t="s">
        <v>1384</v>
      </c>
    </row>
    <row r="484" spans="2:2" x14ac:dyDescent="0.25">
      <c r="B484" t="s">
        <v>1385</v>
      </c>
    </row>
    <row r="485" spans="2:2" x14ac:dyDescent="0.25">
      <c r="B485" t="s">
        <v>1386</v>
      </c>
    </row>
    <row r="486" spans="2:2" x14ac:dyDescent="0.25">
      <c r="B486" t="s">
        <v>1387</v>
      </c>
    </row>
    <row r="487" spans="2:2" x14ac:dyDescent="0.25">
      <c r="B487" t="s">
        <v>1388</v>
      </c>
    </row>
    <row r="488" spans="2:2" x14ac:dyDescent="0.25">
      <c r="B488" t="s">
        <v>1389</v>
      </c>
    </row>
    <row r="489" spans="2:2" x14ac:dyDescent="0.25">
      <c r="B489" t="s">
        <v>1390</v>
      </c>
    </row>
    <row r="490" spans="2:2" x14ac:dyDescent="0.25">
      <c r="B490" t="s">
        <v>1391</v>
      </c>
    </row>
    <row r="491" spans="2:2" x14ac:dyDescent="0.25">
      <c r="B491" t="s">
        <v>1392</v>
      </c>
    </row>
    <row r="492" spans="2:2" x14ac:dyDescent="0.25">
      <c r="B492" t="s">
        <v>1393</v>
      </c>
    </row>
    <row r="493" spans="2:2" x14ac:dyDescent="0.25">
      <c r="B493" t="s">
        <v>1394</v>
      </c>
    </row>
    <row r="494" spans="2:2" x14ac:dyDescent="0.25">
      <c r="B494" t="s">
        <v>1395</v>
      </c>
    </row>
    <row r="495" spans="2:2" x14ac:dyDescent="0.25">
      <c r="B495" t="s">
        <v>1396</v>
      </c>
    </row>
    <row r="496" spans="2:2" x14ac:dyDescent="0.25">
      <c r="B496" t="s">
        <v>1397</v>
      </c>
    </row>
    <row r="497" spans="2:2" x14ac:dyDescent="0.25">
      <c r="B497" t="s">
        <v>1398</v>
      </c>
    </row>
    <row r="498" spans="2:2" x14ac:dyDescent="0.25">
      <c r="B498" t="s">
        <v>1399</v>
      </c>
    </row>
    <row r="499" spans="2:2" x14ac:dyDescent="0.25">
      <c r="B499" t="s">
        <v>1400</v>
      </c>
    </row>
    <row r="500" spans="2:2" x14ac:dyDescent="0.25">
      <c r="B500" t="s">
        <v>1401</v>
      </c>
    </row>
    <row r="501" spans="2:2" x14ac:dyDescent="0.25">
      <c r="B501" t="s">
        <v>1402</v>
      </c>
    </row>
    <row r="502" spans="2:2" x14ac:dyDescent="0.25">
      <c r="B502" t="s">
        <v>1403</v>
      </c>
    </row>
    <row r="503" spans="2:2" x14ac:dyDescent="0.25">
      <c r="B503" t="s">
        <v>1404</v>
      </c>
    </row>
    <row r="504" spans="2:2" x14ac:dyDescent="0.25">
      <c r="B504" t="s">
        <v>1405</v>
      </c>
    </row>
    <row r="505" spans="2:2" x14ac:dyDescent="0.25">
      <c r="B505" t="s">
        <v>1406</v>
      </c>
    </row>
    <row r="506" spans="2:2" x14ac:dyDescent="0.25">
      <c r="B506" t="s">
        <v>1407</v>
      </c>
    </row>
    <row r="507" spans="2:2" x14ac:dyDescent="0.25">
      <c r="B507" t="s">
        <v>1408</v>
      </c>
    </row>
    <row r="508" spans="2:2" x14ac:dyDescent="0.25">
      <c r="B508" t="s">
        <v>1409</v>
      </c>
    </row>
    <row r="509" spans="2:2" x14ac:dyDescent="0.25">
      <c r="B509" t="s">
        <v>1410</v>
      </c>
    </row>
    <row r="510" spans="2:2" x14ac:dyDescent="0.25">
      <c r="B510" t="s">
        <v>1411</v>
      </c>
    </row>
    <row r="511" spans="2:2" x14ac:dyDescent="0.25">
      <c r="B511" t="s">
        <v>1412</v>
      </c>
    </row>
    <row r="512" spans="2:2" x14ac:dyDescent="0.25">
      <c r="B512" t="s">
        <v>1413</v>
      </c>
    </row>
    <row r="513" spans="2:2" x14ac:dyDescent="0.25">
      <c r="B513" t="s">
        <v>1414</v>
      </c>
    </row>
    <row r="514" spans="2:2" x14ac:dyDescent="0.25">
      <c r="B514" t="s">
        <v>1415</v>
      </c>
    </row>
    <row r="515" spans="2:2" x14ac:dyDescent="0.25">
      <c r="B515" t="s">
        <v>744</v>
      </c>
    </row>
    <row r="516" spans="2:2" x14ac:dyDescent="0.25">
      <c r="B516" t="s">
        <v>932</v>
      </c>
    </row>
    <row r="517" spans="2:2" x14ac:dyDescent="0.25">
      <c r="B517" t="s">
        <v>1416</v>
      </c>
    </row>
    <row r="518" spans="2:2" x14ac:dyDescent="0.25">
      <c r="B518" t="s">
        <v>1417</v>
      </c>
    </row>
    <row r="519" spans="2:2" x14ac:dyDescent="0.25">
      <c r="B519" t="s">
        <v>1418</v>
      </c>
    </row>
    <row r="520" spans="2:2" x14ac:dyDescent="0.25">
      <c r="B520" t="s">
        <v>1419</v>
      </c>
    </row>
    <row r="521" spans="2:2" x14ac:dyDescent="0.25">
      <c r="B521" t="s">
        <v>1420</v>
      </c>
    </row>
    <row r="522" spans="2:2" x14ac:dyDescent="0.25">
      <c r="B522" t="s">
        <v>1421</v>
      </c>
    </row>
    <row r="523" spans="2:2" x14ac:dyDescent="0.25">
      <c r="B523" t="s">
        <v>1422</v>
      </c>
    </row>
    <row r="524" spans="2:2" x14ac:dyDescent="0.25">
      <c r="B524" t="s">
        <v>1423</v>
      </c>
    </row>
    <row r="525" spans="2:2" x14ac:dyDescent="0.25">
      <c r="B525" t="s">
        <v>1424</v>
      </c>
    </row>
    <row r="526" spans="2:2" x14ac:dyDescent="0.25">
      <c r="B526" t="s">
        <v>1425</v>
      </c>
    </row>
    <row r="527" spans="2:2" x14ac:dyDescent="0.25">
      <c r="B527" t="s">
        <v>1426</v>
      </c>
    </row>
    <row r="528" spans="2:2" x14ac:dyDescent="0.25">
      <c r="B528" t="s">
        <v>745</v>
      </c>
    </row>
    <row r="529" spans="2:2" x14ac:dyDescent="0.25">
      <c r="B529" t="s">
        <v>1427</v>
      </c>
    </row>
    <row r="530" spans="2:2" x14ac:dyDescent="0.25">
      <c r="B530" t="s">
        <v>1428</v>
      </c>
    </row>
    <row r="531" spans="2:2" x14ac:dyDescent="0.25">
      <c r="B531" t="s">
        <v>1429</v>
      </c>
    </row>
    <row r="532" spans="2:2" x14ac:dyDescent="0.25">
      <c r="B532" t="s">
        <v>1430</v>
      </c>
    </row>
    <row r="533" spans="2:2" x14ac:dyDescent="0.25">
      <c r="B533" t="s">
        <v>1431</v>
      </c>
    </row>
    <row r="534" spans="2:2" x14ac:dyDescent="0.25">
      <c r="B534" t="s">
        <v>1432</v>
      </c>
    </row>
    <row r="535" spans="2:2" x14ac:dyDescent="0.25">
      <c r="B535" t="s">
        <v>1433</v>
      </c>
    </row>
    <row r="536" spans="2:2" x14ac:dyDescent="0.25">
      <c r="B536" t="s">
        <v>1434</v>
      </c>
    </row>
    <row r="537" spans="2:2" x14ac:dyDescent="0.25">
      <c r="B537" t="s">
        <v>1435</v>
      </c>
    </row>
    <row r="538" spans="2:2" x14ac:dyDescent="0.25">
      <c r="B538" t="s">
        <v>1436</v>
      </c>
    </row>
    <row r="539" spans="2:2" x14ac:dyDescent="0.25">
      <c r="B539" t="s">
        <v>1437</v>
      </c>
    </row>
    <row r="540" spans="2:2" x14ac:dyDescent="0.25">
      <c r="B540" t="s">
        <v>1438</v>
      </c>
    </row>
    <row r="541" spans="2:2" x14ac:dyDescent="0.25">
      <c r="B541" t="s">
        <v>1439</v>
      </c>
    </row>
    <row r="542" spans="2:2" x14ac:dyDescent="0.25">
      <c r="B542" t="s">
        <v>1440</v>
      </c>
    </row>
    <row r="543" spans="2:2" x14ac:dyDescent="0.25">
      <c r="B543" t="s">
        <v>1441</v>
      </c>
    </row>
    <row r="544" spans="2:2" x14ac:dyDescent="0.25">
      <c r="B544" t="s">
        <v>1442</v>
      </c>
    </row>
    <row r="545" spans="2:2" x14ac:dyDescent="0.25">
      <c r="B545" t="s">
        <v>1443</v>
      </c>
    </row>
    <row r="546" spans="2:2" x14ac:dyDescent="0.25">
      <c r="B546" t="s">
        <v>818</v>
      </c>
    </row>
    <row r="547" spans="2:2" x14ac:dyDescent="0.25">
      <c r="B547" t="s">
        <v>1444</v>
      </c>
    </row>
    <row r="548" spans="2:2" x14ac:dyDescent="0.25">
      <c r="B548" t="s">
        <v>1445</v>
      </c>
    </row>
    <row r="549" spans="2:2" x14ac:dyDescent="0.25">
      <c r="B549" t="s">
        <v>1446</v>
      </c>
    </row>
    <row r="550" spans="2:2" x14ac:dyDescent="0.25">
      <c r="B550" t="s">
        <v>1447</v>
      </c>
    </row>
    <row r="551" spans="2:2" x14ac:dyDescent="0.25">
      <c r="B551" t="s">
        <v>1448</v>
      </c>
    </row>
    <row r="552" spans="2:2" x14ac:dyDescent="0.25">
      <c r="B552" t="s">
        <v>1449</v>
      </c>
    </row>
    <row r="553" spans="2:2" x14ac:dyDescent="0.25">
      <c r="B553" t="s">
        <v>1450</v>
      </c>
    </row>
    <row r="554" spans="2:2" x14ac:dyDescent="0.25">
      <c r="B554" t="s">
        <v>1451</v>
      </c>
    </row>
    <row r="555" spans="2:2" x14ac:dyDescent="0.25">
      <c r="B555" t="s">
        <v>1452</v>
      </c>
    </row>
    <row r="556" spans="2:2" x14ac:dyDescent="0.25">
      <c r="B556" t="s">
        <v>1453</v>
      </c>
    </row>
    <row r="557" spans="2:2" x14ac:dyDescent="0.25">
      <c r="B557" t="s">
        <v>1454</v>
      </c>
    </row>
    <row r="558" spans="2:2" x14ac:dyDescent="0.25">
      <c r="B558" t="s">
        <v>1455</v>
      </c>
    </row>
    <row r="559" spans="2:2" x14ac:dyDescent="0.25">
      <c r="B559" t="s">
        <v>1456</v>
      </c>
    </row>
    <row r="560" spans="2:2" x14ac:dyDescent="0.25">
      <c r="B560" t="s">
        <v>1457</v>
      </c>
    </row>
    <row r="561" spans="2:2" x14ac:dyDescent="0.25">
      <c r="B561" t="s">
        <v>1458</v>
      </c>
    </row>
    <row r="562" spans="2:2" x14ac:dyDescent="0.25">
      <c r="B562" t="s">
        <v>1459</v>
      </c>
    </row>
    <row r="563" spans="2:2" x14ac:dyDescent="0.25">
      <c r="B563" t="s">
        <v>1460</v>
      </c>
    </row>
    <row r="564" spans="2:2" x14ac:dyDescent="0.25">
      <c r="B564" t="s">
        <v>1461</v>
      </c>
    </row>
    <row r="565" spans="2:2" x14ac:dyDescent="0.25">
      <c r="B565" t="s">
        <v>1462</v>
      </c>
    </row>
    <row r="566" spans="2:2" x14ac:dyDescent="0.25">
      <c r="B566" t="s">
        <v>1463</v>
      </c>
    </row>
    <row r="567" spans="2:2" x14ac:dyDescent="0.25">
      <c r="B567" t="s">
        <v>1464</v>
      </c>
    </row>
    <row r="568" spans="2:2" x14ac:dyDescent="0.25">
      <c r="B568" t="s">
        <v>1465</v>
      </c>
    </row>
    <row r="569" spans="2:2" x14ac:dyDescent="0.25">
      <c r="B569" t="s">
        <v>1466</v>
      </c>
    </row>
    <row r="570" spans="2:2" x14ac:dyDescent="0.25">
      <c r="B570" t="s">
        <v>1467</v>
      </c>
    </row>
    <row r="571" spans="2:2" x14ac:dyDescent="0.25">
      <c r="B571" t="s">
        <v>1468</v>
      </c>
    </row>
    <row r="572" spans="2:2" x14ac:dyDescent="0.25">
      <c r="B572" t="s">
        <v>1469</v>
      </c>
    </row>
    <row r="573" spans="2:2" x14ac:dyDescent="0.25">
      <c r="B573" t="s">
        <v>1470</v>
      </c>
    </row>
    <row r="574" spans="2:2" x14ac:dyDescent="0.25">
      <c r="B574" t="s">
        <v>1471</v>
      </c>
    </row>
    <row r="575" spans="2:2" x14ac:dyDescent="0.25">
      <c r="B575" t="s">
        <v>1472</v>
      </c>
    </row>
    <row r="576" spans="2:2" x14ac:dyDescent="0.25">
      <c r="B576" t="s">
        <v>1473</v>
      </c>
    </row>
    <row r="577" spans="2:2" x14ac:dyDescent="0.25">
      <c r="B577" t="s">
        <v>1474</v>
      </c>
    </row>
    <row r="578" spans="2:2" x14ac:dyDescent="0.25">
      <c r="B578" t="s">
        <v>1475</v>
      </c>
    </row>
    <row r="579" spans="2:2" x14ac:dyDescent="0.25">
      <c r="B579" t="s">
        <v>1476</v>
      </c>
    </row>
    <row r="580" spans="2:2" x14ac:dyDescent="0.25">
      <c r="B580" t="s">
        <v>1477</v>
      </c>
    </row>
    <row r="581" spans="2:2" x14ac:dyDescent="0.25">
      <c r="B581" t="s">
        <v>1478</v>
      </c>
    </row>
    <row r="582" spans="2:2" x14ac:dyDescent="0.25">
      <c r="B582" t="s">
        <v>1479</v>
      </c>
    </row>
    <row r="583" spans="2:2" x14ac:dyDescent="0.25">
      <c r="B583" t="s">
        <v>1480</v>
      </c>
    </row>
    <row r="584" spans="2:2" x14ac:dyDescent="0.25">
      <c r="B584" t="s">
        <v>1481</v>
      </c>
    </row>
    <row r="585" spans="2:2" x14ac:dyDescent="0.25">
      <c r="B585" t="s">
        <v>1482</v>
      </c>
    </row>
    <row r="586" spans="2:2" x14ac:dyDescent="0.25">
      <c r="B586" t="s">
        <v>1483</v>
      </c>
    </row>
    <row r="587" spans="2:2" x14ac:dyDescent="0.25">
      <c r="B587" s="23" t="s">
        <v>1484</v>
      </c>
    </row>
    <row r="588" spans="2:2" x14ac:dyDescent="0.25">
      <c r="B588" t="s">
        <v>1485</v>
      </c>
    </row>
    <row r="589" spans="2:2" x14ac:dyDescent="0.25">
      <c r="B589" s="23" t="s">
        <v>780</v>
      </c>
    </row>
    <row r="590" spans="2:2" x14ac:dyDescent="0.25">
      <c r="B590" t="s">
        <v>746</v>
      </c>
    </row>
    <row r="591" spans="2:2" x14ac:dyDescent="0.25">
      <c r="B591" t="s">
        <v>747</v>
      </c>
    </row>
    <row r="592" spans="2:2" x14ac:dyDescent="0.25">
      <c r="B592" t="s">
        <v>748</v>
      </c>
    </row>
    <row r="593" spans="2:2" x14ac:dyDescent="0.25">
      <c r="B593" t="s">
        <v>749</v>
      </c>
    </row>
    <row r="594" spans="2:2" x14ac:dyDescent="0.25">
      <c r="B594" t="s">
        <v>750</v>
      </c>
    </row>
    <row r="595" spans="2:2" x14ac:dyDescent="0.25">
      <c r="B595" t="s">
        <v>751</v>
      </c>
    </row>
    <row r="596" spans="2:2" x14ac:dyDescent="0.25">
      <c r="B596" t="s">
        <v>752</v>
      </c>
    </row>
    <row r="597" spans="2:2" x14ac:dyDescent="0.25">
      <c r="B597" t="s">
        <v>753</v>
      </c>
    </row>
    <row r="598" spans="2:2" x14ac:dyDescent="0.25">
      <c r="B598" t="s">
        <v>656</v>
      </c>
    </row>
    <row r="599" spans="2:2" x14ac:dyDescent="0.25">
      <c r="B599" t="s">
        <v>754</v>
      </c>
    </row>
    <row r="600" spans="2:2" x14ac:dyDescent="0.25">
      <c r="B600" t="s">
        <v>755</v>
      </c>
    </row>
    <row r="601" spans="2:2" x14ac:dyDescent="0.25">
      <c r="B601" t="s">
        <v>657</v>
      </c>
    </row>
    <row r="602" spans="2:2" x14ac:dyDescent="0.25">
      <c r="B602" t="s">
        <v>756</v>
      </c>
    </row>
    <row r="603" spans="2:2" x14ac:dyDescent="0.25">
      <c r="B603" t="s">
        <v>757</v>
      </c>
    </row>
    <row r="604" spans="2:2" x14ac:dyDescent="0.25">
      <c r="B604" t="s">
        <v>658</v>
      </c>
    </row>
    <row r="605" spans="2:2" x14ac:dyDescent="0.25">
      <c r="B605" t="s">
        <v>758</v>
      </c>
    </row>
    <row r="606" spans="2:2" x14ac:dyDescent="0.25">
      <c r="B606" t="s">
        <v>759</v>
      </c>
    </row>
    <row r="607" spans="2:2" x14ac:dyDescent="0.25">
      <c r="B607" t="s">
        <v>659</v>
      </c>
    </row>
    <row r="608" spans="2:2" x14ac:dyDescent="0.25">
      <c r="B608" t="s">
        <v>760</v>
      </c>
    </row>
    <row r="609" spans="2:2" x14ac:dyDescent="0.25">
      <c r="B609" t="s">
        <v>761</v>
      </c>
    </row>
    <row r="610" spans="2:2" x14ac:dyDescent="0.25">
      <c r="B610" t="s">
        <v>660</v>
      </c>
    </row>
    <row r="611" spans="2:2" x14ac:dyDescent="0.25">
      <c r="B611" t="s">
        <v>825</v>
      </c>
    </row>
    <row r="612" spans="2:2" x14ac:dyDescent="0.25">
      <c r="B612" t="s">
        <v>826</v>
      </c>
    </row>
    <row r="613" spans="2:2" x14ac:dyDescent="0.25">
      <c r="B613" t="s">
        <v>827</v>
      </c>
    </row>
    <row r="614" spans="2:2" x14ac:dyDescent="0.25">
      <c r="B614" t="s">
        <v>828</v>
      </c>
    </row>
    <row r="615" spans="2:2" x14ac:dyDescent="0.25">
      <c r="B615" t="s">
        <v>829</v>
      </c>
    </row>
    <row r="616" spans="2:2" x14ac:dyDescent="0.25">
      <c r="B616" t="s">
        <v>830</v>
      </c>
    </row>
    <row r="617" spans="2:2" x14ac:dyDescent="0.25">
      <c r="B617" t="s">
        <v>831</v>
      </c>
    </row>
    <row r="618" spans="2:2" x14ac:dyDescent="0.25">
      <c r="B618" t="s">
        <v>832</v>
      </c>
    </row>
    <row r="619" spans="2:2" x14ac:dyDescent="0.25">
      <c r="B619" t="s">
        <v>833</v>
      </c>
    </row>
    <row r="620" spans="2:2" x14ac:dyDescent="0.25">
      <c r="B620" t="s">
        <v>819</v>
      </c>
    </row>
    <row r="621" spans="2:2" x14ac:dyDescent="0.25">
      <c r="B621" t="s">
        <v>820</v>
      </c>
    </row>
    <row r="622" spans="2:2" x14ac:dyDescent="0.25">
      <c r="B622" t="s">
        <v>821</v>
      </c>
    </row>
    <row r="623" spans="2:2" x14ac:dyDescent="0.25">
      <c r="B623" t="s">
        <v>822</v>
      </c>
    </row>
    <row r="624" spans="2:2" x14ac:dyDescent="0.25">
      <c r="B624" t="s">
        <v>823</v>
      </c>
    </row>
    <row r="625" spans="2:2" x14ac:dyDescent="0.25">
      <c r="B625" t="s">
        <v>824</v>
      </c>
    </row>
    <row r="626" spans="2:2" x14ac:dyDescent="0.25">
      <c r="B626" t="s">
        <v>1486</v>
      </c>
    </row>
    <row r="627" spans="2:2" x14ac:dyDescent="0.25">
      <c r="B627" t="s">
        <v>1487</v>
      </c>
    </row>
    <row r="628" spans="2:2" x14ac:dyDescent="0.25">
      <c r="B628" t="s">
        <v>1488</v>
      </c>
    </row>
    <row r="629" spans="2:2" x14ac:dyDescent="0.25">
      <c r="B629" t="s">
        <v>1489</v>
      </c>
    </row>
    <row r="630" spans="2:2" x14ac:dyDescent="0.25">
      <c r="B630" t="s">
        <v>1490</v>
      </c>
    </row>
    <row r="631" spans="2:2" x14ac:dyDescent="0.25">
      <c r="B631" t="s">
        <v>1491</v>
      </c>
    </row>
    <row r="632" spans="2:2" x14ac:dyDescent="0.25">
      <c r="B632" t="s">
        <v>1492</v>
      </c>
    </row>
    <row r="633" spans="2:2" x14ac:dyDescent="0.25">
      <c r="B633" t="s">
        <v>1493</v>
      </c>
    </row>
    <row r="634" spans="2:2" x14ac:dyDescent="0.25">
      <c r="B634" t="s">
        <v>1494</v>
      </c>
    </row>
    <row r="635" spans="2:2" x14ac:dyDescent="0.25">
      <c r="B635" t="s">
        <v>1495</v>
      </c>
    </row>
    <row r="636" spans="2:2" x14ac:dyDescent="0.25">
      <c r="B636" t="s">
        <v>1496</v>
      </c>
    </row>
    <row r="637" spans="2:2" x14ac:dyDescent="0.25">
      <c r="B637" t="s">
        <v>762</v>
      </c>
    </row>
    <row r="638" spans="2:2" x14ac:dyDescent="0.25">
      <c r="B638" t="s">
        <v>763</v>
      </c>
    </row>
    <row r="639" spans="2:2" x14ac:dyDescent="0.25">
      <c r="B639" t="s">
        <v>764</v>
      </c>
    </row>
    <row r="640" spans="2:2" x14ac:dyDescent="0.25">
      <c r="B640" t="s">
        <v>1497</v>
      </c>
    </row>
    <row r="641" spans="2:2" x14ac:dyDescent="0.25">
      <c r="B641" t="s">
        <v>1498</v>
      </c>
    </row>
    <row r="642" spans="2:2" x14ac:dyDescent="0.25">
      <c r="B642" t="s">
        <v>1499</v>
      </c>
    </row>
    <row r="643" spans="2:2" x14ac:dyDescent="0.25">
      <c r="B643" t="s">
        <v>1500</v>
      </c>
    </row>
    <row r="644" spans="2:2" x14ac:dyDescent="0.25">
      <c r="B644" t="s">
        <v>1501</v>
      </c>
    </row>
    <row r="645" spans="2:2" x14ac:dyDescent="0.25">
      <c r="B645" t="s">
        <v>765</v>
      </c>
    </row>
    <row r="646" spans="2:2" x14ac:dyDescent="0.25">
      <c r="B646" t="s">
        <v>766</v>
      </c>
    </row>
    <row r="647" spans="2:2" x14ac:dyDescent="0.25">
      <c r="B647" t="s">
        <v>767</v>
      </c>
    </row>
    <row r="648" spans="2:2" x14ac:dyDescent="0.25">
      <c r="B648" t="s">
        <v>768</v>
      </c>
    </row>
    <row r="649" spans="2:2" x14ac:dyDescent="0.25">
      <c r="B649" t="s">
        <v>769</v>
      </c>
    </row>
    <row r="650" spans="2:2" x14ac:dyDescent="0.25">
      <c r="B650" t="s">
        <v>770</v>
      </c>
    </row>
    <row r="651" spans="2:2" x14ac:dyDescent="0.25">
      <c r="B651" t="s">
        <v>771</v>
      </c>
    </row>
    <row r="652" spans="2:2" x14ac:dyDescent="0.25">
      <c r="B652" t="s">
        <v>772</v>
      </c>
    </row>
    <row r="653" spans="2:2" x14ac:dyDescent="0.25">
      <c r="B653" t="s">
        <v>773</v>
      </c>
    </row>
    <row r="654" spans="2:2" x14ac:dyDescent="0.25">
      <c r="B654" t="s">
        <v>774</v>
      </c>
    </row>
    <row r="655" spans="2:2" x14ac:dyDescent="0.25">
      <c r="B655" t="s">
        <v>775</v>
      </c>
    </row>
    <row r="656" spans="2:2" x14ac:dyDescent="0.25">
      <c r="B656" t="s">
        <v>776</v>
      </c>
    </row>
    <row r="657" spans="2:2" x14ac:dyDescent="0.25">
      <c r="B657" t="s">
        <v>834</v>
      </c>
    </row>
    <row r="658" spans="2:2" x14ac:dyDescent="0.25">
      <c r="B658" t="s">
        <v>835</v>
      </c>
    </row>
    <row r="659" spans="2:2" x14ac:dyDescent="0.25">
      <c r="B659" t="s">
        <v>841</v>
      </c>
    </row>
    <row r="660" spans="2:2" x14ac:dyDescent="0.25">
      <c r="B660" t="s">
        <v>836</v>
      </c>
    </row>
    <row r="661" spans="2:2" x14ac:dyDescent="0.25">
      <c r="B661" t="s">
        <v>1502</v>
      </c>
    </row>
    <row r="662" spans="2:2" x14ac:dyDescent="0.25">
      <c r="B662" t="s">
        <v>837</v>
      </c>
    </row>
    <row r="663" spans="2:2" x14ac:dyDescent="0.25">
      <c r="B663" t="s">
        <v>840</v>
      </c>
    </row>
    <row r="664" spans="2:2" x14ac:dyDescent="0.25">
      <c r="B664" t="s">
        <v>838</v>
      </c>
    </row>
    <row r="665" spans="2:2" x14ac:dyDescent="0.25">
      <c r="B665" t="s">
        <v>839</v>
      </c>
    </row>
    <row r="666" spans="2:2" x14ac:dyDescent="0.25">
      <c r="B666" t="s">
        <v>1503</v>
      </c>
    </row>
    <row r="667" spans="2:2" x14ac:dyDescent="0.25">
      <c r="B667" t="s">
        <v>1504</v>
      </c>
    </row>
    <row r="668" spans="2:2" x14ac:dyDescent="0.25">
      <c r="B668" t="s">
        <v>1505</v>
      </c>
    </row>
    <row r="669" spans="2:2" x14ac:dyDescent="0.25">
      <c r="B669" t="s">
        <v>1506</v>
      </c>
    </row>
    <row r="670" spans="2:2" x14ac:dyDescent="0.25">
      <c r="B670" t="s">
        <v>1507</v>
      </c>
    </row>
    <row r="671" spans="2:2" x14ac:dyDescent="0.25">
      <c r="B671" t="s">
        <v>1508</v>
      </c>
    </row>
    <row r="672" spans="2:2" x14ac:dyDescent="0.25">
      <c r="B672" t="s">
        <v>1509</v>
      </c>
    </row>
    <row r="673" spans="2:2" x14ac:dyDescent="0.25">
      <c r="B673" t="s">
        <v>1510</v>
      </c>
    </row>
    <row r="674" spans="2:2" x14ac:dyDescent="0.25">
      <c r="B674" t="s">
        <v>1511</v>
      </c>
    </row>
    <row r="675" spans="2:2" x14ac:dyDescent="0.25">
      <c r="B675" t="s">
        <v>1512</v>
      </c>
    </row>
    <row r="676" spans="2:2" x14ac:dyDescent="0.25">
      <c r="B676" t="s">
        <v>1513</v>
      </c>
    </row>
    <row r="677" spans="2:2" x14ac:dyDescent="0.25">
      <c r="B677" t="s">
        <v>1514</v>
      </c>
    </row>
    <row r="678" spans="2:2" x14ac:dyDescent="0.25">
      <c r="B678" t="s">
        <v>1515</v>
      </c>
    </row>
    <row r="679" spans="2:2" x14ac:dyDescent="0.25">
      <c r="B679" t="s">
        <v>1516</v>
      </c>
    </row>
    <row r="680" spans="2:2" x14ac:dyDescent="0.25">
      <c r="B680" t="s">
        <v>1517</v>
      </c>
    </row>
    <row r="681" spans="2:2" x14ac:dyDescent="0.25">
      <c r="B681" t="s">
        <v>1518</v>
      </c>
    </row>
    <row r="682" spans="2:2" x14ac:dyDescent="0.25">
      <c r="B682" t="s">
        <v>1519</v>
      </c>
    </row>
    <row r="683" spans="2:2" x14ac:dyDescent="0.25">
      <c r="B683" t="s">
        <v>1520</v>
      </c>
    </row>
    <row r="684" spans="2:2" x14ac:dyDescent="0.25">
      <c r="B684" t="s">
        <v>1521</v>
      </c>
    </row>
    <row r="685" spans="2:2" x14ac:dyDescent="0.25">
      <c r="B685" t="s">
        <v>1522</v>
      </c>
    </row>
    <row r="686" spans="2:2" x14ac:dyDescent="0.25">
      <c r="B686" t="s">
        <v>1523</v>
      </c>
    </row>
    <row r="687" spans="2:2" x14ac:dyDescent="0.25">
      <c r="B687" t="s">
        <v>1524</v>
      </c>
    </row>
    <row r="688" spans="2:2" x14ac:dyDescent="0.25">
      <c r="B688" t="s">
        <v>1525</v>
      </c>
    </row>
    <row r="689" spans="2:2" x14ac:dyDescent="0.25">
      <c r="B689" t="s">
        <v>1526</v>
      </c>
    </row>
    <row r="690" spans="2:2" x14ac:dyDescent="0.25">
      <c r="B690" s="23" t="s">
        <v>1527</v>
      </c>
    </row>
    <row r="691" spans="2:2" x14ac:dyDescent="0.25">
      <c r="B691" t="s">
        <v>1528</v>
      </c>
    </row>
    <row r="692" spans="2:2" x14ac:dyDescent="0.25">
      <c r="B692" s="23" t="s">
        <v>781</v>
      </c>
    </row>
    <row r="693" spans="2:2" x14ac:dyDescent="0.25">
      <c r="B693" t="s">
        <v>1529</v>
      </c>
    </row>
    <row r="694" spans="2:2" x14ac:dyDescent="0.25">
      <c r="B694" t="s">
        <v>1530</v>
      </c>
    </row>
    <row r="695" spans="2:2" x14ac:dyDescent="0.25">
      <c r="B695" t="s">
        <v>1531</v>
      </c>
    </row>
    <row r="696" spans="2:2" x14ac:dyDescent="0.25">
      <c r="B696" t="s">
        <v>1532</v>
      </c>
    </row>
    <row r="697" spans="2:2" x14ac:dyDescent="0.25">
      <c r="B697" t="s">
        <v>1533</v>
      </c>
    </row>
    <row r="698" spans="2:2" x14ac:dyDescent="0.25">
      <c r="B698" t="s">
        <v>1534</v>
      </c>
    </row>
    <row r="699" spans="2:2" x14ac:dyDescent="0.25">
      <c r="B699" t="s">
        <v>1535</v>
      </c>
    </row>
    <row r="700" spans="2:2" x14ac:dyDescent="0.25">
      <c r="B700" t="s">
        <v>1536</v>
      </c>
    </row>
    <row r="701" spans="2:2" x14ac:dyDescent="0.25">
      <c r="B701" s="23" t="s">
        <v>1537</v>
      </c>
    </row>
    <row r="702" spans="2:2" x14ac:dyDescent="0.25">
      <c r="B702" t="s">
        <v>1538</v>
      </c>
    </row>
    <row r="703" spans="2:2" x14ac:dyDescent="0.25">
      <c r="B703" s="23" t="s">
        <v>782</v>
      </c>
    </row>
    <row r="704" spans="2:2" x14ac:dyDescent="0.25">
      <c r="B704" t="s">
        <v>862</v>
      </c>
    </row>
    <row r="705" spans="2:2" x14ac:dyDescent="0.25">
      <c r="B705" t="s">
        <v>863</v>
      </c>
    </row>
    <row r="706" spans="2:2" x14ac:dyDescent="0.25">
      <c r="B706" t="s">
        <v>864</v>
      </c>
    </row>
    <row r="707" spans="2:2" x14ac:dyDescent="0.25">
      <c r="B707" t="s">
        <v>848</v>
      </c>
    </row>
    <row r="708" spans="2:2" x14ac:dyDescent="0.25">
      <c r="B708" t="s">
        <v>849</v>
      </c>
    </row>
    <row r="709" spans="2:2" x14ac:dyDescent="0.25">
      <c r="B709" t="s">
        <v>850</v>
      </c>
    </row>
    <row r="710" spans="2:2" x14ac:dyDescent="0.25">
      <c r="B710" t="s">
        <v>845</v>
      </c>
    </row>
    <row r="711" spans="2:2" x14ac:dyDescent="0.25">
      <c r="B711" t="s">
        <v>846</v>
      </c>
    </row>
    <row r="712" spans="2:2" x14ac:dyDescent="0.25">
      <c r="B712" t="s">
        <v>847</v>
      </c>
    </row>
    <row r="713" spans="2:2" x14ac:dyDescent="0.25">
      <c r="B713" t="s">
        <v>865</v>
      </c>
    </row>
    <row r="714" spans="2:2" x14ac:dyDescent="0.25">
      <c r="B714" t="s">
        <v>866</v>
      </c>
    </row>
    <row r="715" spans="2:2" x14ac:dyDescent="0.25">
      <c r="B715" t="s">
        <v>867</v>
      </c>
    </row>
    <row r="716" spans="2:2" x14ac:dyDescent="0.25">
      <c r="B716" t="s">
        <v>868</v>
      </c>
    </row>
    <row r="717" spans="2:2" x14ac:dyDescent="0.25">
      <c r="B717" t="s">
        <v>869</v>
      </c>
    </row>
    <row r="718" spans="2:2" x14ac:dyDescent="0.25">
      <c r="B718" t="s">
        <v>870</v>
      </c>
    </row>
    <row r="719" spans="2:2" x14ac:dyDescent="0.25">
      <c r="B719" t="s">
        <v>851</v>
      </c>
    </row>
    <row r="720" spans="2:2" x14ac:dyDescent="0.25">
      <c r="B720" t="s">
        <v>852</v>
      </c>
    </row>
    <row r="721" spans="2:2" x14ac:dyDescent="0.25">
      <c r="B721" t="s">
        <v>853</v>
      </c>
    </row>
    <row r="722" spans="2:2" x14ac:dyDescent="0.25">
      <c r="B722" t="s">
        <v>854</v>
      </c>
    </row>
    <row r="723" spans="2:2" x14ac:dyDescent="0.25">
      <c r="B723" t="s">
        <v>855</v>
      </c>
    </row>
    <row r="724" spans="2:2" x14ac:dyDescent="0.25">
      <c r="B724" t="s">
        <v>856</v>
      </c>
    </row>
    <row r="725" spans="2:2" x14ac:dyDescent="0.25">
      <c r="B725" t="s">
        <v>857</v>
      </c>
    </row>
    <row r="726" spans="2:2" x14ac:dyDescent="0.25">
      <c r="B726" t="s">
        <v>858</v>
      </c>
    </row>
    <row r="727" spans="2:2" x14ac:dyDescent="0.25">
      <c r="B727" t="s">
        <v>859</v>
      </c>
    </row>
    <row r="728" spans="2:2" x14ac:dyDescent="0.25">
      <c r="B728" t="s">
        <v>860</v>
      </c>
    </row>
    <row r="729" spans="2:2" x14ac:dyDescent="0.25">
      <c r="B729" t="s">
        <v>861</v>
      </c>
    </row>
    <row r="730" spans="2:2" x14ac:dyDescent="0.25">
      <c r="B730" t="s">
        <v>933</v>
      </c>
    </row>
    <row r="731" spans="2:2" x14ac:dyDescent="0.25">
      <c r="B731" t="s">
        <v>843</v>
      </c>
    </row>
    <row r="732" spans="2:2" x14ac:dyDescent="0.25">
      <c r="B732" t="s">
        <v>844</v>
      </c>
    </row>
    <row r="733" spans="2:2" x14ac:dyDescent="0.25">
      <c r="B733" t="s">
        <v>842</v>
      </c>
    </row>
    <row r="734" spans="2:2" x14ac:dyDescent="0.25">
      <c r="B734" t="s">
        <v>1539</v>
      </c>
    </row>
    <row r="735" spans="2:2" x14ac:dyDescent="0.25">
      <c r="B735" t="s">
        <v>877</v>
      </c>
    </row>
    <row r="736" spans="2:2" x14ac:dyDescent="0.25">
      <c r="B736" t="s">
        <v>875</v>
      </c>
    </row>
    <row r="737" spans="2:2" x14ac:dyDescent="0.25">
      <c r="B737" t="s">
        <v>874</v>
      </c>
    </row>
    <row r="738" spans="2:2" x14ac:dyDescent="0.25">
      <c r="B738" t="s">
        <v>878</v>
      </c>
    </row>
    <row r="739" spans="2:2" x14ac:dyDescent="0.25">
      <c r="B739" t="s">
        <v>879</v>
      </c>
    </row>
    <row r="740" spans="2:2" x14ac:dyDescent="0.25">
      <c r="B740" t="s">
        <v>876</v>
      </c>
    </row>
    <row r="741" spans="2:2" x14ac:dyDescent="0.25">
      <c r="B741" t="s">
        <v>934</v>
      </c>
    </row>
    <row r="742" spans="2:2" x14ac:dyDescent="0.25">
      <c r="B742" t="s">
        <v>872</v>
      </c>
    </row>
    <row r="743" spans="2:2" x14ac:dyDescent="0.25">
      <c r="B743" t="s">
        <v>873</v>
      </c>
    </row>
    <row r="744" spans="2:2" x14ac:dyDescent="0.25">
      <c r="B744" t="s">
        <v>871</v>
      </c>
    </row>
    <row r="745" spans="2:2" x14ac:dyDescent="0.25">
      <c r="B745" t="s">
        <v>1540</v>
      </c>
    </row>
    <row r="746" spans="2:2" x14ac:dyDescent="0.25">
      <c r="B746" t="s">
        <v>1541</v>
      </c>
    </row>
    <row r="747" spans="2:2" x14ac:dyDescent="0.25">
      <c r="B747" t="s">
        <v>1542</v>
      </c>
    </row>
    <row r="748" spans="2:2" x14ac:dyDescent="0.25">
      <c r="B748" t="s">
        <v>1543</v>
      </c>
    </row>
    <row r="749" spans="2:2" x14ac:dyDescent="0.25">
      <c r="B749" t="s">
        <v>1544</v>
      </c>
    </row>
    <row r="750" spans="2:2" x14ac:dyDescent="0.25">
      <c r="B750" t="s">
        <v>1545</v>
      </c>
    </row>
    <row r="751" spans="2:2" x14ac:dyDescent="0.25">
      <c r="B751" t="s">
        <v>1546</v>
      </c>
    </row>
    <row r="752" spans="2:2" x14ac:dyDescent="0.25">
      <c r="B752" t="s">
        <v>1547</v>
      </c>
    </row>
    <row r="753" spans="2:2" x14ac:dyDescent="0.25">
      <c r="B753" t="s">
        <v>1548</v>
      </c>
    </row>
    <row r="754" spans="2:2" x14ac:dyDescent="0.25">
      <c r="B754" t="s">
        <v>1549</v>
      </c>
    </row>
    <row r="755" spans="2:2" x14ac:dyDescent="0.25">
      <c r="B755" s="23" t="s">
        <v>1550</v>
      </c>
    </row>
    <row r="756" spans="2:2" x14ac:dyDescent="0.25">
      <c r="B756" t="s">
        <v>1551</v>
      </c>
    </row>
    <row r="757" spans="2:2" x14ac:dyDescent="0.25">
      <c r="B757" s="23" t="s">
        <v>783</v>
      </c>
    </row>
    <row r="758" spans="2:2" x14ac:dyDescent="0.25">
      <c r="B758" t="s">
        <v>1552</v>
      </c>
    </row>
    <row r="759" spans="2:2" x14ac:dyDescent="0.25">
      <c r="B759" t="s">
        <v>1553</v>
      </c>
    </row>
    <row r="760" spans="2:2" x14ac:dyDescent="0.25">
      <c r="B760" t="s">
        <v>1554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4:C9"/>
  <sheetViews>
    <sheetView workbookViewId="0">
      <selection activeCell="B30" sqref="B30"/>
    </sheetView>
  </sheetViews>
  <sheetFormatPr defaultColWidth="11" defaultRowHeight="15.75" x14ac:dyDescent="0.25"/>
  <cols>
    <col min="2" max="2" width="44.125" customWidth="1"/>
    <col min="3" max="3" width="4.625" customWidth="1"/>
    <col min="7" max="7" width="25" customWidth="1"/>
  </cols>
  <sheetData>
    <row r="4" spans="2:3" x14ac:dyDescent="0.25">
      <c r="B4" t="s">
        <v>55</v>
      </c>
      <c r="C4">
        <v>190</v>
      </c>
    </row>
    <row r="5" spans="2:3" x14ac:dyDescent="0.25">
      <c r="B5" t="s">
        <v>56</v>
      </c>
      <c r="C5">
        <v>45</v>
      </c>
    </row>
    <row r="6" spans="2:3" x14ac:dyDescent="0.25">
      <c r="B6" t="s">
        <v>57</v>
      </c>
      <c r="C6">
        <v>7</v>
      </c>
    </row>
    <row r="7" spans="2:3" x14ac:dyDescent="0.25">
      <c r="B7" t="s">
        <v>408</v>
      </c>
      <c r="C7">
        <v>78</v>
      </c>
    </row>
    <row r="8" spans="2:3" x14ac:dyDescent="0.25">
      <c r="B8" t="s">
        <v>409</v>
      </c>
      <c r="C8">
        <v>53</v>
      </c>
    </row>
    <row r="9" spans="2:3" x14ac:dyDescent="0.25">
      <c r="B9" t="s">
        <v>410</v>
      </c>
      <c r="C9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O58"/>
  <sheetViews>
    <sheetView workbookViewId="0">
      <selection activeCell="C10" sqref="C10"/>
    </sheetView>
  </sheetViews>
  <sheetFormatPr defaultRowHeight="12" x14ac:dyDescent="0.2"/>
  <cols>
    <col min="1" max="1" width="11.25" style="34" bestFit="1" customWidth="1"/>
    <col min="2" max="2" width="18" style="34" bestFit="1" customWidth="1"/>
    <col min="3" max="3" width="32" style="34" bestFit="1" customWidth="1"/>
    <col min="4" max="4" width="13.25" style="34" bestFit="1" customWidth="1"/>
    <col min="5" max="5" width="31.125" style="34" bestFit="1" customWidth="1"/>
    <col min="6" max="6" width="32" style="34" bestFit="1" customWidth="1"/>
    <col min="7" max="7" width="11.75" style="34" bestFit="1" customWidth="1"/>
    <col min="8" max="8" width="9" style="34" bestFit="1" customWidth="1"/>
    <col min="9" max="9" width="17.875" style="34" bestFit="1" customWidth="1"/>
    <col min="10" max="10" width="20.375" style="34" bestFit="1" customWidth="1"/>
    <col min="11" max="11" width="8.5" style="34" bestFit="1" customWidth="1"/>
    <col min="12" max="12" width="14.125" style="34" bestFit="1" customWidth="1"/>
    <col min="13" max="13" width="14.625" style="34" bestFit="1" customWidth="1"/>
    <col min="14" max="14" width="14.5" style="34" bestFit="1" customWidth="1"/>
    <col min="15" max="15" width="32" style="34" bestFit="1" customWidth="1"/>
    <col min="16" max="16384" width="9" style="34"/>
  </cols>
  <sheetData>
    <row r="1" spans="1:15" ht="27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40"/>
    </row>
    <row r="2" spans="1:15" ht="15" customHeight="1" x14ac:dyDescent="0.2">
      <c r="A2" s="41" t="s">
        <v>1123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44" t="s">
        <v>1122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6"/>
    </row>
    <row r="4" spans="1:15" ht="15" x14ac:dyDescent="0.2">
      <c r="A4" s="37" t="s">
        <v>4</v>
      </c>
      <c r="B4" s="37" t="s">
        <v>5</v>
      </c>
      <c r="C4" s="37" t="s">
        <v>54</v>
      </c>
      <c r="D4" s="37" t="s">
        <v>6</v>
      </c>
      <c r="E4" s="37" t="s">
        <v>7</v>
      </c>
      <c r="F4" s="37" t="s">
        <v>53</v>
      </c>
      <c r="G4" s="37" t="s">
        <v>8</v>
      </c>
      <c r="H4" s="37" t="s">
        <v>427</v>
      </c>
      <c r="I4" s="37" t="s">
        <v>429</v>
      </c>
      <c r="J4" s="37" t="s">
        <v>428</v>
      </c>
      <c r="K4" s="37" t="s">
        <v>9</v>
      </c>
      <c r="L4" s="37" t="s">
        <v>10</v>
      </c>
      <c r="M4" s="37" t="s">
        <v>52</v>
      </c>
      <c r="N4" s="37" t="s">
        <v>51</v>
      </c>
      <c r="O4" s="37" t="s">
        <v>11</v>
      </c>
    </row>
    <row r="5" spans="1:15" ht="85.5" x14ac:dyDescent="0.2">
      <c r="A5" s="36" t="s">
        <v>18</v>
      </c>
      <c r="B5" s="36" t="s">
        <v>25</v>
      </c>
      <c r="C5" s="35" t="s">
        <v>68</v>
      </c>
      <c r="D5" s="20" t="s">
        <v>69</v>
      </c>
      <c r="E5" s="35" t="s">
        <v>70</v>
      </c>
      <c r="F5" s="35" t="s">
        <v>71</v>
      </c>
      <c r="G5" s="35"/>
      <c r="H5" s="35"/>
      <c r="I5" s="35">
        <v>28800</v>
      </c>
      <c r="J5" s="35">
        <v>28800</v>
      </c>
      <c r="K5" s="35"/>
      <c r="L5" s="35"/>
      <c r="M5" s="35"/>
      <c r="N5" s="35"/>
      <c r="O5" s="35" t="s">
        <v>72</v>
      </c>
    </row>
    <row r="6" spans="1:15" ht="28.5" x14ac:dyDescent="0.2">
      <c r="A6" s="36" t="s">
        <v>18</v>
      </c>
      <c r="B6" s="36" t="s">
        <v>15</v>
      </c>
      <c r="C6" s="35" t="s">
        <v>81</v>
      </c>
      <c r="D6" s="20" t="s">
        <v>82</v>
      </c>
      <c r="E6" s="35" t="s">
        <v>70</v>
      </c>
      <c r="F6" s="35" t="s">
        <v>83</v>
      </c>
      <c r="G6" s="35"/>
      <c r="H6" s="35"/>
      <c r="I6" s="35"/>
      <c r="J6" s="35"/>
      <c r="K6" s="35"/>
      <c r="L6" s="35"/>
      <c r="M6" s="35"/>
      <c r="N6" s="35"/>
      <c r="O6" s="35" t="s">
        <v>84</v>
      </c>
    </row>
    <row r="7" spans="1:15" ht="28.5" x14ac:dyDescent="0.2">
      <c r="A7" s="36" t="s">
        <v>18</v>
      </c>
      <c r="B7" s="36" t="s">
        <v>19</v>
      </c>
      <c r="C7" s="35" t="s">
        <v>115</v>
      </c>
      <c r="D7" s="20" t="s">
        <v>110</v>
      </c>
      <c r="E7" s="35" t="s">
        <v>70</v>
      </c>
      <c r="F7" s="35" t="s">
        <v>114</v>
      </c>
      <c r="G7" s="35"/>
      <c r="H7" s="35"/>
      <c r="I7" s="35"/>
      <c r="J7" s="35"/>
      <c r="K7" s="35"/>
      <c r="L7" s="35"/>
      <c r="M7" s="35"/>
      <c r="N7" s="35"/>
      <c r="O7" s="35" t="s">
        <v>116</v>
      </c>
    </row>
    <row r="8" spans="1:15" ht="28.5" x14ac:dyDescent="0.2">
      <c r="A8" s="36" t="s">
        <v>18</v>
      </c>
      <c r="B8" s="36" t="s">
        <v>20</v>
      </c>
      <c r="C8" s="35" t="s">
        <v>117</v>
      </c>
      <c r="D8" s="20" t="s">
        <v>118</v>
      </c>
      <c r="E8" s="35" t="s">
        <v>70</v>
      </c>
      <c r="F8" s="35" t="s">
        <v>114</v>
      </c>
      <c r="G8" s="35">
        <v>10</v>
      </c>
      <c r="H8" s="35"/>
      <c r="I8" s="35"/>
      <c r="J8" s="35"/>
      <c r="K8" s="35"/>
      <c r="L8" s="35"/>
      <c r="M8" s="35"/>
      <c r="N8" s="35"/>
      <c r="O8" s="35" t="s">
        <v>119</v>
      </c>
    </row>
    <row r="9" spans="1:15" ht="42.75" x14ac:dyDescent="0.2">
      <c r="A9" s="36" t="s">
        <v>18</v>
      </c>
      <c r="B9" s="36" t="s">
        <v>20</v>
      </c>
      <c r="C9" s="35" t="s">
        <v>120</v>
      </c>
      <c r="D9" s="20" t="s">
        <v>121</v>
      </c>
      <c r="E9" s="35" t="s">
        <v>113</v>
      </c>
      <c r="F9" s="35" t="s">
        <v>114</v>
      </c>
      <c r="G9" s="35"/>
      <c r="H9" s="35"/>
      <c r="I9" s="35"/>
      <c r="J9" s="35"/>
      <c r="K9" s="35"/>
      <c r="L9" s="35"/>
      <c r="M9" s="35"/>
      <c r="N9" s="35"/>
      <c r="O9" s="35" t="s">
        <v>122</v>
      </c>
    </row>
    <row r="10" spans="1:15" ht="42.75" x14ac:dyDescent="0.2">
      <c r="A10" s="36" t="s">
        <v>24</v>
      </c>
      <c r="B10" s="36" t="s">
        <v>19</v>
      </c>
      <c r="C10" s="35" t="s">
        <v>210</v>
      </c>
      <c r="D10" s="20" t="s">
        <v>211</v>
      </c>
      <c r="E10" s="35" t="s">
        <v>70</v>
      </c>
      <c r="F10" s="35" t="s">
        <v>212</v>
      </c>
      <c r="G10" s="35"/>
      <c r="H10" s="35"/>
      <c r="I10" s="35"/>
      <c r="J10" s="35"/>
      <c r="K10" s="35"/>
      <c r="L10" s="35"/>
      <c r="M10" s="35"/>
      <c r="N10" s="35"/>
      <c r="O10" s="35" t="s">
        <v>213</v>
      </c>
    </row>
    <row r="11" spans="1:15" ht="28.5" x14ac:dyDescent="0.2">
      <c r="A11" s="36" t="s">
        <v>18</v>
      </c>
      <c r="B11" s="36" t="s">
        <v>20</v>
      </c>
      <c r="C11" s="35" t="s">
        <v>214</v>
      </c>
      <c r="D11" s="20" t="s">
        <v>215</v>
      </c>
      <c r="E11" s="35" t="s">
        <v>70</v>
      </c>
      <c r="F11" s="35" t="s">
        <v>212</v>
      </c>
      <c r="G11" s="35">
        <v>8</v>
      </c>
      <c r="H11" s="35"/>
      <c r="I11" s="35"/>
      <c r="J11" s="35"/>
      <c r="K11" s="35"/>
      <c r="L11" s="35">
        <v>10</v>
      </c>
      <c r="M11" s="35"/>
      <c r="N11" s="35">
        <v>5</v>
      </c>
      <c r="O11" s="35" t="s">
        <v>216</v>
      </c>
    </row>
    <row r="12" spans="1:15" ht="28.5" x14ac:dyDescent="0.2">
      <c r="A12" s="36" t="s">
        <v>18</v>
      </c>
      <c r="B12" s="36" t="s">
        <v>23</v>
      </c>
      <c r="C12" s="35" t="s">
        <v>217</v>
      </c>
      <c r="D12" s="20" t="s">
        <v>218</v>
      </c>
      <c r="E12" s="35" t="s">
        <v>70</v>
      </c>
      <c r="F12" s="35" t="s">
        <v>219</v>
      </c>
      <c r="G12" s="35"/>
      <c r="H12" s="35"/>
      <c r="I12" s="35"/>
      <c r="J12" s="35"/>
      <c r="K12" s="35"/>
      <c r="L12" s="35"/>
      <c r="M12" s="35"/>
      <c r="N12" s="35"/>
      <c r="O12" s="35" t="s">
        <v>220</v>
      </c>
    </row>
    <row r="13" spans="1:15" ht="28.5" x14ac:dyDescent="0.2">
      <c r="A13" s="36" t="s">
        <v>18</v>
      </c>
      <c r="B13" s="36" t="s">
        <v>15</v>
      </c>
      <c r="C13" s="35" t="s">
        <v>221</v>
      </c>
      <c r="D13" s="20" t="s">
        <v>222</v>
      </c>
      <c r="E13" s="35" t="s">
        <v>70</v>
      </c>
      <c r="F13" s="35" t="s">
        <v>219</v>
      </c>
      <c r="G13" s="35">
        <v>8</v>
      </c>
      <c r="H13" s="35"/>
      <c r="I13" s="35">
        <v>7200</v>
      </c>
      <c r="J13" s="35">
        <v>7200</v>
      </c>
      <c r="K13" s="35"/>
      <c r="L13" s="35"/>
      <c r="M13" s="35"/>
      <c r="N13" s="35"/>
      <c r="O13" s="35" t="s">
        <v>223</v>
      </c>
    </row>
    <row r="14" spans="1:15" ht="28.5" x14ac:dyDescent="0.2">
      <c r="A14" s="36" t="s">
        <v>18</v>
      </c>
      <c r="B14" s="36" t="s">
        <v>15</v>
      </c>
      <c r="C14" s="35" t="s">
        <v>224</v>
      </c>
      <c r="D14" s="20" t="s">
        <v>225</v>
      </c>
      <c r="E14" s="35" t="s">
        <v>70</v>
      </c>
      <c r="F14" s="35" t="s">
        <v>219</v>
      </c>
      <c r="G14" s="35"/>
      <c r="H14" s="35"/>
      <c r="I14" s="35"/>
      <c r="J14" s="35"/>
      <c r="K14" s="35"/>
      <c r="L14" s="35"/>
      <c r="M14" s="35"/>
      <c r="N14" s="35"/>
      <c r="O14" s="35" t="s">
        <v>226</v>
      </c>
    </row>
    <row r="15" spans="1:15" ht="28.5" x14ac:dyDescent="0.2">
      <c r="A15" s="36" t="s">
        <v>18</v>
      </c>
      <c r="B15" s="36" t="s">
        <v>15</v>
      </c>
      <c r="C15" s="35" t="s">
        <v>227</v>
      </c>
      <c r="D15" s="20" t="s">
        <v>228</v>
      </c>
      <c r="E15" s="35" t="s">
        <v>70</v>
      </c>
      <c r="F15" s="35" t="s">
        <v>219</v>
      </c>
      <c r="G15" s="35">
        <v>8</v>
      </c>
      <c r="H15" s="35"/>
      <c r="I15" s="35"/>
      <c r="J15" s="35"/>
      <c r="K15" s="35"/>
      <c r="L15" s="35"/>
      <c r="M15" s="35"/>
      <c r="N15" s="35"/>
      <c r="O15" s="35" t="s">
        <v>229</v>
      </c>
    </row>
    <row r="16" spans="1:15" ht="15" x14ac:dyDescent="0.2">
      <c r="A16" s="36" t="s">
        <v>18</v>
      </c>
      <c r="B16" s="36" t="s">
        <v>22</v>
      </c>
      <c r="C16" s="35" t="s">
        <v>271</v>
      </c>
      <c r="D16" s="20" t="s">
        <v>272</v>
      </c>
      <c r="E16" s="35" t="s">
        <v>70</v>
      </c>
      <c r="F16" s="35" t="s">
        <v>273</v>
      </c>
      <c r="G16" s="35"/>
      <c r="H16" s="35"/>
      <c r="I16" s="35"/>
      <c r="J16" s="35"/>
      <c r="K16" s="35"/>
      <c r="L16" s="35"/>
      <c r="M16" s="35"/>
      <c r="N16" s="35"/>
      <c r="O16" s="35" t="s">
        <v>274</v>
      </c>
    </row>
    <row r="17" spans="1:15" ht="15" x14ac:dyDescent="0.2">
      <c r="A17" s="36" t="s">
        <v>18</v>
      </c>
      <c r="B17" s="36" t="s">
        <v>15</v>
      </c>
      <c r="C17" s="35" t="s">
        <v>275</v>
      </c>
      <c r="D17" s="20" t="s">
        <v>276</v>
      </c>
      <c r="E17" s="35" t="s">
        <v>70</v>
      </c>
      <c r="F17" s="35" t="s">
        <v>277</v>
      </c>
      <c r="G17" s="35"/>
      <c r="H17" s="35"/>
      <c r="I17" s="35"/>
      <c r="J17" s="35"/>
      <c r="K17" s="35"/>
      <c r="L17" s="35"/>
      <c r="M17" s="35"/>
      <c r="N17" s="35"/>
      <c r="O17" s="35" t="s">
        <v>278</v>
      </c>
    </row>
    <row r="18" spans="1:15" ht="28.5" x14ac:dyDescent="0.2">
      <c r="A18" s="36" t="s">
        <v>18</v>
      </c>
      <c r="B18" s="36" t="s">
        <v>15</v>
      </c>
      <c r="C18" s="35" t="s">
        <v>279</v>
      </c>
      <c r="D18" s="20" t="s">
        <v>280</v>
      </c>
      <c r="E18" s="35" t="s">
        <v>113</v>
      </c>
      <c r="F18" s="35" t="s">
        <v>277</v>
      </c>
      <c r="G18" s="35"/>
      <c r="H18" s="35"/>
      <c r="I18" s="35"/>
      <c r="J18" s="35"/>
      <c r="K18" s="35"/>
      <c r="L18" s="35"/>
      <c r="M18" s="35"/>
      <c r="N18" s="35"/>
      <c r="O18" s="35" t="s">
        <v>281</v>
      </c>
    </row>
    <row r="19" spans="1:15" ht="15" x14ac:dyDescent="0.2">
      <c r="A19" s="36" t="s">
        <v>18</v>
      </c>
      <c r="B19" s="36" t="s">
        <v>20</v>
      </c>
      <c r="C19" s="35" t="s">
        <v>282</v>
      </c>
      <c r="D19" s="20" t="s">
        <v>283</v>
      </c>
      <c r="E19" s="35" t="s">
        <v>70</v>
      </c>
      <c r="F19" s="35" t="s">
        <v>277</v>
      </c>
      <c r="G19" s="35"/>
      <c r="H19" s="35"/>
      <c r="I19" s="35"/>
      <c r="J19" s="35"/>
      <c r="K19" s="35"/>
      <c r="L19" s="35"/>
      <c r="M19" s="35"/>
      <c r="N19" s="35"/>
      <c r="O19" s="35" t="s">
        <v>284</v>
      </c>
    </row>
    <row r="20" spans="1:15" ht="42.75" x14ac:dyDescent="0.2">
      <c r="A20" s="36" t="s">
        <v>24</v>
      </c>
      <c r="B20" s="36" t="s">
        <v>19</v>
      </c>
      <c r="C20" s="35" t="s">
        <v>285</v>
      </c>
      <c r="D20" s="20" t="s">
        <v>286</v>
      </c>
      <c r="E20" s="35" t="s">
        <v>113</v>
      </c>
      <c r="F20" s="35" t="s">
        <v>287</v>
      </c>
      <c r="G20" s="35"/>
      <c r="H20" s="35"/>
      <c r="I20" s="35"/>
      <c r="J20" s="35"/>
      <c r="K20" s="35"/>
      <c r="L20" s="35"/>
      <c r="M20" s="35"/>
      <c r="N20" s="35"/>
      <c r="O20" s="35" t="s">
        <v>288</v>
      </c>
    </row>
    <row r="21" spans="1:15" ht="42.75" x14ac:dyDescent="0.2">
      <c r="A21" s="36" t="s">
        <v>18</v>
      </c>
      <c r="B21" s="36" t="s">
        <v>19</v>
      </c>
      <c r="C21" s="35" t="s">
        <v>289</v>
      </c>
      <c r="D21" s="20" t="s">
        <v>290</v>
      </c>
      <c r="E21" s="35" t="s">
        <v>70</v>
      </c>
      <c r="F21" s="35" t="s">
        <v>291</v>
      </c>
      <c r="G21" s="35"/>
      <c r="H21" s="35"/>
      <c r="I21" s="35"/>
      <c r="J21" s="35"/>
      <c r="K21" s="35"/>
      <c r="L21" s="35">
        <v>0</v>
      </c>
      <c r="M21" s="35"/>
      <c r="N21" s="35">
        <v>0</v>
      </c>
      <c r="O21" s="35" t="s">
        <v>292</v>
      </c>
    </row>
    <row r="22" spans="1:15" ht="28.5" x14ac:dyDescent="0.2">
      <c r="A22" s="36" t="s">
        <v>18</v>
      </c>
      <c r="B22" s="36" t="s">
        <v>20</v>
      </c>
      <c r="C22" s="35" t="s">
        <v>293</v>
      </c>
      <c r="D22" s="20" t="s">
        <v>296</v>
      </c>
      <c r="E22" s="35" t="s">
        <v>70</v>
      </c>
      <c r="F22" s="35" t="s">
        <v>291</v>
      </c>
      <c r="G22" s="35"/>
      <c r="H22" s="35"/>
      <c r="I22" s="35"/>
      <c r="J22" s="35"/>
      <c r="K22" s="35"/>
      <c r="L22" s="35"/>
      <c r="M22" s="35"/>
      <c r="N22" s="35"/>
      <c r="O22" s="35" t="s">
        <v>297</v>
      </c>
    </row>
    <row r="23" spans="1:15" ht="15" x14ac:dyDescent="0.2">
      <c r="A23" s="36" t="s">
        <v>18</v>
      </c>
      <c r="B23" s="36" t="s">
        <v>21</v>
      </c>
      <c r="C23" s="35" t="s">
        <v>293</v>
      </c>
      <c r="D23" s="20" t="s">
        <v>294</v>
      </c>
      <c r="E23" s="35" t="s">
        <v>70</v>
      </c>
      <c r="F23" s="35" t="s">
        <v>291</v>
      </c>
      <c r="G23" s="35"/>
      <c r="H23" s="35"/>
      <c r="I23" s="35"/>
      <c r="J23" s="35"/>
      <c r="K23" s="35"/>
      <c r="L23" s="35"/>
      <c r="M23" s="35"/>
      <c r="N23" s="35"/>
      <c r="O23" s="35" t="s">
        <v>295</v>
      </c>
    </row>
    <row r="24" spans="1:15" ht="28.5" x14ac:dyDescent="0.2">
      <c r="A24" s="36" t="s">
        <v>24</v>
      </c>
      <c r="B24" s="36" t="s">
        <v>19</v>
      </c>
      <c r="C24" s="35" t="s">
        <v>298</v>
      </c>
      <c r="D24" s="20" t="s">
        <v>299</v>
      </c>
      <c r="E24" s="35" t="s">
        <v>113</v>
      </c>
      <c r="F24" s="35" t="s">
        <v>291</v>
      </c>
      <c r="G24" s="35"/>
      <c r="H24" s="35"/>
      <c r="I24" s="35"/>
      <c r="J24" s="35"/>
      <c r="K24" s="35"/>
      <c r="L24" s="35"/>
      <c r="M24" s="35"/>
      <c r="N24" s="35"/>
      <c r="O24" s="35" t="s">
        <v>300</v>
      </c>
    </row>
    <row r="25" spans="1:15" ht="42.75" x14ac:dyDescent="0.2">
      <c r="A25" s="36" t="s">
        <v>18</v>
      </c>
      <c r="B25" s="36" t="s">
        <v>19</v>
      </c>
      <c r="C25" s="35" t="s">
        <v>301</v>
      </c>
      <c r="D25" s="20" t="s">
        <v>302</v>
      </c>
      <c r="E25" s="35" t="s">
        <v>70</v>
      </c>
      <c r="F25" s="35" t="s">
        <v>291</v>
      </c>
      <c r="G25" s="35"/>
      <c r="H25" s="35"/>
      <c r="I25" s="35"/>
      <c r="J25" s="35"/>
      <c r="K25" s="35"/>
      <c r="L25" s="35"/>
      <c r="M25" s="35"/>
      <c r="N25" s="35"/>
      <c r="O25" s="35" t="s">
        <v>303</v>
      </c>
    </row>
    <row r="26" spans="1:15" ht="28.5" x14ac:dyDescent="0.2">
      <c r="A26" s="36" t="s">
        <v>18</v>
      </c>
      <c r="B26" s="36" t="s">
        <v>19</v>
      </c>
      <c r="C26" s="35" t="s">
        <v>304</v>
      </c>
      <c r="D26" s="20" t="s">
        <v>234</v>
      </c>
      <c r="E26" s="35" t="s">
        <v>70</v>
      </c>
      <c r="F26" s="35" t="s">
        <v>291</v>
      </c>
      <c r="G26" s="35"/>
      <c r="H26" s="35"/>
      <c r="I26" s="35"/>
      <c r="J26" s="35"/>
      <c r="K26" s="35"/>
      <c r="L26" s="35"/>
      <c r="M26" s="35"/>
      <c r="N26" s="35"/>
      <c r="O26" s="35" t="s">
        <v>305</v>
      </c>
    </row>
    <row r="27" spans="1:15" ht="42.75" x14ac:dyDescent="0.2">
      <c r="A27" s="36" t="s">
        <v>18</v>
      </c>
      <c r="B27" s="36" t="s">
        <v>21</v>
      </c>
      <c r="C27" s="35" t="s">
        <v>306</v>
      </c>
      <c r="D27" s="20" t="s">
        <v>307</v>
      </c>
      <c r="E27" s="35" t="s">
        <v>70</v>
      </c>
      <c r="F27" s="35" t="s">
        <v>291</v>
      </c>
      <c r="G27" s="35"/>
      <c r="H27" s="35"/>
      <c r="I27" s="35"/>
      <c r="J27" s="35"/>
      <c r="K27" s="35"/>
      <c r="L27" s="35"/>
      <c r="M27" s="35"/>
      <c r="N27" s="35"/>
      <c r="O27" s="35" t="s">
        <v>308</v>
      </c>
    </row>
    <row r="28" spans="1:15" ht="28.5" x14ac:dyDescent="0.2">
      <c r="A28" s="36" t="s">
        <v>18</v>
      </c>
      <c r="B28" s="36" t="s">
        <v>19</v>
      </c>
      <c r="C28" s="35" t="s">
        <v>309</v>
      </c>
      <c r="D28" s="20" t="s">
        <v>310</v>
      </c>
      <c r="E28" s="35" t="s">
        <v>70</v>
      </c>
      <c r="F28" s="35" t="s">
        <v>291</v>
      </c>
      <c r="G28" s="35"/>
      <c r="H28" s="35"/>
      <c r="I28" s="35"/>
      <c r="J28" s="35"/>
      <c r="K28" s="35"/>
      <c r="L28" s="35"/>
      <c r="M28" s="35"/>
      <c r="N28" s="35"/>
      <c r="O28" s="35" t="s">
        <v>311</v>
      </c>
    </row>
    <row r="29" spans="1:15" ht="28.5" x14ac:dyDescent="0.2">
      <c r="A29" s="36" t="s">
        <v>18</v>
      </c>
      <c r="B29" s="36" t="s">
        <v>20</v>
      </c>
      <c r="C29" s="35" t="s">
        <v>330</v>
      </c>
      <c r="D29" s="20" t="s">
        <v>331</v>
      </c>
      <c r="E29" s="35" t="s">
        <v>70</v>
      </c>
      <c r="F29" s="35"/>
      <c r="G29" s="35"/>
      <c r="H29" s="35"/>
      <c r="I29" s="35"/>
      <c r="J29" s="35"/>
      <c r="K29" s="35"/>
      <c r="L29" s="35"/>
      <c r="M29" s="35"/>
      <c r="N29" s="35"/>
      <c r="O29" s="35" t="s">
        <v>332</v>
      </c>
    </row>
    <row r="30" spans="1:15" ht="15" x14ac:dyDescent="0.2">
      <c r="A30" s="36" t="s">
        <v>18</v>
      </c>
      <c r="B30" s="36" t="s">
        <v>21</v>
      </c>
      <c r="C30" s="35" t="s">
        <v>333</v>
      </c>
      <c r="D30" s="20" t="s">
        <v>329</v>
      </c>
      <c r="E30" s="35" t="s">
        <v>70</v>
      </c>
      <c r="F30" s="35"/>
      <c r="G30" s="35">
        <v>13</v>
      </c>
      <c r="H30" s="35"/>
      <c r="I30" s="35"/>
      <c r="J30" s="35"/>
      <c r="K30" s="35"/>
      <c r="L30" s="35"/>
      <c r="M30" s="35"/>
      <c r="N30" s="35"/>
      <c r="O30" s="35" t="s">
        <v>334</v>
      </c>
    </row>
    <row r="31" spans="1:15" ht="15" x14ac:dyDescent="0.2">
      <c r="A31" s="36" t="s">
        <v>24</v>
      </c>
      <c r="B31" s="36" t="s">
        <v>19</v>
      </c>
      <c r="C31" s="35" t="s">
        <v>335</v>
      </c>
      <c r="D31" s="20" t="s">
        <v>336</v>
      </c>
      <c r="E31" s="35" t="s">
        <v>70</v>
      </c>
      <c r="F31" s="35"/>
      <c r="G31" s="35"/>
      <c r="H31" s="35"/>
      <c r="I31" s="35"/>
      <c r="J31" s="35"/>
      <c r="K31" s="35"/>
      <c r="L31" s="35"/>
      <c r="M31" s="35"/>
      <c r="N31" s="35"/>
      <c r="O31" s="35"/>
    </row>
    <row r="32" spans="1:15" ht="15" x14ac:dyDescent="0.2">
      <c r="A32" s="36" t="s">
        <v>24</v>
      </c>
      <c r="B32" s="36" t="s">
        <v>20</v>
      </c>
      <c r="C32" s="35" t="s">
        <v>337</v>
      </c>
      <c r="D32" s="20" t="s">
        <v>250</v>
      </c>
      <c r="E32" s="35" t="s">
        <v>70</v>
      </c>
      <c r="F32" s="35"/>
      <c r="G32" s="35"/>
      <c r="H32" s="35"/>
      <c r="I32" s="35"/>
      <c r="J32" s="35"/>
      <c r="K32" s="35"/>
      <c r="L32" s="35"/>
      <c r="M32" s="35"/>
      <c r="N32" s="35"/>
      <c r="O32" s="35" t="s">
        <v>248</v>
      </c>
    </row>
    <row r="33" spans="1:15" ht="15" x14ac:dyDescent="0.2">
      <c r="A33" s="36" t="s">
        <v>24</v>
      </c>
      <c r="B33" s="36" t="s">
        <v>20</v>
      </c>
      <c r="C33" s="35" t="s">
        <v>338</v>
      </c>
      <c r="D33" s="20" t="s">
        <v>339</v>
      </c>
      <c r="E33" s="35" t="s">
        <v>70</v>
      </c>
      <c r="F33" s="35"/>
      <c r="G33" s="35"/>
      <c r="H33" s="35"/>
      <c r="I33" s="35"/>
      <c r="J33" s="35"/>
      <c r="K33" s="35"/>
      <c r="L33" s="35"/>
      <c r="M33" s="35"/>
      <c r="N33" s="35"/>
      <c r="O33" s="35"/>
    </row>
    <row r="34" spans="1:15" ht="28.5" x14ac:dyDescent="0.2">
      <c r="A34" s="36" t="s">
        <v>18</v>
      </c>
      <c r="B34" s="36" t="s">
        <v>19</v>
      </c>
      <c r="C34" s="35" t="s">
        <v>340</v>
      </c>
      <c r="D34" s="20" t="s">
        <v>341</v>
      </c>
      <c r="E34" s="35" t="s">
        <v>70</v>
      </c>
      <c r="F34" s="35"/>
      <c r="G34" s="35">
        <v>13</v>
      </c>
      <c r="H34" s="35"/>
      <c r="I34" s="35"/>
      <c r="J34" s="35"/>
      <c r="K34" s="35"/>
      <c r="L34" s="35"/>
      <c r="M34" s="35"/>
      <c r="N34" s="35"/>
      <c r="O34" s="35" t="s">
        <v>342</v>
      </c>
    </row>
    <row r="35" spans="1:15" ht="28.5" x14ac:dyDescent="0.2">
      <c r="A35" s="36" t="s">
        <v>18</v>
      </c>
      <c r="B35" s="36" t="s">
        <v>19</v>
      </c>
      <c r="C35" s="35" t="s">
        <v>85</v>
      </c>
      <c r="D35" s="20" t="s">
        <v>88</v>
      </c>
      <c r="E35" s="35" t="s">
        <v>70</v>
      </c>
      <c r="F35" s="35"/>
      <c r="G35" s="35">
        <v>5</v>
      </c>
      <c r="H35" s="35"/>
      <c r="I35" s="35"/>
      <c r="J35" s="35"/>
      <c r="K35" s="35"/>
      <c r="L35" s="35"/>
      <c r="M35" s="35"/>
      <c r="N35" s="35"/>
      <c r="O35" s="35" t="s">
        <v>343</v>
      </c>
    </row>
    <row r="36" spans="1:15" ht="57" x14ac:dyDescent="0.2">
      <c r="A36" s="36" t="s">
        <v>18</v>
      </c>
      <c r="B36" s="36" t="s">
        <v>19</v>
      </c>
      <c r="C36" s="35" t="s">
        <v>344</v>
      </c>
      <c r="D36" s="20" t="s">
        <v>96</v>
      </c>
      <c r="E36" s="35" t="s">
        <v>70</v>
      </c>
      <c r="F36" s="35"/>
      <c r="G36" s="35">
        <v>13</v>
      </c>
      <c r="H36" s="35"/>
      <c r="I36" s="35"/>
      <c r="J36" s="35"/>
      <c r="K36" s="35"/>
      <c r="L36" s="35"/>
      <c r="M36" s="35"/>
      <c r="N36" s="35"/>
      <c r="O36" s="35" t="s">
        <v>1121</v>
      </c>
    </row>
    <row r="37" spans="1:15" ht="15" x14ac:dyDescent="0.2">
      <c r="A37" s="36" t="s">
        <v>18</v>
      </c>
      <c r="B37" s="36" t="s">
        <v>15</v>
      </c>
      <c r="C37" s="35" t="s">
        <v>351</v>
      </c>
      <c r="D37" s="20" t="s">
        <v>201</v>
      </c>
      <c r="E37" s="35" t="s">
        <v>70</v>
      </c>
      <c r="F37" s="35"/>
      <c r="G37" s="35">
        <v>5</v>
      </c>
      <c r="H37" s="35"/>
      <c r="I37" s="35"/>
      <c r="J37" s="35"/>
      <c r="K37" s="35"/>
      <c r="L37" s="35"/>
      <c r="M37" s="35"/>
      <c r="N37" s="35"/>
      <c r="O37" s="35" t="s">
        <v>352</v>
      </c>
    </row>
    <row r="38" spans="1:15" ht="28.5" x14ac:dyDescent="0.2">
      <c r="A38" s="36" t="s">
        <v>18</v>
      </c>
      <c r="B38" s="36" t="s">
        <v>20</v>
      </c>
      <c r="C38" s="35" t="s">
        <v>353</v>
      </c>
      <c r="D38" s="20" t="s">
        <v>315</v>
      </c>
      <c r="E38" s="35" t="s">
        <v>70</v>
      </c>
      <c r="F38" s="35"/>
      <c r="G38" s="35"/>
      <c r="H38" s="35"/>
      <c r="I38" s="35"/>
      <c r="J38" s="35"/>
      <c r="K38" s="35"/>
      <c r="L38" s="35"/>
      <c r="M38" s="35"/>
      <c r="N38" s="35"/>
      <c r="O38" s="35" t="s">
        <v>354</v>
      </c>
    </row>
    <row r="39" spans="1:15" ht="15" x14ac:dyDescent="0.2">
      <c r="A39" s="36" t="s">
        <v>18</v>
      </c>
      <c r="B39" s="36" t="s">
        <v>19</v>
      </c>
      <c r="C39" s="35" t="s">
        <v>355</v>
      </c>
      <c r="D39" s="20" t="s">
        <v>149</v>
      </c>
      <c r="E39" s="35" t="s">
        <v>70</v>
      </c>
      <c r="F39" s="35"/>
      <c r="G39" s="35"/>
      <c r="H39" s="35"/>
      <c r="I39" s="35"/>
      <c r="J39" s="35"/>
      <c r="K39" s="35"/>
      <c r="L39" s="35"/>
      <c r="M39" s="35"/>
      <c r="N39" s="35"/>
      <c r="O39" s="35" t="s">
        <v>356</v>
      </c>
    </row>
    <row r="40" spans="1:15" ht="28.5" x14ac:dyDescent="0.2">
      <c r="A40" s="36" t="s">
        <v>18</v>
      </c>
      <c r="B40" s="36" t="s">
        <v>19</v>
      </c>
      <c r="C40" s="35" t="s">
        <v>355</v>
      </c>
      <c r="D40" s="20" t="s">
        <v>133</v>
      </c>
      <c r="E40" s="35" t="s">
        <v>70</v>
      </c>
      <c r="F40" s="35"/>
      <c r="G40" s="35"/>
      <c r="H40" s="35"/>
      <c r="I40" s="35"/>
      <c r="J40" s="35"/>
      <c r="K40" s="35"/>
      <c r="L40" s="35"/>
      <c r="M40" s="35"/>
      <c r="N40" s="35"/>
      <c r="O40" s="35" t="s">
        <v>357</v>
      </c>
    </row>
    <row r="41" spans="1:15" ht="28.5" x14ac:dyDescent="0.2">
      <c r="A41" s="36" t="s">
        <v>18</v>
      </c>
      <c r="B41" s="36" t="s">
        <v>19</v>
      </c>
      <c r="C41" s="35" t="s">
        <v>358</v>
      </c>
      <c r="D41" s="20" t="s">
        <v>129</v>
      </c>
      <c r="E41" s="35" t="s">
        <v>359</v>
      </c>
      <c r="F41" s="35"/>
      <c r="G41" s="35"/>
      <c r="H41" s="35"/>
      <c r="I41" s="35"/>
      <c r="J41" s="35"/>
      <c r="K41" s="35"/>
      <c r="L41" s="35"/>
      <c r="M41" s="35"/>
      <c r="N41" s="35"/>
      <c r="O41" s="35" t="s">
        <v>360</v>
      </c>
    </row>
    <row r="42" spans="1:15" ht="15" x14ac:dyDescent="0.2">
      <c r="A42" s="36" t="s">
        <v>18</v>
      </c>
      <c r="B42" s="36" t="s">
        <v>22</v>
      </c>
      <c r="C42" s="35" t="s">
        <v>361</v>
      </c>
      <c r="D42" s="20" t="s">
        <v>362</v>
      </c>
      <c r="E42" s="35" t="s">
        <v>70</v>
      </c>
      <c r="F42" s="35"/>
      <c r="G42" s="35"/>
      <c r="H42" s="35"/>
      <c r="I42" s="35"/>
      <c r="J42" s="35"/>
      <c r="K42" s="35"/>
      <c r="L42" s="35"/>
      <c r="M42" s="35"/>
      <c r="N42" s="35"/>
      <c r="O42" s="35"/>
    </row>
    <row r="43" spans="1:15" ht="28.5" x14ac:dyDescent="0.2">
      <c r="A43" s="36" t="s">
        <v>18</v>
      </c>
      <c r="B43" s="36" t="s">
        <v>20</v>
      </c>
      <c r="C43" s="35" t="s">
        <v>363</v>
      </c>
      <c r="D43" s="20" t="s">
        <v>364</v>
      </c>
      <c r="E43" s="35" t="s">
        <v>70</v>
      </c>
      <c r="F43" s="35"/>
      <c r="G43" s="35"/>
      <c r="H43" s="35"/>
      <c r="I43" s="35"/>
      <c r="J43" s="35"/>
      <c r="K43" s="35"/>
      <c r="L43" s="35"/>
      <c r="M43" s="35"/>
      <c r="N43" s="35"/>
      <c r="O43" s="35" t="s">
        <v>365</v>
      </c>
    </row>
    <row r="44" spans="1:15" ht="15" x14ac:dyDescent="0.2">
      <c r="A44" s="36" t="s">
        <v>18</v>
      </c>
      <c r="B44" s="36" t="s">
        <v>19</v>
      </c>
      <c r="C44" s="35" t="s">
        <v>366</v>
      </c>
      <c r="D44" s="20" t="s">
        <v>367</v>
      </c>
      <c r="E44" s="35" t="s">
        <v>70</v>
      </c>
      <c r="F44" s="35"/>
      <c r="G44" s="35"/>
      <c r="H44" s="35"/>
      <c r="I44" s="35"/>
      <c r="J44" s="35"/>
      <c r="K44" s="35"/>
      <c r="L44" s="35"/>
      <c r="M44" s="35"/>
      <c r="N44" s="35"/>
      <c r="O44" s="35" t="s">
        <v>368</v>
      </c>
    </row>
    <row r="45" spans="1:15" ht="57" x14ac:dyDescent="0.2">
      <c r="A45" s="36" t="s">
        <v>24</v>
      </c>
      <c r="B45" s="36" t="s">
        <v>25</v>
      </c>
      <c r="C45" s="35" t="s">
        <v>369</v>
      </c>
      <c r="D45" s="20" t="s">
        <v>76</v>
      </c>
      <c r="E45" s="35" t="s">
        <v>70</v>
      </c>
      <c r="F45" s="35"/>
      <c r="G45" s="35"/>
      <c r="H45" s="35"/>
      <c r="I45" s="35"/>
      <c r="J45" s="35"/>
      <c r="K45" s="35"/>
      <c r="L45" s="35"/>
      <c r="M45" s="35"/>
      <c r="N45" s="35"/>
      <c r="O45" s="35" t="s">
        <v>370</v>
      </c>
    </row>
    <row r="46" spans="1:15" ht="15" x14ac:dyDescent="0.2">
      <c r="A46" s="36" t="s">
        <v>18</v>
      </c>
      <c r="B46" s="36" t="s">
        <v>15</v>
      </c>
      <c r="C46" s="35" t="s">
        <v>371</v>
      </c>
      <c r="D46" s="20" t="s">
        <v>204</v>
      </c>
      <c r="E46" s="35" t="s">
        <v>70</v>
      </c>
      <c r="F46" s="35"/>
      <c r="G46" s="35">
        <v>3</v>
      </c>
      <c r="H46" s="35"/>
      <c r="I46" s="35"/>
      <c r="J46" s="35"/>
      <c r="K46" s="35"/>
      <c r="L46" s="35"/>
      <c r="M46" s="35"/>
      <c r="N46" s="35"/>
      <c r="O46" s="35" t="s">
        <v>372</v>
      </c>
    </row>
    <row r="47" spans="1:15" ht="15" x14ac:dyDescent="0.2">
      <c r="A47" s="36" t="s">
        <v>18</v>
      </c>
      <c r="B47" s="36" t="s">
        <v>19</v>
      </c>
      <c r="C47" s="35" t="s">
        <v>373</v>
      </c>
      <c r="D47" s="20" t="s">
        <v>198</v>
      </c>
      <c r="E47" s="35" t="s">
        <v>70</v>
      </c>
      <c r="F47" s="35"/>
      <c r="G47" s="35">
        <v>5</v>
      </c>
      <c r="H47" s="35"/>
      <c r="I47" s="35"/>
      <c r="J47" s="35"/>
      <c r="K47" s="35"/>
      <c r="L47" s="35"/>
      <c r="M47" s="35"/>
      <c r="N47" s="35"/>
      <c r="O47" s="35" t="s">
        <v>374</v>
      </c>
    </row>
    <row r="48" spans="1:15" ht="28.5" x14ac:dyDescent="0.2">
      <c r="A48" s="36" t="s">
        <v>18</v>
      </c>
      <c r="B48" s="36" t="s">
        <v>20</v>
      </c>
      <c r="C48" s="35" t="s">
        <v>375</v>
      </c>
      <c r="D48" s="20" t="s">
        <v>376</v>
      </c>
      <c r="E48" s="35" t="s">
        <v>70</v>
      </c>
      <c r="F48" s="35"/>
      <c r="G48" s="35"/>
      <c r="H48" s="35"/>
      <c r="I48" s="35"/>
      <c r="J48" s="35"/>
      <c r="K48" s="35"/>
      <c r="L48" s="35"/>
      <c r="M48" s="35"/>
      <c r="N48" s="35"/>
      <c r="O48" s="35" t="s">
        <v>239</v>
      </c>
    </row>
    <row r="49" spans="1:15" ht="42.75" x14ac:dyDescent="0.2">
      <c r="A49" s="36" t="s">
        <v>18</v>
      </c>
      <c r="B49" s="36" t="s">
        <v>19</v>
      </c>
      <c r="C49" s="35" t="s">
        <v>377</v>
      </c>
      <c r="D49" s="20" t="s">
        <v>91</v>
      </c>
      <c r="E49" s="35" t="s">
        <v>70</v>
      </c>
      <c r="F49" s="35"/>
      <c r="G49" s="35">
        <v>13</v>
      </c>
      <c r="H49" s="35"/>
      <c r="I49" s="35"/>
      <c r="J49" s="35"/>
      <c r="K49" s="35"/>
      <c r="L49" s="35"/>
      <c r="M49" s="35"/>
      <c r="N49" s="35"/>
      <c r="O49" s="35" t="s">
        <v>378</v>
      </c>
    </row>
    <row r="50" spans="1:15" ht="28.5" x14ac:dyDescent="0.2">
      <c r="A50" s="36" t="s">
        <v>18</v>
      </c>
      <c r="B50" s="36" t="s">
        <v>19</v>
      </c>
      <c r="C50" s="35" t="s">
        <v>1120</v>
      </c>
      <c r="D50" s="20" t="s">
        <v>1083</v>
      </c>
      <c r="E50" s="35" t="s">
        <v>70</v>
      </c>
      <c r="F50" s="35"/>
      <c r="G50" s="35"/>
      <c r="H50" s="35"/>
      <c r="I50" s="35"/>
      <c r="J50" s="35"/>
      <c r="K50" s="35"/>
      <c r="L50" s="35"/>
      <c r="M50" s="35"/>
      <c r="N50" s="35"/>
      <c r="O50" s="35" t="s">
        <v>1119</v>
      </c>
    </row>
    <row r="51" spans="1:15" ht="15" x14ac:dyDescent="0.2">
      <c r="A51" s="36" t="s">
        <v>18</v>
      </c>
      <c r="B51" s="36" t="s">
        <v>15</v>
      </c>
      <c r="C51" s="35" t="s">
        <v>379</v>
      </c>
      <c r="D51" s="20" t="s">
        <v>181</v>
      </c>
      <c r="E51" s="35" t="s">
        <v>70</v>
      </c>
      <c r="F51" s="35"/>
      <c r="G51" s="35">
        <v>3</v>
      </c>
      <c r="H51" s="35"/>
      <c r="I51" s="35"/>
      <c r="J51" s="35"/>
      <c r="K51" s="35"/>
      <c r="L51" s="35"/>
      <c r="M51" s="35"/>
      <c r="N51" s="35"/>
      <c r="O51" s="35" t="s">
        <v>380</v>
      </c>
    </row>
    <row r="52" spans="1:15" ht="15" x14ac:dyDescent="0.2">
      <c r="A52" s="36" t="s">
        <v>18</v>
      </c>
      <c r="B52" s="36" t="s">
        <v>21</v>
      </c>
      <c r="C52" s="35" t="s">
        <v>207</v>
      </c>
      <c r="D52" s="20" t="s">
        <v>209</v>
      </c>
      <c r="E52" s="35" t="s">
        <v>70</v>
      </c>
      <c r="F52" s="35"/>
      <c r="G52" s="35">
        <v>8</v>
      </c>
      <c r="H52" s="35"/>
      <c r="I52" s="35"/>
      <c r="J52" s="35"/>
      <c r="K52" s="35"/>
      <c r="L52" s="35"/>
      <c r="M52" s="35"/>
      <c r="N52" s="35"/>
      <c r="O52" s="35" t="s">
        <v>208</v>
      </c>
    </row>
    <row r="53" spans="1:15" ht="15" x14ac:dyDescent="0.2">
      <c r="A53" s="36" t="s">
        <v>18</v>
      </c>
      <c r="B53" s="36" t="s">
        <v>19</v>
      </c>
      <c r="C53" s="35" t="s">
        <v>384</v>
      </c>
      <c r="D53" s="20" t="s">
        <v>385</v>
      </c>
      <c r="E53" s="35" t="s">
        <v>70</v>
      </c>
      <c r="F53" s="35"/>
      <c r="G53" s="35"/>
      <c r="H53" s="35"/>
      <c r="I53" s="35"/>
      <c r="J53" s="35"/>
      <c r="K53" s="35"/>
      <c r="L53" s="35"/>
      <c r="M53" s="35"/>
      <c r="N53" s="35"/>
      <c r="O53" s="35" t="s">
        <v>386</v>
      </c>
    </row>
    <row r="54" spans="1:15" ht="28.5" x14ac:dyDescent="0.2">
      <c r="A54" s="36" t="s">
        <v>18</v>
      </c>
      <c r="B54" s="36" t="s">
        <v>19</v>
      </c>
      <c r="C54" s="35" t="s">
        <v>387</v>
      </c>
      <c r="D54" s="20" t="s">
        <v>159</v>
      </c>
      <c r="E54" s="35" t="s">
        <v>70</v>
      </c>
      <c r="F54" s="35"/>
      <c r="G54" s="35"/>
      <c r="H54" s="35"/>
      <c r="I54" s="35"/>
      <c r="J54" s="35"/>
      <c r="K54" s="35"/>
      <c r="L54" s="35"/>
      <c r="M54" s="35"/>
      <c r="N54" s="35"/>
      <c r="O54" s="35" t="s">
        <v>388</v>
      </c>
    </row>
    <row r="55" spans="1:15" ht="28.5" x14ac:dyDescent="0.2">
      <c r="A55" s="36" t="s">
        <v>18</v>
      </c>
      <c r="B55" s="36" t="s">
        <v>19</v>
      </c>
      <c r="C55" s="35" t="s">
        <v>99</v>
      </c>
      <c r="D55" s="20" t="s">
        <v>101</v>
      </c>
      <c r="E55" s="35" t="s">
        <v>70</v>
      </c>
      <c r="F55" s="35"/>
      <c r="G55" s="35">
        <v>5</v>
      </c>
      <c r="H55" s="35"/>
      <c r="I55" s="35"/>
      <c r="J55" s="35"/>
      <c r="K55" s="35"/>
      <c r="L55" s="35"/>
      <c r="M55" s="35"/>
      <c r="N55" s="35"/>
      <c r="O55" s="35" t="s">
        <v>100</v>
      </c>
    </row>
    <row r="56" spans="1:15" ht="15" x14ac:dyDescent="0.2">
      <c r="A56" s="36" t="s">
        <v>18</v>
      </c>
      <c r="B56" s="36" t="s">
        <v>19</v>
      </c>
      <c r="C56" s="35" t="s">
        <v>392</v>
      </c>
      <c r="D56" s="20" t="s">
        <v>155</v>
      </c>
      <c r="E56" s="35" t="s">
        <v>70</v>
      </c>
      <c r="F56" s="35"/>
      <c r="G56" s="35"/>
      <c r="H56" s="35"/>
      <c r="I56" s="35"/>
      <c r="J56" s="35"/>
      <c r="K56" s="35"/>
      <c r="L56" s="35"/>
      <c r="M56" s="35"/>
      <c r="N56" s="35"/>
      <c r="O56" s="35" t="s">
        <v>393</v>
      </c>
    </row>
    <row r="57" spans="1:15" ht="15" x14ac:dyDescent="0.2">
      <c r="A57" s="36" t="s">
        <v>18</v>
      </c>
      <c r="B57" s="36" t="s">
        <v>15</v>
      </c>
      <c r="C57" s="35" t="s">
        <v>392</v>
      </c>
      <c r="D57" s="20" t="s">
        <v>394</v>
      </c>
      <c r="E57" s="35" t="s">
        <v>70</v>
      </c>
      <c r="F57" s="35"/>
      <c r="G57" s="35"/>
      <c r="H57" s="35"/>
      <c r="I57" s="35"/>
      <c r="J57" s="35"/>
      <c r="K57" s="35"/>
      <c r="L57" s="35"/>
      <c r="M57" s="35"/>
      <c r="N57" s="35"/>
      <c r="O57" s="35" t="s">
        <v>395</v>
      </c>
    </row>
    <row r="58" spans="1:15" x14ac:dyDescent="0.2">
      <c r="A58" s="47" t="s">
        <v>1118</v>
      </c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9"/>
    </row>
  </sheetData>
  <mergeCells count="4">
    <mergeCell ref="A1:O1"/>
    <mergeCell ref="A2:O2"/>
    <mergeCell ref="A3:O3"/>
    <mergeCell ref="A58:O58"/>
  </mergeCells>
  <hyperlinks>
    <hyperlink ref="A2" r:id="rId1" display="https://webgate.ec.europa.eu/CITnet/jira/issues/?filter=238855"/>
    <hyperlink ref="D5" r:id="rId2" display="https://webgate.ec.europa.eu/CITnet/jira/browse/TSKACTION-217"/>
    <hyperlink ref="D6" r:id="rId3" display="https://webgate.ec.europa.eu/CITnet/jira/browse/CCDOCLIST-165"/>
    <hyperlink ref="D7" r:id="rId4" display="https://webgate.ec.europa.eu/CITnet/jira/browse/PROCESS-44"/>
    <hyperlink ref="D8" r:id="rId5" display="https://webgate.ec.europa.eu/CITnet/jira/browse/PROCESS-92"/>
    <hyperlink ref="D9" r:id="rId6" display="https://webgate.ec.europa.eu/CITnet/jira/browse/PROCESS-75"/>
    <hyperlink ref="D10" r:id="rId7" display="https://webgate.ec.europa.eu/CITnet/jira/browse/CCARCHITEC-37"/>
    <hyperlink ref="D11" r:id="rId8" display="https://webgate.ec.europa.eu/CITnet/jira/browse/COMPCORP-114"/>
    <hyperlink ref="D12" r:id="rId9" display="https://webgate.ec.europa.eu/CITnet/jira/browse/CCTASK-533"/>
    <hyperlink ref="D13" r:id="rId10" display="https://webgate.ec.europa.eu/CITnet/jira/browse/CCDOCLIST-156"/>
    <hyperlink ref="D14" r:id="rId11" display="https://webgate.ec.europa.eu/CITnet/jira/browse/CCDOCLIST-19"/>
    <hyperlink ref="D15" r:id="rId12" display="https://webgate.ec.europa.eu/CITnet/jira/browse/CCDOCLIST-157"/>
    <hyperlink ref="D16" r:id="rId13" display="https://webgate.ec.europa.eu/CITnet/jira/browse/CCTASK-534"/>
    <hyperlink ref="D17" r:id="rId14" display="https://webgate.ec.europa.eu/CITnet/jira/browse/CCDOCLIST-17"/>
    <hyperlink ref="D18" r:id="rId15" display="https://webgate.ec.europa.eu/CITnet/jira/browse/CCDOCLIST-27"/>
    <hyperlink ref="D19" r:id="rId16" display="https://webgate.ec.europa.eu/CITnet/jira/browse/CCDOCLIST-25"/>
    <hyperlink ref="D20" r:id="rId17" display="https://webgate.ec.europa.eu/CITnet/jira/browse/CCARCHITEC-49"/>
    <hyperlink ref="D21" r:id="rId18" display="https://webgate.ec.europa.eu/CITnet/jira/browse/TSKACTION-245"/>
    <hyperlink ref="D22" r:id="rId19" display="https://webgate.ec.europa.eu/CITnet/jira/browse/CCTASK-579"/>
    <hyperlink ref="D23" r:id="rId20" display="https://webgate.ec.europa.eu/CITnet/jira/browse/CCDOCLIST-181"/>
    <hyperlink ref="D24" r:id="rId21" display="https://webgate.ec.europa.eu/CITnet/jira/browse/CCTASK-527"/>
    <hyperlink ref="D25" r:id="rId22" display="https://webgate.ec.europa.eu/CITnet/jira/browse/CCTASK-272"/>
    <hyperlink ref="D26" r:id="rId23" display="https://webgate.ec.europa.eu/CITnet/jira/browse/CCTASK-519"/>
    <hyperlink ref="D27" r:id="rId24" display="https://webgate.ec.europa.eu/CITnet/jira/browse/CCDOCLIST-174"/>
    <hyperlink ref="D28" r:id="rId25" display="https://webgate.ec.europa.eu/CITnet/jira/browse/CCTASK-476"/>
    <hyperlink ref="D29" r:id="rId26" display="https://webgate.ec.europa.eu/CITnet/jira/browse/TSKACTION-56"/>
    <hyperlink ref="D30" r:id="rId27" display="https://webgate.ec.europa.eu/CITnet/jira/browse/INTERCOM-55"/>
    <hyperlink ref="D31" r:id="rId28" display="https://webgate.ec.europa.eu/CITnet/jira/browse/CCPMO-129"/>
    <hyperlink ref="D32" r:id="rId29" display="https://webgate.ec.europa.eu/CITnet/jira/browse/CCPMO-77"/>
    <hyperlink ref="D33" r:id="rId30" display="https://webgate.ec.europa.eu/CITnet/jira/browse/CCPMO-63"/>
    <hyperlink ref="D34" r:id="rId31" display="https://webgate.ec.europa.eu/CITnet/jira/browse/WAVECC-42"/>
    <hyperlink ref="D35" r:id="rId32" display="https://webgate.ec.europa.eu/CITnet/jira/browse/CCADMIN-42"/>
    <hyperlink ref="D36" r:id="rId33" display="https://webgate.ec.europa.eu/CITnet/jira/browse/INTERCOM-54"/>
    <hyperlink ref="D37" r:id="rId34" display="https://webgate.ec.europa.eu/CITnet/jira/browse/INTERCOM-71"/>
    <hyperlink ref="D38" r:id="rId35" display="https://webgate.ec.europa.eu/CITnet/jira/browse/PROCESS-98"/>
    <hyperlink ref="D39" r:id="rId36" display="https://webgate.ec.europa.eu/CITnet/jira/browse/PFM-125"/>
    <hyperlink ref="D40" r:id="rId37" display="https://webgate.ec.europa.eu/CITnet/jira/browse/PROCESS-95"/>
    <hyperlink ref="D41" r:id="rId38" display="https://webgate.ec.europa.eu/CITnet/jira/browse/PROCESS-33"/>
    <hyperlink ref="D42" r:id="rId39" display="https://webgate.ec.europa.eu/CITnet/jira/browse/CCTASK-532"/>
    <hyperlink ref="D43" r:id="rId40" display="https://webgate.ec.europa.eu/CITnet/jira/browse/CCDOCLIST-116"/>
    <hyperlink ref="D44" r:id="rId41" display="https://webgate.ec.europa.eu/CITnet/jira/browse/WAVECC-34"/>
    <hyperlink ref="D45" r:id="rId42" display="https://webgate.ec.europa.eu/CITnet/jira/browse/CCPMO-76"/>
    <hyperlink ref="D46" r:id="rId43" display="https://webgate.ec.europa.eu/CITnet/jira/browse/INTERCOM-75"/>
    <hyperlink ref="D47" r:id="rId44" display="https://webgate.ec.europa.eu/CITnet/jira/browse/CCADMIN-55"/>
    <hyperlink ref="D48" r:id="rId45" display="https://webgate.ec.europa.eu/CITnet/jira/browse/PROCESS-125"/>
    <hyperlink ref="D49" r:id="rId46" display="https://webgate.ec.europa.eu/CITnet/jira/browse/CCADMIN-44"/>
    <hyperlink ref="D50" r:id="rId47" display="https://webgate.ec.europa.eu/CITnet/jira/browse/INTERCOM-76"/>
    <hyperlink ref="D51" r:id="rId48" display="https://webgate.ec.europa.eu/CITnet/jira/browse/INTERCOM-59"/>
    <hyperlink ref="D52" r:id="rId49" display="https://webgate.ec.europa.eu/CITnet/jira/browse/INTERCOM-72"/>
    <hyperlink ref="D53" r:id="rId50" display="https://webgate.ec.europa.eu/CITnet/jira/browse/CCTASK-518"/>
    <hyperlink ref="D54" r:id="rId51" display="https://webgate.ec.europa.eu/CITnet/jira/browse/PFM-131"/>
    <hyperlink ref="D55" r:id="rId52" display="https://webgate.ec.europa.eu/CITnet/jira/browse/INTERCOM-52"/>
    <hyperlink ref="D56" r:id="rId53" display="https://webgate.ec.europa.eu/CITnet/jira/browse/PFM-126"/>
    <hyperlink ref="D57" r:id="rId54" display="https://webgate.ec.europa.eu/CITnet/jira/browse/PROCESS-96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5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195"/>
  <sheetViews>
    <sheetView workbookViewId="0">
      <selection activeCell="C13" sqref="C13"/>
    </sheetView>
  </sheetViews>
  <sheetFormatPr defaultRowHeight="12" x14ac:dyDescent="0.2"/>
  <cols>
    <col min="1" max="1" width="10.5" style="34" bestFit="1" customWidth="1"/>
    <col min="2" max="2" width="10.25" style="34" bestFit="1" customWidth="1"/>
    <col min="3" max="3" width="32" style="34" bestFit="1" customWidth="1"/>
    <col min="4" max="4" width="13" style="34" bestFit="1" customWidth="1"/>
    <col min="5" max="5" width="31.125" style="34" bestFit="1" customWidth="1"/>
    <col min="6" max="6" width="32" style="34" bestFit="1" customWidth="1"/>
    <col min="7" max="7" width="11.75" style="34" bestFit="1" customWidth="1"/>
    <col min="8" max="8" width="9" style="34" bestFit="1" customWidth="1"/>
    <col min="9" max="9" width="17.875" style="34" bestFit="1" customWidth="1"/>
    <col min="10" max="10" width="20.375" style="34" bestFit="1" customWidth="1"/>
    <col min="11" max="11" width="8.5" style="34" bestFit="1" customWidth="1"/>
    <col min="12" max="12" width="14.125" style="34" bestFit="1" customWidth="1"/>
    <col min="13" max="13" width="14.625" style="34" bestFit="1" customWidth="1"/>
    <col min="14" max="14" width="14.5" style="34" bestFit="1" customWidth="1"/>
    <col min="15" max="15" width="32" style="34" bestFit="1" customWidth="1"/>
    <col min="16" max="16384" width="9" style="34"/>
  </cols>
  <sheetData>
    <row r="1" spans="1:15" ht="27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40"/>
    </row>
    <row r="2" spans="1:15" ht="15" customHeight="1" x14ac:dyDescent="0.2">
      <c r="A2" s="41" t="s">
        <v>426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44" t="s">
        <v>1117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6"/>
    </row>
    <row r="4" spans="1:15" ht="15" x14ac:dyDescent="0.2">
      <c r="A4" s="37" t="s">
        <v>4</v>
      </c>
      <c r="B4" s="37" t="s">
        <v>5</v>
      </c>
      <c r="C4" s="37" t="s">
        <v>54</v>
      </c>
      <c r="D4" s="37" t="s">
        <v>6</v>
      </c>
      <c r="E4" s="37" t="s">
        <v>7</v>
      </c>
      <c r="F4" s="37" t="s">
        <v>53</v>
      </c>
      <c r="G4" s="37" t="s">
        <v>8</v>
      </c>
      <c r="H4" s="37" t="s">
        <v>427</v>
      </c>
      <c r="I4" s="37" t="s">
        <v>429</v>
      </c>
      <c r="J4" s="37" t="s">
        <v>428</v>
      </c>
      <c r="K4" s="37" t="s">
        <v>9</v>
      </c>
      <c r="L4" s="37" t="s">
        <v>10</v>
      </c>
      <c r="M4" s="37" t="s">
        <v>52</v>
      </c>
      <c r="N4" s="37" t="s">
        <v>51</v>
      </c>
      <c r="O4" s="37" t="s">
        <v>11</v>
      </c>
    </row>
    <row r="5" spans="1:15" ht="28.5" x14ac:dyDescent="0.2">
      <c r="A5" s="36" t="s">
        <v>12</v>
      </c>
      <c r="B5" s="36" t="s">
        <v>14</v>
      </c>
      <c r="C5" s="35" t="s">
        <v>389</v>
      </c>
      <c r="D5" s="20" t="s">
        <v>390</v>
      </c>
      <c r="E5" s="35" t="s">
        <v>70</v>
      </c>
      <c r="F5" s="35"/>
      <c r="G5" s="35">
        <v>13</v>
      </c>
      <c r="H5" s="35"/>
      <c r="I5" s="35">
        <v>115200</v>
      </c>
      <c r="J5" s="35">
        <v>115200</v>
      </c>
      <c r="K5" s="35"/>
      <c r="L5" s="35"/>
      <c r="M5" s="35"/>
      <c r="N5" s="35"/>
      <c r="O5" s="35" t="s">
        <v>391</v>
      </c>
    </row>
    <row r="6" spans="1:15" ht="28.5" x14ac:dyDescent="0.2">
      <c r="A6" s="36" t="s">
        <v>12</v>
      </c>
      <c r="B6" s="36" t="s">
        <v>15</v>
      </c>
      <c r="C6" s="35" t="s">
        <v>186</v>
      </c>
      <c r="D6" s="20" t="s">
        <v>187</v>
      </c>
      <c r="E6" s="35" t="s">
        <v>70</v>
      </c>
      <c r="F6" s="35" t="s">
        <v>188</v>
      </c>
      <c r="G6" s="35">
        <v>13</v>
      </c>
      <c r="H6" s="35">
        <v>13</v>
      </c>
      <c r="I6" s="35">
        <v>115200</v>
      </c>
      <c r="J6" s="35">
        <v>115200</v>
      </c>
      <c r="K6" s="35"/>
      <c r="L6" s="35"/>
      <c r="M6" s="35"/>
      <c r="N6" s="35"/>
      <c r="O6" s="35" t="s">
        <v>189</v>
      </c>
    </row>
    <row r="7" spans="1:15" ht="15" x14ac:dyDescent="0.2">
      <c r="A7" s="36" t="s">
        <v>12</v>
      </c>
      <c r="B7" s="36" t="s">
        <v>14</v>
      </c>
      <c r="C7" s="35" t="s">
        <v>265</v>
      </c>
      <c r="D7" s="20" t="s">
        <v>266</v>
      </c>
      <c r="E7" s="35" t="s">
        <v>70</v>
      </c>
      <c r="F7" s="35" t="s">
        <v>267</v>
      </c>
      <c r="G7" s="35">
        <v>8</v>
      </c>
      <c r="H7" s="35"/>
      <c r="I7" s="35">
        <v>115200</v>
      </c>
      <c r="J7" s="35">
        <v>115200</v>
      </c>
      <c r="K7" s="35"/>
      <c r="L7" s="35"/>
      <c r="M7" s="35"/>
      <c r="N7" s="35"/>
      <c r="O7" s="35" t="s">
        <v>268</v>
      </c>
    </row>
    <row r="8" spans="1:15" ht="28.5" x14ac:dyDescent="0.2">
      <c r="A8" s="36" t="s">
        <v>12</v>
      </c>
      <c r="B8" s="36" t="s">
        <v>15</v>
      </c>
      <c r="C8" s="35" t="s">
        <v>441</v>
      </c>
      <c r="D8" s="20" t="s">
        <v>440</v>
      </c>
      <c r="E8" s="35" t="s">
        <v>442</v>
      </c>
      <c r="F8" s="35" t="s">
        <v>443</v>
      </c>
      <c r="G8" s="35">
        <v>5</v>
      </c>
      <c r="H8" s="35">
        <v>5</v>
      </c>
      <c r="I8" s="35">
        <v>259200</v>
      </c>
      <c r="J8" s="35">
        <v>259200</v>
      </c>
      <c r="K8" s="35"/>
      <c r="L8" s="35"/>
      <c r="M8" s="35"/>
      <c r="N8" s="35"/>
      <c r="O8" s="35" t="s">
        <v>439</v>
      </c>
    </row>
    <row r="9" spans="1:15" ht="42.75" x14ac:dyDescent="0.2">
      <c r="A9" s="36" t="s">
        <v>12</v>
      </c>
      <c r="B9" s="36" t="s">
        <v>106</v>
      </c>
      <c r="C9" s="35" t="s">
        <v>445</v>
      </c>
      <c r="D9" s="20" t="s">
        <v>444</v>
      </c>
      <c r="E9" s="35" t="s">
        <v>442</v>
      </c>
      <c r="F9" s="35" t="s">
        <v>447</v>
      </c>
      <c r="G9" s="35">
        <v>5</v>
      </c>
      <c r="H9" s="35"/>
      <c r="I9" s="35">
        <v>302400</v>
      </c>
      <c r="J9" s="35">
        <v>302400</v>
      </c>
      <c r="K9" s="35"/>
      <c r="L9" s="35"/>
      <c r="M9" s="35"/>
      <c r="N9" s="35"/>
      <c r="O9" s="35" t="s">
        <v>446</v>
      </c>
    </row>
    <row r="10" spans="1:15" ht="28.5" x14ac:dyDescent="0.2">
      <c r="A10" s="36" t="s">
        <v>12</v>
      </c>
      <c r="B10" s="36" t="s">
        <v>14</v>
      </c>
      <c r="C10" s="35" t="s">
        <v>1116</v>
      </c>
      <c r="D10" s="20" t="s">
        <v>1115</v>
      </c>
      <c r="E10" s="35"/>
      <c r="F10" s="35" t="s">
        <v>291</v>
      </c>
      <c r="G10" s="35">
        <v>5</v>
      </c>
      <c r="H10" s="35"/>
      <c r="I10" s="35">
        <v>28800</v>
      </c>
      <c r="J10" s="35">
        <v>28800</v>
      </c>
      <c r="K10" s="35"/>
      <c r="L10" s="35"/>
      <c r="M10" s="35"/>
      <c r="N10" s="35"/>
      <c r="O10" s="35"/>
    </row>
    <row r="11" spans="1:15" ht="28.5" x14ac:dyDescent="0.2">
      <c r="A11" s="36" t="s">
        <v>12</v>
      </c>
      <c r="B11" s="36" t="s">
        <v>13</v>
      </c>
      <c r="C11" s="35" t="s">
        <v>1114</v>
      </c>
      <c r="D11" s="20" t="s">
        <v>1113</v>
      </c>
      <c r="E11" s="35"/>
      <c r="F11" s="35" t="s">
        <v>219</v>
      </c>
      <c r="G11" s="35">
        <v>8</v>
      </c>
      <c r="H11" s="35"/>
      <c r="I11" s="35"/>
      <c r="J11" s="35"/>
      <c r="K11" s="35"/>
      <c r="L11" s="35"/>
      <c r="M11" s="35"/>
      <c r="N11" s="35"/>
      <c r="O11" s="35" t="s">
        <v>69</v>
      </c>
    </row>
    <row r="12" spans="1:15" ht="28.5" x14ac:dyDescent="0.2">
      <c r="A12" s="36" t="s">
        <v>12</v>
      </c>
      <c r="B12" s="36" t="s">
        <v>13</v>
      </c>
      <c r="C12" s="35" t="s">
        <v>1112</v>
      </c>
      <c r="D12" s="20" t="s">
        <v>1111</v>
      </c>
      <c r="E12" s="35"/>
      <c r="F12" s="35" t="s">
        <v>219</v>
      </c>
      <c r="G12" s="35"/>
      <c r="H12" s="35"/>
      <c r="I12" s="35"/>
      <c r="J12" s="35"/>
      <c r="K12" s="35"/>
      <c r="L12" s="35"/>
      <c r="M12" s="35"/>
      <c r="N12" s="35"/>
      <c r="O12" s="35" t="s">
        <v>290</v>
      </c>
    </row>
    <row r="13" spans="1:15" ht="28.5" x14ac:dyDescent="0.2">
      <c r="A13" s="36" t="s">
        <v>12</v>
      </c>
      <c r="B13" s="36" t="s">
        <v>14</v>
      </c>
      <c r="C13" s="35" t="s">
        <v>1110</v>
      </c>
      <c r="D13" s="20" t="s">
        <v>1109</v>
      </c>
      <c r="E13" s="35"/>
      <c r="F13" s="35" t="s">
        <v>219</v>
      </c>
      <c r="G13" s="35"/>
      <c r="H13" s="35"/>
      <c r="I13" s="35">
        <v>57600</v>
      </c>
      <c r="J13" s="35">
        <v>57600</v>
      </c>
      <c r="K13" s="35"/>
      <c r="L13" s="35"/>
      <c r="M13" s="35"/>
      <c r="N13" s="35"/>
      <c r="O13" s="35" t="s">
        <v>290</v>
      </c>
    </row>
    <row r="14" spans="1:15" ht="28.5" x14ac:dyDescent="0.2">
      <c r="A14" s="36" t="s">
        <v>12</v>
      </c>
      <c r="B14" s="36" t="s">
        <v>14</v>
      </c>
      <c r="C14" s="35" t="s">
        <v>1108</v>
      </c>
      <c r="D14" s="20" t="s">
        <v>1107</v>
      </c>
      <c r="E14" s="35"/>
      <c r="F14" s="35" t="s">
        <v>71</v>
      </c>
      <c r="G14" s="35">
        <v>8</v>
      </c>
      <c r="H14" s="35"/>
      <c r="I14" s="35">
        <v>7200</v>
      </c>
      <c r="J14" s="35">
        <v>7200</v>
      </c>
      <c r="K14" s="35"/>
      <c r="L14" s="35"/>
      <c r="M14" s="35"/>
      <c r="N14" s="35"/>
      <c r="O14" s="35" t="s">
        <v>1106</v>
      </c>
    </row>
    <row r="15" spans="1:15" ht="28.5" x14ac:dyDescent="0.2">
      <c r="A15" s="36" t="s">
        <v>12</v>
      </c>
      <c r="B15" s="36" t="s">
        <v>15</v>
      </c>
      <c r="C15" s="35" t="s">
        <v>1105</v>
      </c>
      <c r="D15" s="20" t="s">
        <v>1104</v>
      </c>
      <c r="E15" s="35"/>
      <c r="F15" s="35" t="s">
        <v>942</v>
      </c>
      <c r="G15" s="35">
        <v>5</v>
      </c>
      <c r="H15" s="35">
        <v>5</v>
      </c>
      <c r="I15" s="35"/>
      <c r="J15" s="35"/>
      <c r="K15" s="35"/>
      <c r="L15" s="35"/>
      <c r="M15" s="35"/>
      <c r="N15" s="35"/>
      <c r="O15" s="35" t="s">
        <v>1103</v>
      </c>
    </row>
    <row r="16" spans="1:15" ht="28.5" x14ac:dyDescent="0.2">
      <c r="A16" s="36" t="s">
        <v>12</v>
      </c>
      <c r="B16" s="36" t="s">
        <v>15</v>
      </c>
      <c r="C16" s="35" t="s">
        <v>1102</v>
      </c>
      <c r="D16" s="20" t="s">
        <v>1101</v>
      </c>
      <c r="E16" s="35"/>
      <c r="F16" s="35" t="s">
        <v>1100</v>
      </c>
      <c r="G16" s="35">
        <v>5</v>
      </c>
      <c r="H16" s="35">
        <v>5</v>
      </c>
      <c r="I16" s="35">
        <v>216060</v>
      </c>
      <c r="J16" s="35">
        <v>216060</v>
      </c>
      <c r="K16" s="35"/>
      <c r="L16" s="35"/>
      <c r="M16" s="35"/>
      <c r="N16" s="35"/>
      <c r="O16" s="35" t="s">
        <v>69</v>
      </c>
    </row>
    <row r="17" spans="1:15" ht="28.5" x14ac:dyDescent="0.2">
      <c r="A17" s="36" t="s">
        <v>12</v>
      </c>
      <c r="B17" s="36" t="s">
        <v>14</v>
      </c>
      <c r="C17" s="35" t="s">
        <v>1099</v>
      </c>
      <c r="D17" s="20" t="s">
        <v>1098</v>
      </c>
      <c r="E17" s="35"/>
      <c r="F17" s="35" t="s">
        <v>71</v>
      </c>
      <c r="G17" s="35">
        <v>13</v>
      </c>
      <c r="H17" s="35"/>
      <c r="I17" s="35"/>
      <c r="J17" s="35"/>
      <c r="K17" s="35"/>
      <c r="L17" s="35"/>
      <c r="M17" s="35"/>
      <c r="N17" s="35"/>
      <c r="O17" s="35" t="s">
        <v>69</v>
      </c>
    </row>
    <row r="18" spans="1:15" ht="28.5" x14ac:dyDescent="0.2">
      <c r="A18" s="36" t="s">
        <v>12</v>
      </c>
      <c r="B18" s="36" t="s">
        <v>106</v>
      </c>
      <c r="C18" s="35" t="s">
        <v>139</v>
      </c>
      <c r="D18" s="20" t="s">
        <v>140</v>
      </c>
      <c r="E18" s="35" t="s">
        <v>70</v>
      </c>
      <c r="F18" s="35" t="s">
        <v>128</v>
      </c>
      <c r="G18" s="35"/>
      <c r="H18" s="35"/>
      <c r="I18" s="35"/>
      <c r="J18" s="35"/>
      <c r="K18" s="35"/>
      <c r="L18" s="35"/>
      <c r="M18" s="35"/>
      <c r="N18" s="35"/>
      <c r="O18" s="35"/>
    </row>
    <row r="19" spans="1:15" ht="28.5" x14ac:dyDescent="0.2">
      <c r="A19" s="36" t="s">
        <v>12</v>
      </c>
      <c r="B19" s="36" t="s">
        <v>106</v>
      </c>
      <c r="C19" s="35" t="s">
        <v>136</v>
      </c>
      <c r="D19" s="20" t="s">
        <v>137</v>
      </c>
      <c r="E19" s="35" t="s">
        <v>70</v>
      </c>
      <c r="F19" s="35" t="s">
        <v>138</v>
      </c>
      <c r="G19" s="35"/>
      <c r="H19" s="35"/>
      <c r="I19" s="35"/>
      <c r="J19" s="35"/>
      <c r="K19" s="35"/>
      <c r="L19" s="35"/>
      <c r="M19" s="35"/>
      <c r="N19" s="35"/>
      <c r="O19" s="35"/>
    </row>
    <row r="20" spans="1:15" ht="15" x14ac:dyDescent="0.2">
      <c r="A20" s="36" t="s">
        <v>12</v>
      </c>
      <c r="B20" s="36" t="s">
        <v>15</v>
      </c>
      <c r="C20" s="35" t="s">
        <v>1097</v>
      </c>
      <c r="D20" s="20" t="s">
        <v>1096</v>
      </c>
      <c r="E20" s="35"/>
      <c r="F20" s="35" t="s">
        <v>114</v>
      </c>
      <c r="G20" s="35"/>
      <c r="H20" s="35"/>
      <c r="I20" s="35"/>
      <c r="J20" s="35"/>
      <c r="K20" s="35"/>
      <c r="L20" s="35"/>
      <c r="M20" s="35"/>
      <c r="N20" s="35"/>
      <c r="O20" s="35"/>
    </row>
    <row r="21" spans="1:15" ht="28.5" x14ac:dyDescent="0.2">
      <c r="A21" s="36" t="s">
        <v>12</v>
      </c>
      <c r="B21" s="36" t="s">
        <v>13</v>
      </c>
      <c r="C21" s="35" t="s">
        <v>324</v>
      </c>
      <c r="D21" s="20" t="s">
        <v>325</v>
      </c>
      <c r="E21" s="35" t="s">
        <v>70</v>
      </c>
      <c r="F21" s="35" t="s">
        <v>314</v>
      </c>
      <c r="G21" s="35"/>
      <c r="H21" s="35"/>
      <c r="I21" s="35"/>
      <c r="J21" s="35"/>
      <c r="K21" s="35"/>
      <c r="L21" s="35"/>
      <c r="M21" s="35"/>
      <c r="N21" s="35"/>
      <c r="O21" s="35"/>
    </row>
    <row r="22" spans="1:15" ht="15" x14ac:dyDescent="0.2">
      <c r="A22" s="36" t="s">
        <v>12</v>
      </c>
      <c r="B22" s="36" t="s">
        <v>13</v>
      </c>
      <c r="C22" s="35" t="s">
        <v>322</v>
      </c>
      <c r="D22" s="20" t="s">
        <v>323</v>
      </c>
      <c r="E22" s="35" t="s">
        <v>70</v>
      </c>
      <c r="F22" s="35" t="s">
        <v>314</v>
      </c>
      <c r="G22" s="35">
        <v>3</v>
      </c>
      <c r="H22" s="35"/>
      <c r="I22" s="35"/>
      <c r="J22" s="35"/>
      <c r="K22" s="35"/>
      <c r="L22" s="35"/>
      <c r="M22" s="35"/>
      <c r="N22" s="35"/>
      <c r="O22" s="35" t="s">
        <v>121</v>
      </c>
    </row>
    <row r="23" spans="1:15" ht="28.5" x14ac:dyDescent="0.2">
      <c r="A23" s="36" t="s">
        <v>12</v>
      </c>
      <c r="B23" s="36" t="s">
        <v>13</v>
      </c>
      <c r="C23" s="35" t="s">
        <v>320</v>
      </c>
      <c r="D23" s="20" t="s">
        <v>321</v>
      </c>
      <c r="E23" s="35" t="s">
        <v>70</v>
      </c>
      <c r="F23" s="35" t="s">
        <v>314</v>
      </c>
      <c r="G23" s="35">
        <v>5</v>
      </c>
      <c r="H23" s="35"/>
      <c r="I23" s="35"/>
      <c r="J23" s="35"/>
      <c r="K23" s="35"/>
      <c r="L23" s="35"/>
      <c r="M23" s="35"/>
      <c r="N23" s="35"/>
      <c r="O23" s="35" t="s">
        <v>121</v>
      </c>
    </row>
    <row r="24" spans="1:15" ht="28.5" x14ac:dyDescent="0.2">
      <c r="A24" s="36" t="s">
        <v>12</v>
      </c>
      <c r="B24" s="36" t="s">
        <v>13</v>
      </c>
      <c r="C24" s="35" t="s">
        <v>318</v>
      </c>
      <c r="D24" s="20" t="s">
        <v>319</v>
      </c>
      <c r="E24" s="35" t="s">
        <v>70</v>
      </c>
      <c r="F24" s="35" t="s">
        <v>314</v>
      </c>
      <c r="G24" s="35">
        <v>3</v>
      </c>
      <c r="H24" s="35"/>
      <c r="I24" s="35"/>
      <c r="J24" s="35"/>
      <c r="K24" s="35"/>
      <c r="L24" s="35"/>
      <c r="M24" s="35"/>
      <c r="N24" s="35"/>
      <c r="O24" s="35" t="s">
        <v>315</v>
      </c>
    </row>
    <row r="25" spans="1:15" ht="28.5" x14ac:dyDescent="0.2">
      <c r="A25" s="36" t="s">
        <v>12</v>
      </c>
      <c r="B25" s="36" t="s">
        <v>13</v>
      </c>
      <c r="C25" s="35" t="s">
        <v>316</v>
      </c>
      <c r="D25" s="20" t="s">
        <v>317</v>
      </c>
      <c r="E25" s="35" t="s">
        <v>70</v>
      </c>
      <c r="F25" s="35" t="s">
        <v>314</v>
      </c>
      <c r="G25" s="35">
        <v>3</v>
      </c>
      <c r="H25" s="35"/>
      <c r="I25" s="35"/>
      <c r="J25" s="35"/>
      <c r="K25" s="35"/>
      <c r="L25" s="35"/>
      <c r="M25" s="35"/>
      <c r="N25" s="35"/>
      <c r="O25" s="35" t="s">
        <v>315</v>
      </c>
    </row>
    <row r="26" spans="1:15" ht="15" x14ac:dyDescent="0.2">
      <c r="A26" s="36" t="s">
        <v>12</v>
      </c>
      <c r="B26" s="36" t="s">
        <v>13</v>
      </c>
      <c r="C26" s="35" t="s">
        <v>312</v>
      </c>
      <c r="D26" s="20" t="s">
        <v>313</v>
      </c>
      <c r="E26" s="35" t="s">
        <v>70</v>
      </c>
      <c r="F26" s="35" t="s">
        <v>314</v>
      </c>
      <c r="G26" s="35">
        <v>1</v>
      </c>
      <c r="H26" s="35"/>
      <c r="I26" s="35"/>
      <c r="J26" s="35"/>
      <c r="K26" s="35"/>
      <c r="L26" s="35"/>
      <c r="M26" s="35"/>
      <c r="N26" s="35"/>
      <c r="O26" s="35" t="s">
        <v>315</v>
      </c>
    </row>
    <row r="27" spans="1:15" ht="42.75" x14ac:dyDescent="0.2">
      <c r="A27" s="36" t="s">
        <v>12</v>
      </c>
      <c r="B27" s="36" t="s">
        <v>13</v>
      </c>
      <c r="C27" s="35" t="s">
        <v>238</v>
      </c>
      <c r="D27" s="20" t="s">
        <v>239</v>
      </c>
      <c r="E27" s="35" t="s">
        <v>70</v>
      </c>
      <c r="F27" s="35" t="s">
        <v>237</v>
      </c>
      <c r="G27" s="35">
        <v>5</v>
      </c>
      <c r="H27" s="35"/>
      <c r="I27" s="35"/>
      <c r="J27" s="35"/>
      <c r="K27" s="35"/>
      <c r="L27" s="35"/>
      <c r="M27" s="35"/>
      <c r="N27" s="35"/>
      <c r="O27" s="35" t="s">
        <v>240</v>
      </c>
    </row>
    <row r="28" spans="1:15" ht="15" x14ac:dyDescent="0.2">
      <c r="A28" s="36" t="s">
        <v>12</v>
      </c>
      <c r="B28" s="36" t="s">
        <v>13</v>
      </c>
      <c r="C28" s="35" t="s">
        <v>235</v>
      </c>
      <c r="D28" s="20" t="s">
        <v>236</v>
      </c>
      <c r="E28" s="35" t="s">
        <v>70</v>
      </c>
      <c r="F28" s="35" t="s">
        <v>237</v>
      </c>
      <c r="G28" s="35">
        <v>13</v>
      </c>
      <c r="H28" s="35"/>
      <c r="I28" s="35"/>
      <c r="J28" s="35"/>
      <c r="K28" s="35"/>
      <c r="L28" s="35"/>
      <c r="M28" s="35"/>
      <c r="N28" s="35"/>
      <c r="O28" s="35" t="s">
        <v>118</v>
      </c>
    </row>
    <row r="29" spans="1:15" ht="28.5" x14ac:dyDescent="0.2">
      <c r="A29" s="36" t="s">
        <v>12</v>
      </c>
      <c r="B29" s="36" t="s">
        <v>13</v>
      </c>
      <c r="C29" s="35" t="s">
        <v>241</v>
      </c>
      <c r="D29" s="20" t="s">
        <v>242</v>
      </c>
      <c r="E29" s="35" t="s">
        <v>70</v>
      </c>
      <c r="F29" s="35" t="s">
        <v>237</v>
      </c>
      <c r="G29" s="35">
        <v>13</v>
      </c>
      <c r="H29" s="35"/>
      <c r="I29" s="35"/>
      <c r="J29" s="35"/>
      <c r="K29" s="35"/>
      <c r="L29" s="35"/>
      <c r="M29" s="35"/>
      <c r="N29" s="35"/>
      <c r="O29" s="35" t="s">
        <v>129</v>
      </c>
    </row>
    <row r="30" spans="1:15" ht="28.5" x14ac:dyDescent="0.2">
      <c r="A30" s="36" t="s">
        <v>12</v>
      </c>
      <c r="B30" s="36" t="s">
        <v>106</v>
      </c>
      <c r="C30" s="35" t="s">
        <v>143</v>
      </c>
      <c r="D30" s="20" t="s">
        <v>144</v>
      </c>
      <c r="E30" s="35" t="s">
        <v>70</v>
      </c>
      <c r="F30" s="35" t="s">
        <v>145</v>
      </c>
      <c r="G30" s="35">
        <v>1</v>
      </c>
      <c r="H30" s="35"/>
      <c r="I30" s="35"/>
      <c r="J30" s="35"/>
      <c r="K30" s="35"/>
      <c r="L30" s="35"/>
      <c r="M30" s="35"/>
      <c r="N30" s="35"/>
      <c r="O30" s="35" t="s">
        <v>129</v>
      </c>
    </row>
    <row r="31" spans="1:15" ht="42.75" x14ac:dyDescent="0.2">
      <c r="A31" s="36" t="s">
        <v>12</v>
      </c>
      <c r="B31" s="36" t="s">
        <v>14</v>
      </c>
      <c r="C31" s="35" t="s">
        <v>130</v>
      </c>
      <c r="D31" s="20" t="s">
        <v>131</v>
      </c>
      <c r="E31" s="35" t="s">
        <v>70</v>
      </c>
      <c r="F31" s="35" t="s">
        <v>132</v>
      </c>
      <c r="G31" s="35">
        <v>5</v>
      </c>
      <c r="H31" s="35"/>
      <c r="I31" s="35"/>
      <c r="J31" s="35"/>
      <c r="K31" s="35"/>
      <c r="L31" s="35"/>
      <c r="M31" s="35"/>
      <c r="N31" s="35"/>
      <c r="O31" s="35" t="s">
        <v>133</v>
      </c>
    </row>
    <row r="32" spans="1:15" ht="28.5" x14ac:dyDescent="0.2">
      <c r="A32" s="36" t="s">
        <v>12</v>
      </c>
      <c r="B32" s="36" t="s">
        <v>106</v>
      </c>
      <c r="C32" s="35" t="s">
        <v>134</v>
      </c>
      <c r="D32" s="20" t="s">
        <v>135</v>
      </c>
      <c r="E32" s="35" t="s">
        <v>70</v>
      </c>
      <c r="F32" s="35" t="s">
        <v>128</v>
      </c>
      <c r="G32" s="35">
        <v>5</v>
      </c>
      <c r="H32" s="35"/>
      <c r="I32" s="35"/>
      <c r="J32" s="35"/>
      <c r="K32" s="35"/>
      <c r="L32" s="35"/>
      <c r="M32" s="35"/>
      <c r="N32" s="35"/>
      <c r="O32" s="35" t="s">
        <v>133</v>
      </c>
    </row>
    <row r="33" spans="1:15" ht="28.5" x14ac:dyDescent="0.2">
      <c r="A33" s="36" t="s">
        <v>12</v>
      </c>
      <c r="B33" s="36" t="s">
        <v>106</v>
      </c>
      <c r="C33" s="35" t="s">
        <v>141</v>
      </c>
      <c r="D33" s="20" t="s">
        <v>142</v>
      </c>
      <c r="E33" s="35" t="s">
        <v>70</v>
      </c>
      <c r="F33" s="35" t="s">
        <v>128</v>
      </c>
      <c r="G33" s="35">
        <v>3</v>
      </c>
      <c r="H33" s="35"/>
      <c r="I33" s="35"/>
      <c r="J33" s="35"/>
      <c r="K33" s="35"/>
      <c r="L33" s="35"/>
      <c r="M33" s="35"/>
      <c r="N33" s="35"/>
      <c r="O33" s="35" t="s">
        <v>133</v>
      </c>
    </row>
    <row r="34" spans="1:15" ht="28.5" x14ac:dyDescent="0.2">
      <c r="A34" s="36" t="s">
        <v>12</v>
      </c>
      <c r="B34" s="36" t="s">
        <v>106</v>
      </c>
      <c r="C34" s="35" t="s">
        <v>126</v>
      </c>
      <c r="D34" s="20" t="s">
        <v>127</v>
      </c>
      <c r="E34" s="35" t="s">
        <v>70</v>
      </c>
      <c r="F34" s="35" t="s">
        <v>128</v>
      </c>
      <c r="G34" s="35">
        <v>8</v>
      </c>
      <c r="H34" s="35"/>
      <c r="I34" s="35"/>
      <c r="J34" s="35"/>
      <c r="K34" s="35"/>
      <c r="L34" s="35"/>
      <c r="M34" s="35"/>
      <c r="N34" s="35"/>
      <c r="O34" s="35" t="s">
        <v>129</v>
      </c>
    </row>
    <row r="35" spans="1:15" ht="42.75" x14ac:dyDescent="0.2">
      <c r="A35" s="36" t="s">
        <v>12</v>
      </c>
      <c r="B35" s="36" t="s">
        <v>106</v>
      </c>
      <c r="C35" s="35" t="s">
        <v>107</v>
      </c>
      <c r="D35" s="20" t="s">
        <v>108</v>
      </c>
      <c r="E35" s="35" t="s">
        <v>70</v>
      </c>
      <c r="F35" s="35" t="s">
        <v>109</v>
      </c>
      <c r="G35" s="35">
        <v>3</v>
      </c>
      <c r="H35" s="35"/>
      <c r="I35" s="35"/>
      <c r="J35" s="35"/>
      <c r="K35" s="35"/>
      <c r="L35" s="35"/>
      <c r="M35" s="35"/>
      <c r="N35" s="35"/>
      <c r="O35" s="35" t="s">
        <v>110</v>
      </c>
    </row>
    <row r="36" spans="1:15" ht="42.75" x14ac:dyDescent="0.2">
      <c r="A36" s="36" t="s">
        <v>12</v>
      </c>
      <c r="B36" s="36" t="s">
        <v>106</v>
      </c>
      <c r="C36" s="35" t="s">
        <v>123</v>
      </c>
      <c r="D36" s="20" t="s">
        <v>124</v>
      </c>
      <c r="E36" s="35" t="s">
        <v>70</v>
      </c>
      <c r="F36" s="35" t="s">
        <v>109</v>
      </c>
      <c r="G36" s="35">
        <v>3</v>
      </c>
      <c r="H36" s="35"/>
      <c r="I36" s="35"/>
      <c r="J36" s="35"/>
      <c r="K36" s="35"/>
      <c r="L36" s="35"/>
      <c r="M36" s="35"/>
      <c r="N36" s="35"/>
      <c r="O36" s="35" t="s">
        <v>125</v>
      </c>
    </row>
    <row r="37" spans="1:15" ht="28.5" x14ac:dyDescent="0.2">
      <c r="A37" s="36" t="s">
        <v>12</v>
      </c>
      <c r="B37" s="36" t="s">
        <v>17</v>
      </c>
      <c r="C37" s="35" t="s">
        <v>449</v>
      </c>
      <c r="D37" s="20" t="s">
        <v>448</v>
      </c>
      <c r="E37" s="35" t="s">
        <v>442</v>
      </c>
      <c r="F37" s="35"/>
      <c r="G37" s="35"/>
      <c r="H37" s="35"/>
      <c r="I37" s="35">
        <v>7200</v>
      </c>
      <c r="J37" s="35">
        <v>7200</v>
      </c>
      <c r="K37" s="35"/>
      <c r="L37" s="35"/>
      <c r="M37" s="35"/>
      <c r="N37" s="35"/>
      <c r="O37" s="35"/>
    </row>
    <row r="38" spans="1:15" ht="28.5" x14ac:dyDescent="0.2">
      <c r="A38" s="36" t="s">
        <v>12</v>
      </c>
      <c r="B38" s="36" t="s">
        <v>15</v>
      </c>
      <c r="C38" s="35" t="s">
        <v>451</v>
      </c>
      <c r="D38" s="20" t="s">
        <v>450</v>
      </c>
      <c r="E38" s="35" t="s">
        <v>442</v>
      </c>
      <c r="F38" s="35" t="s">
        <v>452</v>
      </c>
      <c r="G38" s="35"/>
      <c r="H38" s="35"/>
      <c r="I38" s="35"/>
      <c r="J38" s="35"/>
      <c r="K38" s="35"/>
      <c r="L38" s="35"/>
      <c r="M38" s="35"/>
      <c r="N38" s="35"/>
      <c r="O38" s="35"/>
    </row>
    <row r="39" spans="1:15" ht="42.75" x14ac:dyDescent="0.2">
      <c r="A39" s="36" t="s">
        <v>12</v>
      </c>
      <c r="B39" s="36" t="s">
        <v>15</v>
      </c>
      <c r="C39" s="35" t="s">
        <v>454</v>
      </c>
      <c r="D39" s="20" t="s">
        <v>453</v>
      </c>
      <c r="E39" s="35" t="s">
        <v>442</v>
      </c>
      <c r="F39" s="35" t="s">
        <v>455</v>
      </c>
      <c r="G39" s="35">
        <v>3</v>
      </c>
      <c r="H39" s="35">
        <v>3</v>
      </c>
      <c r="I39" s="35"/>
      <c r="J39" s="35"/>
      <c r="K39" s="35"/>
      <c r="L39" s="35"/>
      <c r="M39" s="35"/>
      <c r="N39" s="35"/>
      <c r="O39" s="35"/>
    </row>
    <row r="40" spans="1:15" ht="28.5" x14ac:dyDescent="0.2">
      <c r="A40" s="36" t="s">
        <v>12</v>
      </c>
      <c r="B40" s="36" t="s">
        <v>15</v>
      </c>
      <c r="C40" s="35" t="s">
        <v>111</v>
      </c>
      <c r="D40" s="20" t="s">
        <v>112</v>
      </c>
      <c r="E40" s="35" t="s">
        <v>113</v>
      </c>
      <c r="F40" s="35" t="s">
        <v>114</v>
      </c>
      <c r="G40" s="35"/>
      <c r="H40" s="35"/>
      <c r="I40" s="35"/>
      <c r="J40" s="35"/>
      <c r="K40" s="35"/>
      <c r="L40" s="35"/>
      <c r="M40" s="35"/>
      <c r="N40" s="35"/>
      <c r="O40" s="35" t="s">
        <v>110</v>
      </c>
    </row>
    <row r="41" spans="1:15" ht="28.5" x14ac:dyDescent="0.2">
      <c r="A41" s="36" t="s">
        <v>12</v>
      </c>
      <c r="B41" s="36" t="s">
        <v>13</v>
      </c>
      <c r="C41" s="35" t="s">
        <v>457</v>
      </c>
      <c r="D41" s="20" t="s">
        <v>456</v>
      </c>
      <c r="E41" s="35" t="s">
        <v>442</v>
      </c>
      <c r="F41" s="35" t="s">
        <v>459</v>
      </c>
      <c r="G41" s="35"/>
      <c r="H41" s="35"/>
      <c r="I41" s="35"/>
      <c r="J41" s="35"/>
      <c r="K41" s="35"/>
      <c r="L41" s="35"/>
      <c r="M41" s="35"/>
      <c r="N41" s="35"/>
      <c r="O41" s="35" t="s">
        <v>458</v>
      </c>
    </row>
    <row r="42" spans="1:15" ht="15" x14ac:dyDescent="0.2">
      <c r="A42" s="36" t="s">
        <v>12</v>
      </c>
      <c r="B42" s="36" t="s">
        <v>13</v>
      </c>
      <c r="C42" s="35" t="s">
        <v>461</v>
      </c>
      <c r="D42" s="20" t="s">
        <v>460</v>
      </c>
      <c r="E42" s="35" t="s">
        <v>442</v>
      </c>
      <c r="F42" s="35"/>
      <c r="G42" s="35"/>
      <c r="H42" s="35"/>
      <c r="I42" s="35"/>
      <c r="J42" s="35"/>
      <c r="K42" s="35"/>
      <c r="L42" s="35"/>
      <c r="M42" s="35"/>
      <c r="N42" s="35"/>
      <c r="O42" s="35" t="s">
        <v>121</v>
      </c>
    </row>
    <row r="43" spans="1:15" ht="42.75" x14ac:dyDescent="0.2">
      <c r="A43" s="36" t="s">
        <v>12</v>
      </c>
      <c r="B43" s="36" t="s">
        <v>13</v>
      </c>
      <c r="C43" s="35" t="s">
        <v>349</v>
      </c>
      <c r="D43" s="20" t="s">
        <v>350</v>
      </c>
      <c r="E43" s="35" t="s">
        <v>113</v>
      </c>
      <c r="F43" s="35"/>
      <c r="G43" s="35"/>
      <c r="H43" s="35"/>
      <c r="I43" s="35"/>
      <c r="J43" s="35"/>
      <c r="K43" s="35"/>
      <c r="L43" s="35"/>
      <c r="M43" s="35"/>
      <c r="N43" s="35"/>
      <c r="O43" s="35" t="s">
        <v>121</v>
      </c>
    </row>
    <row r="44" spans="1:15" ht="28.5" x14ac:dyDescent="0.2">
      <c r="A44" s="36" t="s">
        <v>12</v>
      </c>
      <c r="B44" s="36" t="s">
        <v>15</v>
      </c>
      <c r="C44" s="35" t="s">
        <v>160</v>
      </c>
      <c r="D44" s="20" t="s">
        <v>161</v>
      </c>
      <c r="E44" s="35" t="s">
        <v>70</v>
      </c>
      <c r="F44" s="35" t="s">
        <v>158</v>
      </c>
      <c r="G44" s="35"/>
      <c r="H44" s="35"/>
      <c r="I44" s="35"/>
      <c r="J44" s="35"/>
      <c r="K44" s="35"/>
      <c r="L44" s="35"/>
      <c r="M44" s="35"/>
      <c r="N44" s="35"/>
      <c r="O44" s="35"/>
    </row>
    <row r="45" spans="1:15" ht="28.5" x14ac:dyDescent="0.2">
      <c r="A45" s="36" t="s">
        <v>12</v>
      </c>
      <c r="B45" s="36" t="s">
        <v>15</v>
      </c>
      <c r="C45" s="35" t="s">
        <v>156</v>
      </c>
      <c r="D45" s="20" t="s">
        <v>157</v>
      </c>
      <c r="E45" s="35" t="s">
        <v>70</v>
      </c>
      <c r="F45" s="35" t="s">
        <v>158</v>
      </c>
      <c r="G45" s="35">
        <v>5</v>
      </c>
      <c r="H45" s="35">
        <v>5</v>
      </c>
      <c r="I45" s="35">
        <v>86400</v>
      </c>
      <c r="J45" s="35">
        <v>86400</v>
      </c>
      <c r="K45" s="35"/>
      <c r="L45" s="35"/>
      <c r="M45" s="35"/>
      <c r="N45" s="35"/>
      <c r="O45" s="35" t="s">
        <v>159</v>
      </c>
    </row>
    <row r="46" spans="1:15" ht="15" x14ac:dyDescent="0.2">
      <c r="A46" s="36" t="s">
        <v>12</v>
      </c>
      <c r="B46" s="36" t="s">
        <v>17</v>
      </c>
      <c r="C46" s="35" t="s">
        <v>1095</v>
      </c>
      <c r="D46" s="20" t="s">
        <v>1094</v>
      </c>
      <c r="E46" s="35"/>
      <c r="F46" s="35" t="s">
        <v>152</v>
      </c>
      <c r="G46" s="35"/>
      <c r="H46" s="35"/>
      <c r="I46" s="35"/>
      <c r="J46" s="35"/>
      <c r="K46" s="35"/>
      <c r="L46" s="35"/>
      <c r="M46" s="35"/>
      <c r="N46" s="35"/>
      <c r="O46" s="35"/>
    </row>
    <row r="47" spans="1:15" ht="15" x14ac:dyDescent="0.2">
      <c r="A47" s="36" t="s">
        <v>12</v>
      </c>
      <c r="B47" s="36" t="s">
        <v>13</v>
      </c>
      <c r="C47" s="35" t="s">
        <v>243</v>
      </c>
      <c r="D47" s="20" t="s">
        <v>244</v>
      </c>
      <c r="E47" s="35" t="s">
        <v>70</v>
      </c>
      <c r="F47" s="35" t="s">
        <v>245</v>
      </c>
      <c r="G47" s="35">
        <v>2</v>
      </c>
      <c r="H47" s="35"/>
      <c r="I47" s="35"/>
      <c r="J47" s="35"/>
      <c r="K47" s="35"/>
      <c r="L47" s="35"/>
      <c r="M47" s="35"/>
      <c r="N47" s="35"/>
      <c r="O47" s="35" t="s">
        <v>246</v>
      </c>
    </row>
    <row r="48" spans="1:15" ht="28.5" x14ac:dyDescent="0.2">
      <c r="A48" s="36" t="s">
        <v>12</v>
      </c>
      <c r="B48" s="36" t="s">
        <v>13</v>
      </c>
      <c r="C48" s="35" t="s">
        <v>170</v>
      </c>
      <c r="D48" s="20" t="s">
        <v>171</v>
      </c>
      <c r="E48" s="35" t="s">
        <v>70</v>
      </c>
      <c r="F48" s="35" t="s">
        <v>172</v>
      </c>
      <c r="G48" s="35">
        <v>5</v>
      </c>
      <c r="H48" s="35"/>
      <c r="I48" s="35"/>
      <c r="J48" s="35"/>
      <c r="K48" s="35"/>
      <c r="L48" s="35"/>
      <c r="M48" s="35"/>
      <c r="N48" s="35"/>
      <c r="O48" s="35" t="s">
        <v>173</v>
      </c>
    </row>
    <row r="49" spans="1:15" ht="15" x14ac:dyDescent="0.2">
      <c r="A49" s="36" t="s">
        <v>12</v>
      </c>
      <c r="B49" s="36" t="s">
        <v>106</v>
      </c>
      <c r="C49" s="35" t="s">
        <v>174</v>
      </c>
      <c r="D49" s="20" t="s">
        <v>175</v>
      </c>
      <c r="E49" s="35" t="s">
        <v>70</v>
      </c>
      <c r="F49" s="35" t="s">
        <v>169</v>
      </c>
      <c r="G49" s="35">
        <v>8</v>
      </c>
      <c r="H49" s="35"/>
      <c r="I49" s="35"/>
      <c r="J49" s="35"/>
      <c r="K49" s="35"/>
      <c r="L49" s="35"/>
      <c r="M49" s="35"/>
      <c r="N49" s="35"/>
      <c r="O49" s="35" t="s">
        <v>173</v>
      </c>
    </row>
    <row r="50" spans="1:15" ht="15" x14ac:dyDescent="0.2">
      <c r="A50" s="36" t="s">
        <v>12</v>
      </c>
      <c r="B50" s="36" t="s">
        <v>106</v>
      </c>
      <c r="C50" s="35" t="s">
        <v>176</v>
      </c>
      <c r="D50" s="20" t="s">
        <v>177</v>
      </c>
      <c r="E50" s="35" t="s">
        <v>70</v>
      </c>
      <c r="F50" s="35" t="s">
        <v>169</v>
      </c>
      <c r="G50" s="35">
        <v>5</v>
      </c>
      <c r="H50" s="35"/>
      <c r="I50" s="35"/>
      <c r="J50" s="35"/>
      <c r="K50" s="35"/>
      <c r="L50" s="35"/>
      <c r="M50" s="35"/>
      <c r="N50" s="35"/>
      <c r="O50" s="35" t="s">
        <v>173</v>
      </c>
    </row>
    <row r="51" spans="1:15" ht="28.5" x14ac:dyDescent="0.2">
      <c r="A51" s="36" t="s">
        <v>12</v>
      </c>
      <c r="B51" s="36" t="s">
        <v>106</v>
      </c>
      <c r="C51" s="35" t="s">
        <v>167</v>
      </c>
      <c r="D51" s="20" t="s">
        <v>168</v>
      </c>
      <c r="E51" s="35" t="s">
        <v>70</v>
      </c>
      <c r="F51" s="35" t="s">
        <v>169</v>
      </c>
      <c r="G51" s="35">
        <v>5</v>
      </c>
      <c r="H51" s="35"/>
      <c r="I51" s="35">
        <v>86400</v>
      </c>
      <c r="J51" s="35">
        <v>86400</v>
      </c>
      <c r="K51" s="35"/>
      <c r="L51" s="35"/>
      <c r="M51" s="35"/>
      <c r="N51" s="35"/>
      <c r="O51" s="35" t="s">
        <v>149</v>
      </c>
    </row>
    <row r="52" spans="1:15" ht="42.75" x14ac:dyDescent="0.2">
      <c r="A52" s="36" t="s">
        <v>12</v>
      </c>
      <c r="B52" s="36" t="s">
        <v>13</v>
      </c>
      <c r="C52" s="35" t="s">
        <v>162</v>
      </c>
      <c r="D52" s="20" t="s">
        <v>163</v>
      </c>
      <c r="E52" s="35" t="s">
        <v>70</v>
      </c>
      <c r="F52" s="35" t="s">
        <v>164</v>
      </c>
      <c r="G52" s="35">
        <v>8</v>
      </c>
      <c r="H52" s="35"/>
      <c r="I52" s="35">
        <v>0</v>
      </c>
      <c r="J52" s="35">
        <v>0</v>
      </c>
      <c r="K52" s="35"/>
      <c r="L52" s="35"/>
      <c r="M52" s="35"/>
      <c r="N52" s="35"/>
      <c r="O52" s="35" t="s">
        <v>159</v>
      </c>
    </row>
    <row r="53" spans="1:15" ht="42.75" x14ac:dyDescent="0.2">
      <c r="A53" s="36" t="s">
        <v>12</v>
      </c>
      <c r="B53" s="36" t="s">
        <v>13</v>
      </c>
      <c r="C53" s="35" t="s">
        <v>165</v>
      </c>
      <c r="D53" s="20" t="s">
        <v>166</v>
      </c>
      <c r="E53" s="35" t="s">
        <v>70</v>
      </c>
      <c r="F53" s="35" t="s">
        <v>164</v>
      </c>
      <c r="G53" s="35">
        <v>5</v>
      </c>
      <c r="H53" s="35"/>
      <c r="I53" s="35">
        <v>120</v>
      </c>
      <c r="J53" s="35">
        <v>120</v>
      </c>
      <c r="K53" s="35"/>
      <c r="L53" s="35"/>
      <c r="M53" s="35"/>
      <c r="N53" s="35"/>
      <c r="O53" s="35" t="s">
        <v>159</v>
      </c>
    </row>
    <row r="54" spans="1:15" ht="28.5" x14ac:dyDescent="0.2">
      <c r="A54" s="36" t="s">
        <v>12</v>
      </c>
      <c r="B54" s="36" t="s">
        <v>15</v>
      </c>
      <c r="C54" s="35" t="s">
        <v>123</v>
      </c>
      <c r="D54" s="20" t="s">
        <v>153</v>
      </c>
      <c r="E54" s="35" t="s">
        <v>70</v>
      </c>
      <c r="F54" s="35" t="s">
        <v>154</v>
      </c>
      <c r="G54" s="35">
        <v>3</v>
      </c>
      <c r="H54" s="35">
        <v>3</v>
      </c>
      <c r="I54" s="35">
        <v>28800</v>
      </c>
      <c r="J54" s="35">
        <v>28800</v>
      </c>
      <c r="K54" s="35"/>
      <c r="L54" s="35"/>
      <c r="M54" s="35"/>
      <c r="N54" s="35"/>
      <c r="O54" s="35" t="s">
        <v>155</v>
      </c>
    </row>
    <row r="55" spans="1:15" ht="57" x14ac:dyDescent="0.2">
      <c r="A55" s="36" t="s">
        <v>12</v>
      </c>
      <c r="B55" s="36" t="s">
        <v>14</v>
      </c>
      <c r="C55" s="35" t="s">
        <v>146</v>
      </c>
      <c r="D55" s="20" t="s">
        <v>147</v>
      </c>
      <c r="E55" s="35" t="s">
        <v>70</v>
      </c>
      <c r="F55" s="35" t="s">
        <v>148</v>
      </c>
      <c r="G55" s="35">
        <v>5</v>
      </c>
      <c r="H55" s="35"/>
      <c r="I55" s="35"/>
      <c r="J55" s="35"/>
      <c r="K55" s="35"/>
      <c r="L55" s="35"/>
      <c r="M55" s="35"/>
      <c r="N55" s="35"/>
      <c r="O55" s="35" t="s">
        <v>149</v>
      </c>
    </row>
    <row r="56" spans="1:15" ht="28.5" x14ac:dyDescent="0.2">
      <c r="A56" s="36" t="s">
        <v>12</v>
      </c>
      <c r="B56" s="36" t="s">
        <v>17</v>
      </c>
      <c r="C56" s="35" t="s">
        <v>150</v>
      </c>
      <c r="D56" s="20" t="s">
        <v>151</v>
      </c>
      <c r="E56" s="35" t="s">
        <v>70</v>
      </c>
      <c r="F56" s="35" t="s">
        <v>152</v>
      </c>
      <c r="G56" s="35">
        <v>3</v>
      </c>
      <c r="H56" s="35"/>
      <c r="I56" s="35"/>
      <c r="J56" s="35"/>
      <c r="K56" s="35"/>
      <c r="L56" s="35"/>
      <c r="M56" s="35"/>
      <c r="N56" s="35"/>
      <c r="O56" s="35"/>
    </row>
    <row r="57" spans="1:15" ht="42.75" x14ac:dyDescent="0.2">
      <c r="A57" s="36" t="s">
        <v>12</v>
      </c>
      <c r="B57" s="36" t="s">
        <v>15</v>
      </c>
      <c r="C57" s="35" t="s">
        <v>463</v>
      </c>
      <c r="D57" s="20" t="s">
        <v>462</v>
      </c>
      <c r="E57" s="35" t="s">
        <v>442</v>
      </c>
      <c r="F57" s="35" t="s">
        <v>464</v>
      </c>
      <c r="G57" s="35">
        <v>3</v>
      </c>
      <c r="H57" s="35">
        <v>3</v>
      </c>
      <c r="I57" s="35">
        <v>57780</v>
      </c>
      <c r="J57" s="35">
        <v>57780</v>
      </c>
      <c r="K57" s="35"/>
      <c r="L57" s="35"/>
      <c r="M57" s="35"/>
      <c r="N57" s="35"/>
      <c r="O57" s="35"/>
    </row>
    <row r="58" spans="1:15" ht="42.75" x14ac:dyDescent="0.2">
      <c r="A58" s="36" t="s">
        <v>12</v>
      </c>
      <c r="B58" s="36" t="s">
        <v>15</v>
      </c>
      <c r="C58" s="35" t="s">
        <v>466</v>
      </c>
      <c r="D58" s="20" t="s">
        <v>465</v>
      </c>
      <c r="E58" s="35" t="s">
        <v>442</v>
      </c>
      <c r="F58" s="35" t="s">
        <v>468</v>
      </c>
      <c r="G58" s="35">
        <v>2</v>
      </c>
      <c r="H58" s="35">
        <v>2</v>
      </c>
      <c r="I58" s="35">
        <v>115200</v>
      </c>
      <c r="J58" s="35">
        <v>115200</v>
      </c>
      <c r="K58" s="35"/>
      <c r="L58" s="35"/>
      <c r="M58" s="35"/>
      <c r="N58" s="35"/>
      <c r="O58" s="35" t="s">
        <v>467</v>
      </c>
    </row>
    <row r="59" spans="1:15" ht="28.5" x14ac:dyDescent="0.2">
      <c r="A59" s="36" t="s">
        <v>12</v>
      </c>
      <c r="B59" s="36" t="s">
        <v>106</v>
      </c>
      <c r="C59" s="35" t="s">
        <v>470</v>
      </c>
      <c r="D59" s="20" t="s">
        <v>469</v>
      </c>
      <c r="E59" s="35" t="s">
        <v>442</v>
      </c>
      <c r="F59" s="35" t="s">
        <v>471</v>
      </c>
      <c r="G59" s="35">
        <v>5</v>
      </c>
      <c r="H59" s="35"/>
      <c r="I59" s="35">
        <v>115500</v>
      </c>
      <c r="J59" s="35">
        <v>300</v>
      </c>
      <c r="K59" s="35"/>
      <c r="L59" s="35"/>
      <c r="M59" s="35"/>
      <c r="N59" s="35"/>
      <c r="O59" s="35"/>
    </row>
    <row r="60" spans="1:15" ht="28.5" x14ac:dyDescent="0.2">
      <c r="A60" s="36" t="s">
        <v>12</v>
      </c>
      <c r="B60" s="36" t="s">
        <v>106</v>
      </c>
      <c r="C60" s="35" t="s">
        <v>473</v>
      </c>
      <c r="D60" s="20" t="s">
        <v>472</v>
      </c>
      <c r="E60" s="35" t="s">
        <v>442</v>
      </c>
      <c r="F60" s="35" t="s">
        <v>471</v>
      </c>
      <c r="G60" s="35">
        <v>5</v>
      </c>
      <c r="H60" s="35"/>
      <c r="I60" s="35">
        <v>57600</v>
      </c>
      <c r="J60" s="35">
        <v>57600</v>
      </c>
      <c r="K60" s="35"/>
      <c r="L60" s="35"/>
      <c r="M60" s="35"/>
      <c r="N60" s="35"/>
      <c r="O60" s="35" t="s">
        <v>474</v>
      </c>
    </row>
    <row r="61" spans="1:15" ht="28.5" x14ac:dyDescent="0.2">
      <c r="A61" s="36" t="s">
        <v>12</v>
      </c>
      <c r="B61" s="36" t="s">
        <v>106</v>
      </c>
      <c r="C61" s="35" t="s">
        <v>476</v>
      </c>
      <c r="D61" s="20" t="s">
        <v>475</v>
      </c>
      <c r="E61" s="35" t="s">
        <v>442</v>
      </c>
      <c r="F61" s="35" t="s">
        <v>477</v>
      </c>
      <c r="G61" s="35">
        <v>3</v>
      </c>
      <c r="H61" s="35"/>
      <c r="I61" s="35">
        <v>7200</v>
      </c>
      <c r="J61" s="35">
        <v>7200</v>
      </c>
      <c r="K61" s="35"/>
      <c r="L61" s="35"/>
      <c r="M61" s="35"/>
      <c r="N61" s="35"/>
      <c r="O61" s="35" t="s">
        <v>474</v>
      </c>
    </row>
    <row r="62" spans="1:15" ht="15" x14ac:dyDescent="0.2">
      <c r="A62" s="36" t="s">
        <v>12</v>
      </c>
      <c r="B62" s="36" t="s">
        <v>15</v>
      </c>
      <c r="C62" s="35" t="s">
        <v>479</v>
      </c>
      <c r="D62" s="20" t="s">
        <v>478</v>
      </c>
      <c r="E62" s="35" t="s">
        <v>442</v>
      </c>
      <c r="F62" s="35" t="s">
        <v>481</v>
      </c>
      <c r="G62" s="35">
        <v>3</v>
      </c>
      <c r="H62" s="35">
        <v>3</v>
      </c>
      <c r="I62" s="35"/>
      <c r="J62" s="35"/>
      <c r="K62" s="35"/>
      <c r="L62" s="35"/>
      <c r="M62" s="35"/>
      <c r="N62" s="35"/>
      <c r="O62" s="35" t="s">
        <v>480</v>
      </c>
    </row>
    <row r="63" spans="1:15" ht="42.75" x14ac:dyDescent="0.2">
      <c r="A63" s="36" t="s">
        <v>12</v>
      </c>
      <c r="B63" s="36" t="s">
        <v>13</v>
      </c>
      <c r="C63" s="35" t="s">
        <v>346</v>
      </c>
      <c r="D63" s="20" t="s">
        <v>347</v>
      </c>
      <c r="E63" s="35" t="s">
        <v>113</v>
      </c>
      <c r="F63" s="35"/>
      <c r="G63" s="35"/>
      <c r="H63" s="35"/>
      <c r="I63" s="35"/>
      <c r="J63" s="35"/>
      <c r="K63" s="35"/>
      <c r="L63" s="35"/>
      <c r="M63" s="35"/>
      <c r="N63" s="35"/>
      <c r="O63" s="35" t="s">
        <v>348</v>
      </c>
    </row>
    <row r="64" spans="1:15" ht="15" x14ac:dyDescent="0.2">
      <c r="A64" s="36" t="s">
        <v>12</v>
      </c>
      <c r="B64" s="36" t="s">
        <v>15</v>
      </c>
      <c r="C64" s="35" t="s">
        <v>483</v>
      </c>
      <c r="D64" s="20" t="s">
        <v>482</v>
      </c>
      <c r="E64" s="35" t="s">
        <v>442</v>
      </c>
      <c r="F64" s="35" t="s">
        <v>485</v>
      </c>
      <c r="G64" s="35">
        <v>5</v>
      </c>
      <c r="H64" s="35">
        <v>5</v>
      </c>
      <c r="I64" s="35"/>
      <c r="J64" s="35"/>
      <c r="K64" s="35"/>
      <c r="L64" s="35"/>
      <c r="M64" s="35"/>
      <c r="N64" s="35"/>
      <c r="O64" s="35" t="s">
        <v>484</v>
      </c>
    </row>
    <row r="65" spans="1:15" ht="15" x14ac:dyDescent="0.2">
      <c r="A65" s="36" t="s">
        <v>12</v>
      </c>
      <c r="B65" s="36" t="s">
        <v>106</v>
      </c>
      <c r="C65" s="35" t="s">
        <v>487</v>
      </c>
      <c r="D65" s="20" t="s">
        <v>486</v>
      </c>
      <c r="E65" s="35" t="s">
        <v>442</v>
      </c>
      <c r="F65" s="35" t="s">
        <v>477</v>
      </c>
      <c r="G65" s="35">
        <v>2</v>
      </c>
      <c r="H65" s="35"/>
      <c r="I65" s="35">
        <v>100800</v>
      </c>
      <c r="J65" s="35">
        <v>100800</v>
      </c>
      <c r="K65" s="35"/>
      <c r="L65" s="35"/>
      <c r="M65" s="35"/>
      <c r="N65" s="35"/>
      <c r="O65" s="35" t="s">
        <v>488</v>
      </c>
    </row>
    <row r="66" spans="1:15" ht="28.5" x14ac:dyDescent="0.2">
      <c r="A66" s="36" t="s">
        <v>12</v>
      </c>
      <c r="B66" s="36" t="s">
        <v>13</v>
      </c>
      <c r="C66" s="35" t="s">
        <v>490</v>
      </c>
      <c r="D66" s="20" t="s">
        <v>489</v>
      </c>
      <c r="E66" s="35" t="s">
        <v>442</v>
      </c>
      <c r="F66" s="35" t="s">
        <v>491</v>
      </c>
      <c r="G66" s="35">
        <v>10</v>
      </c>
      <c r="H66" s="35"/>
      <c r="I66" s="35"/>
      <c r="J66" s="35"/>
      <c r="K66" s="35"/>
      <c r="L66" s="35"/>
      <c r="M66" s="35"/>
      <c r="N66" s="35"/>
      <c r="O66" s="35" t="s">
        <v>173</v>
      </c>
    </row>
    <row r="67" spans="1:15" ht="42.75" x14ac:dyDescent="0.2">
      <c r="A67" s="36" t="s">
        <v>12</v>
      </c>
      <c r="B67" s="36" t="s">
        <v>13</v>
      </c>
      <c r="C67" s="35" t="s">
        <v>493</v>
      </c>
      <c r="D67" s="20" t="s">
        <v>492</v>
      </c>
      <c r="E67" s="35" t="s">
        <v>442</v>
      </c>
      <c r="F67" s="35" t="s">
        <v>464</v>
      </c>
      <c r="G67" s="35">
        <v>10</v>
      </c>
      <c r="H67" s="35"/>
      <c r="I67" s="35">
        <v>144000</v>
      </c>
      <c r="J67" s="35">
        <v>144000</v>
      </c>
      <c r="K67" s="35"/>
      <c r="L67" s="35"/>
      <c r="M67" s="35"/>
      <c r="N67" s="35"/>
      <c r="O67" s="35" t="s">
        <v>173</v>
      </c>
    </row>
    <row r="68" spans="1:15" ht="57" x14ac:dyDescent="0.2">
      <c r="A68" s="36" t="s">
        <v>12</v>
      </c>
      <c r="B68" s="36" t="s">
        <v>13</v>
      </c>
      <c r="C68" s="35" t="s">
        <v>495</v>
      </c>
      <c r="D68" s="20" t="s">
        <v>494</v>
      </c>
      <c r="E68" s="35" t="s">
        <v>442</v>
      </c>
      <c r="F68" s="35" t="s">
        <v>496</v>
      </c>
      <c r="G68" s="35">
        <v>10</v>
      </c>
      <c r="H68" s="35"/>
      <c r="I68" s="35"/>
      <c r="J68" s="35"/>
      <c r="K68" s="35"/>
      <c r="L68" s="35"/>
      <c r="M68" s="35"/>
      <c r="N68" s="35"/>
      <c r="O68" s="35" t="s">
        <v>173</v>
      </c>
    </row>
    <row r="69" spans="1:15" ht="28.5" x14ac:dyDescent="0.2">
      <c r="A69" s="36" t="s">
        <v>12</v>
      </c>
      <c r="B69" s="36" t="s">
        <v>15</v>
      </c>
      <c r="C69" s="35" t="s">
        <v>498</v>
      </c>
      <c r="D69" s="20" t="s">
        <v>497</v>
      </c>
      <c r="E69" s="35" t="s">
        <v>442</v>
      </c>
      <c r="F69" s="35" t="s">
        <v>477</v>
      </c>
      <c r="G69" s="35">
        <v>2</v>
      </c>
      <c r="H69" s="35">
        <v>2</v>
      </c>
      <c r="I69" s="35"/>
      <c r="J69" s="35"/>
      <c r="K69" s="35"/>
      <c r="L69" s="35"/>
      <c r="M69" s="35"/>
      <c r="N69" s="35"/>
      <c r="O69" s="35" t="s">
        <v>488</v>
      </c>
    </row>
    <row r="70" spans="1:15" ht="28.5" x14ac:dyDescent="0.2">
      <c r="A70" s="36" t="s">
        <v>12</v>
      </c>
      <c r="B70" s="36" t="s">
        <v>106</v>
      </c>
      <c r="C70" s="35" t="s">
        <v>500</v>
      </c>
      <c r="D70" s="20" t="s">
        <v>499</v>
      </c>
      <c r="E70" s="35" t="s">
        <v>442</v>
      </c>
      <c r="F70" s="35" t="s">
        <v>477</v>
      </c>
      <c r="G70" s="35">
        <v>3</v>
      </c>
      <c r="H70" s="35"/>
      <c r="I70" s="35">
        <v>28800</v>
      </c>
      <c r="J70" s="35">
        <v>28800</v>
      </c>
      <c r="K70" s="35"/>
      <c r="L70" s="35"/>
      <c r="M70" s="35"/>
      <c r="N70" s="35"/>
      <c r="O70" s="35" t="s">
        <v>501</v>
      </c>
    </row>
    <row r="71" spans="1:15" ht="42.75" x14ac:dyDescent="0.2">
      <c r="A71" s="36" t="s">
        <v>12</v>
      </c>
      <c r="B71" s="36" t="s">
        <v>13</v>
      </c>
      <c r="C71" s="35" t="s">
        <v>396</v>
      </c>
      <c r="D71" s="20" t="s">
        <v>397</v>
      </c>
      <c r="E71" s="35" t="s">
        <v>113</v>
      </c>
      <c r="F71" s="35"/>
      <c r="G71" s="35"/>
      <c r="H71" s="35"/>
      <c r="I71" s="35"/>
      <c r="J71" s="35"/>
      <c r="K71" s="35"/>
      <c r="L71" s="35"/>
      <c r="M71" s="35"/>
      <c r="N71" s="35"/>
      <c r="O71" s="35" t="s">
        <v>246</v>
      </c>
    </row>
    <row r="72" spans="1:15" ht="42.75" x14ac:dyDescent="0.2">
      <c r="A72" s="36" t="s">
        <v>12</v>
      </c>
      <c r="B72" s="36" t="s">
        <v>15</v>
      </c>
      <c r="C72" s="35" t="s">
        <v>503</v>
      </c>
      <c r="D72" s="20" t="s">
        <v>502</v>
      </c>
      <c r="E72" s="35" t="s">
        <v>442</v>
      </c>
      <c r="F72" s="35" t="s">
        <v>491</v>
      </c>
      <c r="G72" s="35">
        <v>2</v>
      </c>
      <c r="H72" s="35">
        <v>2</v>
      </c>
      <c r="I72" s="35">
        <v>28800</v>
      </c>
      <c r="J72" s="35">
        <v>28800</v>
      </c>
      <c r="K72" s="35"/>
      <c r="L72" s="35"/>
      <c r="M72" s="35"/>
      <c r="N72" s="35"/>
      <c r="O72" s="35" t="s">
        <v>504</v>
      </c>
    </row>
    <row r="73" spans="1:15" ht="42.75" x14ac:dyDescent="0.2">
      <c r="A73" s="36" t="s">
        <v>12</v>
      </c>
      <c r="B73" s="36" t="s">
        <v>106</v>
      </c>
      <c r="C73" s="35" t="s">
        <v>506</v>
      </c>
      <c r="D73" s="20" t="s">
        <v>505</v>
      </c>
      <c r="E73" s="35" t="s">
        <v>442</v>
      </c>
      <c r="F73" s="35" t="s">
        <v>491</v>
      </c>
      <c r="G73" s="35">
        <v>5</v>
      </c>
      <c r="H73" s="35"/>
      <c r="I73" s="35">
        <v>7200</v>
      </c>
      <c r="J73" s="35">
        <v>7200</v>
      </c>
      <c r="K73" s="35"/>
      <c r="L73" s="35"/>
      <c r="M73" s="35"/>
      <c r="N73" s="35"/>
      <c r="O73" s="35" t="s">
        <v>507</v>
      </c>
    </row>
    <row r="74" spans="1:15" ht="42.75" x14ac:dyDescent="0.2">
      <c r="A74" s="36" t="s">
        <v>12</v>
      </c>
      <c r="B74" s="36" t="s">
        <v>15</v>
      </c>
      <c r="C74" s="35" t="s">
        <v>509</v>
      </c>
      <c r="D74" s="20" t="s">
        <v>508</v>
      </c>
      <c r="E74" s="35" t="s">
        <v>442</v>
      </c>
      <c r="F74" s="35" t="s">
        <v>491</v>
      </c>
      <c r="G74" s="35">
        <v>5</v>
      </c>
      <c r="H74" s="35">
        <v>5</v>
      </c>
      <c r="I74" s="35"/>
      <c r="J74" s="35"/>
      <c r="K74" s="35"/>
      <c r="L74" s="35"/>
      <c r="M74" s="35"/>
      <c r="N74" s="35"/>
      <c r="O74" s="35" t="s">
        <v>510</v>
      </c>
    </row>
    <row r="75" spans="1:15" ht="42.75" x14ac:dyDescent="0.2">
      <c r="A75" s="36" t="s">
        <v>12</v>
      </c>
      <c r="B75" s="36" t="s">
        <v>13</v>
      </c>
      <c r="C75" s="35" t="s">
        <v>512</v>
      </c>
      <c r="D75" s="20" t="s">
        <v>511</v>
      </c>
      <c r="E75" s="35" t="s">
        <v>442</v>
      </c>
      <c r="F75" s="35" t="s">
        <v>464</v>
      </c>
      <c r="G75" s="35">
        <v>8</v>
      </c>
      <c r="H75" s="35"/>
      <c r="I75" s="35"/>
      <c r="J75" s="35"/>
      <c r="K75" s="35"/>
      <c r="L75" s="35"/>
      <c r="M75" s="35"/>
      <c r="N75" s="35"/>
      <c r="O75" s="35" t="s">
        <v>510</v>
      </c>
    </row>
    <row r="76" spans="1:15" ht="28.5" x14ac:dyDescent="0.2">
      <c r="A76" s="36" t="s">
        <v>12</v>
      </c>
      <c r="B76" s="36" t="s">
        <v>15</v>
      </c>
      <c r="C76" s="35" t="s">
        <v>514</v>
      </c>
      <c r="D76" s="20" t="s">
        <v>513</v>
      </c>
      <c r="E76" s="35" t="s">
        <v>442</v>
      </c>
      <c r="F76" s="35" t="s">
        <v>485</v>
      </c>
      <c r="G76" s="35">
        <v>5</v>
      </c>
      <c r="H76" s="35">
        <v>5</v>
      </c>
      <c r="I76" s="35">
        <v>151200</v>
      </c>
      <c r="J76" s="35">
        <v>151200</v>
      </c>
      <c r="K76" s="35"/>
      <c r="L76" s="35"/>
      <c r="M76" s="35"/>
      <c r="N76" s="35"/>
      <c r="O76" s="35" t="s">
        <v>510</v>
      </c>
    </row>
    <row r="77" spans="1:15" ht="15" x14ac:dyDescent="0.2">
      <c r="A77" s="36" t="s">
        <v>12</v>
      </c>
      <c r="B77" s="36" t="s">
        <v>106</v>
      </c>
      <c r="C77" s="35" t="s">
        <v>516</v>
      </c>
      <c r="D77" s="20" t="s">
        <v>515</v>
      </c>
      <c r="E77" s="35" t="s">
        <v>442</v>
      </c>
      <c r="F77" s="35" t="s">
        <v>477</v>
      </c>
      <c r="G77" s="35">
        <v>2</v>
      </c>
      <c r="H77" s="35"/>
      <c r="I77" s="35">
        <v>72000</v>
      </c>
      <c r="J77" s="35">
        <v>72000</v>
      </c>
      <c r="K77" s="35"/>
      <c r="L77" s="35"/>
      <c r="M77" s="35"/>
      <c r="N77" s="35"/>
      <c r="O77" s="35" t="s">
        <v>501</v>
      </c>
    </row>
    <row r="78" spans="1:15" ht="15" x14ac:dyDescent="0.2">
      <c r="A78" s="36" t="s">
        <v>12</v>
      </c>
      <c r="B78" s="36" t="s">
        <v>106</v>
      </c>
      <c r="C78" s="35" t="s">
        <v>518</v>
      </c>
      <c r="D78" s="20" t="s">
        <v>517</v>
      </c>
      <c r="E78" s="35" t="s">
        <v>442</v>
      </c>
      <c r="F78" s="35" t="s">
        <v>477</v>
      </c>
      <c r="G78" s="35">
        <v>3</v>
      </c>
      <c r="H78" s="35"/>
      <c r="I78" s="35">
        <v>115200</v>
      </c>
      <c r="J78" s="35">
        <v>115200</v>
      </c>
      <c r="K78" s="35"/>
      <c r="L78" s="35"/>
      <c r="M78" s="35"/>
      <c r="N78" s="35"/>
      <c r="O78" s="35" t="s">
        <v>501</v>
      </c>
    </row>
    <row r="79" spans="1:15" ht="28.5" x14ac:dyDescent="0.2">
      <c r="A79" s="36" t="s">
        <v>12</v>
      </c>
      <c r="B79" s="36" t="s">
        <v>106</v>
      </c>
      <c r="C79" s="35" t="s">
        <v>520</v>
      </c>
      <c r="D79" s="20" t="s">
        <v>519</v>
      </c>
      <c r="E79" s="35" t="s">
        <v>521</v>
      </c>
      <c r="F79" s="35" t="s">
        <v>523</v>
      </c>
      <c r="G79" s="35"/>
      <c r="H79" s="35"/>
      <c r="I79" s="35">
        <v>14400</v>
      </c>
      <c r="J79" s="35">
        <v>14400</v>
      </c>
      <c r="K79" s="35"/>
      <c r="L79" s="35"/>
      <c r="M79" s="35"/>
      <c r="N79" s="35"/>
      <c r="O79" s="35" t="s">
        <v>522</v>
      </c>
    </row>
    <row r="80" spans="1:15" ht="28.5" x14ac:dyDescent="0.2">
      <c r="A80" s="36" t="s">
        <v>12</v>
      </c>
      <c r="B80" s="36" t="s">
        <v>14</v>
      </c>
      <c r="C80" s="35" t="s">
        <v>1093</v>
      </c>
      <c r="D80" s="20" t="s">
        <v>1092</v>
      </c>
      <c r="E80" s="35" t="s">
        <v>70</v>
      </c>
      <c r="F80" s="35" t="s">
        <v>267</v>
      </c>
      <c r="G80" s="35">
        <v>8</v>
      </c>
      <c r="H80" s="35"/>
      <c r="I80" s="35">
        <v>86400</v>
      </c>
      <c r="J80" s="35">
        <v>86400</v>
      </c>
      <c r="K80" s="35"/>
      <c r="L80" s="35"/>
      <c r="M80" s="35"/>
      <c r="N80" s="35"/>
      <c r="O80" s="35" t="s">
        <v>96</v>
      </c>
    </row>
    <row r="81" spans="1:15" ht="15" x14ac:dyDescent="0.2">
      <c r="A81" s="36" t="s">
        <v>12</v>
      </c>
      <c r="B81" s="36" t="s">
        <v>14</v>
      </c>
      <c r="C81" s="35" t="s">
        <v>1091</v>
      </c>
      <c r="D81" s="20" t="s">
        <v>1090</v>
      </c>
      <c r="E81" s="35" t="s">
        <v>70</v>
      </c>
      <c r="F81" s="35" t="s">
        <v>267</v>
      </c>
      <c r="G81" s="35">
        <v>8</v>
      </c>
      <c r="H81" s="35"/>
      <c r="I81" s="35">
        <v>136800</v>
      </c>
      <c r="J81" s="35">
        <v>136800</v>
      </c>
      <c r="K81" s="35"/>
      <c r="L81" s="35"/>
      <c r="M81" s="35"/>
      <c r="N81" s="35"/>
      <c r="O81" s="35"/>
    </row>
    <row r="82" spans="1:15" ht="28.5" x14ac:dyDescent="0.2">
      <c r="A82" s="36" t="s">
        <v>12</v>
      </c>
      <c r="B82" s="36" t="s">
        <v>13</v>
      </c>
      <c r="C82" s="35" t="s">
        <v>1089</v>
      </c>
      <c r="D82" s="20" t="s">
        <v>1088</v>
      </c>
      <c r="E82" s="35" t="s">
        <v>70</v>
      </c>
      <c r="F82" s="35" t="s">
        <v>267</v>
      </c>
      <c r="G82" s="35">
        <v>8</v>
      </c>
      <c r="H82" s="35"/>
      <c r="I82" s="35">
        <v>180000</v>
      </c>
      <c r="J82" s="35">
        <v>180000</v>
      </c>
      <c r="K82" s="35"/>
      <c r="L82" s="35"/>
      <c r="M82" s="35"/>
      <c r="N82" s="35"/>
      <c r="O82" s="35" t="s">
        <v>96</v>
      </c>
    </row>
    <row r="83" spans="1:15" ht="28.5" x14ac:dyDescent="0.2">
      <c r="A83" s="36" t="s">
        <v>12</v>
      </c>
      <c r="B83" s="36" t="s">
        <v>13</v>
      </c>
      <c r="C83" s="35" t="s">
        <v>1087</v>
      </c>
      <c r="D83" s="20" t="s">
        <v>1086</v>
      </c>
      <c r="E83" s="35" t="s">
        <v>70</v>
      </c>
      <c r="F83" s="35" t="s">
        <v>267</v>
      </c>
      <c r="G83" s="35">
        <v>3</v>
      </c>
      <c r="H83" s="35"/>
      <c r="I83" s="35">
        <v>28800</v>
      </c>
      <c r="J83" s="35">
        <v>28800</v>
      </c>
      <c r="K83" s="35"/>
      <c r="L83" s="35"/>
      <c r="M83" s="35"/>
      <c r="N83" s="35"/>
      <c r="O83" s="35" t="s">
        <v>1083</v>
      </c>
    </row>
    <row r="84" spans="1:15" ht="28.5" x14ac:dyDescent="0.2">
      <c r="A84" s="36" t="s">
        <v>12</v>
      </c>
      <c r="B84" s="36" t="s">
        <v>14</v>
      </c>
      <c r="C84" s="35" t="s">
        <v>1085</v>
      </c>
      <c r="D84" s="20" t="s">
        <v>1084</v>
      </c>
      <c r="E84" s="35" t="s">
        <v>70</v>
      </c>
      <c r="F84" s="35" t="s">
        <v>267</v>
      </c>
      <c r="G84" s="35">
        <v>3</v>
      </c>
      <c r="H84" s="35"/>
      <c r="I84" s="35">
        <v>28800</v>
      </c>
      <c r="J84" s="35">
        <v>28800</v>
      </c>
      <c r="K84" s="35"/>
      <c r="L84" s="35"/>
      <c r="M84" s="35"/>
      <c r="N84" s="35"/>
      <c r="O84" s="35" t="s">
        <v>1083</v>
      </c>
    </row>
    <row r="85" spans="1:15" ht="28.5" x14ac:dyDescent="0.2">
      <c r="A85" s="36" t="s">
        <v>12</v>
      </c>
      <c r="B85" s="36" t="s">
        <v>15</v>
      </c>
      <c r="C85" s="35" t="s">
        <v>202</v>
      </c>
      <c r="D85" s="20" t="s">
        <v>203</v>
      </c>
      <c r="E85" s="35" t="s">
        <v>70</v>
      </c>
      <c r="F85" s="35" t="s">
        <v>188</v>
      </c>
      <c r="G85" s="35">
        <v>3</v>
      </c>
      <c r="H85" s="35">
        <v>3</v>
      </c>
      <c r="I85" s="35">
        <v>14400</v>
      </c>
      <c r="J85" s="35">
        <v>14400</v>
      </c>
      <c r="K85" s="35"/>
      <c r="L85" s="35"/>
      <c r="M85" s="35"/>
      <c r="N85" s="35"/>
      <c r="O85" s="35" t="s">
        <v>204</v>
      </c>
    </row>
    <row r="86" spans="1:15" ht="15" x14ac:dyDescent="0.2">
      <c r="A86" s="36" t="s">
        <v>12</v>
      </c>
      <c r="B86" s="36" t="s">
        <v>15</v>
      </c>
      <c r="C86" s="35" t="s">
        <v>207</v>
      </c>
      <c r="D86" s="20" t="s">
        <v>208</v>
      </c>
      <c r="E86" s="35" t="s">
        <v>70</v>
      </c>
      <c r="F86" s="35" t="s">
        <v>188</v>
      </c>
      <c r="G86" s="35">
        <v>5</v>
      </c>
      <c r="H86" s="35">
        <v>5</v>
      </c>
      <c r="I86" s="35">
        <v>86400</v>
      </c>
      <c r="J86" s="35">
        <v>86400</v>
      </c>
      <c r="K86" s="35"/>
      <c r="L86" s="35"/>
      <c r="M86" s="35"/>
      <c r="N86" s="35"/>
      <c r="O86" s="35" t="s">
        <v>209</v>
      </c>
    </row>
    <row r="87" spans="1:15" ht="28.5" x14ac:dyDescent="0.2">
      <c r="A87" s="36" t="s">
        <v>12</v>
      </c>
      <c r="B87" s="36" t="s">
        <v>15</v>
      </c>
      <c r="C87" s="35" t="s">
        <v>199</v>
      </c>
      <c r="D87" s="20" t="s">
        <v>200</v>
      </c>
      <c r="E87" s="35" t="s">
        <v>70</v>
      </c>
      <c r="F87" s="35" t="s">
        <v>188</v>
      </c>
      <c r="G87" s="35">
        <v>5</v>
      </c>
      <c r="H87" s="35">
        <v>5</v>
      </c>
      <c r="I87" s="35">
        <v>28800</v>
      </c>
      <c r="J87" s="35">
        <v>28800</v>
      </c>
      <c r="K87" s="35"/>
      <c r="L87" s="35"/>
      <c r="M87" s="35"/>
      <c r="N87" s="35"/>
      <c r="O87" s="35" t="s">
        <v>201</v>
      </c>
    </row>
    <row r="88" spans="1:15" ht="15" x14ac:dyDescent="0.2">
      <c r="A88" s="36" t="s">
        <v>12</v>
      </c>
      <c r="B88" s="36" t="s">
        <v>14</v>
      </c>
      <c r="C88" s="35" t="s">
        <v>326</v>
      </c>
      <c r="D88" s="20" t="s">
        <v>327</v>
      </c>
      <c r="E88" s="35" t="s">
        <v>70</v>
      </c>
      <c r="F88" s="35" t="s">
        <v>328</v>
      </c>
      <c r="G88" s="35">
        <v>13</v>
      </c>
      <c r="H88" s="35"/>
      <c r="I88" s="35">
        <v>144000</v>
      </c>
      <c r="J88" s="35">
        <v>144000</v>
      </c>
      <c r="K88" s="35"/>
      <c r="L88" s="35"/>
      <c r="M88" s="35"/>
      <c r="N88" s="35"/>
      <c r="O88" s="35" t="s">
        <v>329</v>
      </c>
    </row>
    <row r="89" spans="1:15" ht="28.5" x14ac:dyDescent="0.2">
      <c r="A89" s="36" t="s">
        <v>12</v>
      </c>
      <c r="B89" s="36" t="s">
        <v>14</v>
      </c>
      <c r="C89" s="35" t="s">
        <v>269</v>
      </c>
      <c r="D89" s="20" t="s">
        <v>270</v>
      </c>
      <c r="E89" s="35" t="s">
        <v>70</v>
      </c>
      <c r="F89" s="35" t="s">
        <v>267</v>
      </c>
      <c r="G89" s="35">
        <v>8</v>
      </c>
      <c r="H89" s="35"/>
      <c r="I89" s="35">
        <v>122400</v>
      </c>
      <c r="J89" s="35">
        <v>122400</v>
      </c>
      <c r="K89" s="35"/>
      <c r="L89" s="35"/>
      <c r="M89" s="35"/>
      <c r="N89" s="35"/>
      <c r="O89" s="35"/>
    </row>
    <row r="90" spans="1:15" ht="28.5" x14ac:dyDescent="0.2">
      <c r="A90" s="36" t="s">
        <v>12</v>
      </c>
      <c r="B90" s="36" t="s">
        <v>15</v>
      </c>
      <c r="C90" s="35" t="s">
        <v>190</v>
      </c>
      <c r="D90" s="20" t="s">
        <v>191</v>
      </c>
      <c r="E90" s="35" t="s">
        <v>70</v>
      </c>
      <c r="F90" s="35" t="s">
        <v>188</v>
      </c>
      <c r="G90" s="35">
        <v>3</v>
      </c>
      <c r="H90" s="35">
        <v>3</v>
      </c>
      <c r="I90" s="35">
        <v>28800</v>
      </c>
      <c r="J90" s="35">
        <v>28800</v>
      </c>
      <c r="K90" s="35"/>
      <c r="L90" s="35"/>
      <c r="M90" s="35"/>
      <c r="N90" s="35"/>
      <c r="O90" s="35" t="s">
        <v>88</v>
      </c>
    </row>
    <row r="91" spans="1:15" ht="15" x14ac:dyDescent="0.2">
      <c r="A91" s="36" t="s">
        <v>12</v>
      </c>
      <c r="B91" s="36" t="s">
        <v>15</v>
      </c>
      <c r="C91" s="35" t="s">
        <v>192</v>
      </c>
      <c r="D91" s="20" t="s">
        <v>193</v>
      </c>
      <c r="E91" s="35" t="s">
        <v>70</v>
      </c>
      <c r="F91" s="35" t="s">
        <v>188</v>
      </c>
      <c r="G91" s="35">
        <v>5</v>
      </c>
      <c r="H91" s="35">
        <v>5</v>
      </c>
      <c r="I91" s="35">
        <v>28800</v>
      </c>
      <c r="J91" s="35">
        <v>28800</v>
      </c>
      <c r="K91" s="35"/>
      <c r="L91" s="35"/>
      <c r="M91" s="35"/>
      <c r="N91" s="35"/>
      <c r="O91" s="35" t="s">
        <v>96</v>
      </c>
    </row>
    <row r="92" spans="1:15" ht="42.75" x14ac:dyDescent="0.2">
      <c r="A92" s="36" t="s">
        <v>12</v>
      </c>
      <c r="B92" s="36" t="s">
        <v>15</v>
      </c>
      <c r="C92" s="35" t="s">
        <v>178</v>
      </c>
      <c r="D92" s="20" t="s">
        <v>179</v>
      </c>
      <c r="E92" s="35" t="s">
        <v>70</v>
      </c>
      <c r="F92" s="35" t="s">
        <v>180</v>
      </c>
      <c r="G92" s="35">
        <v>3</v>
      </c>
      <c r="H92" s="35">
        <v>3</v>
      </c>
      <c r="I92" s="35">
        <v>86400</v>
      </c>
      <c r="J92" s="35">
        <v>86400</v>
      </c>
      <c r="K92" s="35"/>
      <c r="L92" s="35"/>
      <c r="M92" s="35"/>
      <c r="N92" s="35"/>
      <c r="O92" s="35" t="s">
        <v>181</v>
      </c>
    </row>
    <row r="93" spans="1:15" ht="28.5" x14ac:dyDescent="0.2">
      <c r="A93" s="36" t="s">
        <v>12</v>
      </c>
      <c r="B93" s="36" t="s">
        <v>15</v>
      </c>
      <c r="C93" s="35" t="s">
        <v>184</v>
      </c>
      <c r="D93" s="20" t="s">
        <v>185</v>
      </c>
      <c r="E93" s="35" t="s">
        <v>70</v>
      </c>
      <c r="F93" s="35" t="s">
        <v>180</v>
      </c>
      <c r="G93" s="35">
        <v>5</v>
      </c>
      <c r="H93" s="35">
        <v>5</v>
      </c>
      <c r="I93" s="35">
        <v>57600</v>
      </c>
      <c r="J93" s="35">
        <v>57600</v>
      </c>
      <c r="K93" s="35"/>
      <c r="L93" s="35"/>
      <c r="M93" s="35"/>
      <c r="N93" s="35"/>
      <c r="O93" s="35" t="s">
        <v>96</v>
      </c>
    </row>
    <row r="94" spans="1:15" ht="28.5" x14ac:dyDescent="0.2">
      <c r="A94" s="36" t="s">
        <v>12</v>
      </c>
      <c r="B94" s="36" t="s">
        <v>15</v>
      </c>
      <c r="C94" s="35" t="s">
        <v>94</v>
      </c>
      <c r="D94" s="20" t="s">
        <v>95</v>
      </c>
      <c r="E94" s="35" t="s">
        <v>70</v>
      </c>
      <c r="F94" s="35" t="s">
        <v>87</v>
      </c>
      <c r="G94" s="35">
        <v>3</v>
      </c>
      <c r="H94" s="35">
        <v>3</v>
      </c>
      <c r="I94" s="35">
        <v>28800</v>
      </c>
      <c r="J94" s="35">
        <v>28800</v>
      </c>
      <c r="K94" s="35"/>
      <c r="L94" s="35"/>
      <c r="M94" s="35"/>
      <c r="N94" s="35"/>
      <c r="O94" s="35" t="s">
        <v>96</v>
      </c>
    </row>
    <row r="95" spans="1:15" ht="15" x14ac:dyDescent="0.2">
      <c r="A95" s="36" t="s">
        <v>12</v>
      </c>
      <c r="B95" s="36" t="s">
        <v>15</v>
      </c>
      <c r="C95" s="35" t="s">
        <v>97</v>
      </c>
      <c r="D95" s="20" t="s">
        <v>98</v>
      </c>
      <c r="E95" s="35" t="s">
        <v>70</v>
      </c>
      <c r="F95" s="35" t="s">
        <v>87</v>
      </c>
      <c r="G95" s="35">
        <v>3</v>
      </c>
      <c r="H95" s="35">
        <v>3</v>
      </c>
      <c r="I95" s="35">
        <v>86400</v>
      </c>
      <c r="J95" s="35">
        <v>86400</v>
      </c>
      <c r="K95" s="35"/>
      <c r="L95" s="35"/>
      <c r="M95" s="35"/>
      <c r="N95" s="35"/>
      <c r="O95" s="35" t="s">
        <v>96</v>
      </c>
    </row>
    <row r="96" spans="1:15" ht="28.5" x14ac:dyDescent="0.2">
      <c r="A96" s="36" t="s">
        <v>12</v>
      </c>
      <c r="B96" s="36" t="s">
        <v>15</v>
      </c>
      <c r="C96" s="35" t="s">
        <v>99</v>
      </c>
      <c r="D96" s="20" t="s">
        <v>100</v>
      </c>
      <c r="E96" s="35" t="s">
        <v>70</v>
      </c>
      <c r="F96" s="35" t="s">
        <v>87</v>
      </c>
      <c r="G96" s="35">
        <v>5</v>
      </c>
      <c r="H96" s="35">
        <v>5</v>
      </c>
      <c r="I96" s="35">
        <v>57600</v>
      </c>
      <c r="J96" s="35">
        <v>57600</v>
      </c>
      <c r="K96" s="35"/>
      <c r="L96" s="35"/>
      <c r="M96" s="35"/>
      <c r="N96" s="35"/>
      <c r="O96" s="35" t="s">
        <v>101</v>
      </c>
    </row>
    <row r="97" spans="1:15" ht="15" x14ac:dyDescent="0.2">
      <c r="A97" s="36" t="s">
        <v>12</v>
      </c>
      <c r="B97" s="36" t="s">
        <v>106</v>
      </c>
      <c r="C97" s="35" t="s">
        <v>525</v>
      </c>
      <c r="D97" s="20" t="s">
        <v>524</v>
      </c>
      <c r="E97" s="35" t="s">
        <v>442</v>
      </c>
      <c r="F97" s="35" t="s">
        <v>447</v>
      </c>
      <c r="G97" s="35">
        <v>5</v>
      </c>
      <c r="H97" s="35"/>
      <c r="I97" s="35"/>
      <c r="J97" s="35"/>
      <c r="K97" s="35"/>
      <c r="L97" s="35"/>
      <c r="M97" s="35"/>
      <c r="N97" s="35"/>
      <c r="O97" s="35" t="s">
        <v>433</v>
      </c>
    </row>
    <row r="98" spans="1:15" ht="15" x14ac:dyDescent="0.2">
      <c r="A98" s="36" t="s">
        <v>12</v>
      </c>
      <c r="B98" s="36" t="s">
        <v>15</v>
      </c>
      <c r="C98" s="35" t="s">
        <v>527</v>
      </c>
      <c r="D98" s="20" t="s">
        <v>526</v>
      </c>
      <c r="E98" s="35" t="s">
        <v>442</v>
      </c>
      <c r="F98" s="35" t="s">
        <v>443</v>
      </c>
      <c r="G98" s="35">
        <v>5</v>
      </c>
      <c r="H98" s="35">
        <v>5</v>
      </c>
      <c r="I98" s="35">
        <v>57600</v>
      </c>
      <c r="J98" s="35">
        <v>57600</v>
      </c>
      <c r="K98" s="35"/>
      <c r="L98" s="35"/>
      <c r="M98" s="35"/>
      <c r="N98" s="35"/>
      <c r="O98" s="35" t="s">
        <v>433</v>
      </c>
    </row>
    <row r="99" spans="1:15" ht="15" x14ac:dyDescent="0.2">
      <c r="A99" s="36" t="s">
        <v>12</v>
      </c>
      <c r="B99" s="36" t="s">
        <v>15</v>
      </c>
      <c r="C99" s="35" t="s">
        <v>529</v>
      </c>
      <c r="D99" s="20" t="s">
        <v>528</v>
      </c>
      <c r="E99" s="35" t="s">
        <v>442</v>
      </c>
      <c r="F99" s="35" t="s">
        <v>443</v>
      </c>
      <c r="G99" s="35">
        <v>5</v>
      </c>
      <c r="H99" s="35">
        <v>5</v>
      </c>
      <c r="I99" s="35">
        <v>21600</v>
      </c>
      <c r="J99" s="35">
        <v>21600</v>
      </c>
      <c r="K99" s="35"/>
      <c r="L99" s="35"/>
      <c r="M99" s="35"/>
      <c r="N99" s="35"/>
      <c r="O99" s="35" t="s">
        <v>433</v>
      </c>
    </row>
    <row r="100" spans="1:15" ht="15" x14ac:dyDescent="0.2">
      <c r="A100" s="36" t="s">
        <v>12</v>
      </c>
      <c r="B100" s="36" t="s">
        <v>13</v>
      </c>
      <c r="C100" s="35" t="s">
        <v>1082</v>
      </c>
      <c r="D100" s="20" t="s">
        <v>1081</v>
      </c>
      <c r="E100" s="35"/>
      <c r="F100" s="35" t="s">
        <v>291</v>
      </c>
      <c r="G100" s="35"/>
      <c r="H100" s="35"/>
      <c r="I100" s="35"/>
      <c r="J100" s="35"/>
      <c r="K100" s="35"/>
      <c r="L100" s="35"/>
      <c r="M100" s="35"/>
      <c r="N100" s="35"/>
      <c r="O100" s="35"/>
    </row>
    <row r="101" spans="1:15" ht="15" x14ac:dyDescent="0.2">
      <c r="A101" s="36" t="s">
        <v>12</v>
      </c>
      <c r="B101" s="36" t="s">
        <v>13</v>
      </c>
      <c r="C101" s="35" t="s">
        <v>1080</v>
      </c>
      <c r="D101" s="20" t="s">
        <v>1079</v>
      </c>
      <c r="E101" s="35"/>
      <c r="F101" s="35" t="s">
        <v>291</v>
      </c>
      <c r="G101" s="35"/>
      <c r="H101" s="35"/>
      <c r="I101" s="35"/>
      <c r="J101" s="35"/>
      <c r="K101" s="35"/>
      <c r="L101" s="35"/>
      <c r="M101" s="35"/>
      <c r="N101" s="35"/>
      <c r="O101" s="35"/>
    </row>
    <row r="102" spans="1:15" ht="42.75" x14ac:dyDescent="0.2">
      <c r="A102" s="36" t="s">
        <v>12</v>
      </c>
      <c r="B102" s="36" t="s">
        <v>13</v>
      </c>
      <c r="C102" s="35" t="s">
        <v>1078</v>
      </c>
      <c r="D102" s="20" t="s">
        <v>1077</v>
      </c>
      <c r="E102" s="35"/>
      <c r="F102" s="35" t="s">
        <v>291</v>
      </c>
      <c r="G102" s="35">
        <v>5</v>
      </c>
      <c r="H102" s="35"/>
      <c r="I102" s="35"/>
      <c r="J102" s="35"/>
      <c r="K102" s="35"/>
      <c r="L102" s="35"/>
      <c r="M102" s="35"/>
      <c r="N102" s="35"/>
      <c r="O102" s="35" t="s">
        <v>1076</v>
      </c>
    </row>
    <row r="103" spans="1:15" ht="28.5" x14ac:dyDescent="0.2">
      <c r="A103" s="36" t="s">
        <v>12</v>
      </c>
      <c r="B103" s="36" t="s">
        <v>15</v>
      </c>
      <c r="C103" s="35" t="s">
        <v>1075</v>
      </c>
      <c r="D103" s="20" t="s">
        <v>1074</v>
      </c>
      <c r="E103" s="35"/>
      <c r="F103" s="35" t="s">
        <v>83</v>
      </c>
      <c r="G103" s="35"/>
      <c r="H103" s="35"/>
      <c r="I103" s="35"/>
      <c r="J103" s="35"/>
      <c r="K103" s="35"/>
      <c r="L103" s="35"/>
      <c r="M103" s="35"/>
      <c r="N103" s="35"/>
      <c r="O103" s="35" t="s">
        <v>1067</v>
      </c>
    </row>
    <row r="104" spans="1:15" ht="28.5" x14ac:dyDescent="0.2">
      <c r="A104" s="36" t="s">
        <v>12</v>
      </c>
      <c r="B104" s="36" t="s">
        <v>15</v>
      </c>
      <c r="C104" s="35" t="s">
        <v>1073</v>
      </c>
      <c r="D104" s="20" t="s">
        <v>1072</v>
      </c>
      <c r="E104" s="35"/>
      <c r="F104" s="35" t="s">
        <v>219</v>
      </c>
      <c r="G104" s="35"/>
      <c r="H104" s="35"/>
      <c r="I104" s="35"/>
      <c r="J104" s="35"/>
      <c r="K104" s="35"/>
      <c r="L104" s="35"/>
      <c r="M104" s="35"/>
      <c r="N104" s="35"/>
      <c r="O104" s="35" t="s">
        <v>1067</v>
      </c>
    </row>
    <row r="105" spans="1:15" ht="28.5" x14ac:dyDescent="0.2">
      <c r="A105" s="36" t="s">
        <v>12</v>
      </c>
      <c r="B105" s="36" t="s">
        <v>15</v>
      </c>
      <c r="C105" s="35" t="s">
        <v>1071</v>
      </c>
      <c r="D105" s="20" t="s">
        <v>1070</v>
      </c>
      <c r="E105" s="35"/>
      <c r="F105" s="35" t="s">
        <v>219</v>
      </c>
      <c r="G105" s="35"/>
      <c r="H105" s="35"/>
      <c r="I105" s="35"/>
      <c r="J105" s="35"/>
      <c r="K105" s="35"/>
      <c r="L105" s="35"/>
      <c r="M105" s="35"/>
      <c r="N105" s="35"/>
      <c r="O105" s="35" t="s">
        <v>1067</v>
      </c>
    </row>
    <row r="106" spans="1:15" ht="28.5" x14ac:dyDescent="0.2">
      <c r="A106" s="36" t="s">
        <v>12</v>
      </c>
      <c r="B106" s="36" t="s">
        <v>15</v>
      </c>
      <c r="C106" s="35" t="s">
        <v>1069</v>
      </c>
      <c r="D106" s="20" t="s">
        <v>1068</v>
      </c>
      <c r="E106" s="35"/>
      <c r="F106" s="35" t="s">
        <v>83</v>
      </c>
      <c r="G106" s="35"/>
      <c r="H106" s="35"/>
      <c r="I106" s="35"/>
      <c r="J106" s="35"/>
      <c r="K106" s="35"/>
      <c r="L106" s="35"/>
      <c r="M106" s="35"/>
      <c r="N106" s="35"/>
      <c r="O106" s="35" t="s">
        <v>1067</v>
      </c>
    </row>
    <row r="107" spans="1:15" ht="28.5" x14ac:dyDescent="0.2">
      <c r="A107" s="36" t="s">
        <v>12</v>
      </c>
      <c r="B107" s="36" t="s">
        <v>15</v>
      </c>
      <c r="C107" s="35" t="s">
        <v>1066</v>
      </c>
      <c r="D107" s="20" t="s">
        <v>1065</v>
      </c>
      <c r="E107" s="35"/>
      <c r="F107" s="35" t="s">
        <v>83</v>
      </c>
      <c r="G107" s="35"/>
      <c r="H107" s="35"/>
      <c r="I107" s="35"/>
      <c r="J107" s="35"/>
      <c r="K107" s="35"/>
      <c r="L107" s="35"/>
      <c r="M107" s="35"/>
      <c r="N107" s="35"/>
      <c r="O107" s="35" t="s">
        <v>1058</v>
      </c>
    </row>
    <row r="108" spans="1:15" ht="28.5" x14ac:dyDescent="0.2">
      <c r="A108" s="36" t="s">
        <v>12</v>
      </c>
      <c r="B108" s="36" t="s">
        <v>15</v>
      </c>
      <c r="C108" s="35" t="s">
        <v>1064</v>
      </c>
      <c r="D108" s="20" t="s">
        <v>1063</v>
      </c>
      <c r="E108" s="35"/>
      <c r="F108" s="35" t="s">
        <v>83</v>
      </c>
      <c r="G108" s="35"/>
      <c r="H108" s="35"/>
      <c r="I108" s="35">
        <v>7200</v>
      </c>
      <c r="J108" s="35">
        <v>7200</v>
      </c>
      <c r="K108" s="35"/>
      <c r="L108" s="35"/>
      <c r="M108" s="35"/>
      <c r="N108" s="35"/>
      <c r="O108" s="35" t="s">
        <v>1058</v>
      </c>
    </row>
    <row r="109" spans="1:15" ht="28.5" x14ac:dyDescent="0.2">
      <c r="A109" s="36" t="s">
        <v>12</v>
      </c>
      <c r="B109" s="36" t="s">
        <v>15</v>
      </c>
      <c r="C109" s="35" t="s">
        <v>1062</v>
      </c>
      <c r="D109" s="20" t="s">
        <v>1061</v>
      </c>
      <c r="E109" s="35"/>
      <c r="F109" s="35" t="s">
        <v>83</v>
      </c>
      <c r="G109" s="35"/>
      <c r="H109" s="35"/>
      <c r="I109" s="35">
        <v>180</v>
      </c>
      <c r="J109" s="35">
        <v>180</v>
      </c>
      <c r="K109" s="35"/>
      <c r="L109" s="35"/>
      <c r="M109" s="35"/>
      <c r="N109" s="35"/>
      <c r="O109" s="35" t="s">
        <v>1058</v>
      </c>
    </row>
    <row r="110" spans="1:15" ht="28.5" x14ac:dyDescent="0.2">
      <c r="A110" s="36" t="s">
        <v>12</v>
      </c>
      <c r="B110" s="36" t="s">
        <v>15</v>
      </c>
      <c r="C110" s="35" t="s">
        <v>1060</v>
      </c>
      <c r="D110" s="20" t="s">
        <v>1059</v>
      </c>
      <c r="E110" s="35"/>
      <c r="F110" s="35" t="s">
        <v>83</v>
      </c>
      <c r="G110" s="35"/>
      <c r="H110" s="35"/>
      <c r="I110" s="35">
        <v>7200</v>
      </c>
      <c r="J110" s="35">
        <v>7200</v>
      </c>
      <c r="K110" s="35"/>
      <c r="L110" s="35"/>
      <c r="M110" s="35"/>
      <c r="N110" s="35"/>
      <c r="O110" s="35" t="s">
        <v>1058</v>
      </c>
    </row>
    <row r="111" spans="1:15" ht="15" x14ac:dyDescent="0.2">
      <c r="A111" s="36" t="s">
        <v>12</v>
      </c>
      <c r="B111" s="36" t="s">
        <v>15</v>
      </c>
      <c r="C111" s="35" t="s">
        <v>1057</v>
      </c>
      <c r="D111" s="20" t="s">
        <v>1056</v>
      </c>
      <c r="E111" s="35"/>
      <c r="F111" s="35" t="s">
        <v>942</v>
      </c>
      <c r="G111" s="35">
        <v>8</v>
      </c>
      <c r="H111" s="35">
        <v>8</v>
      </c>
      <c r="I111" s="35"/>
      <c r="J111" s="35"/>
      <c r="K111" s="35"/>
      <c r="L111" s="35"/>
      <c r="M111" s="35"/>
      <c r="N111" s="35"/>
      <c r="O111" s="35" t="s">
        <v>1055</v>
      </c>
    </row>
    <row r="112" spans="1:15" ht="28.5" x14ac:dyDescent="0.2">
      <c r="A112" s="36" t="s">
        <v>12</v>
      </c>
      <c r="B112" s="36" t="s">
        <v>15</v>
      </c>
      <c r="C112" s="35" t="s">
        <v>1054</v>
      </c>
      <c r="D112" s="20" t="s">
        <v>1053</v>
      </c>
      <c r="E112" s="35"/>
      <c r="F112" s="35" t="s">
        <v>1031</v>
      </c>
      <c r="G112" s="35">
        <v>5</v>
      </c>
      <c r="H112" s="35">
        <v>5</v>
      </c>
      <c r="I112" s="35"/>
      <c r="J112" s="35">
        <v>0</v>
      </c>
      <c r="K112" s="35"/>
      <c r="L112" s="35"/>
      <c r="M112" s="35"/>
      <c r="N112" s="35"/>
      <c r="O112" s="35" t="s">
        <v>1052</v>
      </c>
    </row>
    <row r="113" spans="1:15" ht="15" x14ac:dyDescent="0.2">
      <c r="A113" s="36" t="s">
        <v>12</v>
      </c>
      <c r="B113" s="36" t="s">
        <v>15</v>
      </c>
      <c r="C113" s="35" t="s">
        <v>1051</v>
      </c>
      <c r="D113" s="20" t="s">
        <v>1050</v>
      </c>
      <c r="E113" s="35"/>
      <c r="F113" s="35" t="s">
        <v>83</v>
      </c>
      <c r="G113" s="35"/>
      <c r="H113" s="35"/>
      <c r="I113" s="35"/>
      <c r="J113" s="35"/>
      <c r="K113" s="35"/>
      <c r="L113" s="35"/>
      <c r="M113" s="35"/>
      <c r="N113" s="35"/>
      <c r="O113" s="35" t="s">
        <v>1043</v>
      </c>
    </row>
    <row r="114" spans="1:15" ht="15" x14ac:dyDescent="0.2">
      <c r="A114" s="36" t="s">
        <v>12</v>
      </c>
      <c r="B114" s="36" t="s">
        <v>15</v>
      </c>
      <c r="C114" s="35" t="s">
        <v>1049</v>
      </c>
      <c r="D114" s="20" t="s">
        <v>1048</v>
      </c>
      <c r="E114" s="35"/>
      <c r="F114" s="35" t="s">
        <v>83</v>
      </c>
      <c r="G114" s="35"/>
      <c r="H114" s="35"/>
      <c r="I114" s="35"/>
      <c r="J114" s="35"/>
      <c r="K114" s="35"/>
      <c r="L114" s="35"/>
      <c r="M114" s="35"/>
      <c r="N114" s="35"/>
      <c r="O114" s="35" t="s">
        <v>1043</v>
      </c>
    </row>
    <row r="115" spans="1:15" ht="15" x14ac:dyDescent="0.2">
      <c r="A115" s="36" t="s">
        <v>12</v>
      </c>
      <c r="B115" s="36" t="s">
        <v>15</v>
      </c>
      <c r="C115" s="35" t="s">
        <v>1047</v>
      </c>
      <c r="D115" s="20" t="s">
        <v>1046</v>
      </c>
      <c r="E115" s="35"/>
      <c r="F115" s="35" t="s">
        <v>83</v>
      </c>
      <c r="G115" s="35"/>
      <c r="H115" s="35"/>
      <c r="I115" s="35"/>
      <c r="J115" s="35"/>
      <c r="K115" s="35"/>
      <c r="L115" s="35"/>
      <c r="M115" s="35"/>
      <c r="N115" s="35"/>
      <c r="O115" s="35" t="s">
        <v>1043</v>
      </c>
    </row>
    <row r="116" spans="1:15" ht="15" x14ac:dyDescent="0.2">
      <c r="A116" s="36" t="s">
        <v>12</v>
      </c>
      <c r="B116" s="36" t="s">
        <v>15</v>
      </c>
      <c r="C116" s="35" t="s">
        <v>1045</v>
      </c>
      <c r="D116" s="20" t="s">
        <v>1044</v>
      </c>
      <c r="E116" s="35"/>
      <c r="F116" s="35" t="s">
        <v>83</v>
      </c>
      <c r="G116" s="35"/>
      <c r="H116" s="35"/>
      <c r="I116" s="35"/>
      <c r="J116" s="35"/>
      <c r="K116" s="35"/>
      <c r="L116" s="35"/>
      <c r="M116" s="35"/>
      <c r="N116" s="35"/>
      <c r="O116" s="35" t="s">
        <v>1043</v>
      </c>
    </row>
    <row r="117" spans="1:15" ht="15" x14ac:dyDescent="0.2">
      <c r="A117" s="36" t="s">
        <v>12</v>
      </c>
      <c r="B117" s="36" t="s">
        <v>15</v>
      </c>
      <c r="C117" s="35" t="s">
        <v>1042</v>
      </c>
      <c r="D117" s="20" t="s">
        <v>1041</v>
      </c>
      <c r="E117" s="35"/>
      <c r="F117" s="35" t="s">
        <v>83</v>
      </c>
      <c r="G117" s="35"/>
      <c r="H117" s="35"/>
      <c r="I117" s="35"/>
      <c r="J117" s="35"/>
      <c r="K117" s="35"/>
      <c r="L117" s="35"/>
      <c r="M117" s="35"/>
      <c r="N117" s="35"/>
      <c r="O117" s="35" t="s">
        <v>1034</v>
      </c>
    </row>
    <row r="118" spans="1:15" ht="15" x14ac:dyDescent="0.2">
      <c r="A118" s="36" t="s">
        <v>12</v>
      </c>
      <c r="B118" s="36" t="s">
        <v>15</v>
      </c>
      <c r="C118" s="35" t="s">
        <v>1040</v>
      </c>
      <c r="D118" s="20" t="s">
        <v>1039</v>
      </c>
      <c r="E118" s="35"/>
      <c r="F118" s="35" t="s">
        <v>83</v>
      </c>
      <c r="G118" s="35"/>
      <c r="H118" s="35"/>
      <c r="I118" s="35"/>
      <c r="J118" s="35"/>
      <c r="K118" s="35"/>
      <c r="L118" s="35"/>
      <c r="M118" s="35"/>
      <c r="N118" s="35"/>
      <c r="O118" s="35" t="s">
        <v>1034</v>
      </c>
    </row>
    <row r="119" spans="1:15" ht="15" x14ac:dyDescent="0.2">
      <c r="A119" s="36" t="s">
        <v>12</v>
      </c>
      <c r="B119" s="36" t="s">
        <v>15</v>
      </c>
      <c r="C119" s="35" t="s">
        <v>1038</v>
      </c>
      <c r="D119" s="20" t="s">
        <v>1037</v>
      </c>
      <c r="E119" s="35"/>
      <c r="F119" s="35" t="s">
        <v>83</v>
      </c>
      <c r="G119" s="35"/>
      <c r="H119" s="35"/>
      <c r="I119" s="35"/>
      <c r="J119" s="35"/>
      <c r="K119" s="35"/>
      <c r="L119" s="35"/>
      <c r="M119" s="35"/>
      <c r="N119" s="35"/>
      <c r="O119" s="35" t="s">
        <v>1034</v>
      </c>
    </row>
    <row r="120" spans="1:15" ht="15" x14ac:dyDescent="0.2">
      <c r="A120" s="36" t="s">
        <v>12</v>
      </c>
      <c r="B120" s="36" t="s">
        <v>15</v>
      </c>
      <c r="C120" s="35" t="s">
        <v>1036</v>
      </c>
      <c r="D120" s="20" t="s">
        <v>1035</v>
      </c>
      <c r="E120" s="35"/>
      <c r="F120" s="35" t="s">
        <v>83</v>
      </c>
      <c r="G120" s="35"/>
      <c r="H120" s="35"/>
      <c r="I120" s="35"/>
      <c r="J120" s="35"/>
      <c r="K120" s="35"/>
      <c r="L120" s="35"/>
      <c r="M120" s="35"/>
      <c r="N120" s="35"/>
      <c r="O120" s="35" t="s">
        <v>1034</v>
      </c>
    </row>
    <row r="121" spans="1:15" ht="28.5" x14ac:dyDescent="0.2">
      <c r="A121" s="36" t="s">
        <v>12</v>
      </c>
      <c r="B121" s="36" t="s">
        <v>13</v>
      </c>
      <c r="C121" s="35" t="s">
        <v>1033</v>
      </c>
      <c r="D121" s="20" t="s">
        <v>1032</v>
      </c>
      <c r="E121" s="35"/>
      <c r="F121" s="35" t="s">
        <v>1031</v>
      </c>
      <c r="G121" s="35">
        <v>5</v>
      </c>
      <c r="H121" s="35"/>
      <c r="I121" s="35"/>
      <c r="J121" s="35"/>
      <c r="K121" s="35"/>
      <c r="L121" s="35"/>
      <c r="M121" s="35"/>
      <c r="N121" s="35"/>
      <c r="O121" s="35" t="s">
        <v>1024</v>
      </c>
    </row>
    <row r="122" spans="1:15" ht="28.5" x14ac:dyDescent="0.2">
      <c r="A122" s="36" t="s">
        <v>12</v>
      </c>
      <c r="B122" s="36" t="s">
        <v>15</v>
      </c>
      <c r="C122" s="35" t="s">
        <v>1030</v>
      </c>
      <c r="D122" s="20" t="s">
        <v>1029</v>
      </c>
      <c r="E122" s="35"/>
      <c r="F122" s="35" t="s">
        <v>1025</v>
      </c>
      <c r="G122" s="35">
        <v>5</v>
      </c>
      <c r="H122" s="35">
        <v>5</v>
      </c>
      <c r="I122" s="35"/>
      <c r="J122" s="35">
        <v>0</v>
      </c>
      <c r="K122" s="35"/>
      <c r="L122" s="35"/>
      <c r="M122" s="35"/>
      <c r="N122" s="35"/>
      <c r="O122" s="35" t="s">
        <v>1028</v>
      </c>
    </row>
    <row r="123" spans="1:15" ht="42.75" x14ac:dyDescent="0.2">
      <c r="A123" s="36" t="s">
        <v>12</v>
      </c>
      <c r="B123" s="36" t="s">
        <v>13</v>
      </c>
      <c r="C123" s="35" t="s">
        <v>1027</v>
      </c>
      <c r="D123" s="20" t="s">
        <v>1026</v>
      </c>
      <c r="E123" s="35"/>
      <c r="F123" s="35" t="s">
        <v>1025</v>
      </c>
      <c r="G123" s="35">
        <v>5</v>
      </c>
      <c r="H123" s="35"/>
      <c r="I123" s="35"/>
      <c r="J123" s="35"/>
      <c r="K123" s="35"/>
      <c r="L123" s="35"/>
      <c r="M123" s="35"/>
      <c r="N123" s="35"/>
      <c r="O123" s="35" t="s">
        <v>1024</v>
      </c>
    </row>
    <row r="124" spans="1:15" ht="28.5" x14ac:dyDescent="0.2">
      <c r="A124" s="36" t="s">
        <v>12</v>
      </c>
      <c r="B124" s="36" t="s">
        <v>15</v>
      </c>
      <c r="C124" s="35" t="s">
        <v>1023</v>
      </c>
      <c r="D124" s="20" t="s">
        <v>1019</v>
      </c>
      <c r="E124" s="35"/>
      <c r="F124" s="35" t="s">
        <v>1022</v>
      </c>
      <c r="G124" s="35">
        <v>8</v>
      </c>
      <c r="H124" s="35"/>
      <c r="I124" s="35"/>
      <c r="J124" s="35"/>
      <c r="K124" s="35"/>
      <c r="L124" s="35"/>
      <c r="M124" s="35"/>
      <c r="N124" s="35"/>
      <c r="O124" s="35" t="s">
        <v>1020</v>
      </c>
    </row>
    <row r="125" spans="1:15" ht="28.5" x14ac:dyDescent="0.2">
      <c r="A125" s="36" t="s">
        <v>12</v>
      </c>
      <c r="B125" s="36" t="s">
        <v>15</v>
      </c>
      <c r="C125" s="35" t="s">
        <v>1021</v>
      </c>
      <c r="D125" s="20" t="s">
        <v>1020</v>
      </c>
      <c r="E125" s="35"/>
      <c r="F125" s="35" t="s">
        <v>1016</v>
      </c>
      <c r="G125" s="35">
        <v>5</v>
      </c>
      <c r="H125" s="35">
        <v>5</v>
      </c>
      <c r="I125" s="35"/>
      <c r="J125" s="35"/>
      <c r="K125" s="35"/>
      <c r="L125" s="35"/>
      <c r="M125" s="35"/>
      <c r="N125" s="35"/>
      <c r="O125" s="35" t="s">
        <v>1019</v>
      </c>
    </row>
    <row r="126" spans="1:15" ht="28.5" x14ac:dyDescent="0.2">
      <c r="A126" s="36" t="s">
        <v>12</v>
      </c>
      <c r="B126" s="36" t="s">
        <v>15</v>
      </c>
      <c r="C126" s="35" t="s">
        <v>1018</v>
      </c>
      <c r="D126" s="20" t="s">
        <v>1017</v>
      </c>
      <c r="E126" s="35"/>
      <c r="F126" s="35" t="s">
        <v>1016</v>
      </c>
      <c r="G126" s="35">
        <v>5</v>
      </c>
      <c r="H126" s="35">
        <v>13</v>
      </c>
      <c r="I126" s="35"/>
      <c r="J126" s="35"/>
      <c r="K126" s="35"/>
      <c r="L126" s="35"/>
      <c r="M126" s="35"/>
      <c r="N126" s="35"/>
      <c r="O126" s="35"/>
    </row>
    <row r="127" spans="1:15" ht="15" x14ac:dyDescent="0.2">
      <c r="A127" s="36" t="s">
        <v>12</v>
      </c>
      <c r="B127" s="36" t="s">
        <v>13</v>
      </c>
      <c r="C127" s="35" t="s">
        <v>1015</v>
      </c>
      <c r="D127" s="20" t="s">
        <v>1014</v>
      </c>
      <c r="E127" s="35"/>
      <c r="F127" s="35" t="s">
        <v>291</v>
      </c>
      <c r="G127" s="35"/>
      <c r="H127" s="35"/>
      <c r="I127" s="35"/>
      <c r="J127" s="35"/>
      <c r="K127" s="35"/>
      <c r="L127" s="35"/>
      <c r="M127" s="35"/>
      <c r="N127" s="35"/>
      <c r="O127" s="35" t="s">
        <v>1011</v>
      </c>
    </row>
    <row r="128" spans="1:15" ht="15" x14ac:dyDescent="0.2">
      <c r="A128" s="36" t="s">
        <v>12</v>
      </c>
      <c r="B128" s="36" t="s">
        <v>14</v>
      </c>
      <c r="C128" s="35" t="s">
        <v>1013</v>
      </c>
      <c r="D128" s="20" t="s">
        <v>1012</v>
      </c>
      <c r="E128" s="35"/>
      <c r="F128" s="35" t="s">
        <v>291</v>
      </c>
      <c r="G128" s="35"/>
      <c r="H128" s="35"/>
      <c r="I128" s="35"/>
      <c r="J128" s="35"/>
      <c r="K128" s="35"/>
      <c r="L128" s="35"/>
      <c r="M128" s="35"/>
      <c r="N128" s="35"/>
      <c r="O128" s="35" t="s">
        <v>1011</v>
      </c>
    </row>
    <row r="129" spans="1:15" ht="28.5" x14ac:dyDescent="0.2">
      <c r="A129" s="36" t="s">
        <v>12</v>
      </c>
      <c r="B129" s="36" t="s">
        <v>13</v>
      </c>
      <c r="C129" s="35" t="s">
        <v>1010</v>
      </c>
      <c r="D129" s="20" t="s">
        <v>1009</v>
      </c>
      <c r="E129" s="35"/>
      <c r="F129" s="35" t="s">
        <v>291</v>
      </c>
      <c r="G129" s="35"/>
      <c r="H129" s="35"/>
      <c r="I129" s="35"/>
      <c r="J129" s="35"/>
      <c r="K129" s="35"/>
      <c r="L129" s="35"/>
      <c r="M129" s="35"/>
      <c r="N129" s="35"/>
      <c r="O129" s="35" t="s">
        <v>299</v>
      </c>
    </row>
    <row r="130" spans="1:15" ht="28.5" x14ac:dyDescent="0.2">
      <c r="A130" s="36" t="s">
        <v>12</v>
      </c>
      <c r="B130" s="36" t="s">
        <v>13</v>
      </c>
      <c r="C130" s="35" t="s">
        <v>1008</v>
      </c>
      <c r="D130" s="20" t="s">
        <v>1007</v>
      </c>
      <c r="E130" s="35"/>
      <c r="F130" s="35" t="s">
        <v>291</v>
      </c>
      <c r="G130" s="35"/>
      <c r="H130" s="35"/>
      <c r="I130" s="35"/>
      <c r="J130" s="35"/>
      <c r="K130" s="35"/>
      <c r="L130" s="35"/>
      <c r="M130" s="35"/>
      <c r="N130" s="35"/>
      <c r="O130" s="35"/>
    </row>
    <row r="131" spans="1:15" ht="28.5" x14ac:dyDescent="0.2">
      <c r="A131" s="36" t="s">
        <v>12</v>
      </c>
      <c r="B131" s="36" t="s">
        <v>14</v>
      </c>
      <c r="C131" s="35" t="s">
        <v>1006</v>
      </c>
      <c r="D131" s="20" t="s">
        <v>1005</v>
      </c>
      <c r="E131" s="35"/>
      <c r="F131" s="35" t="s">
        <v>291</v>
      </c>
      <c r="G131" s="35">
        <v>5</v>
      </c>
      <c r="H131" s="35"/>
      <c r="I131" s="35"/>
      <c r="J131" s="35"/>
      <c r="K131" s="35"/>
      <c r="L131" s="35"/>
      <c r="M131" s="35"/>
      <c r="N131" s="35"/>
      <c r="O131" s="35" t="s">
        <v>299</v>
      </c>
    </row>
    <row r="132" spans="1:15" ht="28.5" x14ac:dyDescent="0.2">
      <c r="A132" s="36" t="s">
        <v>12</v>
      </c>
      <c r="B132" s="36" t="s">
        <v>13</v>
      </c>
      <c r="C132" s="35" t="s">
        <v>1004</v>
      </c>
      <c r="D132" s="20" t="s">
        <v>1003</v>
      </c>
      <c r="E132" s="35"/>
      <c r="F132" s="35" t="s">
        <v>219</v>
      </c>
      <c r="G132" s="35"/>
      <c r="H132" s="35"/>
      <c r="I132" s="35"/>
      <c r="J132" s="35"/>
      <c r="K132" s="35"/>
      <c r="L132" s="35"/>
      <c r="M132" s="35"/>
      <c r="N132" s="35"/>
      <c r="O132" s="35"/>
    </row>
    <row r="133" spans="1:15" ht="28.5" x14ac:dyDescent="0.2">
      <c r="A133" s="36" t="s">
        <v>12</v>
      </c>
      <c r="B133" s="36" t="s">
        <v>16</v>
      </c>
      <c r="C133" s="35" t="s">
        <v>230</v>
      </c>
      <c r="D133" s="20" t="s">
        <v>231</v>
      </c>
      <c r="E133" s="35" t="s">
        <v>70</v>
      </c>
      <c r="F133" s="35" t="s">
        <v>219</v>
      </c>
      <c r="G133" s="35">
        <v>8</v>
      </c>
      <c r="H133" s="35"/>
      <c r="I133" s="35"/>
      <c r="J133" s="35"/>
      <c r="K133" s="35"/>
      <c r="L133" s="35"/>
      <c r="M133" s="35"/>
      <c r="N133" s="35"/>
      <c r="O133" s="35" t="s">
        <v>218</v>
      </c>
    </row>
    <row r="134" spans="1:15" ht="28.5" x14ac:dyDescent="0.2">
      <c r="A134" s="36" t="s">
        <v>12</v>
      </c>
      <c r="B134" s="36" t="s">
        <v>13</v>
      </c>
      <c r="C134" s="35" t="s">
        <v>232</v>
      </c>
      <c r="D134" s="20" t="s">
        <v>233</v>
      </c>
      <c r="E134" s="35" t="s">
        <v>70</v>
      </c>
      <c r="F134" s="35" t="s">
        <v>219</v>
      </c>
      <c r="G134" s="35">
        <v>13</v>
      </c>
      <c r="H134" s="35"/>
      <c r="I134" s="35"/>
      <c r="J134" s="35"/>
      <c r="K134" s="35"/>
      <c r="L134" s="35"/>
      <c r="M134" s="35"/>
      <c r="N134" s="35"/>
      <c r="O134" s="35" t="s">
        <v>234</v>
      </c>
    </row>
    <row r="135" spans="1:15" ht="15" x14ac:dyDescent="0.2">
      <c r="A135" s="36" t="s">
        <v>12</v>
      </c>
      <c r="B135" s="36" t="s">
        <v>15</v>
      </c>
      <c r="C135" s="35" t="s">
        <v>1002</v>
      </c>
      <c r="D135" s="20" t="s">
        <v>1001</v>
      </c>
      <c r="E135" s="35"/>
      <c r="F135" s="35" t="s">
        <v>83</v>
      </c>
      <c r="G135" s="35">
        <v>21</v>
      </c>
      <c r="H135" s="35">
        <v>21</v>
      </c>
      <c r="I135" s="35"/>
      <c r="J135" s="35"/>
      <c r="K135" s="35"/>
      <c r="L135" s="35"/>
      <c r="M135" s="35"/>
      <c r="N135" s="35"/>
      <c r="O135" s="35" t="s">
        <v>1000</v>
      </c>
    </row>
    <row r="136" spans="1:15" ht="42.75" x14ac:dyDescent="0.2">
      <c r="A136" s="36" t="s">
        <v>12</v>
      </c>
      <c r="B136" s="36" t="s">
        <v>106</v>
      </c>
      <c r="C136" s="35" t="s">
        <v>999</v>
      </c>
      <c r="D136" s="20" t="s">
        <v>998</v>
      </c>
      <c r="E136" s="35"/>
      <c r="F136" s="35" t="s">
        <v>83</v>
      </c>
      <c r="G136" s="35">
        <v>21</v>
      </c>
      <c r="H136" s="35"/>
      <c r="I136" s="35"/>
      <c r="J136" s="35"/>
      <c r="K136" s="35"/>
      <c r="L136" s="35"/>
      <c r="M136" s="35"/>
      <c r="N136" s="35"/>
      <c r="O136" s="35" t="s">
        <v>234</v>
      </c>
    </row>
    <row r="137" spans="1:15" ht="28.5" x14ac:dyDescent="0.2">
      <c r="A137" s="36" t="s">
        <v>12</v>
      </c>
      <c r="B137" s="36" t="s">
        <v>13</v>
      </c>
      <c r="C137" s="35" t="s">
        <v>997</v>
      </c>
      <c r="D137" s="20" t="s">
        <v>996</v>
      </c>
      <c r="E137" s="35"/>
      <c r="F137" s="35" t="s">
        <v>219</v>
      </c>
      <c r="G137" s="35">
        <v>5</v>
      </c>
      <c r="H137" s="35"/>
      <c r="I137" s="35"/>
      <c r="J137" s="35"/>
      <c r="K137" s="35"/>
      <c r="L137" s="35"/>
      <c r="M137" s="35"/>
      <c r="N137" s="35"/>
      <c r="O137" s="35" t="s">
        <v>296</v>
      </c>
    </row>
    <row r="138" spans="1:15" ht="15" x14ac:dyDescent="0.2">
      <c r="A138" s="36" t="s">
        <v>12</v>
      </c>
      <c r="B138" s="36" t="s">
        <v>16</v>
      </c>
      <c r="C138" s="35" t="s">
        <v>995</v>
      </c>
      <c r="D138" s="20" t="s">
        <v>994</v>
      </c>
      <c r="E138" s="35"/>
      <c r="F138" s="35" t="s">
        <v>219</v>
      </c>
      <c r="G138" s="35">
        <v>3</v>
      </c>
      <c r="H138" s="35"/>
      <c r="I138" s="35"/>
      <c r="J138" s="35"/>
      <c r="K138" s="35"/>
      <c r="L138" s="35"/>
      <c r="M138" s="35"/>
      <c r="N138" s="35"/>
      <c r="O138" s="35" t="s">
        <v>302</v>
      </c>
    </row>
    <row r="139" spans="1:15" ht="15" x14ac:dyDescent="0.2">
      <c r="A139" s="36" t="s">
        <v>12</v>
      </c>
      <c r="B139" s="36" t="s">
        <v>14</v>
      </c>
      <c r="C139" s="35" t="s">
        <v>993</v>
      </c>
      <c r="D139" s="20" t="s">
        <v>992</v>
      </c>
      <c r="E139" s="35"/>
      <c r="F139" s="35" t="s">
        <v>219</v>
      </c>
      <c r="G139" s="35">
        <v>15</v>
      </c>
      <c r="H139" s="35"/>
      <c r="I139" s="35"/>
      <c r="J139" s="35"/>
      <c r="K139" s="35"/>
      <c r="L139" s="35"/>
      <c r="M139" s="35"/>
      <c r="N139" s="35"/>
      <c r="O139" s="35" t="s">
        <v>302</v>
      </c>
    </row>
    <row r="140" spans="1:15" ht="28.5" x14ac:dyDescent="0.2">
      <c r="A140" s="36" t="s">
        <v>12</v>
      </c>
      <c r="B140" s="36" t="s">
        <v>16</v>
      </c>
      <c r="C140" s="35" t="s">
        <v>991</v>
      </c>
      <c r="D140" s="20" t="s">
        <v>990</v>
      </c>
      <c r="E140" s="35"/>
      <c r="F140" s="35" t="s">
        <v>219</v>
      </c>
      <c r="G140" s="35">
        <v>21</v>
      </c>
      <c r="H140" s="35"/>
      <c r="I140" s="35"/>
      <c r="J140" s="35"/>
      <c r="K140" s="35"/>
      <c r="L140" s="35"/>
      <c r="M140" s="35"/>
      <c r="N140" s="35"/>
      <c r="O140" s="35" t="s">
        <v>989</v>
      </c>
    </row>
    <row r="141" spans="1:15" ht="28.5" x14ac:dyDescent="0.2">
      <c r="A141" s="36" t="s">
        <v>12</v>
      </c>
      <c r="B141" s="36" t="s">
        <v>14</v>
      </c>
      <c r="C141" s="35" t="s">
        <v>988</v>
      </c>
      <c r="D141" s="20" t="s">
        <v>987</v>
      </c>
      <c r="E141" s="35"/>
      <c r="F141" s="35" t="s">
        <v>219</v>
      </c>
      <c r="G141" s="35">
        <v>5</v>
      </c>
      <c r="H141" s="35"/>
      <c r="I141" s="35">
        <v>115200</v>
      </c>
      <c r="J141" s="35">
        <v>115200</v>
      </c>
      <c r="K141" s="35"/>
      <c r="L141" s="35"/>
      <c r="M141" s="35"/>
      <c r="N141" s="35"/>
      <c r="O141" s="35" t="s">
        <v>302</v>
      </c>
    </row>
    <row r="142" spans="1:15" ht="28.5" x14ac:dyDescent="0.2">
      <c r="A142" s="36" t="s">
        <v>12</v>
      </c>
      <c r="B142" s="36" t="s">
        <v>15</v>
      </c>
      <c r="C142" s="35" t="s">
        <v>986</v>
      </c>
      <c r="D142" s="20" t="s">
        <v>985</v>
      </c>
      <c r="E142" s="35"/>
      <c r="F142" s="35" t="s">
        <v>942</v>
      </c>
      <c r="G142" s="35">
        <v>2</v>
      </c>
      <c r="H142" s="35"/>
      <c r="I142" s="35">
        <v>0</v>
      </c>
      <c r="J142" s="35">
        <v>0</v>
      </c>
      <c r="K142" s="35"/>
      <c r="L142" s="35"/>
      <c r="M142" s="35"/>
      <c r="N142" s="35"/>
      <c r="O142" s="35"/>
    </row>
    <row r="143" spans="1:15" ht="15" x14ac:dyDescent="0.2">
      <c r="A143" s="36" t="s">
        <v>12</v>
      </c>
      <c r="B143" s="36" t="s">
        <v>17</v>
      </c>
      <c r="C143" s="35" t="s">
        <v>984</v>
      </c>
      <c r="D143" s="20" t="s">
        <v>983</v>
      </c>
      <c r="E143" s="35"/>
      <c r="F143" s="35" t="s">
        <v>942</v>
      </c>
      <c r="G143" s="35">
        <v>13</v>
      </c>
      <c r="H143" s="35"/>
      <c r="I143" s="35"/>
      <c r="J143" s="35"/>
      <c r="K143" s="35"/>
      <c r="L143" s="35"/>
      <c r="M143" s="35"/>
      <c r="N143" s="35"/>
      <c r="O143" s="35" t="s">
        <v>302</v>
      </c>
    </row>
    <row r="144" spans="1:15" ht="28.5" x14ac:dyDescent="0.2">
      <c r="A144" s="36" t="s">
        <v>12</v>
      </c>
      <c r="B144" s="36" t="s">
        <v>15</v>
      </c>
      <c r="C144" s="35" t="s">
        <v>982</v>
      </c>
      <c r="D144" s="20" t="s">
        <v>981</v>
      </c>
      <c r="E144" s="35"/>
      <c r="F144" s="35" t="s">
        <v>942</v>
      </c>
      <c r="G144" s="35">
        <v>5</v>
      </c>
      <c r="H144" s="35">
        <v>5</v>
      </c>
      <c r="I144" s="35"/>
      <c r="J144" s="35"/>
      <c r="K144" s="35"/>
      <c r="L144" s="35"/>
      <c r="M144" s="35"/>
      <c r="N144" s="35"/>
      <c r="O144" s="35" t="s">
        <v>385</v>
      </c>
    </row>
    <row r="145" spans="1:15" ht="28.5" x14ac:dyDescent="0.2">
      <c r="A145" s="36" t="s">
        <v>12</v>
      </c>
      <c r="B145" s="36" t="s">
        <v>15</v>
      </c>
      <c r="C145" s="35" t="s">
        <v>980</v>
      </c>
      <c r="D145" s="20" t="s">
        <v>979</v>
      </c>
      <c r="E145" s="35"/>
      <c r="F145" s="35" t="s">
        <v>942</v>
      </c>
      <c r="G145" s="35">
        <v>13</v>
      </c>
      <c r="H145" s="35">
        <v>13</v>
      </c>
      <c r="I145" s="35"/>
      <c r="J145" s="35"/>
      <c r="K145" s="35"/>
      <c r="L145" s="35"/>
      <c r="M145" s="35"/>
      <c r="N145" s="35"/>
      <c r="O145" s="35" t="s">
        <v>296</v>
      </c>
    </row>
    <row r="146" spans="1:15" ht="28.5" x14ac:dyDescent="0.2">
      <c r="A146" s="36" t="s">
        <v>12</v>
      </c>
      <c r="B146" s="36" t="s">
        <v>13</v>
      </c>
      <c r="C146" s="35" t="s">
        <v>531</v>
      </c>
      <c r="D146" s="20" t="s">
        <v>530</v>
      </c>
      <c r="E146" s="35" t="s">
        <v>442</v>
      </c>
      <c r="F146" s="35" t="s">
        <v>277</v>
      </c>
      <c r="G146" s="35"/>
      <c r="H146" s="35"/>
      <c r="I146" s="35">
        <v>43200</v>
      </c>
      <c r="J146" s="35">
        <v>43200</v>
      </c>
      <c r="K146" s="35"/>
      <c r="L146" s="35"/>
      <c r="M146" s="35"/>
      <c r="N146" s="35"/>
      <c r="O146" s="35"/>
    </row>
    <row r="147" spans="1:15" ht="15" x14ac:dyDescent="0.2">
      <c r="A147" s="36" t="s">
        <v>12</v>
      </c>
      <c r="B147" s="36" t="s">
        <v>13</v>
      </c>
      <c r="C147" s="35" t="s">
        <v>381</v>
      </c>
      <c r="D147" s="20" t="s">
        <v>382</v>
      </c>
      <c r="E147" s="35" t="s">
        <v>70</v>
      </c>
      <c r="F147" s="35"/>
      <c r="G147" s="35"/>
      <c r="H147" s="35"/>
      <c r="I147" s="35"/>
      <c r="J147" s="35"/>
      <c r="K147" s="35"/>
      <c r="L147" s="35"/>
      <c r="M147" s="35"/>
      <c r="N147" s="35"/>
      <c r="O147" s="35" t="s">
        <v>383</v>
      </c>
    </row>
    <row r="148" spans="1:15" ht="28.5" x14ac:dyDescent="0.2">
      <c r="A148" s="36" t="s">
        <v>12</v>
      </c>
      <c r="B148" s="36" t="s">
        <v>13</v>
      </c>
      <c r="C148" s="35" t="s">
        <v>533</v>
      </c>
      <c r="D148" s="20" t="s">
        <v>532</v>
      </c>
      <c r="E148" s="35" t="s">
        <v>442</v>
      </c>
      <c r="F148" s="35"/>
      <c r="G148" s="35"/>
      <c r="H148" s="35"/>
      <c r="I148" s="35"/>
      <c r="J148" s="35"/>
      <c r="K148" s="35"/>
      <c r="L148" s="35"/>
      <c r="M148" s="35"/>
      <c r="N148" s="35"/>
      <c r="O148" s="35" t="s">
        <v>310</v>
      </c>
    </row>
    <row r="149" spans="1:15" ht="28.5" x14ac:dyDescent="0.2">
      <c r="A149" s="36" t="s">
        <v>12</v>
      </c>
      <c r="B149" s="36" t="s">
        <v>16</v>
      </c>
      <c r="C149" s="35" t="s">
        <v>978</v>
      </c>
      <c r="D149" s="20" t="s">
        <v>977</v>
      </c>
      <c r="E149" s="35"/>
      <c r="F149" s="35" t="s">
        <v>71</v>
      </c>
      <c r="G149" s="35">
        <v>13</v>
      </c>
      <c r="H149" s="35"/>
      <c r="I149" s="35">
        <v>201600</v>
      </c>
      <c r="J149" s="35">
        <v>201600</v>
      </c>
      <c r="K149" s="35"/>
      <c r="L149" s="35"/>
      <c r="M149" s="35"/>
      <c r="N149" s="35"/>
      <c r="O149" s="35" t="s">
        <v>299</v>
      </c>
    </row>
    <row r="150" spans="1:15" ht="28.5" x14ac:dyDescent="0.2">
      <c r="A150" s="36" t="s">
        <v>12</v>
      </c>
      <c r="B150" s="36" t="s">
        <v>14</v>
      </c>
      <c r="C150" s="35" t="s">
        <v>976</v>
      </c>
      <c r="D150" s="20" t="s">
        <v>975</v>
      </c>
      <c r="E150" s="35"/>
      <c r="F150" s="35" t="s">
        <v>219</v>
      </c>
      <c r="G150" s="35"/>
      <c r="H150" s="35"/>
      <c r="I150" s="35">
        <v>145560</v>
      </c>
      <c r="J150" s="35">
        <v>145560</v>
      </c>
      <c r="K150" s="35"/>
      <c r="L150" s="35"/>
      <c r="M150" s="35"/>
      <c r="N150" s="35"/>
      <c r="O150" s="35" t="s">
        <v>310</v>
      </c>
    </row>
    <row r="151" spans="1:15" ht="15" x14ac:dyDescent="0.2">
      <c r="A151" s="36" t="s">
        <v>12</v>
      </c>
      <c r="B151" s="36" t="s">
        <v>106</v>
      </c>
      <c r="C151" s="35" t="s">
        <v>251</v>
      </c>
      <c r="D151" s="20" t="s">
        <v>252</v>
      </c>
      <c r="E151" s="35" t="s">
        <v>70</v>
      </c>
      <c r="F151" s="35" t="s">
        <v>249</v>
      </c>
      <c r="G151" s="35">
        <v>5</v>
      </c>
      <c r="H151" s="35"/>
      <c r="I151" s="35">
        <v>4500</v>
      </c>
      <c r="J151" s="35">
        <v>0</v>
      </c>
      <c r="K151" s="35"/>
      <c r="L151" s="35"/>
      <c r="M151" s="35"/>
      <c r="N151" s="35"/>
      <c r="O151" s="35" t="s">
        <v>253</v>
      </c>
    </row>
    <row r="152" spans="1:15" ht="15" x14ac:dyDescent="0.2">
      <c r="A152" s="36" t="s">
        <v>12</v>
      </c>
      <c r="B152" s="36" t="s">
        <v>16</v>
      </c>
      <c r="C152" s="35" t="s">
        <v>263</v>
      </c>
      <c r="D152" s="20" t="s">
        <v>264</v>
      </c>
      <c r="E152" s="35" t="s">
        <v>70</v>
      </c>
      <c r="F152" s="35" t="s">
        <v>249</v>
      </c>
      <c r="G152" s="35">
        <v>5</v>
      </c>
      <c r="H152" s="35"/>
      <c r="I152" s="35">
        <v>4500</v>
      </c>
      <c r="J152" s="35">
        <v>0</v>
      </c>
      <c r="K152" s="35"/>
      <c r="L152" s="35"/>
      <c r="M152" s="35"/>
      <c r="N152" s="35"/>
      <c r="O152" s="35" t="s">
        <v>253</v>
      </c>
    </row>
    <row r="153" spans="1:15" ht="15" x14ac:dyDescent="0.2">
      <c r="A153" s="36" t="s">
        <v>12</v>
      </c>
      <c r="B153" s="36" t="s">
        <v>16</v>
      </c>
      <c r="C153" s="35" t="s">
        <v>261</v>
      </c>
      <c r="D153" s="20" t="s">
        <v>262</v>
      </c>
      <c r="E153" s="35" t="s">
        <v>70</v>
      </c>
      <c r="F153" s="35" t="s">
        <v>249</v>
      </c>
      <c r="G153" s="35">
        <v>5</v>
      </c>
      <c r="H153" s="35"/>
      <c r="I153" s="35">
        <v>4500</v>
      </c>
      <c r="J153" s="35">
        <v>0</v>
      </c>
      <c r="K153" s="35"/>
      <c r="L153" s="35"/>
      <c r="M153" s="35"/>
      <c r="N153" s="35"/>
      <c r="O153" s="35" t="s">
        <v>253</v>
      </c>
    </row>
    <row r="154" spans="1:15" ht="15" x14ac:dyDescent="0.2">
      <c r="A154" s="36" t="s">
        <v>12</v>
      </c>
      <c r="B154" s="36" t="s">
        <v>106</v>
      </c>
      <c r="C154" s="35" t="s">
        <v>256</v>
      </c>
      <c r="D154" s="20" t="s">
        <v>257</v>
      </c>
      <c r="E154" s="35" t="s">
        <v>70</v>
      </c>
      <c r="F154" s="35" t="s">
        <v>249</v>
      </c>
      <c r="G154" s="35">
        <v>5</v>
      </c>
      <c r="H154" s="35"/>
      <c r="I154" s="35">
        <v>4500</v>
      </c>
      <c r="J154" s="35">
        <v>0</v>
      </c>
      <c r="K154" s="35"/>
      <c r="L154" s="35"/>
      <c r="M154" s="35"/>
      <c r="N154" s="35"/>
      <c r="O154" s="35" t="s">
        <v>253</v>
      </c>
    </row>
    <row r="155" spans="1:15" ht="15" x14ac:dyDescent="0.2">
      <c r="A155" s="36" t="s">
        <v>12</v>
      </c>
      <c r="B155" s="36" t="s">
        <v>106</v>
      </c>
      <c r="C155" s="35" t="s">
        <v>254</v>
      </c>
      <c r="D155" s="20" t="s">
        <v>255</v>
      </c>
      <c r="E155" s="35" t="s">
        <v>70</v>
      </c>
      <c r="F155" s="35" t="s">
        <v>249</v>
      </c>
      <c r="G155" s="35">
        <v>5</v>
      </c>
      <c r="H155" s="35"/>
      <c r="I155" s="35">
        <v>4500</v>
      </c>
      <c r="J155" s="35">
        <v>0</v>
      </c>
      <c r="K155" s="35"/>
      <c r="L155" s="35"/>
      <c r="M155" s="35"/>
      <c r="N155" s="35"/>
      <c r="O155" s="35" t="s">
        <v>253</v>
      </c>
    </row>
    <row r="156" spans="1:15" ht="42.75" x14ac:dyDescent="0.2">
      <c r="A156" s="36" t="s">
        <v>12</v>
      </c>
      <c r="B156" s="36" t="s">
        <v>16</v>
      </c>
      <c r="C156" s="35" t="s">
        <v>258</v>
      </c>
      <c r="D156" s="20" t="s">
        <v>259</v>
      </c>
      <c r="E156" s="35" t="s">
        <v>70</v>
      </c>
      <c r="F156" s="35" t="s">
        <v>249</v>
      </c>
      <c r="G156" s="35">
        <v>5</v>
      </c>
      <c r="H156" s="35"/>
      <c r="I156" s="35">
        <v>4500</v>
      </c>
      <c r="J156" s="35">
        <v>0</v>
      </c>
      <c r="K156" s="35"/>
      <c r="L156" s="35"/>
      <c r="M156" s="35"/>
      <c r="N156" s="35"/>
      <c r="O156" s="35" t="s">
        <v>260</v>
      </c>
    </row>
    <row r="157" spans="1:15" ht="28.5" x14ac:dyDescent="0.2">
      <c r="A157" s="36" t="s">
        <v>12</v>
      </c>
      <c r="B157" s="36" t="s">
        <v>13</v>
      </c>
      <c r="C157" s="35" t="s">
        <v>247</v>
      </c>
      <c r="D157" s="20" t="s">
        <v>248</v>
      </c>
      <c r="E157" s="35" t="s">
        <v>70</v>
      </c>
      <c r="F157" s="35" t="s">
        <v>249</v>
      </c>
      <c r="G157" s="35">
        <v>8</v>
      </c>
      <c r="H157" s="35"/>
      <c r="I157" s="35"/>
      <c r="J157" s="35"/>
      <c r="K157" s="35"/>
      <c r="L157" s="35"/>
      <c r="M157" s="35"/>
      <c r="N157" s="35"/>
      <c r="O157" s="35" t="s">
        <v>250</v>
      </c>
    </row>
    <row r="158" spans="1:15" ht="15" x14ac:dyDescent="0.2">
      <c r="A158" s="36" t="s">
        <v>12</v>
      </c>
      <c r="B158" s="36" t="s">
        <v>15</v>
      </c>
      <c r="C158" s="35" t="s">
        <v>77</v>
      </c>
      <c r="D158" s="20" t="s">
        <v>78</v>
      </c>
      <c r="E158" s="35" t="s">
        <v>70</v>
      </c>
      <c r="F158" s="35" t="s">
        <v>75</v>
      </c>
      <c r="G158" s="35">
        <v>0</v>
      </c>
      <c r="H158" s="35"/>
      <c r="I158" s="35">
        <v>7200</v>
      </c>
      <c r="J158" s="35">
        <v>7200</v>
      </c>
      <c r="K158" s="35"/>
      <c r="L158" s="35"/>
      <c r="M158" s="35"/>
      <c r="N158" s="35"/>
      <c r="O158" s="35" t="s">
        <v>76</v>
      </c>
    </row>
    <row r="159" spans="1:15" ht="15" x14ac:dyDescent="0.2">
      <c r="A159" s="36" t="s">
        <v>12</v>
      </c>
      <c r="B159" s="36" t="s">
        <v>15</v>
      </c>
      <c r="C159" s="35" t="s">
        <v>79</v>
      </c>
      <c r="D159" s="20" t="s">
        <v>80</v>
      </c>
      <c r="E159" s="35" t="s">
        <v>70</v>
      </c>
      <c r="F159" s="35" t="s">
        <v>75</v>
      </c>
      <c r="G159" s="35">
        <v>0</v>
      </c>
      <c r="H159" s="35"/>
      <c r="I159" s="35"/>
      <c r="J159" s="35"/>
      <c r="K159" s="35"/>
      <c r="L159" s="35"/>
      <c r="M159" s="35"/>
      <c r="N159" s="35"/>
      <c r="O159" s="35" t="s">
        <v>76</v>
      </c>
    </row>
    <row r="160" spans="1:15" ht="28.5" x14ac:dyDescent="0.2">
      <c r="A160" s="36" t="s">
        <v>12</v>
      </c>
      <c r="B160" s="36" t="s">
        <v>15</v>
      </c>
      <c r="C160" s="35" t="s">
        <v>73</v>
      </c>
      <c r="D160" s="20" t="s">
        <v>74</v>
      </c>
      <c r="E160" s="35" t="s">
        <v>70</v>
      </c>
      <c r="F160" s="35" t="s">
        <v>75</v>
      </c>
      <c r="G160" s="35">
        <v>0</v>
      </c>
      <c r="H160" s="35"/>
      <c r="I160" s="35"/>
      <c r="J160" s="35"/>
      <c r="K160" s="35"/>
      <c r="L160" s="35"/>
      <c r="M160" s="35"/>
      <c r="N160" s="35"/>
      <c r="O160" s="35" t="s">
        <v>76</v>
      </c>
    </row>
    <row r="161" spans="1:15" ht="28.5" x14ac:dyDescent="0.2">
      <c r="A161" s="36" t="s">
        <v>12</v>
      </c>
      <c r="B161" s="36" t="s">
        <v>14</v>
      </c>
      <c r="C161" s="35" t="s">
        <v>974</v>
      </c>
      <c r="D161" s="20" t="s">
        <v>973</v>
      </c>
      <c r="E161" s="35"/>
      <c r="F161" s="35" t="s">
        <v>291</v>
      </c>
      <c r="G161" s="35"/>
      <c r="H161" s="35"/>
      <c r="I161" s="35"/>
      <c r="J161" s="35"/>
      <c r="K161" s="35"/>
      <c r="L161" s="35"/>
      <c r="M161" s="35"/>
      <c r="N161" s="35"/>
      <c r="O161" s="35"/>
    </row>
    <row r="162" spans="1:15" ht="28.5" x14ac:dyDescent="0.2">
      <c r="A162" s="36" t="s">
        <v>12</v>
      </c>
      <c r="B162" s="36" t="s">
        <v>13</v>
      </c>
      <c r="C162" s="35" t="s">
        <v>972</v>
      </c>
      <c r="D162" s="20" t="s">
        <v>971</v>
      </c>
      <c r="E162" s="35"/>
      <c r="F162" s="35" t="s">
        <v>291</v>
      </c>
      <c r="G162" s="35">
        <v>5</v>
      </c>
      <c r="H162" s="35"/>
      <c r="I162" s="35"/>
      <c r="J162" s="35"/>
      <c r="K162" s="35"/>
      <c r="L162" s="35"/>
      <c r="M162" s="35"/>
      <c r="N162" s="35"/>
      <c r="O162" s="35" t="s">
        <v>294</v>
      </c>
    </row>
    <row r="163" spans="1:15" ht="15" x14ac:dyDescent="0.2">
      <c r="A163" s="36" t="s">
        <v>12</v>
      </c>
      <c r="B163" s="36" t="s">
        <v>13</v>
      </c>
      <c r="C163" s="35" t="s">
        <v>970</v>
      </c>
      <c r="D163" s="20" t="s">
        <v>969</v>
      </c>
      <c r="E163" s="35"/>
      <c r="F163" s="35" t="s">
        <v>291</v>
      </c>
      <c r="G163" s="35">
        <v>5</v>
      </c>
      <c r="H163" s="35"/>
      <c r="I163" s="35"/>
      <c r="J163" s="35"/>
      <c r="K163" s="35"/>
      <c r="L163" s="35"/>
      <c r="M163" s="35"/>
      <c r="N163" s="35"/>
      <c r="O163" s="35" t="s">
        <v>299</v>
      </c>
    </row>
    <row r="164" spans="1:15" ht="15" x14ac:dyDescent="0.2">
      <c r="A164" s="36" t="s">
        <v>12</v>
      </c>
      <c r="B164" s="36" t="s">
        <v>16</v>
      </c>
      <c r="C164" s="35" t="s">
        <v>968</v>
      </c>
      <c r="D164" s="20" t="s">
        <v>967</v>
      </c>
      <c r="E164" s="35"/>
      <c r="F164" s="35" t="s">
        <v>219</v>
      </c>
      <c r="G164" s="35"/>
      <c r="H164" s="35"/>
      <c r="I164" s="35">
        <v>14400</v>
      </c>
      <c r="J164" s="35">
        <v>14400</v>
      </c>
      <c r="K164" s="35"/>
      <c r="L164" s="35"/>
      <c r="M164" s="35"/>
      <c r="N164" s="35"/>
      <c r="O164" s="35" t="s">
        <v>218</v>
      </c>
    </row>
    <row r="165" spans="1:15" ht="28.5" x14ac:dyDescent="0.2">
      <c r="A165" s="36" t="s">
        <v>12</v>
      </c>
      <c r="B165" s="36" t="s">
        <v>13</v>
      </c>
      <c r="C165" s="35" t="s">
        <v>966</v>
      </c>
      <c r="D165" s="20" t="s">
        <v>965</v>
      </c>
      <c r="E165" s="35"/>
      <c r="F165" s="35" t="s">
        <v>291</v>
      </c>
      <c r="G165" s="35">
        <v>5</v>
      </c>
      <c r="H165" s="35"/>
      <c r="I165" s="35"/>
      <c r="J165" s="35"/>
      <c r="K165" s="35"/>
      <c r="L165" s="35"/>
      <c r="M165" s="35"/>
      <c r="N165" s="35"/>
      <c r="O165" s="35" t="s">
        <v>307</v>
      </c>
    </row>
    <row r="166" spans="1:15" ht="28.5" x14ac:dyDescent="0.2">
      <c r="A166" s="36" t="s">
        <v>12</v>
      </c>
      <c r="B166" s="36" t="s">
        <v>15</v>
      </c>
      <c r="C166" s="35" t="s">
        <v>964</v>
      </c>
      <c r="D166" s="20" t="s">
        <v>963</v>
      </c>
      <c r="E166" s="35"/>
      <c r="F166" s="35" t="s">
        <v>219</v>
      </c>
      <c r="G166" s="35">
        <v>3</v>
      </c>
      <c r="H166" s="35">
        <v>3</v>
      </c>
      <c r="I166" s="35"/>
      <c r="J166" s="35"/>
      <c r="K166" s="35"/>
      <c r="L166" s="35"/>
      <c r="M166" s="35"/>
      <c r="N166" s="35"/>
      <c r="O166" s="35" t="s">
        <v>307</v>
      </c>
    </row>
    <row r="167" spans="1:15" ht="28.5" x14ac:dyDescent="0.2">
      <c r="A167" s="36" t="s">
        <v>12</v>
      </c>
      <c r="B167" s="36" t="s">
        <v>14</v>
      </c>
      <c r="C167" s="35" t="s">
        <v>962</v>
      </c>
      <c r="D167" s="20" t="s">
        <v>961</v>
      </c>
      <c r="E167" s="35"/>
      <c r="F167" s="35" t="s">
        <v>291</v>
      </c>
      <c r="G167" s="35">
        <v>8</v>
      </c>
      <c r="H167" s="35"/>
      <c r="I167" s="35"/>
      <c r="J167" s="35"/>
      <c r="K167" s="35"/>
      <c r="L167" s="35"/>
      <c r="M167" s="35"/>
      <c r="N167" s="35"/>
      <c r="O167" s="35" t="s">
        <v>302</v>
      </c>
    </row>
    <row r="168" spans="1:15" ht="28.5" x14ac:dyDescent="0.2">
      <c r="A168" s="36" t="s">
        <v>12</v>
      </c>
      <c r="B168" s="36" t="s">
        <v>15</v>
      </c>
      <c r="C168" s="35" t="s">
        <v>960</v>
      </c>
      <c r="D168" s="20" t="s">
        <v>959</v>
      </c>
      <c r="E168" s="35"/>
      <c r="F168" s="35" t="s">
        <v>942</v>
      </c>
      <c r="G168" s="35">
        <v>5</v>
      </c>
      <c r="H168" s="35">
        <v>5</v>
      </c>
      <c r="I168" s="35"/>
      <c r="J168" s="35"/>
      <c r="K168" s="35"/>
      <c r="L168" s="35"/>
      <c r="M168" s="35"/>
      <c r="N168" s="35"/>
      <c r="O168" s="35" t="s">
        <v>225</v>
      </c>
    </row>
    <row r="169" spans="1:15" ht="28.5" x14ac:dyDescent="0.2">
      <c r="A169" s="36" t="s">
        <v>12</v>
      </c>
      <c r="B169" s="36" t="s">
        <v>15</v>
      </c>
      <c r="C169" s="35" t="s">
        <v>958</v>
      </c>
      <c r="D169" s="20" t="s">
        <v>957</v>
      </c>
      <c r="E169" s="35"/>
      <c r="F169" s="35" t="s">
        <v>942</v>
      </c>
      <c r="G169" s="35">
        <v>5</v>
      </c>
      <c r="H169" s="35"/>
      <c r="I169" s="35"/>
      <c r="J169" s="35"/>
      <c r="K169" s="35"/>
      <c r="L169" s="35"/>
      <c r="M169" s="35"/>
      <c r="N169" s="35"/>
      <c r="O169" s="35" t="s">
        <v>82</v>
      </c>
    </row>
    <row r="170" spans="1:15" ht="28.5" x14ac:dyDescent="0.2">
      <c r="A170" s="36" t="s">
        <v>12</v>
      </c>
      <c r="B170" s="36" t="s">
        <v>15</v>
      </c>
      <c r="C170" s="35" t="s">
        <v>956</v>
      </c>
      <c r="D170" s="20" t="s">
        <v>955</v>
      </c>
      <c r="E170" s="35"/>
      <c r="F170" s="35" t="s">
        <v>83</v>
      </c>
      <c r="G170" s="35">
        <v>8</v>
      </c>
      <c r="H170" s="35">
        <v>8</v>
      </c>
      <c r="I170" s="35">
        <v>14400</v>
      </c>
      <c r="J170" s="35">
        <v>14400</v>
      </c>
      <c r="K170" s="35"/>
      <c r="L170" s="35"/>
      <c r="M170" s="35"/>
      <c r="N170" s="35"/>
      <c r="O170" s="35" t="s">
        <v>82</v>
      </c>
    </row>
    <row r="171" spans="1:15" ht="15" x14ac:dyDescent="0.2">
      <c r="A171" s="36" t="s">
        <v>12</v>
      </c>
      <c r="B171" s="36" t="s">
        <v>15</v>
      </c>
      <c r="C171" s="35" t="s">
        <v>954</v>
      </c>
      <c r="D171" s="20" t="s">
        <v>953</v>
      </c>
      <c r="E171" s="35"/>
      <c r="F171" s="35" t="s">
        <v>942</v>
      </c>
      <c r="G171" s="35">
        <v>8</v>
      </c>
      <c r="H171" s="35"/>
      <c r="I171" s="35"/>
      <c r="J171" s="35"/>
      <c r="K171" s="35"/>
      <c r="L171" s="35"/>
      <c r="M171" s="35"/>
      <c r="N171" s="35"/>
      <c r="O171" s="35" t="s">
        <v>225</v>
      </c>
    </row>
    <row r="172" spans="1:15" ht="15" x14ac:dyDescent="0.2">
      <c r="A172" s="36" t="s">
        <v>12</v>
      </c>
      <c r="B172" s="36" t="s">
        <v>15</v>
      </c>
      <c r="C172" s="35" t="s">
        <v>952</v>
      </c>
      <c r="D172" s="20" t="s">
        <v>223</v>
      </c>
      <c r="E172" s="35"/>
      <c r="F172" s="35" t="s">
        <v>219</v>
      </c>
      <c r="G172" s="35">
        <v>8</v>
      </c>
      <c r="H172" s="35">
        <v>8</v>
      </c>
      <c r="I172" s="35">
        <v>14400</v>
      </c>
      <c r="J172" s="35">
        <v>14400</v>
      </c>
      <c r="K172" s="35"/>
      <c r="L172" s="35"/>
      <c r="M172" s="35"/>
      <c r="N172" s="35"/>
      <c r="O172" s="35" t="s">
        <v>222</v>
      </c>
    </row>
    <row r="173" spans="1:15" ht="28.5" x14ac:dyDescent="0.2">
      <c r="A173" s="36" t="s">
        <v>12</v>
      </c>
      <c r="B173" s="36" t="s">
        <v>15</v>
      </c>
      <c r="C173" s="35" t="s">
        <v>951</v>
      </c>
      <c r="D173" s="20" t="s">
        <v>229</v>
      </c>
      <c r="E173" s="35"/>
      <c r="F173" s="35" t="s">
        <v>219</v>
      </c>
      <c r="G173" s="35">
        <v>8</v>
      </c>
      <c r="H173" s="35">
        <v>8</v>
      </c>
      <c r="I173" s="35">
        <v>172800</v>
      </c>
      <c r="J173" s="35">
        <v>172800</v>
      </c>
      <c r="K173" s="35"/>
      <c r="L173" s="35"/>
      <c r="M173" s="35"/>
      <c r="N173" s="35"/>
      <c r="O173" s="35" t="s">
        <v>228</v>
      </c>
    </row>
    <row r="174" spans="1:15" ht="28.5" x14ac:dyDescent="0.2">
      <c r="A174" s="36" t="s">
        <v>12</v>
      </c>
      <c r="B174" s="36" t="s">
        <v>13</v>
      </c>
      <c r="C174" s="35" t="s">
        <v>950</v>
      </c>
      <c r="D174" s="20" t="s">
        <v>949</v>
      </c>
      <c r="E174" s="35"/>
      <c r="F174" s="35" t="s">
        <v>291</v>
      </c>
      <c r="G174" s="35">
        <v>3</v>
      </c>
      <c r="H174" s="35"/>
      <c r="I174" s="35"/>
      <c r="J174" s="35"/>
      <c r="K174" s="35"/>
      <c r="L174" s="35"/>
      <c r="M174" s="35"/>
      <c r="N174" s="35"/>
      <c r="O174" s="35" t="s">
        <v>948</v>
      </c>
    </row>
    <row r="175" spans="1:15" ht="28.5" x14ac:dyDescent="0.2">
      <c r="A175" s="36" t="s">
        <v>12</v>
      </c>
      <c r="B175" s="36" t="s">
        <v>13</v>
      </c>
      <c r="C175" s="35" t="s">
        <v>947</v>
      </c>
      <c r="D175" s="20" t="s">
        <v>946</v>
      </c>
      <c r="E175" s="35"/>
      <c r="F175" s="35" t="s">
        <v>291</v>
      </c>
      <c r="G175" s="35">
        <v>5</v>
      </c>
      <c r="H175" s="35"/>
      <c r="I175" s="35"/>
      <c r="J175" s="35"/>
      <c r="K175" s="35"/>
      <c r="L175" s="35"/>
      <c r="M175" s="35"/>
      <c r="N175" s="35"/>
      <c r="O175" s="35"/>
    </row>
    <row r="176" spans="1:15" ht="15" x14ac:dyDescent="0.2">
      <c r="A176" s="36" t="s">
        <v>12</v>
      </c>
      <c r="B176" s="36" t="s">
        <v>13</v>
      </c>
      <c r="C176" s="35" t="s">
        <v>282</v>
      </c>
      <c r="D176" s="20" t="s">
        <v>945</v>
      </c>
      <c r="E176" s="35"/>
      <c r="F176" s="35" t="s">
        <v>291</v>
      </c>
      <c r="G176" s="35">
        <v>8</v>
      </c>
      <c r="H176" s="35"/>
      <c r="I176" s="35">
        <v>288000</v>
      </c>
      <c r="J176" s="35">
        <v>288000</v>
      </c>
      <c r="K176" s="35"/>
      <c r="L176" s="35"/>
      <c r="M176" s="35"/>
      <c r="N176" s="35"/>
      <c r="O176" s="35" t="s">
        <v>283</v>
      </c>
    </row>
    <row r="177" spans="1:15" ht="15" x14ac:dyDescent="0.2">
      <c r="A177" s="36" t="s">
        <v>12</v>
      </c>
      <c r="B177" s="36" t="s">
        <v>15</v>
      </c>
      <c r="C177" s="35" t="s">
        <v>944</v>
      </c>
      <c r="D177" s="20" t="s">
        <v>943</v>
      </c>
      <c r="E177" s="35"/>
      <c r="F177" s="35" t="s">
        <v>942</v>
      </c>
      <c r="G177" s="35">
        <v>4</v>
      </c>
      <c r="H177" s="35">
        <v>4</v>
      </c>
      <c r="I177" s="35">
        <v>57600</v>
      </c>
      <c r="J177" s="35">
        <v>57600</v>
      </c>
      <c r="K177" s="35"/>
      <c r="L177" s="35"/>
      <c r="M177" s="35"/>
      <c r="N177" s="35"/>
      <c r="O177" s="35" t="s">
        <v>936</v>
      </c>
    </row>
    <row r="178" spans="1:15" ht="15" x14ac:dyDescent="0.2">
      <c r="A178" s="36" t="s">
        <v>12</v>
      </c>
      <c r="B178" s="36" t="s">
        <v>17</v>
      </c>
      <c r="C178" s="35" t="s">
        <v>941</v>
      </c>
      <c r="D178" s="20" t="s">
        <v>940</v>
      </c>
      <c r="E178" s="35"/>
      <c r="F178" s="35" t="s">
        <v>219</v>
      </c>
      <c r="G178" s="35">
        <v>8</v>
      </c>
      <c r="H178" s="35"/>
      <c r="I178" s="35">
        <v>374400</v>
      </c>
      <c r="J178" s="35">
        <v>316800</v>
      </c>
      <c r="K178" s="35"/>
      <c r="L178" s="35"/>
      <c r="M178" s="35"/>
      <c r="N178" s="35"/>
      <c r="O178" s="35" t="s">
        <v>225</v>
      </c>
    </row>
    <row r="179" spans="1:15" ht="15" x14ac:dyDescent="0.2">
      <c r="A179" s="36" t="s">
        <v>12</v>
      </c>
      <c r="B179" s="36" t="s">
        <v>15</v>
      </c>
      <c r="C179" s="35" t="s">
        <v>279</v>
      </c>
      <c r="D179" s="20" t="s">
        <v>614</v>
      </c>
      <c r="E179" s="35" t="s">
        <v>442</v>
      </c>
      <c r="F179" s="35" t="s">
        <v>616</v>
      </c>
      <c r="G179" s="35">
        <v>7</v>
      </c>
      <c r="H179" s="35">
        <v>5</v>
      </c>
      <c r="I179" s="35">
        <v>288000</v>
      </c>
      <c r="J179" s="35">
        <v>57600</v>
      </c>
      <c r="K179" s="35"/>
      <c r="L179" s="35"/>
      <c r="M179" s="35"/>
      <c r="N179" s="35"/>
      <c r="O179" s="35" t="s">
        <v>615</v>
      </c>
    </row>
    <row r="180" spans="1:15" ht="28.5" x14ac:dyDescent="0.2">
      <c r="A180" s="36" t="s">
        <v>12</v>
      </c>
      <c r="B180" s="36" t="s">
        <v>15</v>
      </c>
      <c r="C180" s="35" t="s">
        <v>939</v>
      </c>
      <c r="D180" s="20" t="s">
        <v>938</v>
      </c>
      <c r="E180" s="35"/>
      <c r="F180" s="35" t="s">
        <v>937</v>
      </c>
      <c r="G180" s="35">
        <v>6</v>
      </c>
      <c r="H180" s="35">
        <v>6</v>
      </c>
      <c r="I180" s="35"/>
      <c r="J180" s="35"/>
      <c r="K180" s="35"/>
      <c r="L180" s="35"/>
      <c r="M180" s="35"/>
      <c r="N180" s="35"/>
      <c r="O180" s="35" t="s">
        <v>936</v>
      </c>
    </row>
    <row r="181" spans="1:15" ht="28.5" x14ac:dyDescent="0.2">
      <c r="A181" s="36" t="s">
        <v>12</v>
      </c>
      <c r="B181" s="36" t="s">
        <v>15</v>
      </c>
      <c r="C181" s="35" t="s">
        <v>196</v>
      </c>
      <c r="D181" s="20" t="s">
        <v>197</v>
      </c>
      <c r="E181" s="35" t="s">
        <v>70</v>
      </c>
      <c r="F181" s="35" t="s">
        <v>188</v>
      </c>
      <c r="G181" s="35">
        <v>5</v>
      </c>
      <c r="H181" s="35">
        <v>5</v>
      </c>
      <c r="I181" s="35">
        <v>104400</v>
      </c>
      <c r="J181" s="35">
        <v>104400</v>
      </c>
      <c r="K181" s="35"/>
      <c r="L181" s="35"/>
      <c r="M181" s="35"/>
      <c r="N181" s="35"/>
      <c r="O181" s="35" t="s">
        <v>198</v>
      </c>
    </row>
    <row r="182" spans="1:15" ht="28.5" x14ac:dyDescent="0.2">
      <c r="A182" s="36" t="s">
        <v>12</v>
      </c>
      <c r="B182" s="36" t="s">
        <v>15</v>
      </c>
      <c r="C182" s="35" t="s">
        <v>205</v>
      </c>
      <c r="D182" s="20" t="s">
        <v>206</v>
      </c>
      <c r="E182" s="35" t="s">
        <v>70</v>
      </c>
      <c r="F182" s="35" t="s">
        <v>188</v>
      </c>
      <c r="G182" s="35">
        <v>8</v>
      </c>
      <c r="H182" s="35">
        <v>8</v>
      </c>
      <c r="I182" s="35">
        <v>57600</v>
      </c>
      <c r="J182" s="35">
        <v>57600</v>
      </c>
      <c r="K182" s="35"/>
      <c r="L182" s="35"/>
      <c r="M182" s="35"/>
      <c r="N182" s="35"/>
      <c r="O182" s="35" t="s">
        <v>91</v>
      </c>
    </row>
    <row r="183" spans="1:15" ht="28.5" x14ac:dyDescent="0.2">
      <c r="A183" s="36" t="s">
        <v>12</v>
      </c>
      <c r="B183" s="36" t="s">
        <v>15</v>
      </c>
      <c r="C183" s="35" t="s">
        <v>194</v>
      </c>
      <c r="D183" s="20" t="s">
        <v>195</v>
      </c>
      <c r="E183" s="35" t="s">
        <v>70</v>
      </c>
      <c r="F183" s="35" t="s">
        <v>188</v>
      </c>
      <c r="G183" s="35">
        <v>3</v>
      </c>
      <c r="H183" s="35">
        <v>3</v>
      </c>
      <c r="I183" s="35">
        <v>28800</v>
      </c>
      <c r="J183" s="35">
        <v>28800</v>
      </c>
      <c r="K183" s="35"/>
      <c r="L183" s="35"/>
      <c r="M183" s="35"/>
      <c r="N183" s="35"/>
      <c r="O183" s="35" t="s">
        <v>91</v>
      </c>
    </row>
    <row r="184" spans="1:15" ht="28.5" x14ac:dyDescent="0.2">
      <c r="A184" s="36" t="s">
        <v>12</v>
      </c>
      <c r="B184" s="36" t="s">
        <v>15</v>
      </c>
      <c r="C184" s="35" t="s">
        <v>182</v>
      </c>
      <c r="D184" s="20" t="s">
        <v>183</v>
      </c>
      <c r="E184" s="35" t="s">
        <v>70</v>
      </c>
      <c r="F184" s="35" t="s">
        <v>180</v>
      </c>
      <c r="G184" s="35">
        <v>3</v>
      </c>
      <c r="H184" s="35">
        <v>3</v>
      </c>
      <c r="I184" s="35">
        <v>28800</v>
      </c>
      <c r="J184" s="35">
        <v>28800</v>
      </c>
      <c r="K184" s="35"/>
      <c r="L184" s="35"/>
      <c r="M184" s="35"/>
      <c r="N184" s="35"/>
      <c r="O184" s="35" t="s">
        <v>88</v>
      </c>
    </row>
    <row r="185" spans="1:15" ht="15" x14ac:dyDescent="0.2">
      <c r="A185" s="36" t="s">
        <v>12</v>
      </c>
      <c r="B185" s="36" t="s">
        <v>17</v>
      </c>
      <c r="C185" s="35" t="s">
        <v>102</v>
      </c>
      <c r="D185" s="20" t="s">
        <v>103</v>
      </c>
      <c r="E185" s="35" t="s">
        <v>70</v>
      </c>
      <c r="F185" s="35" t="s">
        <v>87</v>
      </c>
      <c r="G185" s="35">
        <v>1</v>
      </c>
      <c r="H185" s="35"/>
      <c r="I185" s="35">
        <v>14400</v>
      </c>
      <c r="J185" s="35">
        <v>14400</v>
      </c>
      <c r="K185" s="35"/>
      <c r="L185" s="35"/>
      <c r="M185" s="35"/>
      <c r="N185" s="35"/>
      <c r="O185" s="35"/>
    </row>
    <row r="186" spans="1:15" ht="15" x14ac:dyDescent="0.2">
      <c r="A186" s="36" t="s">
        <v>12</v>
      </c>
      <c r="B186" s="36" t="s">
        <v>15</v>
      </c>
      <c r="C186" s="35" t="s">
        <v>89</v>
      </c>
      <c r="D186" s="20" t="s">
        <v>90</v>
      </c>
      <c r="E186" s="35" t="s">
        <v>70</v>
      </c>
      <c r="F186" s="35" t="s">
        <v>87</v>
      </c>
      <c r="G186" s="35">
        <v>8</v>
      </c>
      <c r="H186" s="35">
        <v>8</v>
      </c>
      <c r="I186" s="35">
        <v>129600</v>
      </c>
      <c r="J186" s="35">
        <v>129600</v>
      </c>
      <c r="K186" s="35"/>
      <c r="L186" s="35"/>
      <c r="M186" s="35"/>
      <c r="N186" s="35"/>
      <c r="O186" s="35" t="s">
        <v>91</v>
      </c>
    </row>
    <row r="187" spans="1:15" ht="15" x14ac:dyDescent="0.2">
      <c r="A187" s="36" t="s">
        <v>12</v>
      </c>
      <c r="B187" s="36" t="s">
        <v>15</v>
      </c>
      <c r="C187" s="35" t="s">
        <v>92</v>
      </c>
      <c r="D187" s="20" t="s">
        <v>93</v>
      </c>
      <c r="E187" s="35" t="s">
        <v>70</v>
      </c>
      <c r="F187" s="35" t="s">
        <v>87</v>
      </c>
      <c r="G187" s="35">
        <v>3</v>
      </c>
      <c r="H187" s="35">
        <v>3</v>
      </c>
      <c r="I187" s="35">
        <v>57600</v>
      </c>
      <c r="J187" s="35">
        <v>57600</v>
      </c>
      <c r="K187" s="35"/>
      <c r="L187" s="35"/>
      <c r="M187" s="35"/>
      <c r="N187" s="35"/>
      <c r="O187" s="35" t="s">
        <v>91</v>
      </c>
    </row>
    <row r="188" spans="1:15" ht="28.5" x14ac:dyDescent="0.2">
      <c r="A188" s="36" t="s">
        <v>12</v>
      </c>
      <c r="B188" s="36" t="s">
        <v>15</v>
      </c>
      <c r="C188" s="35" t="s">
        <v>104</v>
      </c>
      <c r="D188" s="20" t="s">
        <v>105</v>
      </c>
      <c r="E188" s="35" t="s">
        <v>70</v>
      </c>
      <c r="F188" s="35" t="s">
        <v>87</v>
      </c>
      <c r="G188" s="35">
        <v>3</v>
      </c>
      <c r="H188" s="35">
        <v>3</v>
      </c>
      <c r="I188" s="35">
        <v>28800</v>
      </c>
      <c r="J188" s="35">
        <v>28800</v>
      </c>
      <c r="K188" s="35"/>
      <c r="L188" s="35"/>
      <c r="M188" s="35"/>
      <c r="N188" s="35"/>
      <c r="O188" s="35" t="s">
        <v>91</v>
      </c>
    </row>
    <row r="189" spans="1:15" ht="15" x14ac:dyDescent="0.2">
      <c r="A189" s="36" t="s">
        <v>12</v>
      </c>
      <c r="B189" s="36" t="s">
        <v>15</v>
      </c>
      <c r="C189" s="35" t="s">
        <v>85</v>
      </c>
      <c r="D189" s="20" t="s">
        <v>86</v>
      </c>
      <c r="E189" s="35" t="s">
        <v>70</v>
      </c>
      <c r="F189" s="35" t="s">
        <v>87</v>
      </c>
      <c r="G189" s="35">
        <v>3</v>
      </c>
      <c r="H189" s="35">
        <v>3</v>
      </c>
      <c r="I189" s="35">
        <v>144000</v>
      </c>
      <c r="J189" s="35">
        <v>144000</v>
      </c>
      <c r="K189" s="35"/>
      <c r="L189" s="35"/>
      <c r="M189" s="35"/>
      <c r="N189" s="35"/>
      <c r="O189" s="35" t="s">
        <v>88</v>
      </c>
    </row>
    <row r="190" spans="1:15" ht="28.5" x14ac:dyDescent="0.2">
      <c r="A190" s="36" t="s">
        <v>12</v>
      </c>
      <c r="B190" s="36" t="s">
        <v>15</v>
      </c>
      <c r="C190" s="35" t="s">
        <v>621</v>
      </c>
      <c r="D190" s="20" t="s">
        <v>620</v>
      </c>
      <c r="E190" s="35" t="s">
        <v>442</v>
      </c>
      <c r="F190" s="35" t="s">
        <v>443</v>
      </c>
      <c r="G190" s="35">
        <v>5</v>
      </c>
      <c r="H190" s="35">
        <v>5</v>
      </c>
      <c r="I190" s="35">
        <v>57840</v>
      </c>
      <c r="J190" s="35">
        <v>57840</v>
      </c>
      <c r="K190" s="35"/>
      <c r="L190" s="35"/>
      <c r="M190" s="35"/>
      <c r="N190" s="35"/>
      <c r="O190" s="35" t="s">
        <v>622</v>
      </c>
    </row>
    <row r="191" spans="1:15" ht="57" x14ac:dyDescent="0.2">
      <c r="A191" s="36" t="s">
        <v>12</v>
      </c>
      <c r="B191" s="36" t="s">
        <v>15</v>
      </c>
      <c r="C191" s="35" t="s">
        <v>624</v>
      </c>
      <c r="D191" s="20" t="s">
        <v>623</v>
      </c>
      <c r="E191" s="35" t="s">
        <v>442</v>
      </c>
      <c r="F191" s="35" t="s">
        <v>443</v>
      </c>
      <c r="G191" s="35">
        <v>5</v>
      </c>
      <c r="H191" s="35">
        <v>5</v>
      </c>
      <c r="I191" s="35">
        <v>64800</v>
      </c>
      <c r="J191" s="35">
        <v>64800</v>
      </c>
      <c r="K191" s="35"/>
      <c r="L191" s="35"/>
      <c r="M191" s="35"/>
      <c r="N191" s="35"/>
      <c r="O191" s="35" t="s">
        <v>622</v>
      </c>
    </row>
    <row r="192" spans="1:15" ht="42.75" x14ac:dyDescent="0.2">
      <c r="A192" s="36" t="s">
        <v>12</v>
      </c>
      <c r="B192" s="36" t="s">
        <v>106</v>
      </c>
      <c r="C192" s="35" t="s">
        <v>626</v>
      </c>
      <c r="D192" s="20" t="s">
        <v>625</v>
      </c>
      <c r="E192" s="35" t="s">
        <v>442</v>
      </c>
      <c r="F192" s="35" t="s">
        <v>447</v>
      </c>
      <c r="G192" s="35">
        <v>5</v>
      </c>
      <c r="H192" s="35"/>
      <c r="I192" s="35">
        <v>64800</v>
      </c>
      <c r="J192" s="35">
        <v>64800</v>
      </c>
      <c r="K192" s="35"/>
      <c r="L192" s="35"/>
      <c r="M192" s="35"/>
      <c r="N192" s="35"/>
      <c r="O192" s="35" t="s">
        <v>622</v>
      </c>
    </row>
    <row r="193" spans="1:15" ht="42.75" x14ac:dyDescent="0.2">
      <c r="A193" s="36" t="s">
        <v>12</v>
      </c>
      <c r="B193" s="36" t="s">
        <v>15</v>
      </c>
      <c r="C193" s="35" t="s">
        <v>628</v>
      </c>
      <c r="D193" s="20" t="s">
        <v>627</v>
      </c>
      <c r="E193" s="35" t="s">
        <v>442</v>
      </c>
      <c r="F193" s="35" t="s">
        <v>443</v>
      </c>
      <c r="G193" s="35">
        <v>5</v>
      </c>
      <c r="H193" s="35">
        <v>5</v>
      </c>
      <c r="I193" s="35">
        <v>115200</v>
      </c>
      <c r="J193" s="35">
        <v>115200</v>
      </c>
      <c r="K193" s="35"/>
      <c r="L193" s="35"/>
      <c r="M193" s="35"/>
      <c r="N193" s="35"/>
      <c r="O193" s="35" t="s">
        <v>622</v>
      </c>
    </row>
    <row r="194" spans="1:15" ht="28.5" x14ac:dyDescent="0.2">
      <c r="A194" s="36" t="s">
        <v>12</v>
      </c>
      <c r="B194" s="36" t="s">
        <v>15</v>
      </c>
      <c r="C194" s="35" t="s">
        <v>630</v>
      </c>
      <c r="D194" s="20" t="s">
        <v>629</v>
      </c>
      <c r="E194" s="35" t="s">
        <v>442</v>
      </c>
      <c r="F194" s="35" t="s">
        <v>443</v>
      </c>
      <c r="G194" s="35">
        <v>5</v>
      </c>
      <c r="H194" s="35">
        <v>5</v>
      </c>
      <c r="I194" s="35">
        <v>86400</v>
      </c>
      <c r="J194" s="35">
        <v>86400</v>
      </c>
      <c r="K194" s="35"/>
      <c r="L194" s="35"/>
      <c r="M194" s="35"/>
      <c r="N194" s="35"/>
      <c r="O194" s="35" t="s">
        <v>622</v>
      </c>
    </row>
    <row r="195" spans="1:15" x14ac:dyDescent="0.2">
      <c r="A195" s="47" t="s">
        <v>935</v>
      </c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9"/>
    </row>
  </sheetData>
  <mergeCells count="4">
    <mergeCell ref="A1:O1"/>
    <mergeCell ref="A2:O2"/>
    <mergeCell ref="A3:O3"/>
    <mergeCell ref="A195:O195"/>
  </mergeCells>
  <hyperlinks>
    <hyperlink ref="A2" r:id="rId1" display="https://webgate.ec.europa.eu/CITnet/jira/issues/?jql=%28issuetype+in+%28Story%29+AND+project+in+%28COMPCORP%2C+CCADMIN%2C+CCARCHITEC%2C+CCDOCLIST%2C+ECKL%2C+CCINFRAEC%2C+INTERCOM%2C+CCPMO%2C+PFM%2C+PROCESS%2C+CCTASK%2C+TSKACTION%2C+WAVECC%2C+COMPASS%29%29+AND+%28fixversion+IN+%28COMPCORP-PI4%2C+COMPCORP-PI3%2C+COMPCORP-PI2%2C+COMPCORP-PI1%29+OR+sprint+IN+%28%22CC+Process+Centre+PI4+It1%22%2C+%22CC+Portfolio+Manager+PI4+It1%22%2C+%22Comp+Corp+RTD+PI4+It1%22%2C+%22Comp+Corp+REGIO+PI4+It1%22%2C+%22EC+eUI+My+Workplace+PI9+It1%22%2C+%22COMCORP-PMO-4.1%22%2C%22CC+Process+Centre+PI4+It2%22%2C+%22CC+Portfolio+Manager+PI4+It2%22%2C+%22Comp+Corp+RTD+PI4+It2%22%2C+%22Comp+Corp+REGIO+PI4+It2%22%2C+%22EC+eUI+My+Workplace+PI9+It2%22%2C+%22COMCORP-PMO-4.2%22%2C%22CC+Process+Centre+PI4+It3%22%2C+%22CC+Portfolio+Manager+PI4+It3%22%2C+%22Comp+Corp+RTD+PI4+It3%22%2C+%22Comp+Corp+REGIO+PI4+It3%22%2C+%22EC+eUI+My+Workplace+PI9+It3%22%2C%22CC+Process+Centre+PI4+It4%22%2C+%22CC+Portfolio+Manager+PI4+It4%22%2C+%22Comp+Corp+RTD+PI4+It4%22%2C+%22Comp+Corp+REGIO+PI4+It4%22%2C+%22EC+eUI+My+Workplace+PI9+It4%22%2C%22CC+Process+Centre+PI4+It5%22%2C+%22CC+Portfolio+Manager+PI4+It5%22%2C+%22Comp+Corp+RTD+PI4+It5%22%2C+%22Comp+Corp+REGIO+PI4+It5%22%2C+%22EC+eUI+My+Workplace+PI9+It5%22%29%29"/>
    <hyperlink ref="D5" r:id="rId2" display="https://webgate.ec.europa.eu/CITnet/jira/browse/WAVECC-44"/>
    <hyperlink ref="D6" r:id="rId3" display="https://webgate.ec.europa.eu/CITnet/jira/browse/WAVECC-43"/>
    <hyperlink ref="D7" r:id="rId4" display="https://webgate.ec.europa.eu/CITnet/jira/browse/WAVECC-35"/>
    <hyperlink ref="D8" r:id="rId5" display="https://webgate.ec.europa.eu/CITnet/jira/browse/WAVECC-7"/>
    <hyperlink ref="D9" r:id="rId6" display="https://webgate.ec.europa.eu/CITnet/jira/browse/WAVECC-6"/>
    <hyperlink ref="D10" r:id="rId7" display="https://webgate.ec.europa.eu/CITnet/jira/browse/TSKACTION-273"/>
    <hyperlink ref="D11" r:id="rId8" display="https://webgate.ec.europa.eu/CITnet/jira/browse/TSKACTION-271"/>
    <hyperlink ref="D12" r:id="rId9" display="https://webgate.ec.europa.eu/CITnet/jira/browse/TSKACTION-260"/>
    <hyperlink ref="D13" r:id="rId10" display="https://webgate.ec.europa.eu/CITnet/jira/browse/TSKACTION-259"/>
    <hyperlink ref="D14" r:id="rId11" display="https://webgate.ec.europa.eu/CITnet/jira/browse/TSKACTION-237"/>
    <hyperlink ref="D15" r:id="rId12" display="https://webgate.ec.europa.eu/CITnet/jira/browse/TSKACTION-219"/>
    <hyperlink ref="D16" r:id="rId13" display="https://webgate.ec.europa.eu/CITnet/jira/browse/TSKACTION-218"/>
    <hyperlink ref="D17" r:id="rId14" display="https://webgate.ec.europa.eu/CITnet/jira/browse/TSKACTION-216"/>
    <hyperlink ref="D18" r:id="rId15" display="https://webgate.ec.europa.eu/CITnet/jira/browse/PROCESS-129"/>
    <hyperlink ref="D19" r:id="rId16" display="https://webgate.ec.europa.eu/CITnet/jira/browse/PROCESS-128"/>
    <hyperlink ref="D20" r:id="rId17" display="https://webgate.ec.europa.eu/CITnet/jira/browse/PROCESS-124"/>
    <hyperlink ref="D21" r:id="rId18" display="https://webgate.ec.europa.eu/CITnet/jira/browse/PROCESS-122"/>
    <hyperlink ref="D22" r:id="rId19" display="https://webgate.ec.europa.eu/CITnet/jira/browse/PROCESS-121"/>
    <hyperlink ref="D23" r:id="rId20" display="https://webgate.ec.europa.eu/CITnet/jira/browse/PROCESS-120"/>
    <hyperlink ref="D24" r:id="rId21" display="https://webgate.ec.europa.eu/CITnet/jira/browse/PROCESS-119"/>
    <hyperlink ref="D25" r:id="rId22" display="https://webgate.ec.europa.eu/CITnet/jira/browse/PROCESS-118"/>
    <hyperlink ref="D26" r:id="rId23" display="https://webgate.ec.europa.eu/CITnet/jira/browse/PROCESS-117"/>
    <hyperlink ref="D27" r:id="rId24" display="https://webgate.ec.europa.eu/CITnet/jira/browse/PROCESS-116"/>
    <hyperlink ref="D28" r:id="rId25" display="https://webgate.ec.europa.eu/CITnet/jira/browse/PROCESS-115"/>
    <hyperlink ref="D29" r:id="rId26" display="https://webgate.ec.europa.eu/CITnet/jira/browse/PROCESS-114"/>
    <hyperlink ref="D30" r:id="rId27" display="https://webgate.ec.europa.eu/CITnet/jira/browse/PROCESS-113"/>
    <hyperlink ref="D31" r:id="rId28" display="https://webgate.ec.europa.eu/CITnet/jira/browse/PROCESS-112"/>
    <hyperlink ref="D32" r:id="rId29" display="https://webgate.ec.europa.eu/CITnet/jira/browse/PROCESS-111"/>
    <hyperlink ref="D33" r:id="rId30" display="https://webgate.ec.europa.eu/CITnet/jira/browse/PROCESS-110"/>
    <hyperlink ref="D34" r:id="rId31" display="https://webgate.ec.europa.eu/CITnet/jira/browse/PROCESS-109"/>
    <hyperlink ref="D35" r:id="rId32" display="https://webgate.ec.europa.eu/CITnet/jira/browse/PROCESS-108"/>
    <hyperlink ref="D36" r:id="rId33" display="https://webgate.ec.europa.eu/CITnet/jira/browse/PROCESS-107"/>
    <hyperlink ref="D37" r:id="rId34" display="https://webgate.ec.europa.eu/CITnet/jira/browse/PROCESS-90"/>
    <hyperlink ref="D38" r:id="rId35" display="https://webgate.ec.europa.eu/CITnet/jira/browse/PROCESS-89"/>
    <hyperlink ref="D39" r:id="rId36" display="https://webgate.ec.europa.eu/CITnet/jira/browse/PROCESS-86"/>
    <hyperlink ref="D40" r:id="rId37" display="https://webgate.ec.europa.eu/CITnet/jira/browse/PROCESS-76"/>
    <hyperlink ref="D41" r:id="rId38" display="https://webgate.ec.europa.eu/CITnet/jira/browse/PROCESS-74"/>
    <hyperlink ref="D42" r:id="rId39" display="https://webgate.ec.europa.eu/CITnet/jira/browse/PROCESS-49"/>
    <hyperlink ref="D43" r:id="rId40" display="https://webgate.ec.europa.eu/CITnet/jira/browse/PROCESS-48"/>
    <hyperlink ref="D44" r:id="rId41" display="https://webgate.ec.europa.eu/CITnet/jira/browse/PFM-160"/>
    <hyperlink ref="D45" r:id="rId42" display="https://webgate.ec.europa.eu/CITnet/jira/browse/PFM-155"/>
    <hyperlink ref="D46" r:id="rId43" display="https://webgate.ec.europa.eu/CITnet/jira/browse/PFM-153"/>
    <hyperlink ref="D47" r:id="rId44" display="https://webgate.ec.europa.eu/CITnet/jira/browse/PFM-152"/>
    <hyperlink ref="D48" r:id="rId45" display="https://webgate.ec.europa.eu/CITnet/jira/browse/PFM-151"/>
    <hyperlink ref="D49" r:id="rId46" display="https://webgate.ec.europa.eu/CITnet/jira/browse/PFM-150"/>
    <hyperlink ref="D50" r:id="rId47" display="https://webgate.ec.europa.eu/CITnet/jira/browse/PFM-149"/>
    <hyperlink ref="D51" r:id="rId48" display="https://webgate.ec.europa.eu/CITnet/jira/browse/PFM-148"/>
    <hyperlink ref="D52" r:id="rId49" display="https://webgate.ec.europa.eu/CITnet/jira/browse/PFM-147"/>
    <hyperlink ref="D53" r:id="rId50" display="https://webgate.ec.europa.eu/CITnet/jira/browse/PFM-146"/>
    <hyperlink ref="D54" r:id="rId51" display="https://webgate.ec.europa.eu/CITnet/jira/browse/PFM-144"/>
    <hyperlink ref="D55" r:id="rId52" display="https://webgate.ec.europa.eu/CITnet/jira/browse/PFM-143"/>
    <hyperlink ref="D56" r:id="rId53" display="https://webgate.ec.europa.eu/CITnet/jira/browse/PFM-142"/>
    <hyperlink ref="D57" r:id="rId54" display="https://webgate.ec.europa.eu/CITnet/jira/browse/PFM-116"/>
    <hyperlink ref="D58" r:id="rId55" display="https://webgate.ec.europa.eu/CITnet/jira/browse/PFM-114"/>
    <hyperlink ref="D59" r:id="rId56" display="https://webgate.ec.europa.eu/CITnet/jira/browse/PFM-110"/>
    <hyperlink ref="D60" r:id="rId57" display="https://webgate.ec.europa.eu/CITnet/jira/browse/PFM-92"/>
    <hyperlink ref="D61" r:id="rId58" display="https://webgate.ec.europa.eu/CITnet/jira/browse/PFM-91"/>
    <hyperlink ref="D62" r:id="rId59" display="https://webgate.ec.europa.eu/CITnet/jira/browse/PFM-87"/>
    <hyperlink ref="D63" r:id="rId60" display="https://webgate.ec.europa.eu/CITnet/jira/browse/PFM-82"/>
    <hyperlink ref="D64" r:id="rId61" display="https://webgate.ec.europa.eu/CITnet/jira/browse/PFM-81"/>
    <hyperlink ref="D65" r:id="rId62" display="https://webgate.ec.europa.eu/CITnet/jira/browse/PFM-73"/>
    <hyperlink ref="D66" r:id="rId63" display="https://webgate.ec.europa.eu/CITnet/jira/browse/PFM-71"/>
    <hyperlink ref="D67" r:id="rId64" display="https://webgate.ec.europa.eu/CITnet/jira/browse/PFM-69"/>
    <hyperlink ref="D68" r:id="rId65" display="https://webgate.ec.europa.eu/CITnet/jira/browse/PFM-68"/>
    <hyperlink ref="D69" r:id="rId66" display="https://webgate.ec.europa.eu/CITnet/jira/browse/PFM-64"/>
    <hyperlink ref="D70" r:id="rId67" display="https://webgate.ec.europa.eu/CITnet/jira/browse/PFM-63"/>
    <hyperlink ref="D71" r:id="rId68" display="https://webgate.ec.europa.eu/CITnet/jira/browse/PFM-59"/>
    <hyperlink ref="D72" r:id="rId69" display="https://webgate.ec.europa.eu/CITnet/jira/browse/PFM-56"/>
    <hyperlink ref="D73" r:id="rId70" display="https://webgate.ec.europa.eu/CITnet/jira/browse/PFM-54"/>
    <hyperlink ref="D74" r:id="rId71" display="https://webgate.ec.europa.eu/CITnet/jira/browse/PFM-53"/>
    <hyperlink ref="D75" r:id="rId72" display="https://webgate.ec.europa.eu/CITnet/jira/browse/PFM-52"/>
    <hyperlink ref="D76" r:id="rId73" display="https://webgate.ec.europa.eu/CITnet/jira/browse/PFM-51"/>
    <hyperlink ref="D77" r:id="rId74" display="https://webgate.ec.europa.eu/CITnet/jira/browse/PFM-50"/>
    <hyperlink ref="D78" r:id="rId75" display="https://webgate.ec.europa.eu/CITnet/jira/browse/PFM-49"/>
    <hyperlink ref="D79" r:id="rId76" display="https://webgate.ec.europa.eu/CITnet/jira/browse/PFM-8"/>
    <hyperlink ref="D80" r:id="rId77" display="https://webgate.ec.europa.eu/CITnet/jira/browse/INTERCOM-89"/>
    <hyperlink ref="D81" r:id="rId78" display="https://webgate.ec.europa.eu/CITnet/jira/browse/INTERCOM-83"/>
    <hyperlink ref="D82" r:id="rId79" display="https://webgate.ec.europa.eu/CITnet/jira/browse/INTERCOM-79"/>
    <hyperlink ref="D83" r:id="rId80" display="https://webgate.ec.europa.eu/CITnet/jira/browse/INTERCOM-78"/>
    <hyperlink ref="D84" r:id="rId81" display="https://webgate.ec.europa.eu/CITnet/jira/browse/INTERCOM-77"/>
    <hyperlink ref="D85" r:id="rId82" display="https://webgate.ec.europa.eu/CITnet/jira/browse/INTERCOM-74"/>
    <hyperlink ref="D86" r:id="rId83" display="https://webgate.ec.europa.eu/CITnet/jira/browse/INTERCOM-73"/>
    <hyperlink ref="D87" r:id="rId84" display="https://webgate.ec.europa.eu/CITnet/jira/browse/INTERCOM-70"/>
    <hyperlink ref="D88" r:id="rId85" display="https://webgate.ec.europa.eu/CITnet/jira/browse/INTERCOM-67"/>
    <hyperlink ref="D89" r:id="rId86" display="https://webgate.ec.europa.eu/CITnet/jira/browse/INTERCOM-66"/>
    <hyperlink ref="D90" r:id="rId87" display="https://webgate.ec.europa.eu/CITnet/jira/browse/INTERCOM-65"/>
    <hyperlink ref="D91" r:id="rId88" display="https://webgate.ec.europa.eu/CITnet/jira/browse/INTERCOM-64"/>
    <hyperlink ref="D92" r:id="rId89" display="https://webgate.ec.europa.eu/CITnet/jira/browse/INTERCOM-60"/>
    <hyperlink ref="D93" r:id="rId90" display="https://webgate.ec.europa.eu/CITnet/jira/browse/INTERCOM-58"/>
    <hyperlink ref="D94" r:id="rId91" display="https://webgate.ec.europa.eu/CITnet/jira/browse/INTERCOM-57"/>
    <hyperlink ref="D95" r:id="rId92" display="https://webgate.ec.europa.eu/CITnet/jira/browse/INTERCOM-56"/>
    <hyperlink ref="D96" r:id="rId93" display="https://webgate.ec.europa.eu/CITnet/jira/browse/INTERCOM-53"/>
    <hyperlink ref="D97" r:id="rId94" display="https://webgate.ec.europa.eu/CITnet/jira/browse/INTERCOM-43"/>
    <hyperlink ref="D98" r:id="rId95" display="https://webgate.ec.europa.eu/CITnet/jira/browse/INTERCOM-41"/>
    <hyperlink ref="D99" r:id="rId96" display="https://webgate.ec.europa.eu/CITnet/jira/browse/INTERCOM-36"/>
    <hyperlink ref="D100" r:id="rId97" display="https://webgate.ec.europa.eu/CITnet/jira/browse/COMPASS-299"/>
    <hyperlink ref="D101" r:id="rId98" display="https://webgate.ec.europa.eu/CITnet/jira/browse/COMPASS-298"/>
    <hyperlink ref="D102" r:id="rId99" display="https://webgate.ec.europa.eu/CITnet/jira/browse/COMPASS-293"/>
    <hyperlink ref="D103" r:id="rId100" display="https://webgate.ec.europa.eu/CITnet/jira/browse/COMPASS-284"/>
    <hyperlink ref="D104" r:id="rId101" display="https://webgate.ec.europa.eu/CITnet/jira/browse/COMPASS-283"/>
    <hyperlink ref="D105" r:id="rId102" display="https://webgate.ec.europa.eu/CITnet/jira/browse/COMPASS-282"/>
    <hyperlink ref="D106" r:id="rId103" display="https://webgate.ec.europa.eu/CITnet/jira/browse/COMPASS-281"/>
    <hyperlink ref="D107" r:id="rId104" display="https://webgate.ec.europa.eu/CITnet/jira/browse/COMPASS-279"/>
    <hyperlink ref="D108" r:id="rId105" display="https://webgate.ec.europa.eu/CITnet/jira/browse/COMPASS-278"/>
    <hyperlink ref="D109" r:id="rId106" display="https://webgate.ec.europa.eu/CITnet/jira/browse/COMPASS-277"/>
    <hyperlink ref="D110" r:id="rId107" display="https://webgate.ec.europa.eu/CITnet/jira/browse/COMPASS-276"/>
    <hyperlink ref="D111" r:id="rId108" display="https://webgate.ec.europa.eu/CITnet/jira/browse/COMPASS-274"/>
    <hyperlink ref="D112" r:id="rId109" display="https://webgate.ec.europa.eu/CITnet/jira/browse/COMPASS-248"/>
    <hyperlink ref="D113" r:id="rId110" display="https://webgate.ec.europa.eu/CITnet/jira/browse/COMPASS-247"/>
    <hyperlink ref="D114" r:id="rId111" display="https://webgate.ec.europa.eu/CITnet/jira/browse/COMPASS-246"/>
    <hyperlink ref="D115" r:id="rId112" display="https://webgate.ec.europa.eu/CITnet/jira/browse/COMPASS-245"/>
    <hyperlink ref="D116" r:id="rId113" display="https://webgate.ec.europa.eu/CITnet/jira/browse/COMPASS-244"/>
    <hyperlink ref="D117" r:id="rId114" display="https://webgate.ec.europa.eu/CITnet/jira/browse/COMPASS-243"/>
    <hyperlink ref="D118" r:id="rId115" display="https://webgate.ec.europa.eu/CITnet/jira/browse/COMPASS-242"/>
    <hyperlink ref="D119" r:id="rId116" display="https://webgate.ec.europa.eu/CITnet/jira/browse/COMPASS-241"/>
    <hyperlink ref="D120" r:id="rId117" display="https://webgate.ec.europa.eu/CITnet/jira/browse/COMPASS-240"/>
    <hyperlink ref="D121" r:id="rId118" display="https://webgate.ec.europa.eu/CITnet/jira/browse/COMPASS-223"/>
    <hyperlink ref="D122" r:id="rId119" display="https://webgate.ec.europa.eu/CITnet/jira/browse/COMPASS-210"/>
    <hyperlink ref="D123" r:id="rId120" display="https://webgate.ec.europa.eu/CITnet/jira/browse/COMPASS-208"/>
    <hyperlink ref="D124" r:id="rId121" display="https://webgate.ec.europa.eu/CITnet/jira/browse/COMPASS-206"/>
    <hyperlink ref="D125" r:id="rId122" display="https://webgate.ec.europa.eu/CITnet/jira/browse/COMPASS-202"/>
    <hyperlink ref="D126" r:id="rId123" display="https://webgate.ec.europa.eu/CITnet/jira/browse/COMPASS-201"/>
    <hyperlink ref="D127" r:id="rId124" display="https://webgate.ec.europa.eu/CITnet/jira/browse/CCTASK-593"/>
    <hyperlink ref="D128" r:id="rId125" display="https://webgate.ec.europa.eu/CITnet/jira/browse/CCTASK-592"/>
    <hyperlink ref="D129" r:id="rId126" display="https://webgate.ec.europa.eu/CITnet/jira/browse/CCTASK-591"/>
    <hyperlink ref="D130" r:id="rId127" display="https://webgate.ec.europa.eu/CITnet/jira/browse/CCTASK-590"/>
    <hyperlink ref="D131" r:id="rId128" display="https://webgate.ec.europa.eu/CITnet/jira/browse/CCTASK-584"/>
    <hyperlink ref="D132" r:id="rId129" display="https://webgate.ec.europa.eu/CITnet/jira/browse/CCTASK-581"/>
    <hyperlink ref="D133" r:id="rId130" display="https://webgate.ec.europa.eu/CITnet/jira/browse/CCTASK-567"/>
    <hyperlink ref="D134" r:id="rId131" display="https://webgate.ec.europa.eu/CITnet/jira/browse/CCTASK-564"/>
    <hyperlink ref="D135" r:id="rId132" display="https://webgate.ec.europa.eu/CITnet/jira/browse/CCTASK-563"/>
    <hyperlink ref="D136" r:id="rId133" display="https://webgate.ec.europa.eu/CITnet/jira/browse/CCTASK-562"/>
    <hyperlink ref="D137" r:id="rId134" display="https://webgate.ec.europa.eu/CITnet/jira/browse/CCTASK-561"/>
    <hyperlink ref="D138" r:id="rId135" display="https://webgate.ec.europa.eu/CITnet/jira/browse/CCTASK-553"/>
    <hyperlink ref="D139" r:id="rId136" display="https://webgate.ec.europa.eu/CITnet/jira/browse/CCTASK-552"/>
    <hyperlink ref="D140" r:id="rId137" display="https://webgate.ec.europa.eu/CITnet/jira/browse/CCTASK-551"/>
    <hyperlink ref="D141" r:id="rId138" display="https://webgate.ec.europa.eu/CITnet/jira/browse/CCTASK-550"/>
    <hyperlink ref="D142" r:id="rId139" display="https://webgate.ec.europa.eu/CITnet/jira/browse/CCTASK-547"/>
    <hyperlink ref="D143" r:id="rId140" display="https://webgate.ec.europa.eu/CITnet/jira/browse/CCTASK-540"/>
    <hyperlink ref="D144" r:id="rId141" display="https://webgate.ec.europa.eu/CITnet/jira/browse/CCTASK-538"/>
    <hyperlink ref="D145" r:id="rId142" display="https://webgate.ec.europa.eu/CITnet/jira/browse/CCTASK-536"/>
    <hyperlink ref="D146" r:id="rId143" display="https://webgate.ec.europa.eu/CITnet/jira/browse/CCTASK-522"/>
    <hyperlink ref="D147" r:id="rId144" display="https://webgate.ec.europa.eu/CITnet/jira/browse/CCTASK-512"/>
    <hyperlink ref="D148" r:id="rId145" display="https://webgate.ec.europa.eu/CITnet/jira/browse/CCTASK-455"/>
    <hyperlink ref="D149" r:id="rId146" display="https://webgate.ec.europa.eu/CITnet/jira/browse/CCTASK-423"/>
    <hyperlink ref="D150" r:id="rId147" display="https://webgate.ec.europa.eu/CITnet/jira/browse/CCTASK-291"/>
    <hyperlink ref="D151" r:id="rId148" display="https://webgate.ec.europa.eu/CITnet/jira/browse/CCPMO-119"/>
    <hyperlink ref="D152" r:id="rId149" display="https://webgate.ec.europa.eu/CITnet/jira/browse/CCPMO-111"/>
    <hyperlink ref="D153" r:id="rId150" display="https://webgate.ec.europa.eu/CITnet/jira/browse/CCPMO-103"/>
    <hyperlink ref="D154" r:id="rId151" display="https://webgate.ec.europa.eu/CITnet/jira/browse/CCPMO-95"/>
    <hyperlink ref="D155" r:id="rId152" display="https://webgate.ec.europa.eu/CITnet/jira/browse/CCPMO-87"/>
    <hyperlink ref="D156" r:id="rId153" display="https://webgate.ec.europa.eu/CITnet/jira/browse/CCPMO-79"/>
    <hyperlink ref="D157" r:id="rId154" display="https://webgate.ec.europa.eu/CITnet/jira/browse/CCPMO-62"/>
    <hyperlink ref="D158" r:id="rId155" display="https://webgate.ec.europa.eu/CITnet/jira/browse/CCPMO-59"/>
    <hyperlink ref="D159" r:id="rId156" display="https://webgate.ec.europa.eu/CITnet/jira/browse/CCPMO-58"/>
    <hyperlink ref="D160" r:id="rId157" display="https://webgate.ec.europa.eu/CITnet/jira/browse/CCPMO-46"/>
    <hyperlink ref="D161" r:id="rId158" display="https://webgate.ec.europa.eu/CITnet/jira/browse/CCDOCLIST-190"/>
    <hyperlink ref="D162" r:id="rId159" display="https://webgate.ec.europa.eu/CITnet/jira/browse/CCDOCLIST-186"/>
    <hyperlink ref="D163" r:id="rId160" display="https://webgate.ec.europa.eu/CITnet/jira/browse/CCDOCLIST-184"/>
    <hyperlink ref="D164" r:id="rId161" display="https://webgate.ec.europa.eu/CITnet/jira/browse/CCDOCLIST-183"/>
    <hyperlink ref="D165" r:id="rId162" display="https://webgate.ec.europa.eu/CITnet/jira/browse/CCDOCLIST-173"/>
    <hyperlink ref="D166" r:id="rId163" display="https://webgate.ec.europa.eu/CITnet/jira/browse/CCDOCLIST-172"/>
    <hyperlink ref="D167" r:id="rId164" display="https://webgate.ec.europa.eu/CITnet/jira/browse/CCDOCLIST-171"/>
    <hyperlink ref="D168" r:id="rId165" display="https://webgate.ec.europa.eu/CITnet/jira/browse/CCDOCLIST-169"/>
    <hyperlink ref="D169" r:id="rId166" display="https://webgate.ec.europa.eu/CITnet/jira/browse/CCDOCLIST-167"/>
    <hyperlink ref="D170" r:id="rId167" display="https://webgate.ec.europa.eu/CITnet/jira/browse/CCDOCLIST-166"/>
    <hyperlink ref="D171" r:id="rId168" display="https://webgate.ec.europa.eu/CITnet/jira/browse/CCDOCLIST-163"/>
    <hyperlink ref="D172" r:id="rId169" display="https://webgate.ec.europa.eu/CITnet/jira/browse/CCDOCLIST-161"/>
    <hyperlink ref="D173" r:id="rId170" display="https://webgate.ec.europa.eu/CITnet/jira/browse/CCDOCLIST-159"/>
    <hyperlink ref="D174" r:id="rId171" display="https://webgate.ec.europa.eu/CITnet/jira/browse/CCDOCLIST-149"/>
    <hyperlink ref="D175" r:id="rId172" display="https://webgate.ec.europa.eu/CITnet/jira/browse/CCDOCLIST-142"/>
    <hyperlink ref="D176" r:id="rId173" display="https://webgate.ec.europa.eu/CITnet/jira/browse/CCDOCLIST-122"/>
    <hyperlink ref="D177" r:id="rId174" display="https://webgate.ec.europa.eu/CITnet/jira/browse/CCDOCLIST-121"/>
    <hyperlink ref="D178" r:id="rId175" display="https://webgate.ec.europa.eu/CITnet/jira/browse/CCDOCLIST-117"/>
    <hyperlink ref="D179" r:id="rId176" display="https://webgate.ec.europa.eu/CITnet/jira/browse/CCDOCLIST-63"/>
    <hyperlink ref="D180" r:id="rId177" display="https://webgate.ec.europa.eu/CITnet/jira/browse/CCDOCLIST-62"/>
    <hyperlink ref="D181" r:id="rId178" display="https://webgate.ec.europa.eu/CITnet/jira/browse/CCADMIN-56"/>
    <hyperlink ref="D182" r:id="rId179" display="https://webgate.ec.europa.eu/CITnet/jira/browse/CCADMIN-53"/>
    <hyperlink ref="D183" r:id="rId180" display="https://webgate.ec.europa.eu/CITnet/jira/browse/CCADMIN-52"/>
    <hyperlink ref="D184" r:id="rId181" display="https://webgate.ec.europa.eu/CITnet/jira/browse/CCADMIN-51"/>
    <hyperlink ref="D185" r:id="rId182" display="https://webgate.ec.europa.eu/CITnet/jira/browse/CCADMIN-48"/>
    <hyperlink ref="D186" r:id="rId183" display="https://webgate.ec.europa.eu/CITnet/jira/browse/CCADMIN-47"/>
    <hyperlink ref="D187" r:id="rId184" display="https://webgate.ec.europa.eu/CITnet/jira/browse/CCADMIN-46"/>
    <hyperlink ref="D188" r:id="rId185" display="https://webgate.ec.europa.eu/CITnet/jira/browse/CCADMIN-45"/>
    <hyperlink ref="D189" r:id="rId186" display="https://webgate.ec.europa.eu/CITnet/jira/browse/CCADMIN-43"/>
    <hyperlink ref="D190" r:id="rId187" display="https://webgate.ec.europa.eu/CITnet/jira/browse/CCADMIN-16"/>
    <hyperlink ref="D191" r:id="rId188" display="https://webgate.ec.europa.eu/CITnet/jira/browse/CCADMIN-15"/>
    <hyperlink ref="D192" r:id="rId189" display="https://webgate.ec.europa.eu/CITnet/jira/browse/CCADMIN-14"/>
    <hyperlink ref="D193" r:id="rId190" display="https://webgate.ec.europa.eu/CITnet/jira/browse/CCADMIN-13"/>
    <hyperlink ref="D194" r:id="rId191" display="https://webgate.ec.europa.eu/CITnet/jira/browse/CCADMIN-12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1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57"/>
  <sheetViews>
    <sheetView workbookViewId="0">
      <selection activeCell="E14" sqref="E14"/>
    </sheetView>
  </sheetViews>
  <sheetFormatPr defaultRowHeight="12" x14ac:dyDescent="0.2"/>
  <cols>
    <col min="1" max="1" width="11.25" style="30" bestFit="1" customWidth="1"/>
    <col min="2" max="2" width="18" style="30" bestFit="1" customWidth="1"/>
    <col min="3" max="3" width="32" style="30" bestFit="1" customWidth="1"/>
    <col min="4" max="4" width="13.25" style="30" bestFit="1" customWidth="1"/>
    <col min="5" max="5" width="31.125" style="30" bestFit="1" customWidth="1"/>
    <col min="6" max="6" width="32" style="30" bestFit="1" customWidth="1"/>
    <col min="7" max="7" width="11.75" style="30" bestFit="1" customWidth="1"/>
    <col min="8" max="8" width="9" style="30" bestFit="1" customWidth="1"/>
    <col min="9" max="9" width="17.875" style="30" bestFit="1" customWidth="1"/>
    <col min="10" max="10" width="20.375" style="30" bestFit="1" customWidth="1"/>
    <col min="11" max="11" width="8.5" style="30" bestFit="1" customWidth="1"/>
    <col min="12" max="12" width="14.125" style="30" bestFit="1" customWidth="1"/>
    <col min="13" max="13" width="14.625" style="30" bestFit="1" customWidth="1"/>
    <col min="14" max="14" width="14.5" style="30" bestFit="1" customWidth="1"/>
    <col min="15" max="15" width="32" style="30" bestFit="1" customWidth="1"/>
    <col min="16" max="16384" width="9" style="30"/>
  </cols>
  <sheetData>
    <row r="1" spans="1:15" ht="27" customHeight="1" x14ac:dyDescent="0.2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2"/>
    </row>
    <row r="2" spans="1:15" ht="15" customHeight="1" x14ac:dyDescent="0.2">
      <c r="A2" s="41" t="s">
        <v>426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53" t="s">
        <v>794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5"/>
    </row>
    <row r="4" spans="1:15" ht="15" x14ac:dyDescent="0.2">
      <c r="A4" s="31" t="s">
        <v>4</v>
      </c>
      <c r="B4" s="31" t="s">
        <v>5</v>
      </c>
      <c r="C4" s="31" t="s">
        <v>54</v>
      </c>
      <c r="D4" s="31" t="s">
        <v>6</v>
      </c>
      <c r="E4" s="31" t="s">
        <v>7</v>
      </c>
      <c r="F4" s="31" t="s">
        <v>53</v>
      </c>
      <c r="G4" s="31" t="s">
        <v>8</v>
      </c>
      <c r="H4" s="31" t="s">
        <v>427</v>
      </c>
      <c r="I4" s="31" t="s">
        <v>429</v>
      </c>
      <c r="J4" s="31" t="s">
        <v>428</v>
      </c>
      <c r="K4" s="31" t="s">
        <v>9</v>
      </c>
      <c r="L4" s="31" t="s">
        <v>10</v>
      </c>
      <c r="M4" s="31" t="s">
        <v>52</v>
      </c>
      <c r="N4" s="31" t="s">
        <v>51</v>
      </c>
      <c r="O4" s="31" t="s">
        <v>11</v>
      </c>
    </row>
    <row r="5" spans="1:15" ht="85.5" x14ac:dyDescent="0.2">
      <c r="A5" s="32" t="s">
        <v>18</v>
      </c>
      <c r="B5" s="32" t="s">
        <v>25</v>
      </c>
      <c r="C5" s="33" t="s">
        <v>68</v>
      </c>
      <c r="D5" s="20" t="s">
        <v>69</v>
      </c>
      <c r="E5" s="33" t="s">
        <v>70</v>
      </c>
      <c r="F5" s="33" t="s">
        <v>71</v>
      </c>
      <c r="G5" s="33"/>
      <c r="H5" s="33"/>
      <c r="I5" s="33">
        <v>28800</v>
      </c>
      <c r="J5" s="33">
        <v>28800</v>
      </c>
      <c r="K5" s="33"/>
      <c r="L5" s="33"/>
      <c r="M5" s="33"/>
      <c r="N5" s="33"/>
      <c r="O5" s="33" t="s">
        <v>72</v>
      </c>
    </row>
    <row r="6" spans="1:15" ht="28.5" x14ac:dyDescent="0.2">
      <c r="A6" s="32" t="s">
        <v>18</v>
      </c>
      <c r="B6" s="32" t="s">
        <v>15</v>
      </c>
      <c r="C6" s="33" t="s">
        <v>81</v>
      </c>
      <c r="D6" s="20" t="s">
        <v>82</v>
      </c>
      <c r="E6" s="33" t="s">
        <v>70</v>
      </c>
      <c r="F6" s="33" t="s">
        <v>83</v>
      </c>
      <c r="G6" s="33"/>
      <c r="H6" s="33"/>
      <c r="I6" s="33"/>
      <c r="J6" s="33"/>
      <c r="K6" s="33"/>
      <c r="L6" s="33"/>
      <c r="M6" s="33"/>
      <c r="N6" s="33"/>
      <c r="O6" s="33" t="s">
        <v>84</v>
      </c>
    </row>
    <row r="7" spans="1:15" ht="28.5" x14ac:dyDescent="0.2">
      <c r="A7" s="32" t="s">
        <v>18</v>
      </c>
      <c r="B7" s="32" t="s">
        <v>19</v>
      </c>
      <c r="C7" s="33" t="s">
        <v>115</v>
      </c>
      <c r="D7" s="20" t="s">
        <v>110</v>
      </c>
      <c r="E7" s="33" t="s">
        <v>70</v>
      </c>
      <c r="F7" s="33" t="s">
        <v>114</v>
      </c>
      <c r="G7" s="33"/>
      <c r="H7" s="33"/>
      <c r="I7" s="33"/>
      <c r="J7" s="33"/>
      <c r="K7" s="33"/>
      <c r="L7" s="33"/>
      <c r="M7" s="33"/>
      <c r="N7" s="33"/>
      <c r="O7" s="33" t="s">
        <v>116</v>
      </c>
    </row>
    <row r="8" spans="1:15" ht="28.5" x14ac:dyDescent="0.2">
      <c r="A8" s="32" t="s">
        <v>18</v>
      </c>
      <c r="B8" s="32" t="s">
        <v>20</v>
      </c>
      <c r="C8" s="33" t="s">
        <v>117</v>
      </c>
      <c r="D8" s="20" t="s">
        <v>118</v>
      </c>
      <c r="E8" s="33" t="s">
        <v>70</v>
      </c>
      <c r="F8" s="33" t="s">
        <v>114</v>
      </c>
      <c r="G8" s="33">
        <v>10</v>
      </c>
      <c r="H8" s="33"/>
      <c r="I8" s="33"/>
      <c r="J8" s="33"/>
      <c r="K8" s="33"/>
      <c r="L8" s="33"/>
      <c r="M8" s="33"/>
      <c r="N8" s="33"/>
      <c r="O8" s="33" t="s">
        <v>119</v>
      </c>
    </row>
    <row r="9" spans="1:15" ht="42.75" x14ac:dyDescent="0.2">
      <c r="A9" s="32" t="s">
        <v>18</v>
      </c>
      <c r="B9" s="32" t="s">
        <v>20</v>
      </c>
      <c r="C9" s="33" t="s">
        <v>120</v>
      </c>
      <c r="D9" s="20" t="s">
        <v>121</v>
      </c>
      <c r="E9" s="33" t="s">
        <v>113</v>
      </c>
      <c r="F9" s="33" t="s">
        <v>114</v>
      </c>
      <c r="G9" s="33"/>
      <c r="H9" s="33"/>
      <c r="I9" s="33"/>
      <c r="J9" s="33"/>
      <c r="K9" s="33"/>
      <c r="L9" s="33"/>
      <c r="M9" s="33"/>
      <c r="N9" s="33"/>
      <c r="O9" s="33" t="s">
        <v>122</v>
      </c>
    </row>
    <row r="10" spans="1:15" ht="42.75" x14ac:dyDescent="0.2">
      <c r="A10" s="32" t="s">
        <v>24</v>
      </c>
      <c r="B10" s="32" t="s">
        <v>19</v>
      </c>
      <c r="C10" s="33" t="s">
        <v>210</v>
      </c>
      <c r="D10" s="20" t="s">
        <v>211</v>
      </c>
      <c r="E10" s="33" t="s">
        <v>70</v>
      </c>
      <c r="F10" s="33" t="s">
        <v>212</v>
      </c>
      <c r="G10" s="33"/>
      <c r="H10" s="33"/>
      <c r="I10" s="33"/>
      <c r="J10" s="33"/>
      <c r="K10" s="33"/>
      <c r="L10" s="33"/>
      <c r="M10" s="33"/>
      <c r="N10" s="33"/>
      <c r="O10" s="33" t="s">
        <v>213</v>
      </c>
    </row>
    <row r="11" spans="1:15" ht="28.5" x14ac:dyDescent="0.2">
      <c r="A11" s="32" t="s">
        <v>18</v>
      </c>
      <c r="B11" s="32" t="s">
        <v>20</v>
      </c>
      <c r="C11" s="33" t="s">
        <v>214</v>
      </c>
      <c r="D11" s="20" t="s">
        <v>215</v>
      </c>
      <c r="E11" s="33" t="s">
        <v>70</v>
      </c>
      <c r="F11" s="33" t="s">
        <v>212</v>
      </c>
      <c r="G11" s="33">
        <v>8</v>
      </c>
      <c r="H11" s="33"/>
      <c r="I11" s="33"/>
      <c r="J11" s="33"/>
      <c r="K11" s="33"/>
      <c r="L11" s="33">
        <v>10</v>
      </c>
      <c r="M11" s="33"/>
      <c r="N11" s="33">
        <v>5</v>
      </c>
      <c r="O11" s="33" t="s">
        <v>216</v>
      </c>
    </row>
    <row r="12" spans="1:15" ht="28.5" x14ac:dyDescent="0.2">
      <c r="A12" s="32" t="s">
        <v>18</v>
      </c>
      <c r="B12" s="32" t="s">
        <v>23</v>
      </c>
      <c r="C12" s="33" t="s">
        <v>217</v>
      </c>
      <c r="D12" s="20" t="s">
        <v>218</v>
      </c>
      <c r="E12" s="33" t="s">
        <v>70</v>
      </c>
      <c r="F12" s="33" t="s">
        <v>219</v>
      </c>
      <c r="G12" s="33"/>
      <c r="H12" s="33"/>
      <c r="I12" s="33"/>
      <c r="J12" s="33"/>
      <c r="K12" s="33"/>
      <c r="L12" s="33"/>
      <c r="M12" s="33"/>
      <c r="N12" s="33"/>
      <c r="O12" s="33" t="s">
        <v>220</v>
      </c>
    </row>
    <row r="13" spans="1:15" ht="28.5" x14ac:dyDescent="0.2">
      <c r="A13" s="32" t="s">
        <v>18</v>
      </c>
      <c r="B13" s="32" t="s">
        <v>15</v>
      </c>
      <c r="C13" s="33" t="s">
        <v>221</v>
      </c>
      <c r="D13" s="20" t="s">
        <v>222</v>
      </c>
      <c r="E13" s="33" t="s">
        <v>70</v>
      </c>
      <c r="F13" s="33" t="s">
        <v>219</v>
      </c>
      <c r="G13" s="33">
        <v>8</v>
      </c>
      <c r="H13" s="33"/>
      <c r="I13" s="33">
        <v>7200</v>
      </c>
      <c r="J13" s="33">
        <v>7200</v>
      </c>
      <c r="K13" s="33"/>
      <c r="L13" s="33"/>
      <c r="M13" s="33"/>
      <c r="N13" s="33"/>
      <c r="O13" s="33" t="s">
        <v>223</v>
      </c>
    </row>
    <row r="14" spans="1:15" ht="28.5" x14ac:dyDescent="0.2">
      <c r="A14" s="32" t="s">
        <v>18</v>
      </c>
      <c r="B14" s="32" t="s">
        <v>15</v>
      </c>
      <c r="C14" s="33" t="s">
        <v>224</v>
      </c>
      <c r="D14" s="20" t="s">
        <v>225</v>
      </c>
      <c r="E14" s="33" t="s">
        <v>70</v>
      </c>
      <c r="F14" s="33" t="s">
        <v>219</v>
      </c>
      <c r="G14" s="33"/>
      <c r="H14" s="33"/>
      <c r="I14" s="33"/>
      <c r="J14" s="33"/>
      <c r="K14" s="33"/>
      <c r="L14" s="33"/>
      <c r="M14" s="33"/>
      <c r="N14" s="33"/>
      <c r="O14" s="33" t="s">
        <v>226</v>
      </c>
    </row>
    <row r="15" spans="1:15" ht="28.5" x14ac:dyDescent="0.2">
      <c r="A15" s="32" t="s">
        <v>18</v>
      </c>
      <c r="B15" s="32" t="s">
        <v>15</v>
      </c>
      <c r="C15" s="33" t="s">
        <v>227</v>
      </c>
      <c r="D15" s="20" t="s">
        <v>228</v>
      </c>
      <c r="E15" s="33" t="s">
        <v>70</v>
      </c>
      <c r="F15" s="33" t="s">
        <v>219</v>
      </c>
      <c r="G15" s="33">
        <v>8</v>
      </c>
      <c r="H15" s="33"/>
      <c r="I15" s="33"/>
      <c r="J15" s="33"/>
      <c r="K15" s="33"/>
      <c r="L15" s="33"/>
      <c r="M15" s="33"/>
      <c r="N15" s="33"/>
      <c r="O15" s="33" t="s">
        <v>229</v>
      </c>
    </row>
    <row r="16" spans="1:15" ht="15" x14ac:dyDescent="0.2">
      <c r="A16" s="32" t="s">
        <v>18</v>
      </c>
      <c r="B16" s="32" t="s">
        <v>22</v>
      </c>
      <c r="C16" s="33" t="s">
        <v>271</v>
      </c>
      <c r="D16" s="20" t="s">
        <v>272</v>
      </c>
      <c r="E16" s="33" t="s">
        <v>70</v>
      </c>
      <c r="F16" s="33" t="s">
        <v>273</v>
      </c>
      <c r="G16" s="33"/>
      <c r="H16" s="33"/>
      <c r="I16" s="33"/>
      <c r="J16" s="33"/>
      <c r="K16" s="33"/>
      <c r="L16" s="33"/>
      <c r="M16" s="33"/>
      <c r="N16" s="33"/>
      <c r="O16" s="33" t="s">
        <v>274</v>
      </c>
    </row>
    <row r="17" spans="1:15" ht="15" x14ac:dyDescent="0.2">
      <c r="A17" s="32" t="s">
        <v>18</v>
      </c>
      <c r="B17" s="32" t="s">
        <v>15</v>
      </c>
      <c r="C17" s="33" t="s">
        <v>275</v>
      </c>
      <c r="D17" s="20" t="s">
        <v>276</v>
      </c>
      <c r="E17" s="33" t="s">
        <v>70</v>
      </c>
      <c r="F17" s="33" t="s">
        <v>277</v>
      </c>
      <c r="G17" s="33"/>
      <c r="H17" s="33"/>
      <c r="I17" s="33"/>
      <c r="J17" s="33"/>
      <c r="K17" s="33"/>
      <c r="L17" s="33"/>
      <c r="M17" s="33"/>
      <c r="N17" s="33"/>
      <c r="O17" s="33" t="s">
        <v>278</v>
      </c>
    </row>
    <row r="18" spans="1:15" ht="28.5" x14ac:dyDescent="0.2">
      <c r="A18" s="32" t="s">
        <v>18</v>
      </c>
      <c r="B18" s="32" t="s">
        <v>15</v>
      </c>
      <c r="C18" s="33" t="s">
        <v>279</v>
      </c>
      <c r="D18" s="20" t="s">
        <v>280</v>
      </c>
      <c r="E18" s="33" t="s">
        <v>113</v>
      </c>
      <c r="F18" s="33" t="s">
        <v>277</v>
      </c>
      <c r="G18" s="33"/>
      <c r="H18" s="33"/>
      <c r="I18" s="33"/>
      <c r="J18" s="33"/>
      <c r="K18" s="33"/>
      <c r="L18" s="33"/>
      <c r="M18" s="33"/>
      <c r="N18" s="33"/>
      <c r="O18" s="33" t="s">
        <v>281</v>
      </c>
    </row>
    <row r="19" spans="1:15" ht="15" x14ac:dyDescent="0.2">
      <c r="A19" s="32" t="s">
        <v>18</v>
      </c>
      <c r="B19" s="32" t="s">
        <v>20</v>
      </c>
      <c r="C19" s="33" t="s">
        <v>282</v>
      </c>
      <c r="D19" s="20" t="s">
        <v>283</v>
      </c>
      <c r="E19" s="33" t="s">
        <v>70</v>
      </c>
      <c r="F19" s="33" t="s">
        <v>277</v>
      </c>
      <c r="G19" s="33"/>
      <c r="H19" s="33"/>
      <c r="I19" s="33"/>
      <c r="J19" s="33"/>
      <c r="K19" s="33"/>
      <c r="L19" s="33"/>
      <c r="M19" s="33"/>
      <c r="N19" s="33"/>
      <c r="O19" s="33" t="s">
        <v>284</v>
      </c>
    </row>
    <row r="20" spans="1:15" ht="42.75" x14ac:dyDescent="0.2">
      <c r="A20" s="32" t="s">
        <v>24</v>
      </c>
      <c r="B20" s="32" t="s">
        <v>19</v>
      </c>
      <c r="C20" s="33" t="s">
        <v>285</v>
      </c>
      <c r="D20" s="20" t="s">
        <v>286</v>
      </c>
      <c r="E20" s="33" t="s">
        <v>113</v>
      </c>
      <c r="F20" s="33" t="s">
        <v>287</v>
      </c>
      <c r="G20" s="33"/>
      <c r="H20" s="33"/>
      <c r="I20" s="33"/>
      <c r="J20" s="33"/>
      <c r="K20" s="33"/>
      <c r="L20" s="33"/>
      <c r="M20" s="33"/>
      <c r="N20" s="33"/>
      <c r="O20" s="33" t="s">
        <v>288</v>
      </c>
    </row>
    <row r="21" spans="1:15" ht="42.75" x14ac:dyDescent="0.2">
      <c r="A21" s="32" t="s">
        <v>18</v>
      </c>
      <c r="B21" s="32" t="s">
        <v>19</v>
      </c>
      <c r="C21" s="33" t="s">
        <v>289</v>
      </c>
      <c r="D21" s="20" t="s">
        <v>290</v>
      </c>
      <c r="E21" s="33" t="s">
        <v>70</v>
      </c>
      <c r="F21" s="33" t="s">
        <v>291</v>
      </c>
      <c r="G21" s="33"/>
      <c r="H21" s="33"/>
      <c r="I21" s="33"/>
      <c r="J21" s="33"/>
      <c r="K21" s="33"/>
      <c r="L21" s="33">
        <v>0</v>
      </c>
      <c r="M21" s="33"/>
      <c r="N21" s="33">
        <v>0</v>
      </c>
      <c r="O21" s="33" t="s">
        <v>292</v>
      </c>
    </row>
    <row r="22" spans="1:15" ht="15" x14ac:dyDescent="0.2">
      <c r="A22" s="32" t="s">
        <v>18</v>
      </c>
      <c r="B22" s="32" t="s">
        <v>21</v>
      </c>
      <c r="C22" s="33" t="s">
        <v>293</v>
      </c>
      <c r="D22" s="20" t="s">
        <v>294</v>
      </c>
      <c r="E22" s="33" t="s">
        <v>70</v>
      </c>
      <c r="F22" s="33" t="s">
        <v>291</v>
      </c>
      <c r="G22" s="33"/>
      <c r="H22" s="33"/>
      <c r="I22" s="33"/>
      <c r="J22" s="33"/>
      <c r="K22" s="33"/>
      <c r="L22" s="33"/>
      <c r="M22" s="33"/>
      <c r="N22" s="33"/>
      <c r="O22" s="33" t="s">
        <v>295</v>
      </c>
    </row>
    <row r="23" spans="1:15" ht="28.5" x14ac:dyDescent="0.2">
      <c r="A23" s="32" t="s">
        <v>18</v>
      </c>
      <c r="B23" s="32" t="s">
        <v>20</v>
      </c>
      <c r="C23" s="33" t="s">
        <v>293</v>
      </c>
      <c r="D23" s="20" t="s">
        <v>296</v>
      </c>
      <c r="E23" s="33" t="s">
        <v>70</v>
      </c>
      <c r="F23" s="33" t="s">
        <v>291</v>
      </c>
      <c r="G23" s="33"/>
      <c r="H23" s="33"/>
      <c r="I23" s="33"/>
      <c r="J23" s="33"/>
      <c r="K23" s="33"/>
      <c r="L23" s="33"/>
      <c r="M23" s="33"/>
      <c r="N23" s="33"/>
      <c r="O23" s="33" t="s">
        <v>297</v>
      </c>
    </row>
    <row r="24" spans="1:15" ht="28.5" x14ac:dyDescent="0.2">
      <c r="A24" s="32" t="s">
        <v>24</v>
      </c>
      <c r="B24" s="32" t="s">
        <v>19</v>
      </c>
      <c r="C24" s="33" t="s">
        <v>298</v>
      </c>
      <c r="D24" s="20" t="s">
        <v>299</v>
      </c>
      <c r="E24" s="33" t="s">
        <v>113</v>
      </c>
      <c r="F24" s="33" t="s">
        <v>291</v>
      </c>
      <c r="G24" s="33"/>
      <c r="H24" s="33"/>
      <c r="I24" s="33"/>
      <c r="J24" s="33"/>
      <c r="K24" s="33"/>
      <c r="L24" s="33"/>
      <c r="M24" s="33"/>
      <c r="N24" s="33"/>
      <c r="O24" s="33" t="s">
        <v>300</v>
      </c>
    </row>
    <row r="25" spans="1:15" ht="42.75" x14ac:dyDescent="0.2">
      <c r="A25" s="32" t="s">
        <v>18</v>
      </c>
      <c r="B25" s="32" t="s">
        <v>19</v>
      </c>
      <c r="C25" s="33" t="s">
        <v>301</v>
      </c>
      <c r="D25" s="20" t="s">
        <v>302</v>
      </c>
      <c r="E25" s="33" t="s">
        <v>70</v>
      </c>
      <c r="F25" s="33" t="s">
        <v>291</v>
      </c>
      <c r="G25" s="33"/>
      <c r="H25" s="33"/>
      <c r="I25" s="33"/>
      <c r="J25" s="33"/>
      <c r="K25" s="33"/>
      <c r="L25" s="33"/>
      <c r="M25" s="33"/>
      <c r="N25" s="33"/>
      <c r="O25" s="33" t="s">
        <v>303</v>
      </c>
    </row>
    <row r="26" spans="1:15" ht="28.5" x14ac:dyDescent="0.2">
      <c r="A26" s="32" t="s">
        <v>18</v>
      </c>
      <c r="B26" s="32" t="s">
        <v>19</v>
      </c>
      <c r="C26" s="33" t="s">
        <v>304</v>
      </c>
      <c r="D26" s="20" t="s">
        <v>234</v>
      </c>
      <c r="E26" s="33" t="s">
        <v>70</v>
      </c>
      <c r="F26" s="33" t="s">
        <v>291</v>
      </c>
      <c r="G26" s="33"/>
      <c r="H26" s="33"/>
      <c r="I26" s="33"/>
      <c r="J26" s="33"/>
      <c r="K26" s="33"/>
      <c r="L26" s="33"/>
      <c r="M26" s="33"/>
      <c r="N26" s="33"/>
      <c r="O26" s="33" t="s">
        <v>305</v>
      </c>
    </row>
    <row r="27" spans="1:15" ht="42.75" x14ac:dyDescent="0.2">
      <c r="A27" s="32" t="s">
        <v>18</v>
      </c>
      <c r="B27" s="32" t="s">
        <v>21</v>
      </c>
      <c r="C27" s="33" t="s">
        <v>306</v>
      </c>
      <c r="D27" s="20" t="s">
        <v>307</v>
      </c>
      <c r="E27" s="33" t="s">
        <v>70</v>
      </c>
      <c r="F27" s="33" t="s">
        <v>291</v>
      </c>
      <c r="G27" s="33"/>
      <c r="H27" s="33"/>
      <c r="I27" s="33"/>
      <c r="J27" s="33"/>
      <c r="K27" s="33"/>
      <c r="L27" s="33"/>
      <c r="M27" s="33"/>
      <c r="N27" s="33"/>
      <c r="O27" s="33" t="s">
        <v>308</v>
      </c>
    </row>
    <row r="28" spans="1:15" ht="28.5" x14ac:dyDescent="0.2">
      <c r="A28" s="32" t="s">
        <v>18</v>
      </c>
      <c r="B28" s="32" t="s">
        <v>19</v>
      </c>
      <c r="C28" s="33" t="s">
        <v>309</v>
      </c>
      <c r="D28" s="20" t="s">
        <v>310</v>
      </c>
      <c r="E28" s="33" t="s">
        <v>70</v>
      </c>
      <c r="F28" s="33" t="s">
        <v>291</v>
      </c>
      <c r="G28" s="33"/>
      <c r="H28" s="33"/>
      <c r="I28" s="33"/>
      <c r="J28" s="33"/>
      <c r="K28" s="33"/>
      <c r="L28" s="33"/>
      <c r="M28" s="33"/>
      <c r="N28" s="33"/>
      <c r="O28" s="33" t="s">
        <v>311</v>
      </c>
    </row>
    <row r="29" spans="1:15" ht="28.5" x14ac:dyDescent="0.2">
      <c r="A29" s="32" t="s">
        <v>18</v>
      </c>
      <c r="B29" s="32" t="s">
        <v>20</v>
      </c>
      <c r="C29" s="33" t="s">
        <v>330</v>
      </c>
      <c r="D29" s="20" t="s">
        <v>331</v>
      </c>
      <c r="E29" s="33" t="s">
        <v>70</v>
      </c>
      <c r="F29" s="33"/>
      <c r="G29" s="33"/>
      <c r="H29" s="33"/>
      <c r="I29" s="33"/>
      <c r="J29" s="33"/>
      <c r="K29" s="33"/>
      <c r="L29" s="33"/>
      <c r="M29" s="33"/>
      <c r="N29" s="33"/>
      <c r="O29" s="33" t="s">
        <v>332</v>
      </c>
    </row>
    <row r="30" spans="1:15" ht="15" x14ac:dyDescent="0.2">
      <c r="A30" s="32" t="s">
        <v>18</v>
      </c>
      <c r="B30" s="32" t="s">
        <v>21</v>
      </c>
      <c r="C30" s="33" t="s">
        <v>333</v>
      </c>
      <c r="D30" s="20" t="s">
        <v>329</v>
      </c>
      <c r="E30" s="33" t="s">
        <v>70</v>
      </c>
      <c r="F30" s="33"/>
      <c r="G30" s="33">
        <v>13</v>
      </c>
      <c r="H30" s="33"/>
      <c r="I30" s="33"/>
      <c r="J30" s="33"/>
      <c r="K30" s="33"/>
      <c r="L30" s="33"/>
      <c r="M30" s="33"/>
      <c r="N30" s="33"/>
      <c r="O30" s="33" t="s">
        <v>334</v>
      </c>
    </row>
    <row r="31" spans="1:15" ht="15" x14ac:dyDescent="0.2">
      <c r="A31" s="32" t="s">
        <v>24</v>
      </c>
      <c r="B31" s="32" t="s">
        <v>19</v>
      </c>
      <c r="C31" s="33" t="s">
        <v>335</v>
      </c>
      <c r="D31" s="20" t="s">
        <v>336</v>
      </c>
      <c r="E31" s="33" t="s">
        <v>70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t="15" x14ac:dyDescent="0.2">
      <c r="A32" s="32" t="s">
        <v>24</v>
      </c>
      <c r="B32" s="32" t="s">
        <v>20</v>
      </c>
      <c r="C32" s="33" t="s">
        <v>337</v>
      </c>
      <c r="D32" s="20" t="s">
        <v>250</v>
      </c>
      <c r="E32" s="33" t="s">
        <v>70</v>
      </c>
      <c r="F32" s="33"/>
      <c r="G32" s="33"/>
      <c r="H32" s="33"/>
      <c r="I32" s="33"/>
      <c r="J32" s="33"/>
      <c r="K32" s="33"/>
      <c r="L32" s="33"/>
      <c r="M32" s="33"/>
      <c r="N32" s="33"/>
      <c r="O32" s="33" t="s">
        <v>248</v>
      </c>
    </row>
    <row r="33" spans="1:15" ht="15" x14ac:dyDescent="0.2">
      <c r="A33" s="32" t="s">
        <v>24</v>
      </c>
      <c r="B33" s="32" t="s">
        <v>20</v>
      </c>
      <c r="C33" s="33" t="s">
        <v>338</v>
      </c>
      <c r="D33" s="20" t="s">
        <v>339</v>
      </c>
      <c r="E33" s="33" t="s">
        <v>70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</row>
    <row r="34" spans="1:15" ht="28.5" x14ac:dyDescent="0.2">
      <c r="A34" s="32" t="s">
        <v>18</v>
      </c>
      <c r="B34" s="32" t="s">
        <v>19</v>
      </c>
      <c r="C34" s="33" t="s">
        <v>340</v>
      </c>
      <c r="D34" s="20" t="s">
        <v>341</v>
      </c>
      <c r="E34" s="33" t="s">
        <v>70</v>
      </c>
      <c r="F34" s="33"/>
      <c r="G34" s="33">
        <v>13</v>
      </c>
      <c r="H34" s="33"/>
      <c r="I34" s="33"/>
      <c r="J34" s="33"/>
      <c r="K34" s="33"/>
      <c r="L34" s="33"/>
      <c r="M34" s="33"/>
      <c r="N34" s="33"/>
      <c r="O34" s="33" t="s">
        <v>342</v>
      </c>
    </row>
    <row r="35" spans="1:15" ht="28.5" x14ac:dyDescent="0.2">
      <c r="A35" s="32" t="s">
        <v>18</v>
      </c>
      <c r="B35" s="32" t="s">
        <v>19</v>
      </c>
      <c r="C35" s="33" t="s">
        <v>85</v>
      </c>
      <c r="D35" s="20" t="s">
        <v>88</v>
      </c>
      <c r="E35" s="33" t="s">
        <v>70</v>
      </c>
      <c r="F35" s="33"/>
      <c r="G35" s="33">
        <v>5</v>
      </c>
      <c r="H35" s="33"/>
      <c r="I35" s="33"/>
      <c r="J35" s="33"/>
      <c r="K35" s="33"/>
      <c r="L35" s="33"/>
      <c r="M35" s="33"/>
      <c r="N35" s="33"/>
      <c r="O35" s="33" t="s">
        <v>343</v>
      </c>
    </row>
    <row r="36" spans="1:15" ht="42.75" x14ac:dyDescent="0.2">
      <c r="A36" s="32" t="s">
        <v>18</v>
      </c>
      <c r="B36" s="32" t="s">
        <v>19</v>
      </c>
      <c r="C36" s="33" t="s">
        <v>344</v>
      </c>
      <c r="D36" s="20" t="s">
        <v>96</v>
      </c>
      <c r="E36" s="33" t="s">
        <v>70</v>
      </c>
      <c r="F36" s="33"/>
      <c r="G36" s="33">
        <v>13</v>
      </c>
      <c r="H36" s="33"/>
      <c r="I36" s="33"/>
      <c r="J36" s="33"/>
      <c r="K36" s="33"/>
      <c r="L36" s="33"/>
      <c r="M36" s="33"/>
      <c r="N36" s="33"/>
      <c r="O36" s="33" t="s">
        <v>345</v>
      </c>
    </row>
    <row r="37" spans="1:15" ht="15" x14ac:dyDescent="0.2">
      <c r="A37" s="32" t="s">
        <v>18</v>
      </c>
      <c r="B37" s="32" t="s">
        <v>15</v>
      </c>
      <c r="C37" s="33" t="s">
        <v>351</v>
      </c>
      <c r="D37" s="20" t="s">
        <v>201</v>
      </c>
      <c r="E37" s="33" t="s">
        <v>70</v>
      </c>
      <c r="F37" s="33"/>
      <c r="G37" s="33">
        <v>5</v>
      </c>
      <c r="H37" s="33"/>
      <c r="I37" s="33"/>
      <c r="J37" s="33"/>
      <c r="K37" s="33"/>
      <c r="L37" s="33"/>
      <c r="M37" s="33"/>
      <c r="N37" s="33"/>
      <c r="O37" s="33" t="s">
        <v>352</v>
      </c>
    </row>
    <row r="38" spans="1:15" ht="28.5" x14ac:dyDescent="0.2">
      <c r="A38" s="32" t="s">
        <v>18</v>
      </c>
      <c r="B38" s="32" t="s">
        <v>20</v>
      </c>
      <c r="C38" s="33" t="s">
        <v>353</v>
      </c>
      <c r="D38" s="20" t="s">
        <v>315</v>
      </c>
      <c r="E38" s="33" t="s">
        <v>70</v>
      </c>
      <c r="F38" s="33"/>
      <c r="G38" s="33"/>
      <c r="H38" s="33"/>
      <c r="I38" s="33"/>
      <c r="J38" s="33"/>
      <c r="K38" s="33"/>
      <c r="L38" s="33"/>
      <c r="M38" s="33"/>
      <c r="N38" s="33"/>
      <c r="O38" s="33" t="s">
        <v>354</v>
      </c>
    </row>
    <row r="39" spans="1:15" ht="15" x14ac:dyDescent="0.2">
      <c r="A39" s="32" t="s">
        <v>18</v>
      </c>
      <c r="B39" s="32" t="s">
        <v>19</v>
      </c>
      <c r="C39" s="33" t="s">
        <v>355</v>
      </c>
      <c r="D39" s="20" t="s">
        <v>149</v>
      </c>
      <c r="E39" s="33" t="s">
        <v>70</v>
      </c>
      <c r="F39" s="33"/>
      <c r="G39" s="33"/>
      <c r="H39" s="33"/>
      <c r="I39" s="33"/>
      <c r="J39" s="33"/>
      <c r="K39" s="33"/>
      <c r="L39" s="33"/>
      <c r="M39" s="33"/>
      <c r="N39" s="33"/>
      <c r="O39" s="33" t="s">
        <v>356</v>
      </c>
    </row>
    <row r="40" spans="1:15" ht="28.5" x14ac:dyDescent="0.2">
      <c r="A40" s="32" t="s">
        <v>18</v>
      </c>
      <c r="B40" s="32" t="s">
        <v>19</v>
      </c>
      <c r="C40" s="33" t="s">
        <v>355</v>
      </c>
      <c r="D40" s="20" t="s">
        <v>133</v>
      </c>
      <c r="E40" s="33" t="s">
        <v>70</v>
      </c>
      <c r="F40" s="33"/>
      <c r="G40" s="33"/>
      <c r="H40" s="33"/>
      <c r="I40" s="33"/>
      <c r="J40" s="33"/>
      <c r="K40" s="33"/>
      <c r="L40" s="33"/>
      <c r="M40" s="33"/>
      <c r="N40" s="33"/>
      <c r="O40" s="33" t="s">
        <v>357</v>
      </c>
    </row>
    <row r="41" spans="1:15" ht="28.5" x14ac:dyDescent="0.2">
      <c r="A41" s="32" t="s">
        <v>18</v>
      </c>
      <c r="B41" s="32" t="s">
        <v>19</v>
      </c>
      <c r="C41" s="33" t="s">
        <v>358</v>
      </c>
      <c r="D41" s="20" t="s">
        <v>129</v>
      </c>
      <c r="E41" s="33" t="s">
        <v>359</v>
      </c>
      <c r="F41" s="33"/>
      <c r="G41" s="33"/>
      <c r="H41" s="33"/>
      <c r="I41" s="33"/>
      <c r="J41" s="33"/>
      <c r="K41" s="33"/>
      <c r="L41" s="33"/>
      <c r="M41" s="33"/>
      <c r="N41" s="33"/>
      <c r="O41" s="33" t="s">
        <v>360</v>
      </c>
    </row>
    <row r="42" spans="1:15" ht="15" x14ac:dyDescent="0.2">
      <c r="A42" s="32" t="s">
        <v>18</v>
      </c>
      <c r="B42" s="32" t="s">
        <v>22</v>
      </c>
      <c r="C42" s="33" t="s">
        <v>361</v>
      </c>
      <c r="D42" s="20" t="s">
        <v>362</v>
      </c>
      <c r="E42" s="33" t="s">
        <v>70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15" ht="28.5" x14ac:dyDescent="0.2">
      <c r="A43" s="32" t="s">
        <v>18</v>
      </c>
      <c r="B43" s="32" t="s">
        <v>20</v>
      </c>
      <c r="C43" s="33" t="s">
        <v>363</v>
      </c>
      <c r="D43" s="20" t="s">
        <v>364</v>
      </c>
      <c r="E43" s="33" t="s">
        <v>70</v>
      </c>
      <c r="F43" s="33"/>
      <c r="G43" s="33"/>
      <c r="H43" s="33"/>
      <c r="I43" s="33"/>
      <c r="J43" s="33"/>
      <c r="K43" s="33"/>
      <c r="L43" s="33"/>
      <c r="M43" s="33"/>
      <c r="N43" s="33"/>
      <c r="O43" s="33" t="s">
        <v>365</v>
      </c>
    </row>
    <row r="44" spans="1:15" ht="15" x14ac:dyDescent="0.2">
      <c r="A44" s="32" t="s">
        <v>18</v>
      </c>
      <c r="B44" s="32" t="s">
        <v>19</v>
      </c>
      <c r="C44" s="33" t="s">
        <v>366</v>
      </c>
      <c r="D44" s="20" t="s">
        <v>367</v>
      </c>
      <c r="E44" s="33" t="s">
        <v>70</v>
      </c>
      <c r="F44" s="33"/>
      <c r="G44" s="33"/>
      <c r="H44" s="33"/>
      <c r="I44" s="33"/>
      <c r="J44" s="33"/>
      <c r="K44" s="33"/>
      <c r="L44" s="33"/>
      <c r="M44" s="33"/>
      <c r="N44" s="33"/>
      <c r="O44" s="33" t="s">
        <v>368</v>
      </c>
    </row>
    <row r="45" spans="1:15" ht="57" x14ac:dyDescent="0.2">
      <c r="A45" s="32" t="s">
        <v>24</v>
      </c>
      <c r="B45" s="32" t="s">
        <v>25</v>
      </c>
      <c r="C45" s="33" t="s">
        <v>369</v>
      </c>
      <c r="D45" s="20" t="s">
        <v>76</v>
      </c>
      <c r="E45" s="33" t="s">
        <v>70</v>
      </c>
      <c r="F45" s="33"/>
      <c r="G45" s="33"/>
      <c r="H45" s="33"/>
      <c r="I45" s="33"/>
      <c r="J45" s="33"/>
      <c r="K45" s="33"/>
      <c r="L45" s="33"/>
      <c r="M45" s="33"/>
      <c r="N45" s="33"/>
      <c r="O45" s="33" t="s">
        <v>370</v>
      </c>
    </row>
    <row r="46" spans="1:15" ht="15" x14ac:dyDescent="0.2">
      <c r="A46" s="32" t="s">
        <v>18</v>
      </c>
      <c r="B46" s="32" t="s">
        <v>15</v>
      </c>
      <c r="C46" s="33" t="s">
        <v>371</v>
      </c>
      <c r="D46" s="20" t="s">
        <v>204</v>
      </c>
      <c r="E46" s="33" t="s">
        <v>70</v>
      </c>
      <c r="F46" s="33"/>
      <c r="G46" s="33">
        <v>3</v>
      </c>
      <c r="H46" s="33"/>
      <c r="I46" s="33"/>
      <c r="J46" s="33"/>
      <c r="K46" s="33"/>
      <c r="L46" s="33"/>
      <c r="M46" s="33"/>
      <c r="N46" s="33"/>
      <c r="O46" s="33" t="s">
        <v>372</v>
      </c>
    </row>
    <row r="47" spans="1:15" ht="15" x14ac:dyDescent="0.2">
      <c r="A47" s="32" t="s">
        <v>18</v>
      </c>
      <c r="B47" s="32" t="s">
        <v>19</v>
      </c>
      <c r="C47" s="33" t="s">
        <v>373</v>
      </c>
      <c r="D47" s="20" t="s">
        <v>198</v>
      </c>
      <c r="E47" s="33" t="s">
        <v>70</v>
      </c>
      <c r="F47" s="33"/>
      <c r="G47" s="33">
        <v>5</v>
      </c>
      <c r="H47" s="33"/>
      <c r="I47" s="33"/>
      <c r="J47" s="33"/>
      <c r="K47" s="33"/>
      <c r="L47" s="33"/>
      <c r="M47" s="33"/>
      <c r="N47" s="33"/>
      <c r="O47" s="33" t="s">
        <v>374</v>
      </c>
    </row>
    <row r="48" spans="1:15" ht="28.5" x14ac:dyDescent="0.2">
      <c r="A48" s="32" t="s">
        <v>18</v>
      </c>
      <c r="B48" s="32" t="s">
        <v>20</v>
      </c>
      <c r="C48" s="33" t="s">
        <v>375</v>
      </c>
      <c r="D48" s="20" t="s">
        <v>376</v>
      </c>
      <c r="E48" s="33" t="s">
        <v>70</v>
      </c>
      <c r="F48" s="33"/>
      <c r="G48" s="33"/>
      <c r="H48" s="33"/>
      <c r="I48" s="33"/>
      <c r="J48" s="33"/>
      <c r="K48" s="33"/>
      <c r="L48" s="33"/>
      <c r="M48" s="33"/>
      <c r="N48" s="33"/>
      <c r="O48" s="33" t="s">
        <v>239</v>
      </c>
    </row>
    <row r="49" spans="1:15" ht="42.75" x14ac:dyDescent="0.2">
      <c r="A49" s="32" t="s">
        <v>18</v>
      </c>
      <c r="B49" s="32" t="s">
        <v>19</v>
      </c>
      <c r="C49" s="33" t="s">
        <v>377</v>
      </c>
      <c r="D49" s="20" t="s">
        <v>91</v>
      </c>
      <c r="E49" s="33" t="s">
        <v>70</v>
      </c>
      <c r="F49" s="33"/>
      <c r="G49" s="33">
        <v>13</v>
      </c>
      <c r="H49" s="33"/>
      <c r="I49" s="33"/>
      <c r="J49" s="33"/>
      <c r="K49" s="33"/>
      <c r="L49" s="33"/>
      <c r="M49" s="33"/>
      <c r="N49" s="33"/>
      <c r="O49" s="33" t="s">
        <v>378</v>
      </c>
    </row>
    <row r="50" spans="1:15" ht="15" x14ac:dyDescent="0.2">
      <c r="A50" s="32" t="s">
        <v>18</v>
      </c>
      <c r="B50" s="32" t="s">
        <v>15</v>
      </c>
      <c r="C50" s="33" t="s">
        <v>379</v>
      </c>
      <c r="D50" s="20" t="s">
        <v>181</v>
      </c>
      <c r="E50" s="33" t="s">
        <v>70</v>
      </c>
      <c r="F50" s="33"/>
      <c r="G50" s="33">
        <v>3</v>
      </c>
      <c r="H50" s="33"/>
      <c r="I50" s="33"/>
      <c r="J50" s="33"/>
      <c r="K50" s="33"/>
      <c r="L50" s="33"/>
      <c r="M50" s="33"/>
      <c r="N50" s="33"/>
      <c r="O50" s="33" t="s">
        <v>380</v>
      </c>
    </row>
    <row r="51" spans="1:15" ht="15" x14ac:dyDescent="0.2">
      <c r="A51" s="32" t="s">
        <v>18</v>
      </c>
      <c r="B51" s="32" t="s">
        <v>21</v>
      </c>
      <c r="C51" s="33" t="s">
        <v>207</v>
      </c>
      <c r="D51" s="20" t="s">
        <v>209</v>
      </c>
      <c r="E51" s="33" t="s">
        <v>70</v>
      </c>
      <c r="F51" s="33"/>
      <c r="G51" s="33">
        <v>8</v>
      </c>
      <c r="H51" s="33"/>
      <c r="I51" s="33"/>
      <c r="J51" s="33"/>
      <c r="K51" s="33"/>
      <c r="L51" s="33"/>
      <c r="M51" s="33"/>
      <c r="N51" s="33"/>
      <c r="O51" s="33" t="s">
        <v>208</v>
      </c>
    </row>
    <row r="52" spans="1:15" ht="15" x14ac:dyDescent="0.2">
      <c r="A52" s="32" t="s">
        <v>18</v>
      </c>
      <c r="B52" s="32" t="s">
        <v>19</v>
      </c>
      <c r="C52" s="33" t="s">
        <v>384</v>
      </c>
      <c r="D52" s="20" t="s">
        <v>385</v>
      </c>
      <c r="E52" s="33" t="s">
        <v>70</v>
      </c>
      <c r="F52" s="33"/>
      <c r="G52" s="33"/>
      <c r="H52" s="33"/>
      <c r="I52" s="33"/>
      <c r="J52" s="33"/>
      <c r="K52" s="33"/>
      <c r="L52" s="33"/>
      <c r="M52" s="33"/>
      <c r="N52" s="33"/>
      <c r="O52" s="33" t="s">
        <v>386</v>
      </c>
    </row>
    <row r="53" spans="1:15" ht="28.5" x14ac:dyDescent="0.2">
      <c r="A53" s="32" t="s">
        <v>18</v>
      </c>
      <c r="B53" s="32" t="s">
        <v>19</v>
      </c>
      <c r="C53" s="33" t="s">
        <v>387</v>
      </c>
      <c r="D53" s="20" t="s">
        <v>159</v>
      </c>
      <c r="E53" s="33" t="s">
        <v>70</v>
      </c>
      <c r="F53" s="33"/>
      <c r="G53" s="33"/>
      <c r="H53" s="33"/>
      <c r="I53" s="33"/>
      <c r="J53" s="33"/>
      <c r="K53" s="33"/>
      <c r="L53" s="33"/>
      <c r="M53" s="33"/>
      <c r="N53" s="33"/>
      <c r="O53" s="33" t="s">
        <v>388</v>
      </c>
    </row>
    <row r="54" spans="1:15" ht="28.5" x14ac:dyDescent="0.2">
      <c r="A54" s="32" t="s">
        <v>18</v>
      </c>
      <c r="B54" s="32" t="s">
        <v>19</v>
      </c>
      <c r="C54" s="33" t="s">
        <v>99</v>
      </c>
      <c r="D54" s="20" t="s">
        <v>101</v>
      </c>
      <c r="E54" s="33" t="s">
        <v>70</v>
      </c>
      <c r="F54" s="33"/>
      <c r="G54" s="33">
        <v>5</v>
      </c>
      <c r="H54" s="33"/>
      <c r="I54" s="33"/>
      <c r="J54" s="33"/>
      <c r="K54" s="33"/>
      <c r="L54" s="33"/>
      <c r="M54" s="33"/>
      <c r="N54" s="33"/>
      <c r="O54" s="33" t="s">
        <v>100</v>
      </c>
    </row>
    <row r="55" spans="1:15" ht="15" x14ac:dyDescent="0.2">
      <c r="A55" s="32" t="s">
        <v>18</v>
      </c>
      <c r="B55" s="32" t="s">
        <v>19</v>
      </c>
      <c r="C55" s="33" t="s">
        <v>392</v>
      </c>
      <c r="D55" s="20" t="s">
        <v>155</v>
      </c>
      <c r="E55" s="33" t="s">
        <v>70</v>
      </c>
      <c r="F55" s="33"/>
      <c r="G55" s="33"/>
      <c r="H55" s="33"/>
      <c r="I55" s="33"/>
      <c r="J55" s="33"/>
      <c r="K55" s="33"/>
      <c r="L55" s="33"/>
      <c r="M55" s="33"/>
      <c r="N55" s="33"/>
      <c r="O55" s="33" t="s">
        <v>393</v>
      </c>
    </row>
    <row r="56" spans="1:15" ht="15" x14ac:dyDescent="0.2">
      <c r="A56" s="32" t="s">
        <v>18</v>
      </c>
      <c r="B56" s="32" t="s">
        <v>15</v>
      </c>
      <c r="C56" s="33" t="s">
        <v>392</v>
      </c>
      <c r="D56" s="20" t="s">
        <v>394</v>
      </c>
      <c r="E56" s="33" t="s">
        <v>70</v>
      </c>
      <c r="F56" s="33"/>
      <c r="G56" s="33"/>
      <c r="H56" s="33"/>
      <c r="I56" s="33"/>
      <c r="J56" s="33"/>
      <c r="K56" s="33"/>
      <c r="L56" s="33"/>
      <c r="M56" s="33"/>
      <c r="N56" s="33"/>
      <c r="O56" s="33" t="s">
        <v>395</v>
      </c>
    </row>
    <row r="57" spans="1:15" x14ac:dyDescent="0.2">
      <c r="A57" s="56" t="s">
        <v>795</v>
      </c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8"/>
    </row>
  </sheetData>
  <mergeCells count="4">
    <mergeCell ref="A1:O1"/>
    <mergeCell ref="A2:O2"/>
    <mergeCell ref="A3:O3"/>
    <mergeCell ref="A57:O57"/>
  </mergeCells>
  <hyperlinks>
    <hyperlink ref="A2" r:id="rId1" display="https://webgate.ec.europa.eu/CITnet/jira/issues/?jql=project+in+%28COMPCORP%2C+CCADMIN%2C+CCARCHITEC%2C+CCDOCLIST%2C+ECKL%2C+CCINFRAEC%2C+INTERCOM%2C+CCPMO%2C+PFM%2C+PROCESS%2C+CCTASK%2C+TSKACTION%2C+WAVECC%2C+COMPASS%29+AND+issuetype+in+%28Enabler%2C+%22New+Feature%22%29+AND+fixVersion+in+%28COMPCORP-PI4%29+ORDER+BY+progress+ASC%2C+cf%5B12631%5D+ASC%2C+summary+ASC%2C+WSJF+DESC"/>
    <hyperlink ref="D5" r:id="rId2" display="https://webgate.ec.europa.eu/CITnet/jira/browse/TSKACTION-217"/>
    <hyperlink ref="D6" r:id="rId3" display="https://webgate.ec.europa.eu/CITnet/jira/browse/CCDOCLIST-165"/>
    <hyperlink ref="D7" r:id="rId4" display="https://webgate.ec.europa.eu/CITnet/jira/browse/PROCESS-44"/>
    <hyperlink ref="D8" r:id="rId5" display="https://webgate.ec.europa.eu/CITnet/jira/browse/PROCESS-92"/>
    <hyperlink ref="D9" r:id="rId6" display="https://webgate.ec.europa.eu/CITnet/jira/browse/PROCESS-75"/>
    <hyperlink ref="D10" r:id="rId7" display="https://webgate.ec.europa.eu/CITnet/jira/browse/CCARCHITEC-37"/>
    <hyperlink ref="D11" r:id="rId8" display="https://webgate.ec.europa.eu/CITnet/jira/browse/COMPCORP-114"/>
    <hyperlink ref="D12" r:id="rId9" display="https://webgate.ec.europa.eu/CITnet/jira/browse/CCTASK-533"/>
    <hyperlink ref="D13" r:id="rId10" display="https://webgate.ec.europa.eu/CITnet/jira/browse/CCDOCLIST-156"/>
    <hyperlink ref="D14" r:id="rId11" display="https://webgate.ec.europa.eu/CITnet/jira/browse/CCDOCLIST-19"/>
    <hyperlink ref="D15" r:id="rId12" display="https://webgate.ec.europa.eu/CITnet/jira/browse/CCDOCLIST-157"/>
    <hyperlink ref="D16" r:id="rId13" display="https://webgate.ec.europa.eu/CITnet/jira/browse/CCTASK-534"/>
    <hyperlink ref="D17" r:id="rId14" display="https://webgate.ec.europa.eu/CITnet/jira/browse/CCDOCLIST-17"/>
    <hyperlink ref="D18" r:id="rId15" display="https://webgate.ec.europa.eu/CITnet/jira/browse/CCDOCLIST-27"/>
    <hyperlink ref="D19" r:id="rId16" display="https://webgate.ec.europa.eu/CITnet/jira/browse/CCDOCLIST-25"/>
    <hyperlink ref="D20" r:id="rId17" display="https://webgate.ec.europa.eu/CITnet/jira/browse/CCARCHITEC-49"/>
    <hyperlink ref="D21" r:id="rId18" display="https://webgate.ec.europa.eu/CITnet/jira/browse/TSKACTION-245"/>
    <hyperlink ref="D22" r:id="rId19" display="https://webgate.ec.europa.eu/CITnet/jira/browse/CCDOCLIST-181"/>
    <hyperlink ref="D23" r:id="rId20" display="https://webgate.ec.europa.eu/CITnet/jira/browse/CCTASK-579"/>
    <hyperlink ref="D24" r:id="rId21" display="https://webgate.ec.europa.eu/CITnet/jira/browse/CCTASK-527"/>
    <hyperlink ref="D25" r:id="rId22" display="https://webgate.ec.europa.eu/CITnet/jira/browse/CCTASK-272"/>
    <hyperlink ref="D26" r:id="rId23" display="https://webgate.ec.europa.eu/CITnet/jira/browse/CCTASK-519"/>
    <hyperlink ref="D27" r:id="rId24" display="https://webgate.ec.europa.eu/CITnet/jira/browse/CCDOCLIST-174"/>
    <hyperlink ref="D28" r:id="rId25" display="https://webgate.ec.europa.eu/CITnet/jira/browse/CCTASK-476"/>
    <hyperlink ref="D29" r:id="rId26" display="https://webgate.ec.europa.eu/CITnet/jira/browse/TSKACTION-56"/>
    <hyperlink ref="D30" r:id="rId27" display="https://webgate.ec.europa.eu/CITnet/jira/browse/INTERCOM-55"/>
    <hyperlink ref="D31" r:id="rId28" display="https://webgate.ec.europa.eu/CITnet/jira/browse/CCPMO-129"/>
    <hyperlink ref="D32" r:id="rId29" display="https://webgate.ec.europa.eu/CITnet/jira/browse/CCPMO-77"/>
    <hyperlink ref="D33" r:id="rId30" display="https://webgate.ec.europa.eu/CITnet/jira/browse/CCPMO-63"/>
    <hyperlink ref="D34" r:id="rId31" display="https://webgate.ec.europa.eu/CITnet/jira/browse/WAVECC-42"/>
    <hyperlink ref="D35" r:id="rId32" display="https://webgate.ec.europa.eu/CITnet/jira/browse/CCADMIN-42"/>
    <hyperlink ref="D36" r:id="rId33" display="https://webgate.ec.europa.eu/CITnet/jira/browse/INTERCOM-54"/>
    <hyperlink ref="D37" r:id="rId34" display="https://webgate.ec.europa.eu/CITnet/jira/browse/INTERCOM-71"/>
    <hyperlink ref="D38" r:id="rId35" display="https://webgate.ec.europa.eu/CITnet/jira/browse/PROCESS-98"/>
    <hyperlink ref="D39" r:id="rId36" display="https://webgate.ec.europa.eu/CITnet/jira/browse/PFM-125"/>
    <hyperlink ref="D40" r:id="rId37" display="https://webgate.ec.europa.eu/CITnet/jira/browse/PROCESS-95"/>
    <hyperlink ref="D41" r:id="rId38" display="https://webgate.ec.europa.eu/CITnet/jira/browse/PROCESS-33"/>
    <hyperlink ref="D42" r:id="rId39" display="https://webgate.ec.europa.eu/CITnet/jira/browse/CCTASK-532"/>
    <hyperlink ref="D43" r:id="rId40" display="https://webgate.ec.europa.eu/CITnet/jira/browse/CCDOCLIST-116"/>
    <hyperlink ref="D44" r:id="rId41" display="https://webgate.ec.europa.eu/CITnet/jira/browse/WAVECC-34"/>
    <hyperlink ref="D45" r:id="rId42" display="https://webgate.ec.europa.eu/CITnet/jira/browse/CCPMO-76"/>
    <hyperlink ref="D46" r:id="rId43" display="https://webgate.ec.europa.eu/CITnet/jira/browse/INTERCOM-75"/>
    <hyperlink ref="D47" r:id="rId44" display="https://webgate.ec.europa.eu/CITnet/jira/browse/CCADMIN-55"/>
    <hyperlink ref="D48" r:id="rId45" display="https://webgate.ec.europa.eu/CITnet/jira/browse/PROCESS-125"/>
    <hyperlink ref="D49" r:id="rId46" display="https://webgate.ec.europa.eu/CITnet/jira/browse/CCADMIN-44"/>
    <hyperlink ref="D50" r:id="rId47" display="https://webgate.ec.europa.eu/CITnet/jira/browse/INTERCOM-59"/>
    <hyperlink ref="D51" r:id="rId48" display="https://webgate.ec.europa.eu/CITnet/jira/browse/INTERCOM-72"/>
    <hyperlink ref="D52" r:id="rId49" display="https://webgate.ec.europa.eu/CITnet/jira/browse/CCTASK-518"/>
    <hyperlink ref="D53" r:id="rId50" display="https://webgate.ec.europa.eu/CITnet/jira/browse/PFM-131"/>
    <hyperlink ref="D54" r:id="rId51" display="https://webgate.ec.europa.eu/CITnet/jira/browse/INTERCOM-52"/>
    <hyperlink ref="D55" r:id="rId52" display="https://webgate.ec.europa.eu/CITnet/jira/browse/PFM-126"/>
    <hyperlink ref="D56" r:id="rId53" display="https://webgate.ec.europa.eu/CITnet/jira/browse/PROCESS-96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5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7"/>
  <sheetViews>
    <sheetView workbookViewId="0">
      <selection activeCell="G20" sqref="G20"/>
    </sheetView>
  </sheetViews>
  <sheetFormatPr defaultRowHeight="12" x14ac:dyDescent="0.2"/>
  <cols>
    <col min="1" max="1" width="10.5" style="30" bestFit="1" customWidth="1"/>
    <col min="2" max="2" width="10.25" style="30" bestFit="1" customWidth="1"/>
    <col min="3" max="3" width="32" style="30" bestFit="1" customWidth="1"/>
    <col min="4" max="4" width="11.75" style="30" bestFit="1" customWidth="1"/>
    <col min="5" max="5" width="31.125" style="30" bestFit="1" customWidth="1"/>
    <col min="6" max="6" width="32" style="30" bestFit="1" customWidth="1"/>
    <col min="7" max="7" width="11.75" style="30" bestFit="1" customWidth="1"/>
    <col min="8" max="8" width="9" style="30" bestFit="1" customWidth="1"/>
    <col min="9" max="9" width="17.875" style="30" bestFit="1" customWidth="1"/>
    <col min="10" max="10" width="20.375" style="30" bestFit="1" customWidth="1"/>
    <col min="11" max="11" width="8.5" style="30" bestFit="1" customWidth="1"/>
    <col min="12" max="12" width="14.125" style="30" bestFit="1" customWidth="1"/>
    <col min="13" max="13" width="14.625" style="30" bestFit="1" customWidth="1"/>
    <col min="14" max="14" width="14.5" style="30" bestFit="1" customWidth="1"/>
    <col min="15" max="15" width="32" style="30" bestFit="1" customWidth="1"/>
    <col min="16" max="16384" width="9" style="30"/>
  </cols>
  <sheetData>
    <row r="1" spans="1:15" ht="27" customHeight="1" x14ac:dyDescent="0.2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2"/>
    </row>
    <row r="2" spans="1:15" ht="15" customHeight="1" x14ac:dyDescent="0.2">
      <c r="A2" s="41" t="s">
        <v>426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53" t="s">
        <v>792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5"/>
    </row>
    <row r="4" spans="1:15" ht="15" x14ac:dyDescent="0.2">
      <c r="A4" s="31" t="s">
        <v>4</v>
      </c>
      <c r="B4" s="31" t="s">
        <v>5</v>
      </c>
      <c r="C4" s="31" t="s">
        <v>54</v>
      </c>
      <c r="D4" s="31" t="s">
        <v>6</v>
      </c>
      <c r="E4" s="31" t="s">
        <v>7</v>
      </c>
      <c r="F4" s="31" t="s">
        <v>53</v>
      </c>
      <c r="G4" s="31" t="s">
        <v>8</v>
      </c>
      <c r="H4" s="31" t="s">
        <v>427</v>
      </c>
      <c r="I4" s="31" t="s">
        <v>429</v>
      </c>
      <c r="J4" s="31" t="s">
        <v>428</v>
      </c>
      <c r="K4" s="31" t="s">
        <v>9</v>
      </c>
      <c r="L4" s="31" t="s">
        <v>10</v>
      </c>
      <c r="M4" s="31" t="s">
        <v>52</v>
      </c>
      <c r="N4" s="31" t="s">
        <v>51</v>
      </c>
      <c r="O4" s="31" t="s">
        <v>11</v>
      </c>
    </row>
    <row r="5" spans="1:15" ht="15" x14ac:dyDescent="0.2">
      <c r="A5" s="32" t="s">
        <v>12</v>
      </c>
      <c r="B5" s="32" t="s">
        <v>15</v>
      </c>
      <c r="C5" s="33" t="s">
        <v>479</v>
      </c>
      <c r="D5" s="20" t="s">
        <v>478</v>
      </c>
      <c r="E5" s="33" t="s">
        <v>442</v>
      </c>
      <c r="F5" s="33" t="s">
        <v>481</v>
      </c>
      <c r="G5" s="33">
        <v>3</v>
      </c>
      <c r="H5" s="33">
        <v>3</v>
      </c>
      <c r="I5" s="33"/>
      <c r="J5" s="33"/>
      <c r="K5" s="33"/>
      <c r="L5" s="33"/>
      <c r="M5" s="33"/>
      <c r="N5" s="33"/>
      <c r="O5" s="33" t="s">
        <v>480</v>
      </c>
    </row>
    <row r="6" spans="1:15" ht="15" x14ac:dyDescent="0.2">
      <c r="A6" s="32" t="s">
        <v>12</v>
      </c>
      <c r="B6" s="32" t="s">
        <v>15</v>
      </c>
      <c r="C6" s="33" t="s">
        <v>483</v>
      </c>
      <c r="D6" s="20" t="s">
        <v>482</v>
      </c>
      <c r="E6" s="33" t="s">
        <v>442</v>
      </c>
      <c r="F6" s="33" t="s">
        <v>485</v>
      </c>
      <c r="G6" s="33">
        <v>5</v>
      </c>
      <c r="H6" s="33">
        <v>5</v>
      </c>
      <c r="I6" s="33"/>
      <c r="J6" s="33"/>
      <c r="K6" s="33"/>
      <c r="L6" s="33"/>
      <c r="M6" s="33"/>
      <c r="N6" s="33"/>
      <c r="O6" s="33" t="s">
        <v>484</v>
      </c>
    </row>
    <row r="7" spans="1:15" ht="42.75" x14ac:dyDescent="0.2">
      <c r="A7" s="32" t="s">
        <v>12</v>
      </c>
      <c r="B7" s="32" t="s">
        <v>15</v>
      </c>
      <c r="C7" s="33" t="s">
        <v>628</v>
      </c>
      <c r="D7" s="20" t="s">
        <v>627</v>
      </c>
      <c r="E7" s="33" t="s">
        <v>442</v>
      </c>
      <c r="F7" s="33" t="s">
        <v>443</v>
      </c>
      <c r="G7" s="33">
        <v>5</v>
      </c>
      <c r="H7" s="33">
        <v>5</v>
      </c>
      <c r="I7" s="33">
        <v>115200</v>
      </c>
      <c r="J7" s="33">
        <v>115200</v>
      </c>
      <c r="K7" s="33"/>
      <c r="L7" s="33"/>
      <c r="M7" s="33"/>
      <c r="N7" s="33"/>
      <c r="O7" s="33" t="s">
        <v>622</v>
      </c>
    </row>
    <row r="8" spans="1:15" ht="28.5" x14ac:dyDescent="0.2">
      <c r="A8" s="32" t="s">
        <v>12</v>
      </c>
      <c r="B8" s="32" t="s">
        <v>15</v>
      </c>
      <c r="C8" s="33" t="s">
        <v>630</v>
      </c>
      <c r="D8" s="20" t="s">
        <v>629</v>
      </c>
      <c r="E8" s="33" t="s">
        <v>442</v>
      </c>
      <c r="F8" s="33" t="s">
        <v>443</v>
      </c>
      <c r="G8" s="33">
        <v>5</v>
      </c>
      <c r="H8" s="33">
        <v>5</v>
      </c>
      <c r="I8" s="33">
        <v>86400</v>
      </c>
      <c r="J8" s="33">
        <v>86400</v>
      </c>
      <c r="K8" s="33"/>
      <c r="L8" s="33"/>
      <c r="M8" s="33"/>
      <c r="N8" s="33"/>
      <c r="O8" s="33" t="s">
        <v>622</v>
      </c>
    </row>
    <row r="9" spans="1:15" ht="42.75" x14ac:dyDescent="0.2">
      <c r="A9" s="32" t="s">
        <v>12</v>
      </c>
      <c r="B9" s="32" t="s">
        <v>15</v>
      </c>
      <c r="C9" s="33" t="s">
        <v>463</v>
      </c>
      <c r="D9" s="20" t="s">
        <v>462</v>
      </c>
      <c r="E9" s="33" t="s">
        <v>442</v>
      </c>
      <c r="F9" s="33" t="s">
        <v>464</v>
      </c>
      <c r="G9" s="33">
        <v>3</v>
      </c>
      <c r="H9" s="33">
        <v>3</v>
      </c>
      <c r="I9" s="33">
        <v>57780</v>
      </c>
      <c r="J9" s="33">
        <v>57780</v>
      </c>
      <c r="K9" s="33"/>
      <c r="L9" s="33"/>
      <c r="M9" s="33"/>
      <c r="N9" s="33"/>
      <c r="O9" s="33"/>
    </row>
    <row r="10" spans="1:15" ht="15" x14ac:dyDescent="0.2">
      <c r="A10" s="32" t="s">
        <v>12</v>
      </c>
      <c r="B10" s="32" t="s">
        <v>15</v>
      </c>
      <c r="C10" s="33" t="s">
        <v>527</v>
      </c>
      <c r="D10" s="20" t="s">
        <v>526</v>
      </c>
      <c r="E10" s="33" t="s">
        <v>442</v>
      </c>
      <c r="F10" s="33" t="s">
        <v>443</v>
      </c>
      <c r="G10" s="33">
        <v>5</v>
      </c>
      <c r="H10" s="33">
        <v>5</v>
      </c>
      <c r="I10" s="33">
        <v>57600</v>
      </c>
      <c r="J10" s="33">
        <v>57600</v>
      </c>
      <c r="K10" s="33"/>
      <c r="L10" s="33"/>
      <c r="M10" s="33"/>
      <c r="N10" s="33"/>
      <c r="O10" s="33" t="s">
        <v>433</v>
      </c>
    </row>
    <row r="11" spans="1:15" ht="42.75" x14ac:dyDescent="0.2">
      <c r="A11" s="32" t="s">
        <v>12</v>
      </c>
      <c r="B11" s="32" t="s">
        <v>15</v>
      </c>
      <c r="C11" s="33" t="s">
        <v>466</v>
      </c>
      <c r="D11" s="20" t="s">
        <v>465</v>
      </c>
      <c r="E11" s="33" t="s">
        <v>442</v>
      </c>
      <c r="F11" s="33" t="s">
        <v>468</v>
      </c>
      <c r="G11" s="33">
        <v>2</v>
      </c>
      <c r="H11" s="33">
        <v>2</v>
      </c>
      <c r="I11" s="33">
        <v>115200</v>
      </c>
      <c r="J11" s="33">
        <v>115200</v>
      </c>
      <c r="K11" s="33"/>
      <c r="L11" s="33"/>
      <c r="M11" s="33"/>
      <c r="N11" s="33"/>
      <c r="O11" s="33" t="s">
        <v>467</v>
      </c>
    </row>
    <row r="12" spans="1:15" ht="28.5" x14ac:dyDescent="0.2">
      <c r="A12" s="32" t="s">
        <v>12</v>
      </c>
      <c r="B12" s="32" t="s">
        <v>15</v>
      </c>
      <c r="C12" s="33" t="s">
        <v>73</v>
      </c>
      <c r="D12" s="20" t="s">
        <v>74</v>
      </c>
      <c r="E12" s="33" t="s">
        <v>70</v>
      </c>
      <c r="F12" s="33" t="s">
        <v>75</v>
      </c>
      <c r="G12" s="33">
        <v>0</v>
      </c>
      <c r="H12" s="33"/>
      <c r="I12" s="33"/>
      <c r="J12" s="33"/>
      <c r="K12" s="33"/>
      <c r="L12" s="33"/>
      <c r="M12" s="33"/>
      <c r="N12" s="33"/>
      <c r="O12" s="33" t="s">
        <v>76</v>
      </c>
    </row>
    <row r="13" spans="1:15" ht="28.5" x14ac:dyDescent="0.2">
      <c r="A13" s="32" t="s">
        <v>12</v>
      </c>
      <c r="B13" s="32" t="s">
        <v>15</v>
      </c>
      <c r="C13" s="33" t="s">
        <v>441</v>
      </c>
      <c r="D13" s="20" t="s">
        <v>440</v>
      </c>
      <c r="E13" s="33" t="s">
        <v>442</v>
      </c>
      <c r="F13" s="33" t="s">
        <v>443</v>
      </c>
      <c r="G13" s="33">
        <v>5</v>
      </c>
      <c r="H13" s="33">
        <v>5</v>
      </c>
      <c r="I13" s="33">
        <v>259200</v>
      </c>
      <c r="J13" s="33">
        <v>259200</v>
      </c>
      <c r="K13" s="33"/>
      <c r="L13" s="33"/>
      <c r="M13" s="33"/>
      <c r="N13" s="33"/>
      <c r="O13" s="33" t="s">
        <v>439</v>
      </c>
    </row>
    <row r="14" spans="1:15" ht="15" x14ac:dyDescent="0.2">
      <c r="A14" s="32" t="s">
        <v>12</v>
      </c>
      <c r="B14" s="32" t="s">
        <v>15</v>
      </c>
      <c r="C14" s="33" t="s">
        <v>529</v>
      </c>
      <c r="D14" s="20" t="s">
        <v>528</v>
      </c>
      <c r="E14" s="33" t="s">
        <v>442</v>
      </c>
      <c r="F14" s="33" t="s">
        <v>443</v>
      </c>
      <c r="G14" s="33">
        <v>5</v>
      </c>
      <c r="H14" s="33">
        <v>5</v>
      </c>
      <c r="I14" s="33">
        <v>21600</v>
      </c>
      <c r="J14" s="33">
        <v>21600</v>
      </c>
      <c r="K14" s="33"/>
      <c r="L14" s="33"/>
      <c r="M14" s="33"/>
      <c r="N14" s="33"/>
      <c r="O14" s="33" t="s">
        <v>433</v>
      </c>
    </row>
    <row r="15" spans="1:15" ht="42.75" x14ac:dyDescent="0.2">
      <c r="A15" s="32" t="s">
        <v>12</v>
      </c>
      <c r="B15" s="32" t="s">
        <v>15</v>
      </c>
      <c r="C15" s="33" t="s">
        <v>454</v>
      </c>
      <c r="D15" s="20" t="s">
        <v>453</v>
      </c>
      <c r="E15" s="33" t="s">
        <v>442</v>
      </c>
      <c r="F15" s="33" t="s">
        <v>455</v>
      </c>
      <c r="G15" s="33">
        <v>3</v>
      </c>
      <c r="H15" s="33">
        <v>3</v>
      </c>
      <c r="I15" s="33"/>
      <c r="J15" s="33"/>
      <c r="K15" s="33"/>
      <c r="L15" s="33"/>
      <c r="M15" s="33"/>
      <c r="N15" s="33"/>
      <c r="O15" s="33"/>
    </row>
    <row r="16" spans="1:15" ht="28.5" x14ac:dyDescent="0.2">
      <c r="A16" s="32" t="s">
        <v>12</v>
      </c>
      <c r="B16" s="32" t="s">
        <v>15</v>
      </c>
      <c r="C16" s="33" t="s">
        <v>111</v>
      </c>
      <c r="D16" s="20" t="s">
        <v>112</v>
      </c>
      <c r="E16" s="33" t="s">
        <v>113</v>
      </c>
      <c r="F16" s="33" t="s">
        <v>114</v>
      </c>
      <c r="G16" s="33"/>
      <c r="H16" s="33"/>
      <c r="I16" s="33"/>
      <c r="J16" s="33"/>
      <c r="K16" s="33"/>
      <c r="L16" s="33"/>
      <c r="M16" s="33"/>
      <c r="N16" s="33"/>
      <c r="O16" s="33" t="s">
        <v>110</v>
      </c>
    </row>
    <row r="17" spans="1:15" ht="28.5" x14ac:dyDescent="0.2">
      <c r="A17" s="32" t="s">
        <v>12</v>
      </c>
      <c r="B17" s="32" t="s">
        <v>15</v>
      </c>
      <c r="C17" s="33" t="s">
        <v>621</v>
      </c>
      <c r="D17" s="20" t="s">
        <v>620</v>
      </c>
      <c r="E17" s="33" t="s">
        <v>442</v>
      </c>
      <c r="F17" s="33" t="s">
        <v>443</v>
      </c>
      <c r="G17" s="33">
        <v>5</v>
      </c>
      <c r="H17" s="33">
        <v>5</v>
      </c>
      <c r="I17" s="33">
        <v>57840</v>
      </c>
      <c r="J17" s="33">
        <v>57840</v>
      </c>
      <c r="K17" s="33"/>
      <c r="L17" s="33"/>
      <c r="M17" s="33"/>
      <c r="N17" s="33"/>
      <c r="O17" s="33" t="s">
        <v>622</v>
      </c>
    </row>
    <row r="18" spans="1:15" ht="57" x14ac:dyDescent="0.2">
      <c r="A18" s="32" t="s">
        <v>12</v>
      </c>
      <c r="B18" s="32" t="s">
        <v>15</v>
      </c>
      <c r="C18" s="33" t="s">
        <v>624</v>
      </c>
      <c r="D18" s="20" t="s">
        <v>623</v>
      </c>
      <c r="E18" s="33" t="s">
        <v>442</v>
      </c>
      <c r="F18" s="33" t="s">
        <v>443</v>
      </c>
      <c r="G18" s="33">
        <v>5</v>
      </c>
      <c r="H18" s="33">
        <v>5</v>
      </c>
      <c r="I18" s="33">
        <v>64800</v>
      </c>
      <c r="J18" s="33">
        <v>64800</v>
      </c>
      <c r="K18" s="33"/>
      <c r="L18" s="33"/>
      <c r="M18" s="33"/>
      <c r="N18" s="33"/>
      <c r="O18" s="33" t="s">
        <v>622</v>
      </c>
    </row>
    <row r="19" spans="1:15" ht="28.5" x14ac:dyDescent="0.2">
      <c r="A19" s="32" t="s">
        <v>12</v>
      </c>
      <c r="B19" s="32" t="s">
        <v>15</v>
      </c>
      <c r="C19" s="33" t="s">
        <v>514</v>
      </c>
      <c r="D19" s="20" t="s">
        <v>513</v>
      </c>
      <c r="E19" s="33" t="s">
        <v>442</v>
      </c>
      <c r="F19" s="33" t="s">
        <v>485</v>
      </c>
      <c r="G19" s="33">
        <v>5</v>
      </c>
      <c r="H19" s="33">
        <v>5</v>
      </c>
      <c r="I19" s="33">
        <v>151200</v>
      </c>
      <c r="J19" s="33">
        <v>151200</v>
      </c>
      <c r="K19" s="33"/>
      <c r="L19" s="33"/>
      <c r="M19" s="33"/>
      <c r="N19" s="33"/>
      <c r="O19" s="33" t="s">
        <v>510</v>
      </c>
    </row>
    <row r="20" spans="1:15" ht="42.75" x14ac:dyDescent="0.2">
      <c r="A20" s="32" t="s">
        <v>12</v>
      </c>
      <c r="B20" s="32" t="s">
        <v>15</v>
      </c>
      <c r="C20" s="33" t="s">
        <v>509</v>
      </c>
      <c r="D20" s="20" t="s">
        <v>508</v>
      </c>
      <c r="E20" s="33" t="s">
        <v>442</v>
      </c>
      <c r="F20" s="33" t="s">
        <v>491</v>
      </c>
      <c r="G20" s="33">
        <v>5</v>
      </c>
      <c r="H20" s="33">
        <v>5</v>
      </c>
      <c r="I20" s="33"/>
      <c r="J20" s="33"/>
      <c r="K20" s="33"/>
      <c r="L20" s="33"/>
      <c r="M20" s="33"/>
      <c r="N20" s="33"/>
      <c r="O20" s="33" t="s">
        <v>510</v>
      </c>
    </row>
    <row r="21" spans="1:15" ht="42.75" x14ac:dyDescent="0.2">
      <c r="A21" s="32" t="s">
        <v>12</v>
      </c>
      <c r="B21" s="32" t="s">
        <v>15</v>
      </c>
      <c r="C21" s="33" t="s">
        <v>503</v>
      </c>
      <c r="D21" s="20" t="s">
        <v>502</v>
      </c>
      <c r="E21" s="33" t="s">
        <v>442</v>
      </c>
      <c r="F21" s="33" t="s">
        <v>491</v>
      </c>
      <c r="G21" s="33">
        <v>2</v>
      </c>
      <c r="H21" s="33">
        <v>2</v>
      </c>
      <c r="I21" s="33">
        <v>28800</v>
      </c>
      <c r="J21" s="33">
        <v>28800</v>
      </c>
      <c r="K21" s="33"/>
      <c r="L21" s="33"/>
      <c r="M21" s="33"/>
      <c r="N21" s="33"/>
      <c r="O21" s="33" t="s">
        <v>504</v>
      </c>
    </row>
    <row r="22" spans="1:15" ht="15" x14ac:dyDescent="0.2">
      <c r="A22" s="32" t="s">
        <v>12</v>
      </c>
      <c r="B22" s="32" t="s">
        <v>15</v>
      </c>
      <c r="C22" s="33" t="s">
        <v>549</v>
      </c>
      <c r="D22" s="20" t="s">
        <v>548</v>
      </c>
      <c r="E22" s="33" t="s">
        <v>541</v>
      </c>
      <c r="F22" s="33"/>
      <c r="G22" s="33"/>
      <c r="H22" s="33"/>
      <c r="I22" s="33"/>
      <c r="J22" s="33">
        <v>0</v>
      </c>
      <c r="K22" s="33"/>
      <c r="L22" s="33"/>
      <c r="M22" s="33"/>
      <c r="N22" s="33"/>
      <c r="O22" s="33"/>
    </row>
    <row r="23" spans="1:15" ht="28.5" x14ac:dyDescent="0.2">
      <c r="A23" s="32" t="s">
        <v>12</v>
      </c>
      <c r="B23" s="32" t="s">
        <v>15</v>
      </c>
      <c r="C23" s="33" t="s">
        <v>545</v>
      </c>
      <c r="D23" s="20" t="s">
        <v>544</v>
      </c>
      <c r="E23" s="33" t="s">
        <v>541</v>
      </c>
      <c r="F23" s="33"/>
      <c r="G23" s="33"/>
      <c r="H23" s="33"/>
      <c r="I23" s="33"/>
      <c r="J23" s="33">
        <v>0</v>
      </c>
      <c r="K23" s="33"/>
      <c r="L23" s="33"/>
      <c r="M23" s="33"/>
      <c r="N23" s="33"/>
      <c r="O23" s="33"/>
    </row>
    <row r="24" spans="1:15" ht="28.5" x14ac:dyDescent="0.2">
      <c r="A24" s="32" t="s">
        <v>12</v>
      </c>
      <c r="B24" s="32" t="s">
        <v>15</v>
      </c>
      <c r="C24" s="33" t="s">
        <v>547</v>
      </c>
      <c r="D24" s="20" t="s">
        <v>546</v>
      </c>
      <c r="E24" s="33" t="s">
        <v>541</v>
      </c>
      <c r="F24" s="33"/>
      <c r="G24" s="33"/>
      <c r="H24" s="33"/>
      <c r="I24" s="33"/>
      <c r="J24" s="33">
        <v>0</v>
      </c>
      <c r="K24" s="33"/>
      <c r="L24" s="33"/>
      <c r="M24" s="33"/>
      <c r="N24" s="33"/>
      <c r="O24" s="33"/>
    </row>
    <row r="25" spans="1:15" ht="28.5" x14ac:dyDescent="0.2">
      <c r="A25" s="32" t="s">
        <v>12</v>
      </c>
      <c r="B25" s="32" t="s">
        <v>15</v>
      </c>
      <c r="C25" s="33" t="s">
        <v>540</v>
      </c>
      <c r="D25" s="20" t="s">
        <v>539</v>
      </c>
      <c r="E25" s="33" t="s">
        <v>541</v>
      </c>
      <c r="F25" s="33"/>
      <c r="G25" s="33"/>
      <c r="H25" s="33"/>
      <c r="I25" s="33"/>
      <c r="J25" s="33">
        <v>0</v>
      </c>
      <c r="K25" s="33"/>
      <c r="L25" s="33"/>
      <c r="M25" s="33"/>
      <c r="N25" s="33"/>
      <c r="O25" s="33"/>
    </row>
    <row r="26" spans="1:15" ht="28.5" x14ac:dyDescent="0.2">
      <c r="A26" s="32" t="s">
        <v>12</v>
      </c>
      <c r="B26" s="32" t="s">
        <v>15</v>
      </c>
      <c r="C26" s="33" t="s">
        <v>571</v>
      </c>
      <c r="D26" s="20" t="s">
        <v>570</v>
      </c>
      <c r="E26" s="33" t="s">
        <v>541</v>
      </c>
      <c r="F26" s="33"/>
      <c r="G26" s="33"/>
      <c r="H26" s="33"/>
      <c r="I26" s="33">
        <v>0</v>
      </c>
      <c r="J26" s="33">
        <v>0</v>
      </c>
      <c r="K26" s="33"/>
      <c r="L26" s="33"/>
      <c r="M26" s="33"/>
      <c r="N26" s="33"/>
      <c r="O26" s="33"/>
    </row>
    <row r="27" spans="1:15" ht="15" x14ac:dyDescent="0.2">
      <c r="A27" s="32" t="s">
        <v>12</v>
      </c>
      <c r="B27" s="32" t="s">
        <v>15</v>
      </c>
      <c r="C27" s="33" t="s">
        <v>577</v>
      </c>
      <c r="D27" s="20" t="s">
        <v>576</v>
      </c>
      <c r="E27" s="33" t="s">
        <v>541</v>
      </c>
      <c r="F27" s="33"/>
      <c r="G27" s="33"/>
      <c r="H27" s="33"/>
      <c r="I27" s="33"/>
      <c r="J27" s="33">
        <v>0</v>
      </c>
      <c r="K27" s="33"/>
      <c r="L27" s="33"/>
      <c r="M27" s="33"/>
      <c r="N27" s="33"/>
      <c r="O27" s="33"/>
    </row>
    <row r="28" spans="1:15" ht="15" x14ac:dyDescent="0.2">
      <c r="A28" s="32" t="s">
        <v>12</v>
      </c>
      <c r="B28" s="32" t="s">
        <v>15</v>
      </c>
      <c r="C28" s="33" t="s">
        <v>559</v>
      </c>
      <c r="D28" s="20" t="s">
        <v>558</v>
      </c>
      <c r="E28" s="33" t="s">
        <v>541</v>
      </c>
      <c r="F28" s="33"/>
      <c r="G28" s="33"/>
      <c r="H28" s="33"/>
      <c r="I28" s="33"/>
      <c r="J28" s="33">
        <v>0</v>
      </c>
      <c r="K28" s="33"/>
      <c r="L28" s="33"/>
      <c r="M28" s="33"/>
      <c r="N28" s="33"/>
      <c r="O28" s="33"/>
    </row>
    <row r="29" spans="1:15" ht="42.75" x14ac:dyDescent="0.2">
      <c r="A29" s="32" t="s">
        <v>12</v>
      </c>
      <c r="B29" s="32" t="s">
        <v>15</v>
      </c>
      <c r="C29" s="33" t="s">
        <v>589</v>
      </c>
      <c r="D29" s="20" t="s">
        <v>588</v>
      </c>
      <c r="E29" s="33" t="s">
        <v>541</v>
      </c>
      <c r="F29" s="33"/>
      <c r="G29" s="33"/>
      <c r="H29" s="33"/>
      <c r="I29" s="33"/>
      <c r="J29" s="33">
        <v>0</v>
      </c>
      <c r="K29" s="33"/>
      <c r="L29" s="33"/>
      <c r="M29" s="33"/>
      <c r="N29" s="33"/>
      <c r="O29" s="33"/>
    </row>
    <row r="30" spans="1:15" ht="15" x14ac:dyDescent="0.2">
      <c r="A30" s="32" t="s">
        <v>12</v>
      </c>
      <c r="B30" s="32" t="s">
        <v>15</v>
      </c>
      <c r="C30" s="33" t="s">
        <v>581</v>
      </c>
      <c r="D30" s="20" t="s">
        <v>580</v>
      </c>
      <c r="E30" s="33" t="s">
        <v>541</v>
      </c>
      <c r="F30" s="33"/>
      <c r="G30" s="33"/>
      <c r="H30" s="33"/>
      <c r="I30" s="33"/>
      <c r="J30" s="33">
        <v>0</v>
      </c>
      <c r="K30" s="33"/>
      <c r="L30" s="33"/>
      <c r="M30" s="33"/>
      <c r="N30" s="33"/>
      <c r="O30" s="33"/>
    </row>
    <row r="31" spans="1:15" ht="28.5" x14ac:dyDescent="0.2">
      <c r="A31" s="32" t="s">
        <v>12</v>
      </c>
      <c r="B31" s="32" t="s">
        <v>15</v>
      </c>
      <c r="C31" s="33" t="s">
        <v>595</v>
      </c>
      <c r="D31" s="20" t="s">
        <v>594</v>
      </c>
      <c r="E31" s="33" t="s">
        <v>541</v>
      </c>
      <c r="F31" s="33"/>
      <c r="G31" s="33"/>
      <c r="H31" s="33"/>
      <c r="I31" s="33"/>
      <c r="J31" s="33">
        <v>0</v>
      </c>
      <c r="K31" s="33"/>
      <c r="L31" s="33"/>
      <c r="M31" s="33"/>
      <c r="N31" s="33"/>
      <c r="O31" s="33"/>
    </row>
    <row r="32" spans="1:15" ht="28.5" x14ac:dyDescent="0.2">
      <c r="A32" s="32" t="s">
        <v>12</v>
      </c>
      <c r="B32" s="32" t="s">
        <v>15</v>
      </c>
      <c r="C32" s="33" t="s">
        <v>561</v>
      </c>
      <c r="D32" s="20" t="s">
        <v>560</v>
      </c>
      <c r="E32" s="33" t="s">
        <v>538</v>
      </c>
      <c r="F32" s="33"/>
      <c r="G32" s="33"/>
      <c r="H32" s="33"/>
      <c r="I32" s="33"/>
      <c r="J32" s="33">
        <v>0</v>
      </c>
      <c r="K32" s="33"/>
      <c r="L32" s="33"/>
      <c r="M32" s="33"/>
      <c r="N32" s="33"/>
      <c r="O32" s="33"/>
    </row>
    <row r="33" spans="1:15" ht="15" x14ac:dyDescent="0.2">
      <c r="A33" s="32" t="s">
        <v>12</v>
      </c>
      <c r="B33" s="32" t="s">
        <v>15</v>
      </c>
      <c r="C33" s="33" t="s">
        <v>587</v>
      </c>
      <c r="D33" s="20" t="s">
        <v>586</v>
      </c>
      <c r="E33" s="33" t="s">
        <v>538</v>
      </c>
      <c r="F33" s="33"/>
      <c r="G33" s="33"/>
      <c r="H33" s="33"/>
      <c r="I33" s="33"/>
      <c r="J33" s="33">
        <v>0</v>
      </c>
      <c r="K33" s="33"/>
      <c r="L33" s="33"/>
      <c r="M33" s="33"/>
      <c r="N33" s="33"/>
      <c r="O33" s="33"/>
    </row>
    <row r="34" spans="1:15" ht="15" x14ac:dyDescent="0.2">
      <c r="A34" s="32" t="s">
        <v>12</v>
      </c>
      <c r="B34" s="32" t="s">
        <v>15</v>
      </c>
      <c r="C34" s="33" t="s">
        <v>593</v>
      </c>
      <c r="D34" s="20" t="s">
        <v>592</v>
      </c>
      <c r="E34" s="33" t="s">
        <v>541</v>
      </c>
      <c r="F34" s="33"/>
      <c r="G34" s="33"/>
      <c r="H34" s="33"/>
      <c r="I34" s="33"/>
      <c r="J34" s="33">
        <v>0</v>
      </c>
      <c r="K34" s="33"/>
      <c r="L34" s="33"/>
      <c r="M34" s="33"/>
      <c r="N34" s="33"/>
      <c r="O34" s="33"/>
    </row>
    <row r="35" spans="1:15" ht="28.5" x14ac:dyDescent="0.2">
      <c r="A35" s="32" t="s">
        <v>12</v>
      </c>
      <c r="B35" s="32" t="s">
        <v>15</v>
      </c>
      <c r="C35" s="33" t="s">
        <v>569</v>
      </c>
      <c r="D35" s="20" t="s">
        <v>568</v>
      </c>
      <c r="E35" s="33" t="s">
        <v>541</v>
      </c>
      <c r="F35" s="33"/>
      <c r="G35" s="33"/>
      <c r="H35" s="33"/>
      <c r="I35" s="33"/>
      <c r="J35" s="33">
        <v>0</v>
      </c>
      <c r="K35" s="33"/>
      <c r="L35" s="33"/>
      <c r="M35" s="33"/>
      <c r="N35" s="33"/>
      <c r="O35" s="33"/>
    </row>
    <row r="36" spans="1:15" ht="28.5" x14ac:dyDescent="0.2">
      <c r="A36" s="32" t="s">
        <v>12</v>
      </c>
      <c r="B36" s="32" t="s">
        <v>15</v>
      </c>
      <c r="C36" s="33" t="s">
        <v>585</v>
      </c>
      <c r="D36" s="20" t="s">
        <v>584</v>
      </c>
      <c r="E36" s="33" t="s">
        <v>541</v>
      </c>
      <c r="F36" s="33"/>
      <c r="G36" s="33"/>
      <c r="H36" s="33"/>
      <c r="I36" s="33"/>
      <c r="J36" s="33">
        <v>0</v>
      </c>
      <c r="K36" s="33"/>
      <c r="L36" s="33"/>
      <c r="M36" s="33"/>
      <c r="N36" s="33"/>
      <c r="O36" s="33"/>
    </row>
    <row r="37" spans="1:15" ht="28.5" x14ac:dyDescent="0.2">
      <c r="A37" s="32" t="s">
        <v>12</v>
      </c>
      <c r="B37" s="32" t="s">
        <v>15</v>
      </c>
      <c r="C37" s="33" t="s">
        <v>557</v>
      </c>
      <c r="D37" s="20" t="s">
        <v>556</v>
      </c>
      <c r="E37" s="33" t="s">
        <v>538</v>
      </c>
      <c r="F37" s="33"/>
      <c r="G37" s="33"/>
      <c r="H37" s="33"/>
      <c r="I37" s="33"/>
      <c r="J37" s="33">
        <v>0</v>
      </c>
      <c r="K37" s="33"/>
      <c r="L37" s="33"/>
      <c r="M37" s="33"/>
      <c r="N37" s="33"/>
      <c r="O37" s="33"/>
    </row>
    <row r="38" spans="1:15" ht="28.5" x14ac:dyDescent="0.2">
      <c r="A38" s="32" t="s">
        <v>12</v>
      </c>
      <c r="B38" s="32" t="s">
        <v>15</v>
      </c>
      <c r="C38" s="33" t="s">
        <v>575</v>
      </c>
      <c r="D38" s="20" t="s">
        <v>574</v>
      </c>
      <c r="E38" s="33" t="s">
        <v>538</v>
      </c>
      <c r="F38" s="33"/>
      <c r="G38" s="33"/>
      <c r="H38" s="33"/>
      <c r="I38" s="33"/>
      <c r="J38" s="33">
        <v>0</v>
      </c>
      <c r="K38" s="33"/>
      <c r="L38" s="33"/>
      <c r="M38" s="33"/>
      <c r="N38" s="33"/>
      <c r="O38" s="33"/>
    </row>
    <row r="39" spans="1:15" ht="28.5" x14ac:dyDescent="0.2">
      <c r="A39" s="32" t="s">
        <v>12</v>
      </c>
      <c r="B39" s="32" t="s">
        <v>15</v>
      </c>
      <c r="C39" s="33" t="s">
        <v>573</v>
      </c>
      <c r="D39" s="20" t="s">
        <v>572</v>
      </c>
      <c r="E39" s="33" t="s">
        <v>541</v>
      </c>
      <c r="F39" s="33"/>
      <c r="G39" s="33"/>
      <c r="H39" s="33"/>
      <c r="I39" s="33"/>
      <c r="J39" s="33">
        <v>0</v>
      </c>
      <c r="K39" s="33"/>
      <c r="L39" s="33"/>
      <c r="M39" s="33"/>
      <c r="N39" s="33"/>
      <c r="O39" s="33"/>
    </row>
    <row r="40" spans="1:15" ht="28.5" x14ac:dyDescent="0.2">
      <c r="A40" s="32" t="s">
        <v>12</v>
      </c>
      <c r="B40" s="32" t="s">
        <v>15</v>
      </c>
      <c r="C40" s="33" t="s">
        <v>599</v>
      </c>
      <c r="D40" s="20" t="s">
        <v>598</v>
      </c>
      <c r="E40" s="33" t="s">
        <v>538</v>
      </c>
      <c r="F40" s="33"/>
      <c r="G40" s="33"/>
      <c r="H40" s="33"/>
      <c r="I40" s="33"/>
      <c r="J40" s="33">
        <v>0</v>
      </c>
      <c r="K40" s="33"/>
      <c r="L40" s="33"/>
      <c r="M40" s="33"/>
      <c r="N40" s="33"/>
      <c r="O40" s="33"/>
    </row>
    <row r="41" spans="1:15" ht="15" x14ac:dyDescent="0.2">
      <c r="A41" s="32" t="s">
        <v>12</v>
      </c>
      <c r="B41" s="32" t="s">
        <v>15</v>
      </c>
      <c r="C41" s="33" t="s">
        <v>543</v>
      </c>
      <c r="D41" s="20" t="s">
        <v>542</v>
      </c>
      <c r="E41" s="33" t="s">
        <v>538</v>
      </c>
      <c r="F41" s="33"/>
      <c r="G41" s="33"/>
      <c r="H41" s="33"/>
      <c r="I41" s="33"/>
      <c r="J41" s="33">
        <v>0</v>
      </c>
      <c r="K41" s="33"/>
      <c r="L41" s="33"/>
      <c r="M41" s="33"/>
      <c r="N41" s="33"/>
      <c r="O41" s="33"/>
    </row>
    <row r="42" spans="1:15" ht="15" x14ac:dyDescent="0.2">
      <c r="A42" s="32" t="s">
        <v>12</v>
      </c>
      <c r="B42" s="32" t="s">
        <v>15</v>
      </c>
      <c r="C42" s="33" t="s">
        <v>601</v>
      </c>
      <c r="D42" s="20" t="s">
        <v>600</v>
      </c>
      <c r="E42" s="33" t="s">
        <v>541</v>
      </c>
      <c r="F42" s="33"/>
      <c r="G42" s="33"/>
      <c r="H42" s="33"/>
      <c r="I42" s="33"/>
      <c r="J42" s="33">
        <v>0</v>
      </c>
      <c r="K42" s="33"/>
      <c r="L42" s="33"/>
      <c r="M42" s="33"/>
      <c r="N42" s="33"/>
      <c r="O42" s="33"/>
    </row>
    <row r="43" spans="1:15" ht="28.5" x14ac:dyDescent="0.2">
      <c r="A43" s="32" t="s">
        <v>12</v>
      </c>
      <c r="B43" s="32" t="s">
        <v>15</v>
      </c>
      <c r="C43" s="33" t="s">
        <v>563</v>
      </c>
      <c r="D43" s="20" t="s">
        <v>562</v>
      </c>
      <c r="E43" s="33" t="s">
        <v>538</v>
      </c>
      <c r="F43" s="33"/>
      <c r="G43" s="33"/>
      <c r="H43" s="33"/>
      <c r="I43" s="33"/>
      <c r="J43" s="33">
        <v>0</v>
      </c>
      <c r="K43" s="33"/>
      <c r="L43" s="33"/>
      <c r="M43" s="33"/>
      <c r="N43" s="33"/>
      <c r="O43" s="33"/>
    </row>
    <row r="44" spans="1:15" ht="28.5" x14ac:dyDescent="0.2">
      <c r="A44" s="32" t="s">
        <v>12</v>
      </c>
      <c r="B44" s="32" t="s">
        <v>15</v>
      </c>
      <c r="C44" s="33" t="s">
        <v>551</v>
      </c>
      <c r="D44" s="20" t="s">
        <v>550</v>
      </c>
      <c r="E44" s="33" t="s">
        <v>538</v>
      </c>
      <c r="F44" s="33"/>
      <c r="G44" s="33"/>
      <c r="H44" s="33"/>
      <c r="I44" s="33"/>
      <c r="J44" s="33">
        <v>0</v>
      </c>
      <c r="K44" s="33"/>
      <c r="L44" s="33"/>
      <c r="M44" s="33"/>
      <c r="N44" s="33"/>
      <c r="O44" s="33"/>
    </row>
    <row r="45" spans="1:15" ht="28.5" x14ac:dyDescent="0.2">
      <c r="A45" s="32" t="s">
        <v>12</v>
      </c>
      <c r="B45" s="32" t="s">
        <v>15</v>
      </c>
      <c r="C45" s="33" t="s">
        <v>579</v>
      </c>
      <c r="D45" s="20" t="s">
        <v>578</v>
      </c>
      <c r="E45" s="33" t="s">
        <v>538</v>
      </c>
      <c r="F45" s="33"/>
      <c r="G45" s="33"/>
      <c r="H45" s="33"/>
      <c r="I45" s="33"/>
      <c r="J45" s="33">
        <v>0</v>
      </c>
      <c r="K45" s="33"/>
      <c r="L45" s="33"/>
      <c r="M45" s="33"/>
      <c r="N45" s="33"/>
      <c r="O45" s="33"/>
    </row>
    <row r="46" spans="1:15" ht="28.5" x14ac:dyDescent="0.2">
      <c r="A46" s="32" t="s">
        <v>12</v>
      </c>
      <c r="B46" s="32" t="s">
        <v>15</v>
      </c>
      <c r="C46" s="33" t="s">
        <v>537</v>
      </c>
      <c r="D46" s="20" t="s">
        <v>536</v>
      </c>
      <c r="E46" s="33" t="s">
        <v>538</v>
      </c>
      <c r="F46" s="33"/>
      <c r="G46" s="33"/>
      <c r="H46" s="33"/>
      <c r="I46" s="33"/>
      <c r="J46" s="33">
        <v>0</v>
      </c>
      <c r="K46" s="33"/>
      <c r="L46" s="33"/>
      <c r="M46" s="33"/>
      <c r="N46" s="33"/>
      <c r="O46" s="33"/>
    </row>
    <row r="47" spans="1:15" ht="28.5" x14ac:dyDescent="0.2">
      <c r="A47" s="32" t="s">
        <v>12</v>
      </c>
      <c r="B47" s="32" t="s">
        <v>15</v>
      </c>
      <c r="C47" s="33" t="s">
        <v>597</v>
      </c>
      <c r="D47" s="20" t="s">
        <v>596</v>
      </c>
      <c r="E47" s="33" t="s">
        <v>538</v>
      </c>
      <c r="F47" s="33"/>
      <c r="G47" s="33"/>
      <c r="H47" s="33"/>
      <c r="I47" s="33"/>
      <c r="J47" s="33">
        <v>0</v>
      </c>
      <c r="K47" s="33"/>
      <c r="L47" s="33"/>
      <c r="M47" s="33"/>
      <c r="N47" s="33"/>
      <c r="O47" s="33"/>
    </row>
    <row r="48" spans="1:15" ht="28.5" x14ac:dyDescent="0.2">
      <c r="A48" s="32" t="s">
        <v>12</v>
      </c>
      <c r="B48" s="32" t="s">
        <v>15</v>
      </c>
      <c r="C48" s="33" t="s">
        <v>567</v>
      </c>
      <c r="D48" s="20" t="s">
        <v>566</v>
      </c>
      <c r="E48" s="33" t="s">
        <v>538</v>
      </c>
      <c r="F48" s="33"/>
      <c r="G48" s="33"/>
      <c r="H48" s="33"/>
      <c r="I48" s="33"/>
      <c r="J48" s="33">
        <v>0</v>
      </c>
      <c r="K48" s="33"/>
      <c r="L48" s="33"/>
      <c r="M48" s="33"/>
      <c r="N48" s="33"/>
      <c r="O48" s="33"/>
    </row>
    <row r="49" spans="1:15" ht="15" x14ac:dyDescent="0.2">
      <c r="A49" s="32" t="s">
        <v>12</v>
      </c>
      <c r="B49" s="32" t="s">
        <v>15</v>
      </c>
      <c r="C49" s="33" t="s">
        <v>553</v>
      </c>
      <c r="D49" s="20" t="s">
        <v>552</v>
      </c>
      <c r="E49" s="33" t="s">
        <v>538</v>
      </c>
      <c r="F49" s="33"/>
      <c r="G49" s="33"/>
      <c r="H49" s="33"/>
      <c r="I49" s="33"/>
      <c r="J49" s="33">
        <v>0</v>
      </c>
      <c r="K49" s="33"/>
      <c r="L49" s="33"/>
      <c r="M49" s="33"/>
      <c r="N49" s="33"/>
      <c r="O49" s="33"/>
    </row>
    <row r="50" spans="1:15" ht="15" x14ac:dyDescent="0.2">
      <c r="A50" s="32" t="s">
        <v>12</v>
      </c>
      <c r="B50" s="32" t="s">
        <v>15</v>
      </c>
      <c r="C50" s="33" t="s">
        <v>591</v>
      </c>
      <c r="D50" s="20" t="s">
        <v>590</v>
      </c>
      <c r="E50" s="33" t="s">
        <v>538</v>
      </c>
      <c r="F50" s="33"/>
      <c r="G50" s="33"/>
      <c r="H50" s="33"/>
      <c r="I50" s="33"/>
      <c r="J50" s="33">
        <v>0</v>
      </c>
      <c r="K50" s="33"/>
      <c r="L50" s="33"/>
      <c r="M50" s="33"/>
      <c r="N50" s="33"/>
      <c r="O50" s="33"/>
    </row>
    <row r="51" spans="1:15" ht="28.5" x14ac:dyDescent="0.2">
      <c r="A51" s="32" t="s">
        <v>12</v>
      </c>
      <c r="B51" s="32" t="s">
        <v>15</v>
      </c>
      <c r="C51" s="33" t="s">
        <v>583</v>
      </c>
      <c r="D51" s="20" t="s">
        <v>582</v>
      </c>
      <c r="E51" s="33" t="s">
        <v>538</v>
      </c>
      <c r="F51" s="33"/>
      <c r="G51" s="33"/>
      <c r="H51" s="33"/>
      <c r="I51" s="33"/>
      <c r="J51" s="33">
        <v>0</v>
      </c>
      <c r="K51" s="33"/>
      <c r="L51" s="33"/>
      <c r="M51" s="33"/>
      <c r="N51" s="33"/>
      <c r="O51" s="33"/>
    </row>
    <row r="52" spans="1:15" ht="28.5" x14ac:dyDescent="0.2">
      <c r="A52" s="32" t="s">
        <v>12</v>
      </c>
      <c r="B52" s="32" t="s">
        <v>15</v>
      </c>
      <c r="C52" s="33" t="s">
        <v>565</v>
      </c>
      <c r="D52" s="20" t="s">
        <v>564</v>
      </c>
      <c r="E52" s="33" t="s">
        <v>538</v>
      </c>
      <c r="F52" s="33"/>
      <c r="G52" s="33"/>
      <c r="H52" s="33"/>
      <c r="I52" s="33"/>
      <c r="J52" s="33">
        <v>0</v>
      </c>
      <c r="K52" s="33"/>
      <c r="L52" s="33"/>
      <c r="M52" s="33"/>
      <c r="N52" s="33"/>
      <c r="O52" s="33"/>
    </row>
    <row r="53" spans="1:15" ht="28.5" x14ac:dyDescent="0.2">
      <c r="A53" s="32" t="s">
        <v>12</v>
      </c>
      <c r="B53" s="32" t="s">
        <v>15</v>
      </c>
      <c r="C53" s="33" t="s">
        <v>555</v>
      </c>
      <c r="D53" s="20" t="s">
        <v>554</v>
      </c>
      <c r="E53" s="33" t="s">
        <v>538</v>
      </c>
      <c r="F53" s="33"/>
      <c r="G53" s="33"/>
      <c r="H53" s="33"/>
      <c r="I53" s="33"/>
      <c r="J53" s="33">
        <v>0</v>
      </c>
      <c r="K53" s="33"/>
      <c r="L53" s="33"/>
      <c r="M53" s="33"/>
      <c r="N53" s="33"/>
      <c r="O53" s="33"/>
    </row>
    <row r="54" spans="1:15" ht="15" x14ac:dyDescent="0.2">
      <c r="A54" s="32" t="s">
        <v>12</v>
      </c>
      <c r="B54" s="32" t="s">
        <v>15</v>
      </c>
      <c r="C54" s="33" t="s">
        <v>77</v>
      </c>
      <c r="D54" s="20" t="s">
        <v>78</v>
      </c>
      <c r="E54" s="33" t="s">
        <v>70</v>
      </c>
      <c r="F54" s="33" t="s">
        <v>75</v>
      </c>
      <c r="G54" s="33">
        <v>0</v>
      </c>
      <c r="H54" s="33"/>
      <c r="I54" s="33">
        <v>7200</v>
      </c>
      <c r="J54" s="33">
        <v>7200</v>
      </c>
      <c r="K54" s="33"/>
      <c r="L54" s="33"/>
      <c r="M54" s="33"/>
      <c r="N54" s="33"/>
      <c r="O54" s="33" t="s">
        <v>76</v>
      </c>
    </row>
    <row r="55" spans="1:15" ht="15" x14ac:dyDescent="0.2">
      <c r="A55" s="32" t="s">
        <v>12</v>
      </c>
      <c r="B55" s="32" t="s">
        <v>15</v>
      </c>
      <c r="C55" s="33" t="s">
        <v>79</v>
      </c>
      <c r="D55" s="20" t="s">
        <v>80</v>
      </c>
      <c r="E55" s="33" t="s">
        <v>70</v>
      </c>
      <c r="F55" s="33" t="s">
        <v>75</v>
      </c>
      <c r="G55" s="33">
        <v>0</v>
      </c>
      <c r="H55" s="33"/>
      <c r="I55" s="33"/>
      <c r="J55" s="33"/>
      <c r="K55" s="33"/>
      <c r="L55" s="33"/>
      <c r="M55" s="33"/>
      <c r="N55" s="33"/>
      <c r="O55" s="33" t="s">
        <v>76</v>
      </c>
    </row>
    <row r="56" spans="1:15" ht="28.5" x14ac:dyDescent="0.2">
      <c r="A56" s="32" t="s">
        <v>12</v>
      </c>
      <c r="B56" s="32" t="s">
        <v>15</v>
      </c>
      <c r="C56" s="33" t="s">
        <v>451</v>
      </c>
      <c r="D56" s="20" t="s">
        <v>450</v>
      </c>
      <c r="E56" s="33" t="s">
        <v>442</v>
      </c>
      <c r="F56" s="33" t="s">
        <v>452</v>
      </c>
      <c r="G56" s="33"/>
      <c r="H56" s="33"/>
      <c r="I56" s="33"/>
      <c r="J56" s="33"/>
      <c r="K56" s="33"/>
      <c r="L56" s="33"/>
      <c r="M56" s="33"/>
      <c r="N56" s="33"/>
      <c r="O56" s="33"/>
    </row>
    <row r="57" spans="1:15" ht="28.5" x14ac:dyDescent="0.2">
      <c r="A57" s="32" t="s">
        <v>12</v>
      </c>
      <c r="B57" s="32" t="s">
        <v>15</v>
      </c>
      <c r="C57" s="33" t="s">
        <v>196</v>
      </c>
      <c r="D57" s="20" t="s">
        <v>197</v>
      </c>
      <c r="E57" s="33" t="s">
        <v>70</v>
      </c>
      <c r="F57" s="33" t="s">
        <v>188</v>
      </c>
      <c r="G57" s="33">
        <v>5</v>
      </c>
      <c r="H57" s="33">
        <v>5</v>
      </c>
      <c r="I57" s="33">
        <v>104400</v>
      </c>
      <c r="J57" s="33">
        <v>104400</v>
      </c>
      <c r="K57" s="33"/>
      <c r="L57" s="33"/>
      <c r="M57" s="33"/>
      <c r="N57" s="33"/>
      <c r="O57" s="33" t="s">
        <v>198</v>
      </c>
    </row>
    <row r="58" spans="1:15" ht="15" x14ac:dyDescent="0.2">
      <c r="A58" s="32" t="s">
        <v>12</v>
      </c>
      <c r="B58" s="32" t="s">
        <v>15</v>
      </c>
      <c r="C58" s="33" t="s">
        <v>207</v>
      </c>
      <c r="D58" s="20" t="s">
        <v>208</v>
      </c>
      <c r="E58" s="33" t="s">
        <v>70</v>
      </c>
      <c r="F58" s="33" t="s">
        <v>188</v>
      </c>
      <c r="G58" s="33">
        <v>5</v>
      </c>
      <c r="H58" s="33">
        <v>5</v>
      </c>
      <c r="I58" s="33">
        <v>86400</v>
      </c>
      <c r="J58" s="33">
        <v>86400</v>
      </c>
      <c r="K58" s="33"/>
      <c r="L58" s="33"/>
      <c r="M58" s="33"/>
      <c r="N58" s="33"/>
      <c r="O58" s="33" t="s">
        <v>209</v>
      </c>
    </row>
    <row r="59" spans="1:15" ht="28.5" x14ac:dyDescent="0.2">
      <c r="A59" s="32" t="s">
        <v>12</v>
      </c>
      <c r="B59" s="32" t="s">
        <v>15</v>
      </c>
      <c r="C59" s="33" t="s">
        <v>205</v>
      </c>
      <c r="D59" s="20" t="s">
        <v>206</v>
      </c>
      <c r="E59" s="33" t="s">
        <v>70</v>
      </c>
      <c r="F59" s="33" t="s">
        <v>188</v>
      </c>
      <c r="G59" s="33">
        <v>8</v>
      </c>
      <c r="H59" s="33">
        <v>8</v>
      </c>
      <c r="I59" s="33">
        <v>57600</v>
      </c>
      <c r="J59" s="33">
        <v>57600</v>
      </c>
      <c r="K59" s="33"/>
      <c r="L59" s="33"/>
      <c r="M59" s="33"/>
      <c r="N59" s="33"/>
      <c r="O59" s="33" t="s">
        <v>91</v>
      </c>
    </row>
    <row r="60" spans="1:15" ht="28.5" x14ac:dyDescent="0.2">
      <c r="A60" s="32" t="s">
        <v>12</v>
      </c>
      <c r="B60" s="32" t="s">
        <v>15</v>
      </c>
      <c r="C60" s="33" t="s">
        <v>199</v>
      </c>
      <c r="D60" s="20" t="s">
        <v>200</v>
      </c>
      <c r="E60" s="33" t="s">
        <v>70</v>
      </c>
      <c r="F60" s="33" t="s">
        <v>188</v>
      </c>
      <c r="G60" s="33">
        <v>5</v>
      </c>
      <c r="H60" s="33">
        <v>5</v>
      </c>
      <c r="I60" s="33">
        <v>28800</v>
      </c>
      <c r="J60" s="33">
        <v>28800</v>
      </c>
      <c r="K60" s="33"/>
      <c r="L60" s="33"/>
      <c r="M60" s="33"/>
      <c r="N60" s="33"/>
      <c r="O60" s="33" t="s">
        <v>201</v>
      </c>
    </row>
    <row r="61" spans="1:15" ht="28.5" x14ac:dyDescent="0.2">
      <c r="A61" s="32" t="s">
        <v>12</v>
      </c>
      <c r="B61" s="32" t="s">
        <v>15</v>
      </c>
      <c r="C61" s="33" t="s">
        <v>190</v>
      </c>
      <c r="D61" s="20" t="s">
        <v>191</v>
      </c>
      <c r="E61" s="33" t="s">
        <v>70</v>
      </c>
      <c r="F61" s="33" t="s">
        <v>188</v>
      </c>
      <c r="G61" s="33">
        <v>3</v>
      </c>
      <c r="H61" s="33">
        <v>3</v>
      </c>
      <c r="I61" s="33">
        <v>28800</v>
      </c>
      <c r="J61" s="33">
        <v>28800</v>
      </c>
      <c r="K61" s="33"/>
      <c r="L61" s="33"/>
      <c r="M61" s="33"/>
      <c r="N61" s="33"/>
      <c r="O61" s="33" t="s">
        <v>88</v>
      </c>
    </row>
    <row r="62" spans="1:15" ht="15" x14ac:dyDescent="0.2">
      <c r="A62" s="32" t="s">
        <v>12</v>
      </c>
      <c r="B62" s="32" t="s">
        <v>15</v>
      </c>
      <c r="C62" s="33" t="s">
        <v>192</v>
      </c>
      <c r="D62" s="20" t="s">
        <v>193</v>
      </c>
      <c r="E62" s="33" t="s">
        <v>70</v>
      </c>
      <c r="F62" s="33" t="s">
        <v>188</v>
      </c>
      <c r="G62" s="33">
        <v>5</v>
      </c>
      <c r="H62" s="33">
        <v>5</v>
      </c>
      <c r="I62" s="33">
        <v>28800</v>
      </c>
      <c r="J62" s="33">
        <v>28800</v>
      </c>
      <c r="K62" s="33"/>
      <c r="L62" s="33"/>
      <c r="M62" s="33"/>
      <c r="N62" s="33"/>
      <c r="O62" s="33" t="s">
        <v>96</v>
      </c>
    </row>
    <row r="63" spans="1:15" ht="28.5" x14ac:dyDescent="0.2">
      <c r="A63" s="32" t="s">
        <v>12</v>
      </c>
      <c r="B63" s="32" t="s">
        <v>15</v>
      </c>
      <c r="C63" s="33" t="s">
        <v>160</v>
      </c>
      <c r="D63" s="20" t="s">
        <v>161</v>
      </c>
      <c r="E63" s="33" t="s">
        <v>70</v>
      </c>
      <c r="F63" s="33" t="s">
        <v>158</v>
      </c>
      <c r="G63" s="33"/>
      <c r="H63" s="33"/>
      <c r="I63" s="33"/>
      <c r="J63" s="33"/>
      <c r="K63" s="33"/>
      <c r="L63" s="33"/>
      <c r="M63" s="33"/>
      <c r="N63" s="33"/>
      <c r="O63" s="33"/>
    </row>
    <row r="64" spans="1:15" ht="28.5" x14ac:dyDescent="0.2">
      <c r="A64" s="32" t="s">
        <v>12</v>
      </c>
      <c r="B64" s="32" t="s">
        <v>15</v>
      </c>
      <c r="C64" s="33" t="s">
        <v>186</v>
      </c>
      <c r="D64" s="20" t="s">
        <v>187</v>
      </c>
      <c r="E64" s="33" t="s">
        <v>70</v>
      </c>
      <c r="F64" s="33" t="s">
        <v>188</v>
      </c>
      <c r="G64" s="33">
        <v>13</v>
      </c>
      <c r="H64" s="33">
        <v>13</v>
      </c>
      <c r="I64" s="33">
        <v>115200</v>
      </c>
      <c r="J64" s="33">
        <v>115200</v>
      </c>
      <c r="K64" s="33"/>
      <c r="L64" s="33"/>
      <c r="M64" s="33"/>
      <c r="N64" s="33"/>
      <c r="O64" s="33" t="s">
        <v>189</v>
      </c>
    </row>
    <row r="65" spans="1:15" ht="42.75" x14ac:dyDescent="0.2">
      <c r="A65" s="32" t="s">
        <v>12</v>
      </c>
      <c r="B65" s="32" t="s">
        <v>15</v>
      </c>
      <c r="C65" s="33" t="s">
        <v>178</v>
      </c>
      <c r="D65" s="20" t="s">
        <v>179</v>
      </c>
      <c r="E65" s="33" t="s">
        <v>70</v>
      </c>
      <c r="F65" s="33" t="s">
        <v>180</v>
      </c>
      <c r="G65" s="33">
        <v>3</v>
      </c>
      <c r="H65" s="33">
        <v>3</v>
      </c>
      <c r="I65" s="33">
        <v>86400</v>
      </c>
      <c r="J65" s="33">
        <v>86400</v>
      </c>
      <c r="K65" s="33"/>
      <c r="L65" s="33"/>
      <c r="M65" s="33"/>
      <c r="N65" s="33"/>
      <c r="O65" s="33" t="s">
        <v>181</v>
      </c>
    </row>
    <row r="66" spans="1:15" ht="28.5" x14ac:dyDescent="0.2">
      <c r="A66" s="32" t="s">
        <v>12</v>
      </c>
      <c r="B66" s="32" t="s">
        <v>15</v>
      </c>
      <c r="C66" s="33" t="s">
        <v>182</v>
      </c>
      <c r="D66" s="20" t="s">
        <v>183</v>
      </c>
      <c r="E66" s="33" t="s">
        <v>70</v>
      </c>
      <c r="F66" s="33" t="s">
        <v>180</v>
      </c>
      <c r="G66" s="33">
        <v>3</v>
      </c>
      <c r="H66" s="33">
        <v>3</v>
      </c>
      <c r="I66" s="33">
        <v>28800</v>
      </c>
      <c r="J66" s="33">
        <v>28800</v>
      </c>
      <c r="K66" s="33"/>
      <c r="L66" s="33"/>
      <c r="M66" s="33"/>
      <c r="N66" s="33"/>
      <c r="O66" s="33" t="s">
        <v>88</v>
      </c>
    </row>
    <row r="67" spans="1:15" ht="15" x14ac:dyDescent="0.2">
      <c r="A67" s="32" t="s">
        <v>12</v>
      </c>
      <c r="B67" s="32" t="s">
        <v>15</v>
      </c>
      <c r="C67" s="33" t="s">
        <v>618</v>
      </c>
      <c r="D67" s="20" t="s">
        <v>617</v>
      </c>
      <c r="E67" s="33" t="s">
        <v>432</v>
      </c>
      <c r="F67" s="33" t="s">
        <v>434</v>
      </c>
      <c r="G67" s="33">
        <v>5</v>
      </c>
      <c r="H67" s="33">
        <v>5</v>
      </c>
      <c r="I67" s="33">
        <v>208800</v>
      </c>
      <c r="J67" s="33">
        <v>208800</v>
      </c>
      <c r="K67" s="33"/>
      <c r="L67" s="33"/>
      <c r="M67" s="33"/>
      <c r="N67" s="33"/>
      <c r="O67" s="33" t="s">
        <v>619</v>
      </c>
    </row>
    <row r="68" spans="1:15" ht="15" x14ac:dyDescent="0.2">
      <c r="A68" s="32" t="s">
        <v>12</v>
      </c>
      <c r="B68" s="32" t="s">
        <v>15</v>
      </c>
      <c r="C68" s="33" t="s">
        <v>436</v>
      </c>
      <c r="D68" s="20" t="s">
        <v>435</v>
      </c>
      <c r="E68" s="33" t="s">
        <v>432</v>
      </c>
      <c r="F68" s="33" t="s">
        <v>434</v>
      </c>
      <c r="G68" s="33">
        <v>3</v>
      </c>
      <c r="H68" s="33">
        <v>3</v>
      </c>
      <c r="I68" s="33">
        <v>14400</v>
      </c>
      <c r="J68" s="33">
        <v>14400</v>
      </c>
      <c r="K68" s="33"/>
      <c r="L68" s="33"/>
      <c r="M68" s="33"/>
      <c r="N68" s="33"/>
      <c r="O68" s="33" t="s">
        <v>433</v>
      </c>
    </row>
    <row r="69" spans="1:15" ht="15" x14ac:dyDescent="0.2">
      <c r="A69" s="32" t="s">
        <v>12</v>
      </c>
      <c r="B69" s="32" t="s">
        <v>15</v>
      </c>
      <c r="C69" s="33" t="s">
        <v>431</v>
      </c>
      <c r="D69" s="20" t="s">
        <v>430</v>
      </c>
      <c r="E69" s="33" t="s">
        <v>432</v>
      </c>
      <c r="F69" s="33" t="s">
        <v>434</v>
      </c>
      <c r="G69" s="33">
        <v>8</v>
      </c>
      <c r="H69" s="33">
        <v>8</v>
      </c>
      <c r="I69" s="33">
        <v>144000</v>
      </c>
      <c r="J69" s="33">
        <v>144000</v>
      </c>
      <c r="K69" s="33"/>
      <c r="L69" s="33"/>
      <c r="M69" s="33"/>
      <c r="N69" s="33"/>
      <c r="O69" s="33" t="s">
        <v>433</v>
      </c>
    </row>
    <row r="70" spans="1:15" ht="28.5" x14ac:dyDescent="0.2">
      <c r="A70" s="32" t="s">
        <v>12</v>
      </c>
      <c r="B70" s="32" t="s">
        <v>15</v>
      </c>
      <c r="C70" s="33" t="s">
        <v>123</v>
      </c>
      <c r="D70" s="20" t="s">
        <v>153</v>
      </c>
      <c r="E70" s="33" t="s">
        <v>70</v>
      </c>
      <c r="F70" s="33" t="s">
        <v>154</v>
      </c>
      <c r="G70" s="33">
        <v>3</v>
      </c>
      <c r="H70" s="33">
        <v>3</v>
      </c>
      <c r="I70" s="33">
        <v>28800</v>
      </c>
      <c r="J70" s="33">
        <v>28800</v>
      </c>
      <c r="K70" s="33"/>
      <c r="L70" s="33"/>
      <c r="M70" s="33"/>
      <c r="N70" s="33"/>
      <c r="O70" s="33" t="s">
        <v>155</v>
      </c>
    </row>
    <row r="71" spans="1:15" ht="15" x14ac:dyDescent="0.2">
      <c r="A71" s="32" t="s">
        <v>12</v>
      </c>
      <c r="B71" s="32" t="s">
        <v>15</v>
      </c>
      <c r="C71" s="33" t="s">
        <v>89</v>
      </c>
      <c r="D71" s="20" t="s">
        <v>90</v>
      </c>
      <c r="E71" s="33" t="s">
        <v>70</v>
      </c>
      <c r="F71" s="33" t="s">
        <v>87</v>
      </c>
      <c r="G71" s="33">
        <v>8</v>
      </c>
      <c r="H71" s="33">
        <v>8</v>
      </c>
      <c r="I71" s="33">
        <v>129600</v>
      </c>
      <c r="J71" s="33">
        <v>129600</v>
      </c>
      <c r="K71" s="33"/>
      <c r="L71" s="33"/>
      <c r="M71" s="33"/>
      <c r="N71" s="33"/>
      <c r="O71" s="33" t="s">
        <v>91</v>
      </c>
    </row>
    <row r="72" spans="1:15" ht="28.5" x14ac:dyDescent="0.2">
      <c r="A72" s="32" t="s">
        <v>12</v>
      </c>
      <c r="B72" s="32" t="s">
        <v>15</v>
      </c>
      <c r="C72" s="33" t="s">
        <v>104</v>
      </c>
      <c r="D72" s="20" t="s">
        <v>105</v>
      </c>
      <c r="E72" s="33" t="s">
        <v>70</v>
      </c>
      <c r="F72" s="33" t="s">
        <v>87</v>
      </c>
      <c r="G72" s="33">
        <v>3</v>
      </c>
      <c r="H72" s="33">
        <v>3</v>
      </c>
      <c r="I72" s="33">
        <v>28800</v>
      </c>
      <c r="J72" s="33">
        <v>28800</v>
      </c>
      <c r="K72" s="33"/>
      <c r="L72" s="33"/>
      <c r="M72" s="33"/>
      <c r="N72" s="33"/>
      <c r="O72" s="33" t="s">
        <v>91</v>
      </c>
    </row>
    <row r="73" spans="1:15" ht="15" x14ac:dyDescent="0.2">
      <c r="A73" s="32" t="s">
        <v>12</v>
      </c>
      <c r="B73" s="32" t="s">
        <v>15</v>
      </c>
      <c r="C73" s="33" t="s">
        <v>85</v>
      </c>
      <c r="D73" s="20" t="s">
        <v>86</v>
      </c>
      <c r="E73" s="33" t="s">
        <v>70</v>
      </c>
      <c r="F73" s="33" t="s">
        <v>87</v>
      </c>
      <c r="G73" s="33">
        <v>3</v>
      </c>
      <c r="H73" s="33">
        <v>3</v>
      </c>
      <c r="I73" s="33">
        <v>144000</v>
      </c>
      <c r="J73" s="33">
        <v>144000</v>
      </c>
      <c r="K73" s="33"/>
      <c r="L73" s="33"/>
      <c r="M73" s="33"/>
      <c r="N73" s="33"/>
      <c r="O73" s="33" t="s">
        <v>88</v>
      </c>
    </row>
    <row r="74" spans="1:15" ht="15" x14ac:dyDescent="0.2">
      <c r="A74" s="32" t="s">
        <v>12</v>
      </c>
      <c r="B74" s="32" t="s">
        <v>15</v>
      </c>
      <c r="C74" s="33" t="s">
        <v>92</v>
      </c>
      <c r="D74" s="20" t="s">
        <v>93</v>
      </c>
      <c r="E74" s="33" t="s">
        <v>70</v>
      </c>
      <c r="F74" s="33" t="s">
        <v>87</v>
      </c>
      <c r="G74" s="33">
        <v>3</v>
      </c>
      <c r="H74" s="33">
        <v>3</v>
      </c>
      <c r="I74" s="33">
        <v>57600</v>
      </c>
      <c r="J74" s="33">
        <v>57600</v>
      </c>
      <c r="K74" s="33"/>
      <c r="L74" s="33"/>
      <c r="M74" s="33"/>
      <c r="N74" s="33"/>
      <c r="O74" s="33" t="s">
        <v>91</v>
      </c>
    </row>
    <row r="75" spans="1:15" ht="28.5" x14ac:dyDescent="0.2">
      <c r="A75" s="32" t="s">
        <v>12</v>
      </c>
      <c r="B75" s="32" t="s">
        <v>15</v>
      </c>
      <c r="C75" s="33" t="s">
        <v>99</v>
      </c>
      <c r="D75" s="20" t="s">
        <v>100</v>
      </c>
      <c r="E75" s="33" t="s">
        <v>70</v>
      </c>
      <c r="F75" s="33" t="s">
        <v>87</v>
      </c>
      <c r="G75" s="33">
        <v>5</v>
      </c>
      <c r="H75" s="33">
        <v>5</v>
      </c>
      <c r="I75" s="33">
        <v>57600</v>
      </c>
      <c r="J75" s="33">
        <v>57600</v>
      </c>
      <c r="K75" s="33"/>
      <c r="L75" s="33"/>
      <c r="M75" s="33"/>
      <c r="N75" s="33"/>
      <c r="O75" s="33" t="s">
        <v>101</v>
      </c>
    </row>
    <row r="76" spans="1:15" ht="28.5" x14ac:dyDescent="0.2">
      <c r="A76" s="32" t="s">
        <v>12</v>
      </c>
      <c r="B76" s="32" t="s">
        <v>15</v>
      </c>
      <c r="C76" s="33" t="s">
        <v>156</v>
      </c>
      <c r="D76" s="20" t="s">
        <v>157</v>
      </c>
      <c r="E76" s="33" t="s">
        <v>70</v>
      </c>
      <c r="F76" s="33" t="s">
        <v>158</v>
      </c>
      <c r="G76" s="33">
        <v>5</v>
      </c>
      <c r="H76" s="33">
        <v>5</v>
      </c>
      <c r="I76" s="33">
        <v>86400</v>
      </c>
      <c r="J76" s="33">
        <v>86400</v>
      </c>
      <c r="K76" s="33"/>
      <c r="L76" s="33"/>
      <c r="M76" s="33"/>
      <c r="N76" s="33"/>
      <c r="O76" s="33" t="s">
        <v>159</v>
      </c>
    </row>
    <row r="77" spans="1:15" ht="28.5" x14ac:dyDescent="0.2">
      <c r="A77" s="32" t="s">
        <v>12</v>
      </c>
      <c r="B77" s="32" t="s">
        <v>15</v>
      </c>
      <c r="C77" s="33" t="s">
        <v>94</v>
      </c>
      <c r="D77" s="20" t="s">
        <v>95</v>
      </c>
      <c r="E77" s="33" t="s">
        <v>70</v>
      </c>
      <c r="F77" s="33" t="s">
        <v>87</v>
      </c>
      <c r="G77" s="33">
        <v>3</v>
      </c>
      <c r="H77" s="33">
        <v>3</v>
      </c>
      <c r="I77" s="33">
        <v>28800</v>
      </c>
      <c r="J77" s="33">
        <v>28800</v>
      </c>
      <c r="K77" s="33"/>
      <c r="L77" s="33"/>
      <c r="M77" s="33"/>
      <c r="N77" s="33"/>
      <c r="O77" s="33" t="s">
        <v>96</v>
      </c>
    </row>
    <row r="78" spans="1:15" ht="15" x14ac:dyDescent="0.2">
      <c r="A78" s="32" t="s">
        <v>12</v>
      </c>
      <c r="B78" s="32" t="s">
        <v>15</v>
      </c>
      <c r="C78" s="33" t="s">
        <v>97</v>
      </c>
      <c r="D78" s="20" t="s">
        <v>98</v>
      </c>
      <c r="E78" s="33" t="s">
        <v>70</v>
      </c>
      <c r="F78" s="33" t="s">
        <v>87</v>
      </c>
      <c r="G78" s="33">
        <v>3</v>
      </c>
      <c r="H78" s="33">
        <v>3</v>
      </c>
      <c r="I78" s="33">
        <v>86400</v>
      </c>
      <c r="J78" s="33">
        <v>86400</v>
      </c>
      <c r="K78" s="33"/>
      <c r="L78" s="33"/>
      <c r="M78" s="33"/>
      <c r="N78" s="33"/>
      <c r="O78" s="33" t="s">
        <v>96</v>
      </c>
    </row>
    <row r="79" spans="1:15" ht="28.5" x14ac:dyDescent="0.2">
      <c r="A79" s="32" t="s">
        <v>12</v>
      </c>
      <c r="B79" s="32" t="s">
        <v>15</v>
      </c>
      <c r="C79" s="33" t="s">
        <v>184</v>
      </c>
      <c r="D79" s="20" t="s">
        <v>185</v>
      </c>
      <c r="E79" s="33" t="s">
        <v>70</v>
      </c>
      <c r="F79" s="33" t="s">
        <v>180</v>
      </c>
      <c r="G79" s="33">
        <v>5</v>
      </c>
      <c r="H79" s="33">
        <v>5</v>
      </c>
      <c r="I79" s="33">
        <v>57600</v>
      </c>
      <c r="J79" s="33">
        <v>57600</v>
      </c>
      <c r="K79" s="33"/>
      <c r="L79" s="33"/>
      <c r="M79" s="33"/>
      <c r="N79" s="33"/>
      <c r="O79" s="33" t="s">
        <v>96</v>
      </c>
    </row>
    <row r="80" spans="1:15" ht="28.5" x14ac:dyDescent="0.2">
      <c r="A80" s="32" t="s">
        <v>12</v>
      </c>
      <c r="B80" s="32" t="s">
        <v>15</v>
      </c>
      <c r="C80" s="33" t="s">
        <v>194</v>
      </c>
      <c r="D80" s="20" t="s">
        <v>195</v>
      </c>
      <c r="E80" s="33" t="s">
        <v>70</v>
      </c>
      <c r="F80" s="33" t="s">
        <v>188</v>
      </c>
      <c r="G80" s="33">
        <v>3</v>
      </c>
      <c r="H80" s="33">
        <v>3</v>
      </c>
      <c r="I80" s="33">
        <v>28800</v>
      </c>
      <c r="J80" s="33">
        <v>28800</v>
      </c>
      <c r="K80" s="33"/>
      <c r="L80" s="33"/>
      <c r="M80" s="33"/>
      <c r="N80" s="33"/>
      <c r="O80" s="33" t="s">
        <v>91</v>
      </c>
    </row>
    <row r="81" spans="1:15" ht="28.5" x14ac:dyDescent="0.2">
      <c r="A81" s="32" t="s">
        <v>12</v>
      </c>
      <c r="B81" s="32" t="s">
        <v>15</v>
      </c>
      <c r="C81" s="33" t="s">
        <v>498</v>
      </c>
      <c r="D81" s="20" t="s">
        <v>497</v>
      </c>
      <c r="E81" s="33" t="s">
        <v>442</v>
      </c>
      <c r="F81" s="33" t="s">
        <v>477</v>
      </c>
      <c r="G81" s="33">
        <v>2</v>
      </c>
      <c r="H81" s="33">
        <v>2</v>
      </c>
      <c r="I81" s="33"/>
      <c r="J81" s="33"/>
      <c r="K81" s="33"/>
      <c r="L81" s="33"/>
      <c r="M81" s="33"/>
      <c r="N81" s="33"/>
      <c r="O81" s="33" t="s">
        <v>488</v>
      </c>
    </row>
    <row r="82" spans="1:15" ht="28.5" x14ac:dyDescent="0.2">
      <c r="A82" s="32" t="s">
        <v>12</v>
      </c>
      <c r="B82" s="32" t="s">
        <v>15</v>
      </c>
      <c r="C82" s="33" t="s">
        <v>202</v>
      </c>
      <c r="D82" s="20" t="s">
        <v>203</v>
      </c>
      <c r="E82" s="33" t="s">
        <v>70</v>
      </c>
      <c r="F82" s="33" t="s">
        <v>188</v>
      </c>
      <c r="G82" s="33">
        <v>3</v>
      </c>
      <c r="H82" s="33">
        <v>3</v>
      </c>
      <c r="I82" s="33">
        <v>14400</v>
      </c>
      <c r="J82" s="33">
        <v>14400</v>
      </c>
      <c r="K82" s="33"/>
      <c r="L82" s="33"/>
      <c r="M82" s="33"/>
      <c r="N82" s="33"/>
      <c r="O82" s="33" t="s">
        <v>204</v>
      </c>
    </row>
    <row r="83" spans="1:15" ht="15" x14ac:dyDescent="0.2">
      <c r="A83" s="32" t="s">
        <v>12</v>
      </c>
      <c r="B83" s="32" t="s">
        <v>15</v>
      </c>
      <c r="C83" s="33" t="s">
        <v>279</v>
      </c>
      <c r="D83" s="20" t="s">
        <v>614</v>
      </c>
      <c r="E83" s="33" t="s">
        <v>442</v>
      </c>
      <c r="F83" s="33" t="s">
        <v>616</v>
      </c>
      <c r="G83" s="33">
        <v>7</v>
      </c>
      <c r="H83" s="33">
        <v>5</v>
      </c>
      <c r="I83" s="33">
        <v>288000</v>
      </c>
      <c r="J83" s="33">
        <v>57600</v>
      </c>
      <c r="K83" s="33"/>
      <c r="L83" s="33"/>
      <c r="M83" s="33"/>
      <c r="N83" s="33"/>
      <c r="O83" s="33" t="s">
        <v>615</v>
      </c>
    </row>
    <row r="84" spans="1:15" ht="28.5" x14ac:dyDescent="0.2">
      <c r="A84" s="32" t="s">
        <v>12</v>
      </c>
      <c r="B84" s="32" t="s">
        <v>16</v>
      </c>
      <c r="C84" s="33" t="s">
        <v>230</v>
      </c>
      <c r="D84" s="20" t="s">
        <v>231</v>
      </c>
      <c r="E84" s="33" t="s">
        <v>70</v>
      </c>
      <c r="F84" s="33" t="s">
        <v>219</v>
      </c>
      <c r="G84" s="33">
        <v>8</v>
      </c>
      <c r="H84" s="33"/>
      <c r="I84" s="33"/>
      <c r="J84" s="33"/>
      <c r="K84" s="33"/>
      <c r="L84" s="33"/>
      <c r="M84" s="33"/>
      <c r="N84" s="33"/>
      <c r="O84" s="33" t="s">
        <v>218</v>
      </c>
    </row>
    <row r="85" spans="1:15" ht="15" x14ac:dyDescent="0.2">
      <c r="A85" s="32" t="s">
        <v>12</v>
      </c>
      <c r="B85" s="32" t="s">
        <v>16</v>
      </c>
      <c r="C85" s="33" t="s">
        <v>261</v>
      </c>
      <c r="D85" s="20" t="s">
        <v>262</v>
      </c>
      <c r="E85" s="33" t="s">
        <v>70</v>
      </c>
      <c r="F85" s="33" t="s">
        <v>249</v>
      </c>
      <c r="G85" s="33">
        <v>5</v>
      </c>
      <c r="H85" s="33"/>
      <c r="I85" s="33">
        <v>4500</v>
      </c>
      <c r="J85" s="33">
        <v>0</v>
      </c>
      <c r="K85" s="33"/>
      <c r="L85" s="33"/>
      <c r="M85" s="33"/>
      <c r="N85" s="33"/>
      <c r="O85" s="33" t="s">
        <v>253</v>
      </c>
    </row>
    <row r="86" spans="1:15" ht="15" x14ac:dyDescent="0.2">
      <c r="A86" s="32" t="s">
        <v>12</v>
      </c>
      <c r="B86" s="32" t="s">
        <v>16</v>
      </c>
      <c r="C86" s="33" t="s">
        <v>263</v>
      </c>
      <c r="D86" s="20" t="s">
        <v>264</v>
      </c>
      <c r="E86" s="33" t="s">
        <v>70</v>
      </c>
      <c r="F86" s="33" t="s">
        <v>249</v>
      </c>
      <c r="G86" s="33">
        <v>5</v>
      </c>
      <c r="H86" s="33"/>
      <c r="I86" s="33">
        <v>4500</v>
      </c>
      <c r="J86" s="33">
        <v>0</v>
      </c>
      <c r="K86" s="33"/>
      <c r="L86" s="33"/>
      <c r="M86" s="33"/>
      <c r="N86" s="33"/>
      <c r="O86" s="33" t="s">
        <v>253</v>
      </c>
    </row>
    <row r="87" spans="1:15" ht="42.75" x14ac:dyDescent="0.2">
      <c r="A87" s="32" t="s">
        <v>12</v>
      </c>
      <c r="B87" s="32" t="s">
        <v>16</v>
      </c>
      <c r="C87" s="33" t="s">
        <v>258</v>
      </c>
      <c r="D87" s="20" t="s">
        <v>259</v>
      </c>
      <c r="E87" s="33" t="s">
        <v>70</v>
      </c>
      <c r="F87" s="33" t="s">
        <v>249</v>
      </c>
      <c r="G87" s="33">
        <v>5</v>
      </c>
      <c r="H87" s="33"/>
      <c r="I87" s="33">
        <v>4500</v>
      </c>
      <c r="J87" s="33">
        <v>0</v>
      </c>
      <c r="K87" s="33"/>
      <c r="L87" s="33"/>
      <c r="M87" s="33"/>
      <c r="N87" s="33"/>
      <c r="O87" s="33" t="s">
        <v>260</v>
      </c>
    </row>
    <row r="88" spans="1:15" ht="28.5" x14ac:dyDescent="0.2">
      <c r="A88" s="32" t="s">
        <v>12</v>
      </c>
      <c r="B88" s="32" t="s">
        <v>17</v>
      </c>
      <c r="C88" s="33" t="s">
        <v>438</v>
      </c>
      <c r="D88" s="20" t="s">
        <v>437</v>
      </c>
      <c r="E88" s="33" t="s">
        <v>432</v>
      </c>
      <c r="F88" s="33" t="s">
        <v>434</v>
      </c>
      <c r="G88" s="33">
        <v>8</v>
      </c>
      <c r="H88" s="33"/>
      <c r="I88" s="33">
        <v>57600</v>
      </c>
      <c r="J88" s="33">
        <v>57600</v>
      </c>
      <c r="K88" s="33"/>
      <c r="L88" s="33"/>
      <c r="M88" s="33"/>
      <c r="N88" s="33"/>
      <c r="O88" s="33" t="s">
        <v>439</v>
      </c>
    </row>
    <row r="89" spans="1:15" ht="28.5" x14ac:dyDescent="0.2">
      <c r="A89" s="32" t="s">
        <v>12</v>
      </c>
      <c r="B89" s="32" t="s">
        <v>17</v>
      </c>
      <c r="C89" s="33" t="s">
        <v>449</v>
      </c>
      <c r="D89" s="20" t="s">
        <v>448</v>
      </c>
      <c r="E89" s="33" t="s">
        <v>442</v>
      </c>
      <c r="F89" s="33"/>
      <c r="G89" s="33"/>
      <c r="H89" s="33"/>
      <c r="I89" s="33">
        <v>7200</v>
      </c>
      <c r="J89" s="33">
        <v>7200</v>
      </c>
      <c r="K89" s="33"/>
      <c r="L89" s="33"/>
      <c r="M89" s="33"/>
      <c r="N89" s="33"/>
      <c r="O89" s="33"/>
    </row>
    <row r="90" spans="1:15" ht="28.5" x14ac:dyDescent="0.2">
      <c r="A90" s="32" t="s">
        <v>12</v>
      </c>
      <c r="B90" s="32" t="s">
        <v>17</v>
      </c>
      <c r="C90" s="33" t="s">
        <v>150</v>
      </c>
      <c r="D90" s="20" t="s">
        <v>151</v>
      </c>
      <c r="E90" s="33" t="s">
        <v>70</v>
      </c>
      <c r="F90" s="33" t="s">
        <v>152</v>
      </c>
      <c r="G90" s="33">
        <v>3</v>
      </c>
      <c r="H90" s="33"/>
      <c r="I90" s="33"/>
      <c r="J90" s="33"/>
      <c r="K90" s="33"/>
      <c r="L90" s="33"/>
      <c r="M90" s="33"/>
      <c r="N90" s="33"/>
      <c r="O90" s="33"/>
    </row>
    <row r="91" spans="1:15" ht="15" x14ac:dyDescent="0.2">
      <c r="A91" s="32" t="s">
        <v>12</v>
      </c>
      <c r="B91" s="32" t="s">
        <v>17</v>
      </c>
      <c r="C91" s="33" t="s">
        <v>102</v>
      </c>
      <c r="D91" s="20" t="s">
        <v>103</v>
      </c>
      <c r="E91" s="33" t="s">
        <v>70</v>
      </c>
      <c r="F91" s="33" t="s">
        <v>87</v>
      </c>
      <c r="G91" s="33">
        <v>1</v>
      </c>
      <c r="H91" s="33"/>
      <c r="I91" s="33">
        <v>14400</v>
      </c>
      <c r="J91" s="33">
        <v>14400</v>
      </c>
      <c r="K91" s="33"/>
      <c r="L91" s="33"/>
      <c r="M91" s="33"/>
      <c r="N91" s="33"/>
      <c r="O91" s="33"/>
    </row>
    <row r="92" spans="1:15" ht="28.5" x14ac:dyDescent="0.2">
      <c r="A92" s="32" t="s">
        <v>12</v>
      </c>
      <c r="B92" s="32" t="s">
        <v>106</v>
      </c>
      <c r="C92" s="33" t="s">
        <v>473</v>
      </c>
      <c r="D92" s="20" t="s">
        <v>472</v>
      </c>
      <c r="E92" s="33" t="s">
        <v>442</v>
      </c>
      <c r="F92" s="33" t="s">
        <v>471</v>
      </c>
      <c r="G92" s="33">
        <v>5</v>
      </c>
      <c r="H92" s="33"/>
      <c r="I92" s="33">
        <v>57600</v>
      </c>
      <c r="J92" s="33">
        <v>57600</v>
      </c>
      <c r="K92" s="33"/>
      <c r="L92" s="33"/>
      <c r="M92" s="33"/>
      <c r="N92" s="33"/>
      <c r="O92" s="33" t="s">
        <v>474</v>
      </c>
    </row>
    <row r="93" spans="1:15" ht="28.5" x14ac:dyDescent="0.2">
      <c r="A93" s="32" t="s">
        <v>12</v>
      </c>
      <c r="B93" s="32" t="s">
        <v>106</v>
      </c>
      <c r="C93" s="33" t="s">
        <v>476</v>
      </c>
      <c r="D93" s="20" t="s">
        <v>475</v>
      </c>
      <c r="E93" s="33" t="s">
        <v>442</v>
      </c>
      <c r="F93" s="33" t="s">
        <v>477</v>
      </c>
      <c r="G93" s="33">
        <v>3</v>
      </c>
      <c r="H93" s="33"/>
      <c r="I93" s="33">
        <v>7200</v>
      </c>
      <c r="J93" s="33">
        <v>7200</v>
      </c>
      <c r="K93" s="33"/>
      <c r="L93" s="33"/>
      <c r="M93" s="33"/>
      <c r="N93" s="33"/>
      <c r="O93" s="33" t="s">
        <v>474</v>
      </c>
    </row>
    <row r="94" spans="1:15" ht="42.75" x14ac:dyDescent="0.2">
      <c r="A94" s="32" t="s">
        <v>12</v>
      </c>
      <c r="B94" s="32" t="s">
        <v>106</v>
      </c>
      <c r="C94" s="33" t="s">
        <v>626</v>
      </c>
      <c r="D94" s="20" t="s">
        <v>625</v>
      </c>
      <c r="E94" s="33" t="s">
        <v>442</v>
      </c>
      <c r="F94" s="33" t="s">
        <v>447</v>
      </c>
      <c r="G94" s="33">
        <v>5</v>
      </c>
      <c r="H94" s="33"/>
      <c r="I94" s="33">
        <v>64800</v>
      </c>
      <c r="J94" s="33">
        <v>64800</v>
      </c>
      <c r="K94" s="33"/>
      <c r="L94" s="33"/>
      <c r="M94" s="33"/>
      <c r="N94" s="33"/>
      <c r="O94" s="33" t="s">
        <v>622</v>
      </c>
    </row>
    <row r="95" spans="1:15" ht="15" x14ac:dyDescent="0.2">
      <c r="A95" s="32" t="s">
        <v>12</v>
      </c>
      <c r="B95" s="32" t="s">
        <v>106</v>
      </c>
      <c r="C95" s="33" t="s">
        <v>525</v>
      </c>
      <c r="D95" s="20" t="s">
        <v>524</v>
      </c>
      <c r="E95" s="33" t="s">
        <v>442</v>
      </c>
      <c r="F95" s="33" t="s">
        <v>447</v>
      </c>
      <c r="G95" s="33">
        <v>5</v>
      </c>
      <c r="H95" s="33"/>
      <c r="I95" s="33"/>
      <c r="J95" s="33"/>
      <c r="K95" s="33"/>
      <c r="L95" s="33"/>
      <c r="M95" s="33"/>
      <c r="N95" s="33"/>
      <c r="O95" s="33" t="s">
        <v>433</v>
      </c>
    </row>
    <row r="96" spans="1:15" ht="42.75" x14ac:dyDescent="0.2">
      <c r="A96" s="32" t="s">
        <v>12</v>
      </c>
      <c r="B96" s="32" t="s">
        <v>106</v>
      </c>
      <c r="C96" s="33" t="s">
        <v>445</v>
      </c>
      <c r="D96" s="20" t="s">
        <v>444</v>
      </c>
      <c r="E96" s="33" t="s">
        <v>442</v>
      </c>
      <c r="F96" s="33" t="s">
        <v>447</v>
      </c>
      <c r="G96" s="33">
        <v>5</v>
      </c>
      <c r="H96" s="33"/>
      <c r="I96" s="33">
        <v>302400</v>
      </c>
      <c r="J96" s="33">
        <v>302400</v>
      </c>
      <c r="K96" s="33"/>
      <c r="L96" s="33"/>
      <c r="M96" s="33"/>
      <c r="N96" s="33"/>
      <c r="O96" s="33" t="s">
        <v>446</v>
      </c>
    </row>
    <row r="97" spans="1:15" ht="28.5" x14ac:dyDescent="0.2">
      <c r="A97" s="32" t="s">
        <v>12</v>
      </c>
      <c r="B97" s="32" t="s">
        <v>106</v>
      </c>
      <c r="C97" s="33" t="s">
        <v>470</v>
      </c>
      <c r="D97" s="20" t="s">
        <v>469</v>
      </c>
      <c r="E97" s="33" t="s">
        <v>442</v>
      </c>
      <c r="F97" s="33" t="s">
        <v>471</v>
      </c>
      <c r="G97" s="33">
        <v>5</v>
      </c>
      <c r="H97" s="33"/>
      <c r="I97" s="33">
        <v>115500</v>
      </c>
      <c r="J97" s="33">
        <v>300</v>
      </c>
      <c r="K97" s="33"/>
      <c r="L97" s="33"/>
      <c r="M97" s="33"/>
      <c r="N97" s="33"/>
      <c r="O97" s="33"/>
    </row>
    <row r="98" spans="1:15" ht="42.75" x14ac:dyDescent="0.2">
      <c r="A98" s="32" t="s">
        <v>12</v>
      </c>
      <c r="B98" s="32" t="s">
        <v>106</v>
      </c>
      <c r="C98" s="33" t="s">
        <v>506</v>
      </c>
      <c r="D98" s="20" t="s">
        <v>505</v>
      </c>
      <c r="E98" s="33" t="s">
        <v>442</v>
      </c>
      <c r="F98" s="33" t="s">
        <v>491</v>
      </c>
      <c r="G98" s="33">
        <v>5</v>
      </c>
      <c r="H98" s="33"/>
      <c r="I98" s="33">
        <v>7200</v>
      </c>
      <c r="J98" s="33">
        <v>7200</v>
      </c>
      <c r="K98" s="33"/>
      <c r="L98" s="33"/>
      <c r="M98" s="33"/>
      <c r="N98" s="33"/>
      <c r="O98" s="33" t="s">
        <v>507</v>
      </c>
    </row>
    <row r="99" spans="1:15" ht="15" x14ac:dyDescent="0.2">
      <c r="A99" s="32" t="s">
        <v>12</v>
      </c>
      <c r="B99" s="32" t="s">
        <v>106</v>
      </c>
      <c r="C99" s="33" t="s">
        <v>516</v>
      </c>
      <c r="D99" s="20" t="s">
        <v>515</v>
      </c>
      <c r="E99" s="33" t="s">
        <v>442</v>
      </c>
      <c r="F99" s="33" t="s">
        <v>477</v>
      </c>
      <c r="G99" s="33">
        <v>2</v>
      </c>
      <c r="H99" s="33"/>
      <c r="I99" s="33">
        <v>72000</v>
      </c>
      <c r="J99" s="33">
        <v>72000</v>
      </c>
      <c r="K99" s="33"/>
      <c r="L99" s="33"/>
      <c r="M99" s="33"/>
      <c r="N99" s="33"/>
      <c r="O99" s="33" t="s">
        <v>501</v>
      </c>
    </row>
    <row r="100" spans="1:15" ht="15" x14ac:dyDescent="0.2">
      <c r="A100" s="32" t="s">
        <v>12</v>
      </c>
      <c r="B100" s="32" t="s">
        <v>106</v>
      </c>
      <c r="C100" s="33" t="s">
        <v>518</v>
      </c>
      <c r="D100" s="20" t="s">
        <v>517</v>
      </c>
      <c r="E100" s="33" t="s">
        <v>442</v>
      </c>
      <c r="F100" s="33" t="s">
        <v>477</v>
      </c>
      <c r="G100" s="33">
        <v>3</v>
      </c>
      <c r="H100" s="33"/>
      <c r="I100" s="33">
        <v>115200</v>
      </c>
      <c r="J100" s="33">
        <v>115200</v>
      </c>
      <c r="K100" s="33"/>
      <c r="L100" s="33"/>
      <c r="M100" s="33"/>
      <c r="N100" s="33"/>
      <c r="O100" s="33" t="s">
        <v>501</v>
      </c>
    </row>
    <row r="101" spans="1:15" ht="15" x14ac:dyDescent="0.2">
      <c r="A101" s="32" t="s">
        <v>12</v>
      </c>
      <c r="B101" s="32" t="s">
        <v>106</v>
      </c>
      <c r="C101" s="33" t="s">
        <v>487</v>
      </c>
      <c r="D101" s="20" t="s">
        <v>486</v>
      </c>
      <c r="E101" s="33" t="s">
        <v>442</v>
      </c>
      <c r="F101" s="33" t="s">
        <v>477</v>
      </c>
      <c r="G101" s="33">
        <v>2</v>
      </c>
      <c r="H101" s="33"/>
      <c r="I101" s="33">
        <v>100800</v>
      </c>
      <c r="J101" s="33">
        <v>100800</v>
      </c>
      <c r="K101" s="33"/>
      <c r="L101" s="33"/>
      <c r="M101" s="33"/>
      <c r="N101" s="33"/>
      <c r="O101" s="33" t="s">
        <v>488</v>
      </c>
    </row>
    <row r="102" spans="1:15" ht="28.5" x14ac:dyDescent="0.2">
      <c r="A102" s="32" t="s">
        <v>12</v>
      </c>
      <c r="B102" s="32" t="s">
        <v>106</v>
      </c>
      <c r="C102" s="33" t="s">
        <v>500</v>
      </c>
      <c r="D102" s="20" t="s">
        <v>499</v>
      </c>
      <c r="E102" s="33" t="s">
        <v>442</v>
      </c>
      <c r="F102" s="33" t="s">
        <v>477</v>
      </c>
      <c r="G102" s="33">
        <v>3</v>
      </c>
      <c r="H102" s="33"/>
      <c r="I102" s="33">
        <v>28800</v>
      </c>
      <c r="J102" s="33">
        <v>28800</v>
      </c>
      <c r="K102" s="33"/>
      <c r="L102" s="33"/>
      <c r="M102" s="33"/>
      <c r="N102" s="33"/>
      <c r="O102" s="33" t="s">
        <v>501</v>
      </c>
    </row>
    <row r="103" spans="1:15" ht="28.5" x14ac:dyDescent="0.2">
      <c r="A103" s="32" t="s">
        <v>12</v>
      </c>
      <c r="B103" s="32" t="s">
        <v>106</v>
      </c>
      <c r="C103" s="33" t="s">
        <v>520</v>
      </c>
      <c r="D103" s="20" t="s">
        <v>519</v>
      </c>
      <c r="E103" s="33" t="s">
        <v>521</v>
      </c>
      <c r="F103" s="33" t="s">
        <v>523</v>
      </c>
      <c r="G103" s="33"/>
      <c r="H103" s="33"/>
      <c r="I103" s="33">
        <v>14400</v>
      </c>
      <c r="J103" s="33">
        <v>14400</v>
      </c>
      <c r="K103" s="33"/>
      <c r="L103" s="33"/>
      <c r="M103" s="33"/>
      <c r="N103" s="33"/>
      <c r="O103" s="33" t="s">
        <v>522</v>
      </c>
    </row>
    <row r="104" spans="1:15" ht="28.5" x14ac:dyDescent="0.2">
      <c r="A104" s="32" t="s">
        <v>12</v>
      </c>
      <c r="B104" s="32" t="s">
        <v>106</v>
      </c>
      <c r="C104" s="33" t="s">
        <v>139</v>
      </c>
      <c r="D104" s="20" t="s">
        <v>140</v>
      </c>
      <c r="E104" s="33" t="s">
        <v>70</v>
      </c>
      <c r="F104" s="33" t="s">
        <v>128</v>
      </c>
      <c r="G104" s="33"/>
      <c r="H104" s="33"/>
      <c r="I104" s="33"/>
      <c r="J104" s="33"/>
      <c r="K104" s="33"/>
      <c r="L104" s="33"/>
      <c r="M104" s="33"/>
      <c r="N104" s="33"/>
      <c r="O104" s="33"/>
    </row>
    <row r="105" spans="1:15" ht="28.5" x14ac:dyDescent="0.2">
      <c r="A105" s="32" t="s">
        <v>12</v>
      </c>
      <c r="B105" s="32" t="s">
        <v>106</v>
      </c>
      <c r="C105" s="33" t="s">
        <v>136</v>
      </c>
      <c r="D105" s="20" t="s">
        <v>137</v>
      </c>
      <c r="E105" s="33" t="s">
        <v>70</v>
      </c>
      <c r="F105" s="33" t="s">
        <v>138</v>
      </c>
      <c r="G105" s="33"/>
      <c r="H105" s="33"/>
      <c r="I105" s="33"/>
      <c r="J105" s="33"/>
      <c r="K105" s="33"/>
      <c r="L105" s="33"/>
      <c r="M105" s="33"/>
      <c r="N105" s="33"/>
      <c r="O105" s="33"/>
    </row>
    <row r="106" spans="1:15" ht="15" x14ac:dyDescent="0.2">
      <c r="A106" s="32" t="s">
        <v>12</v>
      </c>
      <c r="B106" s="32" t="s">
        <v>106</v>
      </c>
      <c r="C106" s="33" t="s">
        <v>251</v>
      </c>
      <c r="D106" s="20" t="s">
        <v>252</v>
      </c>
      <c r="E106" s="33" t="s">
        <v>70</v>
      </c>
      <c r="F106" s="33" t="s">
        <v>249</v>
      </c>
      <c r="G106" s="33">
        <v>5</v>
      </c>
      <c r="H106" s="33"/>
      <c r="I106" s="33">
        <v>4500</v>
      </c>
      <c r="J106" s="33">
        <v>0</v>
      </c>
      <c r="K106" s="33"/>
      <c r="L106" s="33"/>
      <c r="M106" s="33"/>
      <c r="N106" s="33"/>
      <c r="O106" s="33" t="s">
        <v>253</v>
      </c>
    </row>
    <row r="107" spans="1:15" ht="15" x14ac:dyDescent="0.2">
      <c r="A107" s="32" t="s">
        <v>12</v>
      </c>
      <c r="B107" s="32" t="s">
        <v>106</v>
      </c>
      <c r="C107" s="33" t="s">
        <v>256</v>
      </c>
      <c r="D107" s="20" t="s">
        <v>257</v>
      </c>
      <c r="E107" s="33" t="s">
        <v>70</v>
      </c>
      <c r="F107" s="33" t="s">
        <v>249</v>
      </c>
      <c r="G107" s="33">
        <v>5</v>
      </c>
      <c r="H107" s="33"/>
      <c r="I107" s="33">
        <v>4500</v>
      </c>
      <c r="J107" s="33">
        <v>0</v>
      </c>
      <c r="K107" s="33"/>
      <c r="L107" s="33"/>
      <c r="M107" s="33"/>
      <c r="N107" s="33"/>
      <c r="O107" s="33" t="s">
        <v>253</v>
      </c>
    </row>
    <row r="108" spans="1:15" ht="15" x14ac:dyDescent="0.2">
      <c r="A108" s="32" t="s">
        <v>12</v>
      </c>
      <c r="B108" s="32" t="s">
        <v>106</v>
      </c>
      <c r="C108" s="33" t="s">
        <v>254</v>
      </c>
      <c r="D108" s="20" t="s">
        <v>255</v>
      </c>
      <c r="E108" s="33" t="s">
        <v>70</v>
      </c>
      <c r="F108" s="33" t="s">
        <v>249</v>
      </c>
      <c r="G108" s="33">
        <v>5</v>
      </c>
      <c r="H108" s="33"/>
      <c r="I108" s="33">
        <v>4500</v>
      </c>
      <c r="J108" s="33">
        <v>0</v>
      </c>
      <c r="K108" s="33"/>
      <c r="L108" s="33"/>
      <c r="M108" s="33"/>
      <c r="N108" s="33"/>
      <c r="O108" s="33" t="s">
        <v>253</v>
      </c>
    </row>
    <row r="109" spans="1:15" ht="15" x14ac:dyDescent="0.2">
      <c r="A109" s="32" t="s">
        <v>12</v>
      </c>
      <c r="B109" s="32" t="s">
        <v>106</v>
      </c>
      <c r="C109" s="33" t="s">
        <v>176</v>
      </c>
      <c r="D109" s="20" t="s">
        <v>177</v>
      </c>
      <c r="E109" s="33" t="s">
        <v>70</v>
      </c>
      <c r="F109" s="33" t="s">
        <v>169</v>
      </c>
      <c r="G109" s="33">
        <v>5</v>
      </c>
      <c r="H109" s="33"/>
      <c r="I109" s="33"/>
      <c r="J109" s="33"/>
      <c r="K109" s="33"/>
      <c r="L109" s="33"/>
      <c r="M109" s="33"/>
      <c r="N109" s="33"/>
      <c r="O109" s="33" t="s">
        <v>173</v>
      </c>
    </row>
    <row r="110" spans="1:15" ht="15" x14ac:dyDescent="0.2">
      <c r="A110" s="32" t="s">
        <v>12</v>
      </c>
      <c r="B110" s="32" t="s">
        <v>106</v>
      </c>
      <c r="C110" s="33" t="s">
        <v>174</v>
      </c>
      <c r="D110" s="20" t="s">
        <v>175</v>
      </c>
      <c r="E110" s="33" t="s">
        <v>70</v>
      </c>
      <c r="F110" s="33" t="s">
        <v>169</v>
      </c>
      <c r="G110" s="33">
        <v>8</v>
      </c>
      <c r="H110" s="33"/>
      <c r="I110" s="33"/>
      <c r="J110" s="33"/>
      <c r="K110" s="33"/>
      <c r="L110" s="33"/>
      <c r="M110" s="33"/>
      <c r="N110" s="33"/>
      <c r="O110" s="33" t="s">
        <v>173</v>
      </c>
    </row>
    <row r="111" spans="1:15" ht="28.5" x14ac:dyDescent="0.2">
      <c r="A111" s="32" t="s">
        <v>12</v>
      </c>
      <c r="B111" s="32" t="s">
        <v>106</v>
      </c>
      <c r="C111" s="33" t="s">
        <v>167</v>
      </c>
      <c r="D111" s="20" t="s">
        <v>168</v>
      </c>
      <c r="E111" s="33" t="s">
        <v>70</v>
      </c>
      <c r="F111" s="33" t="s">
        <v>169</v>
      </c>
      <c r="G111" s="33">
        <v>5</v>
      </c>
      <c r="H111" s="33"/>
      <c r="I111" s="33">
        <v>86400</v>
      </c>
      <c r="J111" s="33">
        <v>86400</v>
      </c>
      <c r="K111" s="33"/>
      <c r="L111" s="33"/>
      <c r="M111" s="33"/>
      <c r="N111" s="33"/>
      <c r="O111" s="33" t="s">
        <v>149</v>
      </c>
    </row>
    <row r="112" spans="1:15" ht="28.5" x14ac:dyDescent="0.2">
      <c r="A112" s="32" t="s">
        <v>12</v>
      </c>
      <c r="B112" s="32" t="s">
        <v>106</v>
      </c>
      <c r="C112" s="33" t="s">
        <v>134</v>
      </c>
      <c r="D112" s="20" t="s">
        <v>135</v>
      </c>
      <c r="E112" s="33" t="s">
        <v>70</v>
      </c>
      <c r="F112" s="33" t="s">
        <v>128</v>
      </c>
      <c r="G112" s="33">
        <v>5</v>
      </c>
      <c r="H112" s="33"/>
      <c r="I112" s="33"/>
      <c r="J112" s="33"/>
      <c r="K112" s="33"/>
      <c r="L112" s="33"/>
      <c r="M112" s="33"/>
      <c r="N112" s="33"/>
      <c r="O112" s="33" t="s">
        <v>133</v>
      </c>
    </row>
    <row r="113" spans="1:15" ht="28.5" x14ac:dyDescent="0.2">
      <c r="A113" s="32" t="s">
        <v>12</v>
      </c>
      <c r="B113" s="32" t="s">
        <v>106</v>
      </c>
      <c r="C113" s="33" t="s">
        <v>143</v>
      </c>
      <c r="D113" s="20" t="s">
        <v>144</v>
      </c>
      <c r="E113" s="33" t="s">
        <v>70</v>
      </c>
      <c r="F113" s="33" t="s">
        <v>145</v>
      </c>
      <c r="G113" s="33">
        <v>1</v>
      </c>
      <c r="H113" s="33"/>
      <c r="I113" s="33"/>
      <c r="J113" s="33"/>
      <c r="K113" s="33"/>
      <c r="L113" s="33"/>
      <c r="M113" s="33"/>
      <c r="N113" s="33"/>
      <c r="O113" s="33" t="s">
        <v>129</v>
      </c>
    </row>
    <row r="114" spans="1:15" ht="28.5" x14ac:dyDescent="0.2">
      <c r="A114" s="32" t="s">
        <v>12</v>
      </c>
      <c r="B114" s="32" t="s">
        <v>106</v>
      </c>
      <c r="C114" s="33" t="s">
        <v>141</v>
      </c>
      <c r="D114" s="20" t="s">
        <v>142</v>
      </c>
      <c r="E114" s="33" t="s">
        <v>70</v>
      </c>
      <c r="F114" s="33" t="s">
        <v>128</v>
      </c>
      <c r="G114" s="33">
        <v>3</v>
      </c>
      <c r="H114" s="33"/>
      <c r="I114" s="33"/>
      <c r="J114" s="33"/>
      <c r="K114" s="33"/>
      <c r="L114" s="33"/>
      <c r="M114" s="33"/>
      <c r="N114" s="33"/>
      <c r="O114" s="33" t="s">
        <v>133</v>
      </c>
    </row>
    <row r="115" spans="1:15" ht="42.75" x14ac:dyDescent="0.2">
      <c r="A115" s="32" t="s">
        <v>12</v>
      </c>
      <c r="B115" s="32" t="s">
        <v>106</v>
      </c>
      <c r="C115" s="33" t="s">
        <v>107</v>
      </c>
      <c r="D115" s="20" t="s">
        <v>108</v>
      </c>
      <c r="E115" s="33" t="s">
        <v>70</v>
      </c>
      <c r="F115" s="33" t="s">
        <v>109</v>
      </c>
      <c r="G115" s="33">
        <v>3</v>
      </c>
      <c r="H115" s="33"/>
      <c r="I115" s="33"/>
      <c r="J115" s="33"/>
      <c r="K115" s="33"/>
      <c r="L115" s="33"/>
      <c r="M115" s="33"/>
      <c r="N115" s="33"/>
      <c r="O115" s="33" t="s">
        <v>110</v>
      </c>
    </row>
    <row r="116" spans="1:15" ht="42.75" x14ac:dyDescent="0.2">
      <c r="A116" s="32" t="s">
        <v>12</v>
      </c>
      <c r="B116" s="32" t="s">
        <v>106</v>
      </c>
      <c r="C116" s="33" t="s">
        <v>123</v>
      </c>
      <c r="D116" s="20" t="s">
        <v>124</v>
      </c>
      <c r="E116" s="33" t="s">
        <v>70</v>
      </c>
      <c r="F116" s="33" t="s">
        <v>109</v>
      </c>
      <c r="G116" s="33">
        <v>3</v>
      </c>
      <c r="H116" s="33"/>
      <c r="I116" s="33"/>
      <c r="J116" s="33"/>
      <c r="K116" s="33"/>
      <c r="L116" s="33"/>
      <c r="M116" s="33"/>
      <c r="N116" s="33"/>
      <c r="O116" s="33" t="s">
        <v>125</v>
      </c>
    </row>
    <row r="117" spans="1:15" ht="28.5" x14ac:dyDescent="0.2">
      <c r="A117" s="32" t="s">
        <v>12</v>
      </c>
      <c r="B117" s="32" t="s">
        <v>106</v>
      </c>
      <c r="C117" s="33" t="s">
        <v>126</v>
      </c>
      <c r="D117" s="20" t="s">
        <v>127</v>
      </c>
      <c r="E117" s="33" t="s">
        <v>70</v>
      </c>
      <c r="F117" s="33" t="s">
        <v>128</v>
      </c>
      <c r="G117" s="33">
        <v>8</v>
      </c>
      <c r="H117" s="33"/>
      <c r="I117" s="33"/>
      <c r="J117" s="33"/>
      <c r="K117" s="33"/>
      <c r="L117" s="33"/>
      <c r="M117" s="33"/>
      <c r="N117" s="33"/>
      <c r="O117" s="33" t="s">
        <v>129</v>
      </c>
    </row>
    <row r="118" spans="1:15" ht="15" x14ac:dyDescent="0.2">
      <c r="A118" s="32" t="s">
        <v>12</v>
      </c>
      <c r="B118" s="32" t="s">
        <v>14</v>
      </c>
      <c r="C118" s="33" t="s">
        <v>326</v>
      </c>
      <c r="D118" s="20" t="s">
        <v>327</v>
      </c>
      <c r="E118" s="33" t="s">
        <v>70</v>
      </c>
      <c r="F118" s="33" t="s">
        <v>328</v>
      </c>
      <c r="G118" s="33">
        <v>13</v>
      </c>
      <c r="H118" s="33"/>
      <c r="I118" s="33">
        <v>144000</v>
      </c>
      <c r="J118" s="33">
        <v>144000</v>
      </c>
      <c r="K118" s="33"/>
      <c r="L118" s="33"/>
      <c r="M118" s="33"/>
      <c r="N118" s="33"/>
      <c r="O118" s="33" t="s">
        <v>329</v>
      </c>
    </row>
    <row r="119" spans="1:15" ht="28.5" x14ac:dyDescent="0.2">
      <c r="A119" s="32" t="s">
        <v>12</v>
      </c>
      <c r="B119" s="32" t="s">
        <v>14</v>
      </c>
      <c r="C119" s="33" t="s">
        <v>269</v>
      </c>
      <c r="D119" s="20" t="s">
        <v>270</v>
      </c>
      <c r="E119" s="33" t="s">
        <v>70</v>
      </c>
      <c r="F119" s="33" t="s">
        <v>267</v>
      </c>
      <c r="G119" s="33">
        <v>8</v>
      </c>
      <c r="H119" s="33"/>
      <c r="I119" s="33">
        <v>122400</v>
      </c>
      <c r="J119" s="33">
        <v>122400</v>
      </c>
      <c r="K119" s="33"/>
      <c r="L119" s="33"/>
      <c r="M119" s="33"/>
      <c r="N119" s="33"/>
      <c r="O119" s="33"/>
    </row>
    <row r="120" spans="1:15" ht="15" x14ac:dyDescent="0.2">
      <c r="A120" s="32" t="s">
        <v>12</v>
      </c>
      <c r="B120" s="32" t="s">
        <v>14</v>
      </c>
      <c r="C120" s="33" t="s">
        <v>265</v>
      </c>
      <c r="D120" s="20" t="s">
        <v>266</v>
      </c>
      <c r="E120" s="33" t="s">
        <v>70</v>
      </c>
      <c r="F120" s="33" t="s">
        <v>267</v>
      </c>
      <c r="G120" s="33">
        <v>8</v>
      </c>
      <c r="H120" s="33"/>
      <c r="I120" s="33">
        <v>115200</v>
      </c>
      <c r="J120" s="33">
        <v>115200</v>
      </c>
      <c r="K120" s="33"/>
      <c r="L120" s="33"/>
      <c r="M120" s="33"/>
      <c r="N120" s="33"/>
      <c r="O120" s="33" t="s">
        <v>268</v>
      </c>
    </row>
    <row r="121" spans="1:15" ht="57" x14ac:dyDescent="0.2">
      <c r="A121" s="32" t="s">
        <v>12</v>
      </c>
      <c r="B121" s="32" t="s">
        <v>14</v>
      </c>
      <c r="C121" s="33" t="s">
        <v>146</v>
      </c>
      <c r="D121" s="20" t="s">
        <v>147</v>
      </c>
      <c r="E121" s="33" t="s">
        <v>70</v>
      </c>
      <c r="F121" s="33" t="s">
        <v>148</v>
      </c>
      <c r="G121" s="33">
        <v>5</v>
      </c>
      <c r="H121" s="33"/>
      <c r="I121" s="33"/>
      <c r="J121" s="33"/>
      <c r="K121" s="33"/>
      <c r="L121" s="33"/>
      <c r="M121" s="33"/>
      <c r="N121" s="33"/>
      <c r="O121" s="33" t="s">
        <v>149</v>
      </c>
    </row>
    <row r="122" spans="1:15" ht="42.75" x14ac:dyDescent="0.2">
      <c r="A122" s="32" t="s">
        <v>12</v>
      </c>
      <c r="B122" s="32" t="s">
        <v>14</v>
      </c>
      <c r="C122" s="33" t="s">
        <v>130</v>
      </c>
      <c r="D122" s="20" t="s">
        <v>131</v>
      </c>
      <c r="E122" s="33" t="s">
        <v>70</v>
      </c>
      <c r="F122" s="33" t="s">
        <v>132</v>
      </c>
      <c r="G122" s="33">
        <v>5</v>
      </c>
      <c r="H122" s="33"/>
      <c r="I122" s="33"/>
      <c r="J122" s="33"/>
      <c r="K122" s="33"/>
      <c r="L122" s="33"/>
      <c r="M122" s="33"/>
      <c r="N122" s="33"/>
      <c r="O122" s="33" t="s">
        <v>133</v>
      </c>
    </row>
    <row r="123" spans="1:15" ht="28.5" x14ac:dyDescent="0.2">
      <c r="A123" s="32" t="s">
        <v>12</v>
      </c>
      <c r="B123" s="32" t="s">
        <v>14</v>
      </c>
      <c r="C123" s="33" t="s">
        <v>389</v>
      </c>
      <c r="D123" s="20" t="s">
        <v>390</v>
      </c>
      <c r="E123" s="33" t="s">
        <v>70</v>
      </c>
      <c r="F123" s="33"/>
      <c r="G123" s="33">
        <v>13</v>
      </c>
      <c r="H123" s="33"/>
      <c r="I123" s="33">
        <v>115200</v>
      </c>
      <c r="J123" s="33">
        <v>115200</v>
      </c>
      <c r="K123" s="33"/>
      <c r="L123" s="33"/>
      <c r="M123" s="33"/>
      <c r="N123" s="33"/>
      <c r="O123" s="33" t="s">
        <v>391</v>
      </c>
    </row>
    <row r="124" spans="1:15" ht="42.75" x14ac:dyDescent="0.2">
      <c r="A124" s="32" t="s">
        <v>12</v>
      </c>
      <c r="B124" s="32" t="s">
        <v>14</v>
      </c>
      <c r="C124" s="33" t="s">
        <v>611</v>
      </c>
      <c r="D124" s="20" t="s">
        <v>610</v>
      </c>
      <c r="E124" s="33" t="s">
        <v>541</v>
      </c>
      <c r="F124" s="33" t="s">
        <v>613</v>
      </c>
      <c r="G124" s="33">
        <v>13</v>
      </c>
      <c r="H124" s="33"/>
      <c r="I124" s="33">
        <v>115200</v>
      </c>
      <c r="J124" s="33">
        <v>115200</v>
      </c>
      <c r="K124" s="33"/>
      <c r="L124" s="33"/>
      <c r="M124" s="33"/>
      <c r="N124" s="33"/>
      <c r="O124" s="33" t="s">
        <v>612</v>
      </c>
    </row>
    <row r="125" spans="1:15" ht="42.75" x14ac:dyDescent="0.2">
      <c r="A125" s="32" t="s">
        <v>12</v>
      </c>
      <c r="B125" s="32" t="s">
        <v>13</v>
      </c>
      <c r="C125" s="33" t="s">
        <v>346</v>
      </c>
      <c r="D125" s="20" t="s">
        <v>347</v>
      </c>
      <c r="E125" s="33" t="s">
        <v>113</v>
      </c>
      <c r="F125" s="33"/>
      <c r="G125" s="33"/>
      <c r="H125" s="33"/>
      <c r="I125" s="33"/>
      <c r="J125" s="33"/>
      <c r="K125" s="33"/>
      <c r="L125" s="33"/>
      <c r="M125" s="33"/>
      <c r="N125" s="33"/>
      <c r="O125" s="33" t="s">
        <v>348</v>
      </c>
    </row>
    <row r="126" spans="1:15" ht="28.5" x14ac:dyDescent="0.2">
      <c r="A126" s="32" t="s">
        <v>12</v>
      </c>
      <c r="B126" s="32" t="s">
        <v>13</v>
      </c>
      <c r="C126" s="33" t="s">
        <v>533</v>
      </c>
      <c r="D126" s="20" t="s">
        <v>532</v>
      </c>
      <c r="E126" s="33" t="s">
        <v>442</v>
      </c>
      <c r="F126" s="33"/>
      <c r="G126" s="33"/>
      <c r="H126" s="33"/>
      <c r="I126" s="33"/>
      <c r="J126" s="33"/>
      <c r="K126" s="33"/>
      <c r="L126" s="33"/>
      <c r="M126" s="33"/>
      <c r="N126" s="33"/>
      <c r="O126" s="33" t="s">
        <v>310</v>
      </c>
    </row>
    <row r="127" spans="1:15" ht="28.5" x14ac:dyDescent="0.2">
      <c r="A127" s="32" t="s">
        <v>12</v>
      </c>
      <c r="B127" s="32" t="s">
        <v>13</v>
      </c>
      <c r="C127" s="33" t="s">
        <v>457</v>
      </c>
      <c r="D127" s="20" t="s">
        <v>456</v>
      </c>
      <c r="E127" s="33" t="s">
        <v>442</v>
      </c>
      <c r="F127" s="33" t="s">
        <v>459</v>
      </c>
      <c r="G127" s="33"/>
      <c r="H127" s="33"/>
      <c r="I127" s="33"/>
      <c r="J127" s="33"/>
      <c r="K127" s="33"/>
      <c r="L127" s="33"/>
      <c r="M127" s="33"/>
      <c r="N127" s="33"/>
      <c r="O127" s="33" t="s">
        <v>458</v>
      </c>
    </row>
    <row r="128" spans="1:15" ht="42.75" x14ac:dyDescent="0.2">
      <c r="A128" s="32" t="s">
        <v>12</v>
      </c>
      <c r="B128" s="32" t="s">
        <v>13</v>
      </c>
      <c r="C128" s="33" t="s">
        <v>512</v>
      </c>
      <c r="D128" s="20" t="s">
        <v>511</v>
      </c>
      <c r="E128" s="33" t="s">
        <v>442</v>
      </c>
      <c r="F128" s="33" t="s">
        <v>464</v>
      </c>
      <c r="G128" s="33">
        <v>8</v>
      </c>
      <c r="H128" s="33"/>
      <c r="I128" s="33"/>
      <c r="J128" s="33"/>
      <c r="K128" s="33"/>
      <c r="L128" s="33"/>
      <c r="M128" s="33"/>
      <c r="N128" s="33"/>
      <c r="O128" s="33" t="s">
        <v>510</v>
      </c>
    </row>
    <row r="129" spans="1:15" ht="28.5" x14ac:dyDescent="0.2">
      <c r="A129" s="32" t="s">
        <v>12</v>
      </c>
      <c r="B129" s="32" t="s">
        <v>13</v>
      </c>
      <c r="C129" s="33" t="s">
        <v>490</v>
      </c>
      <c r="D129" s="20" t="s">
        <v>489</v>
      </c>
      <c r="E129" s="33" t="s">
        <v>442</v>
      </c>
      <c r="F129" s="33" t="s">
        <v>491</v>
      </c>
      <c r="G129" s="33">
        <v>10</v>
      </c>
      <c r="H129" s="33"/>
      <c r="I129" s="33"/>
      <c r="J129" s="33"/>
      <c r="K129" s="33"/>
      <c r="L129" s="33"/>
      <c r="M129" s="33"/>
      <c r="N129" s="33"/>
      <c r="O129" s="33" t="s">
        <v>173</v>
      </c>
    </row>
    <row r="130" spans="1:15" ht="42.75" x14ac:dyDescent="0.2">
      <c r="A130" s="32" t="s">
        <v>12</v>
      </c>
      <c r="B130" s="32" t="s">
        <v>13</v>
      </c>
      <c r="C130" s="33" t="s">
        <v>493</v>
      </c>
      <c r="D130" s="20" t="s">
        <v>492</v>
      </c>
      <c r="E130" s="33" t="s">
        <v>442</v>
      </c>
      <c r="F130" s="33" t="s">
        <v>464</v>
      </c>
      <c r="G130" s="33">
        <v>10</v>
      </c>
      <c r="H130" s="33"/>
      <c r="I130" s="33">
        <v>144000</v>
      </c>
      <c r="J130" s="33">
        <v>144000</v>
      </c>
      <c r="K130" s="33"/>
      <c r="L130" s="33"/>
      <c r="M130" s="33"/>
      <c r="N130" s="33"/>
      <c r="O130" s="33" t="s">
        <v>173</v>
      </c>
    </row>
    <row r="131" spans="1:15" ht="57" x14ac:dyDescent="0.2">
      <c r="A131" s="32" t="s">
        <v>12</v>
      </c>
      <c r="B131" s="32" t="s">
        <v>13</v>
      </c>
      <c r="C131" s="33" t="s">
        <v>495</v>
      </c>
      <c r="D131" s="20" t="s">
        <v>494</v>
      </c>
      <c r="E131" s="33" t="s">
        <v>442</v>
      </c>
      <c r="F131" s="33" t="s">
        <v>496</v>
      </c>
      <c r="G131" s="33">
        <v>10</v>
      </c>
      <c r="H131" s="33"/>
      <c r="I131" s="33"/>
      <c r="J131" s="33"/>
      <c r="K131" s="33"/>
      <c r="L131" s="33"/>
      <c r="M131" s="33"/>
      <c r="N131" s="33"/>
      <c r="O131" s="33" t="s">
        <v>173</v>
      </c>
    </row>
    <row r="132" spans="1:15" ht="42.75" x14ac:dyDescent="0.2">
      <c r="A132" s="32" t="s">
        <v>12</v>
      </c>
      <c r="B132" s="32" t="s">
        <v>13</v>
      </c>
      <c r="C132" s="33" t="s">
        <v>396</v>
      </c>
      <c r="D132" s="20" t="s">
        <v>397</v>
      </c>
      <c r="E132" s="33" t="s">
        <v>113</v>
      </c>
      <c r="F132" s="33"/>
      <c r="G132" s="33"/>
      <c r="H132" s="33"/>
      <c r="I132" s="33"/>
      <c r="J132" s="33"/>
      <c r="K132" s="33"/>
      <c r="L132" s="33"/>
      <c r="M132" s="33"/>
      <c r="N132" s="33"/>
      <c r="O132" s="33" t="s">
        <v>246</v>
      </c>
    </row>
    <row r="133" spans="1:15" ht="42.75" x14ac:dyDescent="0.2">
      <c r="A133" s="32" t="s">
        <v>12</v>
      </c>
      <c r="B133" s="32" t="s">
        <v>13</v>
      </c>
      <c r="C133" s="33" t="s">
        <v>349</v>
      </c>
      <c r="D133" s="20" t="s">
        <v>350</v>
      </c>
      <c r="E133" s="33" t="s">
        <v>113</v>
      </c>
      <c r="F133" s="33"/>
      <c r="G133" s="33"/>
      <c r="H133" s="33"/>
      <c r="I133" s="33"/>
      <c r="J133" s="33"/>
      <c r="K133" s="33"/>
      <c r="L133" s="33"/>
      <c r="M133" s="33"/>
      <c r="N133" s="33"/>
      <c r="O133" s="33" t="s">
        <v>121</v>
      </c>
    </row>
    <row r="134" spans="1:15" ht="15" x14ac:dyDescent="0.2">
      <c r="A134" s="32" t="s">
        <v>12</v>
      </c>
      <c r="B134" s="32" t="s">
        <v>13</v>
      </c>
      <c r="C134" s="33" t="s">
        <v>461</v>
      </c>
      <c r="D134" s="20" t="s">
        <v>460</v>
      </c>
      <c r="E134" s="33" t="s">
        <v>442</v>
      </c>
      <c r="F134" s="33"/>
      <c r="G134" s="33"/>
      <c r="H134" s="33"/>
      <c r="I134" s="33"/>
      <c r="J134" s="33"/>
      <c r="K134" s="33"/>
      <c r="L134" s="33"/>
      <c r="M134" s="33"/>
      <c r="N134" s="33"/>
      <c r="O134" s="33" t="s">
        <v>121</v>
      </c>
    </row>
    <row r="135" spans="1:15" ht="28.5" x14ac:dyDescent="0.2">
      <c r="A135" s="32" t="s">
        <v>12</v>
      </c>
      <c r="B135" s="32" t="s">
        <v>13</v>
      </c>
      <c r="C135" s="33" t="s">
        <v>603</v>
      </c>
      <c r="D135" s="20" t="s">
        <v>602</v>
      </c>
      <c r="E135" s="33" t="s">
        <v>541</v>
      </c>
      <c r="F135" s="33"/>
      <c r="G135" s="33"/>
      <c r="H135" s="33"/>
      <c r="I135" s="33"/>
      <c r="J135" s="33"/>
      <c r="K135" s="33"/>
      <c r="L135" s="33"/>
      <c r="M135" s="33"/>
      <c r="N135" s="33"/>
      <c r="O135" s="33"/>
    </row>
    <row r="136" spans="1:15" ht="15" x14ac:dyDescent="0.2">
      <c r="A136" s="32" t="s">
        <v>12</v>
      </c>
      <c r="B136" s="32" t="s">
        <v>13</v>
      </c>
      <c r="C136" s="33" t="s">
        <v>609</v>
      </c>
      <c r="D136" s="20" t="s">
        <v>608</v>
      </c>
      <c r="E136" s="33" t="s">
        <v>541</v>
      </c>
      <c r="F136" s="33"/>
      <c r="G136" s="33"/>
      <c r="H136" s="33"/>
      <c r="I136" s="33">
        <v>0</v>
      </c>
      <c r="J136" s="33">
        <v>0</v>
      </c>
      <c r="K136" s="33"/>
      <c r="L136" s="33"/>
      <c r="M136" s="33"/>
      <c r="N136" s="33"/>
      <c r="O136" s="33"/>
    </row>
    <row r="137" spans="1:15" ht="15" x14ac:dyDescent="0.2">
      <c r="A137" s="32" t="s">
        <v>12</v>
      </c>
      <c r="B137" s="32" t="s">
        <v>13</v>
      </c>
      <c r="C137" s="33" t="s">
        <v>535</v>
      </c>
      <c r="D137" s="20" t="s">
        <v>534</v>
      </c>
      <c r="E137" s="33">
        <v>3</v>
      </c>
      <c r="F137" s="33"/>
      <c r="G137" s="33"/>
      <c r="H137" s="33"/>
      <c r="I137" s="33"/>
      <c r="J137" s="33"/>
      <c r="K137" s="33"/>
      <c r="L137" s="33"/>
      <c r="M137" s="33"/>
      <c r="N137" s="33"/>
      <c r="O137" s="33"/>
    </row>
    <row r="138" spans="1:15" ht="28.5" x14ac:dyDescent="0.2">
      <c r="A138" s="32" t="s">
        <v>12</v>
      </c>
      <c r="B138" s="32" t="s">
        <v>13</v>
      </c>
      <c r="C138" s="33" t="s">
        <v>607</v>
      </c>
      <c r="D138" s="20" t="s">
        <v>606</v>
      </c>
      <c r="E138" s="33" t="s">
        <v>541</v>
      </c>
      <c r="F138" s="33"/>
      <c r="G138" s="33"/>
      <c r="H138" s="33"/>
      <c r="I138" s="33">
        <v>0</v>
      </c>
      <c r="J138" s="33">
        <v>0</v>
      </c>
      <c r="K138" s="33"/>
      <c r="L138" s="33"/>
      <c r="M138" s="33"/>
      <c r="N138" s="33"/>
      <c r="O138" s="33"/>
    </row>
    <row r="139" spans="1:15" ht="28.5" x14ac:dyDescent="0.2">
      <c r="A139" s="32" t="s">
        <v>12</v>
      </c>
      <c r="B139" s="32" t="s">
        <v>13</v>
      </c>
      <c r="C139" s="33" t="s">
        <v>605</v>
      </c>
      <c r="D139" s="20" t="s">
        <v>604</v>
      </c>
      <c r="E139" s="33" t="s">
        <v>541</v>
      </c>
      <c r="F139" s="33"/>
      <c r="G139" s="33"/>
      <c r="H139" s="33"/>
      <c r="I139" s="33">
        <v>0</v>
      </c>
      <c r="J139" s="33">
        <v>0</v>
      </c>
      <c r="K139" s="33"/>
      <c r="L139" s="33"/>
      <c r="M139" s="33"/>
      <c r="N139" s="33"/>
      <c r="O139" s="33"/>
    </row>
    <row r="140" spans="1:15" ht="28.5" x14ac:dyDescent="0.2">
      <c r="A140" s="32" t="s">
        <v>12</v>
      </c>
      <c r="B140" s="32" t="s">
        <v>13</v>
      </c>
      <c r="C140" s="33" t="s">
        <v>247</v>
      </c>
      <c r="D140" s="20" t="s">
        <v>248</v>
      </c>
      <c r="E140" s="33" t="s">
        <v>70</v>
      </c>
      <c r="F140" s="33" t="s">
        <v>249</v>
      </c>
      <c r="G140" s="33">
        <v>8</v>
      </c>
      <c r="H140" s="33"/>
      <c r="I140" s="33"/>
      <c r="J140" s="33"/>
      <c r="K140" s="33"/>
      <c r="L140" s="33"/>
      <c r="M140" s="33"/>
      <c r="N140" s="33"/>
      <c r="O140" s="33" t="s">
        <v>250</v>
      </c>
    </row>
    <row r="141" spans="1:15" ht="28.5" x14ac:dyDescent="0.2">
      <c r="A141" s="32" t="s">
        <v>12</v>
      </c>
      <c r="B141" s="32" t="s">
        <v>13</v>
      </c>
      <c r="C141" s="33" t="s">
        <v>232</v>
      </c>
      <c r="D141" s="20" t="s">
        <v>233</v>
      </c>
      <c r="E141" s="33" t="s">
        <v>70</v>
      </c>
      <c r="F141" s="33" t="s">
        <v>219</v>
      </c>
      <c r="G141" s="33">
        <v>13</v>
      </c>
      <c r="H141" s="33"/>
      <c r="I141" s="33"/>
      <c r="J141" s="33"/>
      <c r="K141" s="33"/>
      <c r="L141" s="33"/>
      <c r="M141" s="33"/>
      <c r="N141" s="33"/>
      <c r="O141" s="33" t="s">
        <v>234</v>
      </c>
    </row>
    <row r="142" spans="1:15" ht="28.5" x14ac:dyDescent="0.2">
      <c r="A142" s="32" t="s">
        <v>12</v>
      </c>
      <c r="B142" s="32" t="s">
        <v>13</v>
      </c>
      <c r="C142" s="33" t="s">
        <v>531</v>
      </c>
      <c r="D142" s="20" t="s">
        <v>530</v>
      </c>
      <c r="E142" s="33" t="s">
        <v>442</v>
      </c>
      <c r="F142" s="33" t="s">
        <v>277</v>
      </c>
      <c r="G142" s="33"/>
      <c r="H142" s="33"/>
      <c r="I142" s="33">
        <v>43200</v>
      </c>
      <c r="J142" s="33">
        <v>43200</v>
      </c>
      <c r="K142" s="33"/>
      <c r="L142" s="33"/>
      <c r="M142" s="33"/>
      <c r="N142" s="33"/>
      <c r="O142" s="33"/>
    </row>
    <row r="143" spans="1:15" ht="15" x14ac:dyDescent="0.2">
      <c r="A143" s="32" t="s">
        <v>12</v>
      </c>
      <c r="B143" s="32" t="s">
        <v>13</v>
      </c>
      <c r="C143" s="33" t="s">
        <v>381</v>
      </c>
      <c r="D143" s="20" t="s">
        <v>382</v>
      </c>
      <c r="E143" s="33" t="s">
        <v>70</v>
      </c>
      <c r="F143" s="33"/>
      <c r="G143" s="33"/>
      <c r="H143" s="33"/>
      <c r="I143" s="33"/>
      <c r="J143" s="33"/>
      <c r="K143" s="33"/>
      <c r="L143" s="33"/>
      <c r="M143" s="33"/>
      <c r="N143" s="33"/>
      <c r="O143" s="33" t="s">
        <v>383</v>
      </c>
    </row>
    <row r="144" spans="1:15" ht="28.5" x14ac:dyDescent="0.2">
      <c r="A144" s="32" t="s">
        <v>12</v>
      </c>
      <c r="B144" s="32" t="s">
        <v>13</v>
      </c>
      <c r="C144" s="33" t="s">
        <v>324</v>
      </c>
      <c r="D144" s="20" t="s">
        <v>325</v>
      </c>
      <c r="E144" s="33" t="s">
        <v>70</v>
      </c>
      <c r="F144" s="33" t="s">
        <v>314</v>
      </c>
      <c r="G144" s="33"/>
      <c r="H144" s="33"/>
      <c r="I144" s="33"/>
      <c r="J144" s="33"/>
      <c r="K144" s="33"/>
      <c r="L144" s="33"/>
      <c r="M144" s="33"/>
      <c r="N144" s="33"/>
      <c r="O144" s="33"/>
    </row>
    <row r="145" spans="1:15" ht="28.5" x14ac:dyDescent="0.2">
      <c r="A145" s="32" t="s">
        <v>12</v>
      </c>
      <c r="B145" s="32" t="s">
        <v>13</v>
      </c>
      <c r="C145" s="33" t="s">
        <v>320</v>
      </c>
      <c r="D145" s="20" t="s">
        <v>321</v>
      </c>
      <c r="E145" s="33" t="s">
        <v>70</v>
      </c>
      <c r="F145" s="33" t="s">
        <v>314</v>
      </c>
      <c r="G145" s="33">
        <v>5</v>
      </c>
      <c r="H145" s="33"/>
      <c r="I145" s="33"/>
      <c r="J145" s="33"/>
      <c r="K145" s="33"/>
      <c r="L145" s="33"/>
      <c r="M145" s="33"/>
      <c r="N145" s="33"/>
      <c r="O145" s="33" t="s">
        <v>121</v>
      </c>
    </row>
    <row r="146" spans="1:15" ht="15" x14ac:dyDescent="0.2">
      <c r="A146" s="32" t="s">
        <v>12</v>
      </c>
      <c r="B146" s="32" t="s">
        <v>13</v>
      </c>
      <c r="C146" s="33" t="s">
        <v>312</v>
      </c>
      <c r="D146" s="20" t="s">
        <v>313</v>
      </c>
      <c r="E146" s="33" t="s">
        <v>70</v>
      </c>
      <c r="F146" s="33" t="s">
        <v>314</v>
      </c>
      <c r="G146" s="33">
        <v>1</v>
      </c>
      <c r="H146" s="33"/>
      <c r="I146" s="33"/>
      <c r="J146" s="33"/>
      <c r="K146" s="33"/>
      <c r="L146" s="33"/>
      <c r="M146" s="33"/>
      <c r="N146" s="33"/>
      <c r="O146" s="33" t="s">
        <v>315</v>
      </c>
    </row>
    <row r="147" spans="1:15" ht="28.5" x14ac:dyDescent="0.2">
      <c r="A147" s="32" t="s">
        <v>12</v>
      </c>
      <c r="B147" s="32" t="s">
        <v>13</v>
      </c>
      <c r="C147" s="33" t="s">
        <v>318</v>
      </c>
      <c r="D147" s="20" t="s">
        <v>319</v>
      </c>
      <c r="E147" s="33" t="s">
        <v>70</v>
      </c>
      <c r="F147" s="33" t="s">
        <v>314</v>
      </c>
      <c r="G147" s="33">
        <v>3</v>
      </c>
      <c r="H147" s="33"/>
      <c r="I147" s="33"/>
      <c r="J147" s="33"/>
      <c r="K147" s="33"/>
      <c r="L147" s="33"/>
      <c r="M147" s="33"/>
      <c r="N147" s="33"/>
      <c r="O147" s="33" t="s">
        <v>315</v>
      </c>
    </row>
    <row r="148" spans="1:15" ht="42.75" x14ac:dyDescent="0.2">
      <c r="A148" s="32" t="s">
        <v>12</v>
      </c>
      <c r="B148" s="32" t="s">
        <v>13</v>
      </c>
      <c r="C148" s="33" t="s">
        <v>165</v>
      </c>
      <c r="D148" s="20" t="s">
        <v>166</v>
      </c>
      <c r="E148" s="33" t="s">
        <v>70</v>
      </c>
      <c r="F148" s="33" t="s">
        <v>164</v>
      </c>
      <c r="G148" s="33">
        <v>5</v>
      </c>
      <c r="H148" s="33"/>
      <c r="I148" s="33">
        <v>120</v>
      </c>
      <c r="J148" s="33">
        <v>120</v>
      </c>
      <c r="K148" s="33"/>
      <c r="L148" s="33"/>
      <c r="M148" s="33"/>
      <c r="N148" s="33"/>
      <c r="O148" s="33" t="s">
        <v>159</v>
      </c>
    </row>
    <row r="149" spans="1:15" ht="28.5" x14ac:dyDescent="0.2">
      <c r="A149" s="32" t="s">
        <v>12</v>
      </c>
      <c r="B149" s="32" t="s">
        <v>13</v>
      </c>
      <c r="C149" s="33" t="s">
        <v>170</v>
      </c>
      <c r="D149" s="20" t="s">
        <v>171</v>
      </c>
      <c r="E149" s="33" t="s">
        <v>70</v>
      </c>
      <c r="F149" s="33" t="s">
        <v>172</v>
      </c>
      <c r="G149" s="33">
        <v>5</v>
      </c>
      <c r="H149" s="33"/>
      <c r="I149" s="33"/>
      <c r="J149" s="33"/>
      <c r="K149" s="33"/>
      <c r="L149" s="33"/>
      <c r="M149" s="33"/>
      <c r="N149" s="33"/>
      <c r="O149" s="33" t="s">
        <v>173</v>
      </c>
    </row>
    <row r="150" spans="1:15" ht="15" x14ac:dyDescent="0.2">
      <c r="A150" s="32" t="s">
        <v>12</v>
      </c>
      <c r="B150" s="32" t="s">
        <v>13</v>
      </c>
      <c r="C150" s="33" t="s">
        <v>243</v>
      </c>
      <c r="D150" s="20" t="s">
        <v>244</v>
      </c>
      <c r="E150" s="33" t="s">
        <v>70</v>
      </c>
      <c r="F150" s="33" t="s">
        <v>245</v>
      </c>
      <c r="G150" s="33">
        <v>2</v>
      </c>
      <c r="H150" s="33"/>
      <c r="I150" s="33"/>
      <c r="J150" s="33"/>
      <c r="K150" s="33"/>
      <c r="L150" s="33"/>
      <c r="M150" s="33"/>
      <c r="N150" s="33"/>
      <c r="O150" s="33" t="s">
        <v>246</v>
      </c>
    </row>
    <row r="151" spans="1:15" ht="42.75" x14ac:dyDescent="0.2">
      <c r="A151" s="32" t="s">
        <v>12</v>
      </c>
      <c r="B151" s="32" t="s">
        <v>13</v>
      </c>
      <c r="C151" s="33" t="s">
        <v>162</v>
      </c>
      <c r="D151" s="20" t="s">
        <v>163</v>
      </c>
      <c r="E151" s="33" t="s">
        <v>70</v>
      </c>
      <c r="F151" s="33" t="s">
        <v>164</v>
      </c>
      <c r="G151" s="33">
        <v>8</v>
      </c>
      <c r="H151" s="33"/>
      <c r="I151" s="33">
        <v>0</v>
      </c>
      <c r="J151" s="33">
        <v>0</v>
      </c>
      <c r="K151" s="33"/>
      <c r="L151" s="33"/>
      <c r="M151" s="33"/>
      <c r="N151" s="33"/>
      <c r="O151" s="33" t="s">
        <v>159</v>
      </c>
    </row>
    <row r="152" spans="1:15" ht="28.5" x14ac:dyDescent="0.2">
      <c r="A152" s="32" t="s">
        <v>12</v>
      </c>
      <c r="B152" s="32" t="s">
        <v>13</v>
      </c>
      <c r="C152" s="33" t="s">
        <v>316</v>
      </c>
      <c r="D152" s="20" t="s">
        <v>317</v>
      </c>
      <c r="E152" s="33" t="s">
        <v>70</v>
      </c>
      <c r="F152" s="33" t="s">
        <v>314</v>
      </c>
      <c r="G152" s="33">
        <v>3</v>
      </c>
      <c r="H152" s="33"/>
      <c r="I152" s="33"/>
      <c r="J152" s="33"/>
      <c r="K152" s="33"/>
      <c r="L152" s="33"/>
      <c r="M152" s="33"/>
      <c r="N152" s="33"/>
      <c r="O152" s="33" t="s">
        <v>315</v>
      </c>
    </row>
    <row r="153" spans="1:15" ht="15" x14ac:dyDescent="0.2">
      <c r="A153" s="32" t="s">
        <v>12</v>
      </c>
      <c r="B153" s="32" t="s">
        <v>13</v>
      </c>
      <c r="C153" s="33" t="s">
        <v>322</v>
      </c>
      <c r="D153" s="20" t="s">
        <v>323</v>
      </c>
      <c r="E153" s="33" t="s">
        <v>70</v>
      </c>
      <c r="F153" s="33" t="s">
        <v>314</v>
      </c>
      <c r="G153" s="33">
        <v>3</v>
      </c>
      <c r="H153" s="33"/>
      <c r="I153" s="33"/>
      <c r="J153" s="33"/>
      <c r="K153" s="33"/>
      <c r="L153" s="33"/>
      <c r="M153" s="33"/>
      <c r="N153" s="33"/>
      <c r="O153" s="33" t="s">
        <v>121</v>
      </c>
    </row>
    <row r="154" spans="1:15" ht="28.5" x14ac:dyDescent="0.2">
      <c r="A154" s="32" t="s">
        <v>12</v>
      </c>
      <c r="B154" s="32" t="s">
        <v>13</v>
      </c>
      <c r="C154" s="33" t="s">
        <v>241</v>
      </c>
      <c r="D154" s="20" t="s">
        <v>242</v>
      </c>
      <c r="E154" s="33" t="s">
        <v>70</v>
      </c>
      <c r="F154" s="33" t="s">
        <v>237</v>
      </c>
      <c r="G154" s="33">
        <v>13</v>
      </c>
      <c r="H154" s="33"/>
      <c r="I154" s="33"/>
      <c r="J154" s="33"/>
      <c r="K154" s="33"/>
      <c r="L154" s="33"/>
      <c r="M154" s="33"/>
      <c r="N154" s="33"/>
      <c r="O154" s="33" t="s">
        <v>129</v>
      </c>
    </row>
    <row r="155" spans="1:15" ht="42.75" x14ac:dyDescent="0.2">
      <c r="A155" s="32" t="s">
        <v>12</v>
      </c>
      <c r="B155" s="32" t="s">
        <v>13</v>
      </c>
      <c r="C155" s="33" t="s">
        <v>238</v>
      </c>
      <c r="D155" s="20" t="s">
        <v>239</v>
      </c>
      <c r="E155" s="33" t="s">
        <v>70</v>
      </c>
      <c r="F155" s="33" t="s">
        <v>237</v>
      </c>
      <c r="G155" s="33">
        <v>5</v>
      </c>
      <c r="H155" s="33"/>
      <c r="I155" s="33"/>
      <c r="J155" s="33"/>
      <c r="K155" s="33"/>
      <c r="L155" s="33"/>
      <c r="M155" s="33"/>
      <c r="N155" s="33"/>
      <c r="O155" s="33" t="s">
        <v>240</v>
      </c>
    </row>
    <row r="156" spans="1:15" ht="15" x14ac:dyDescent="0.2">
      <c r="A156" s="32" t="s">
        <v>12</v>
      </c>
      <c r="B156" s="32" t="s">
        <v>13</v>
      </c>
      <c r="C156" s="33" t="s">
        <v>235</v>
      </c>
      <c r="D156" s="20" t="s">
        <v>236</v>
      </c>
      <c r="E156" s="33" t="s">
        <v>70</v>
      </c>
      <c r="F156" s="33" t="s">
        <v>237</v>
      </c>
      <c r="G156" s="33">
        <v>13</v>
      </c>
      <c r="H156" s="33"/>
      <c r="I156" s="33"/>
      <c r="J156" s="33"/>
      <c r="K156" s="33"/>
      <c r="L156" s="33"/>
      <c r="M156" s="33"/>
      <c r="N156" s="33"/>
      <c r="O156" s="33" t="s">
        <v>118</v>
      </c>
    </row>
    <row r="157" spans="1:15" x14ac:dyDescent="0.2">
      <c r="A157" s="56" t="s">
        <v>793</v>
      </c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8"/>
    </row>
  </sheetData>
  <mergeCells count="4">
    <mergeCell ref="A1:O1"/>
    <mergeCell ref="A2:O2"/>
    <mergeCell ref="A3:O3"/>
    <mergeCell ref="A157:O157"/>
  </mergeCells>
  <hyperlinks>
    <hyperlink ref="A2" r:id="rId1" display="https://webgate.ec.europa.eu/CITnet/jira/issues/?jql=project+in+%28COMPCORP%2C+CCADMIN%2C+CCARCHITEC%2C+CCDOCLIST%2C+ECKL%2C+CCINFRAEC%2C+INTERCOM%2C+CCPMO%2C+PFM%2C+PROCESS%2C+CCTASK%2C+TSKACTION%2C+WAVECC%2C+COMPASS%29+AND+issuetype+in+%28Story%29+AND+fixversion+is+not+EMPTY+ORDER+BY+status+DESC"/>
    <hyperlink ref="D5" r:id="rId2" display="https://webgate.ec.europa.eu/CITnet/jira/browse/PFM-87"/>
    <hyperlink ref="D6" r:id="rId3" display="https://webgate.ec.europa.eu/CITnet/jira/browse/PFM-81"/>
    <hyperlink ref="D7" r:id="rId4" display="https://webgate.ec.europa.eu/CITnet/jira/browse/CCADMIN-13"/>
    <hyperlink ref="D8" r:id="rId5" display="https://webgate.ec.europa.eu/CITnet/jira/browse/CCADMIN-12"/>
    <hyperlink ref="D9" r:id="rId6" display="https://webgate.ec.europa.eu/CITnet/jira/browse/PFM-116"/>
    <hyperlink ref="D10" r:id="rId7" display="https://webgate.ec.europa.eu/CITnet/jira/browse/INTERCOM-41"/>
    <hyperlink ref="D11" r:id="rId8" display="https://webgate.ec.europa.eu/CITnet/jira/browse/PFM-114"/>
    <hyperlink ref="D12" r:id="rId9" display="https://webgate.ec.europa.eu/CITnet/jira/browse/CCPMO-46"/>
    <hyperlink ref="D13" r:id="rId10" display="https://webgate.ec.europa.eu/CITnet/jira/browse/WAVECC-7"/>
    <hyperlink ref="D14" r:id="rId11" display="https://webgate.ec.europa.eu/CITnet/jira/browse/INTERCOM-36"/>
    <hyperlink ref="D15" r:id="rId12" display="https://webgate.ec.europa.eu/CITnet/jira/browse/PROCESS-86"/>
    <hyperlink ref="D16" r:id="rId13" display="https://webgate.ec.europa.eu/CITnet/jira/browse/PROCESS-76"/>
    <hyperlink ref="D17" r:id="rId14" display="https://webgate.ec.europa.eu/CITnet/jira/browse/CCADMIN-16"/>
    <hyperlink ref="D18" r:id="rId15" display="https://webgate.ec.europa.eu/CITnet/jira/browse/CCADMIN-15"/>
    <hyperlink ref="D19" r:id="rId16" display="https://webgate.ec.europa.eu/CITnet/jira/browse/PFM-51"/>
    <hyperlink ref="D20" r:id="rId17" display="https://webgate.ec.europa.eu/CITnet/jira/browse/PFM-53"/>
    <hyperlink ref="D21" r:id="rId18" display="https://webgate.ec.europa.eu/CITnet/jira/browse/PFM-56"/>
    <hyperlink ref="D22" r:id="rId19" display="https://webgate.ec.europa.eu/CITnet/jira/browse/CCTASK-116"/>
    <hyperlink ref="D23" r:id="rId20" display="https://webgate.ec.europa.eu/CITnet/jira/browse/CCTASK-118"/>
    <hyperlink ref="D24" r:id="rId21" display="https://webgate.ec.europa.eu/CITnet/jira/browse/CCTASK-117"/>
    <hyperlink ref="D25" r:id="rId22" display="https://webgate.ec.europa.eu/CITnet/jira/browse/CCTASK-121"/>
    <hyperlink ref="D26" r:id="rId23" display="https://webgate.ec.europa.eu/CITnet/jira/browse/CCTASK-99"/>
    <hyperlink ref="D27" r:id="rId24" display="https://webgate.ec.europa.eu/CITnet/jira/browse/CCTASK-94"/>
    <hyperlink ref="D28" r:id="rId25" display="https://webgate.ec.europa.eu/CITnet/jira/browse/CCTASK-107"/>
    <hyperlink ref="D29" r:id="rId26" display="https://webgate.ec.europa.eu/CITnet/jira/browse/CCTASK-84"/>
    <hyperlink ref="D30" r:id="rId27" display="https://webgate.ec.europa.eu/CITnet/jira/browse/CCTASK-90"/>
    <hyperlink ref="D31" r:id="rId28" display="https://webgate.ec.europa.eu/CITnet/jira/browse/CCTASK-79"/>
    <hyperlink ref="D32" r:id="rId29" display="https://webgate.ec.europa.eu/CITnet/jira/browse/CCTASK-104"/>
    <hyperlink ref="D33" r:id="rId30" display="https://webgate.ec.europa.eu/CITnet/jira/browse/CCTASK-87"/>
    <hyperlink ref="D34" r:id="rId31" display="https://webgate.ec.europa.eu/CITnet/jira/browse/CCTASK-80"/>
    <hyperlink ref="D35" r:id="rId32" display="https://webgate.ec.europa.eu/CITnet/jira/browse/CCTASK-100"/>
    <hyperlink ref="D36" r:id="rId33" display="https://webgate.ec.europa.eu/CITnet/jira/browse/CCTASK-88"/>
    <hyperlink ref="D37" r:id="rId34" display="https://webgate.ec.europa.eu/CITnet/jira/browse/CCTASK-109"/>
    <hyperlink ref="D38" r:id="rId35" display="https://webgate.ec.europa.eu/CITnet/jira/browse/CCTASK-97"/>
    <hyperlink ref="D39" r:id="rId36" display="https://webgate.ec.europa.eu/CITnet/jira/browse/CCTASK-98"/>
    <hyperlink ref="D40" r:id="rId37" display="https://webgate.ec.europa.eu/CITnet/jira/browse/CCTASK-77"/>
    <hyperlink ref="D41" r:id="rId38" display="https://webgate.ec.europa.eu/CITnet/jira/browse/CCTASK-120"/>
    <hyperlink ref="D42" r:id="rId39" display="https://webgate.ec.europa.eu/CITnet/jira/browse/CCTASK-75"/>
    <hyperlink ref="D43" r:id="rId40" display="https://webgate.ec.europa.eu/CITnet/jira/browse/CCTASK-103"/>
    <hyperlink ref="D44" r:id="rId41" display="https://webgate.ec.europa.eu/CITnet/jira/browse/CCTASK-113"/>
    <hyperlink ref="D45" r:id="rId42" display="https://webgate.ec.europa.eu/CITnet/jira/browse/CCTASK-93"/>
    <hyperlink ref="D46" r:id="rId43" display="https://webgate.ec.europa.eu/CITnet/jira/browse/CCTASK-123"/>
    <hyperlink ref="D47" r:id="rId44" display="https://webgate.ec.europa.eu/CITnet/jira/browse/CCTASK-78"/>
    <hyperlink ref="D48" r:id="rId45" display="https://webgate.ec.europa.eu/CITnet/jira/browse/CCTASK-101"/>
    <hyperlink ref="D49" r:id="rId46" display="https://webgate.ec.europa.eu/CITnet/jira/browse/CCTASK-112"/>
    <hyperlink ref="D50" r:id="rId47" display="https://webgate.ec.europa.eu/CITnet/jira/browse/CCTASK-82"/>
    <hyperlink ref="D51" r:id="rId48" display="https://webgate.ec.europa.eu/CITnet/jira/browse/CCTASK-89"/>
    <hyperlink ref="D52" r:id="rId49" display="https://webgate.ec.europa.eu/CITnet/jira/browse/CCTASK-102"/>
    <hyperlink ref="D53" r:id="rId50" display="https://webgate.ec.europa.eu/CITnet/jira/browse/CCTASK-110"/>
    <hyperlink ref="D54" r:id="rId51" display="https://webgate.ec.europa.eu/CITnet/jira/browse/CCPMO-59"/>
    <hyperlink ref="D55" r:id="rId52" display="https://webgate.ec.europa.eu/CITnet/jira/browse/CCPMO-58"/>
    <hyperlink ref="D56" r:id="rId53" display="https://webgate.ec.europa.eu/CITnet/jira/browse/PROCESS-89"/>
    <hyperlink ref="D57" r:id="rId54" display="https://webgate.ec.europa.eu/CITnet/jira/browse/CCADMIN-56"/>
    <hyperlink ref="D58" r:id="rId55" display="https://webgate.ec.europa.eu/CITnet/jira/browse/INTERCOM-73"/>
    <hyperlink ref="D59" r:id="rId56" display="https://webgate.ec.europa.eu/CITnet/jira/browse/CCADMIN-53"/>
    <hyperlink ref="D60" r:id="rId57" display="https://webgate.ec.europa.eu/CITnet/jira/browse/INTERCOM-70"/>
    <hyperlink ref="D61" r:id="rId58" display="https://webgate.ec.europa.eu/CITnet/jira/browse/INTERCOM-65"/>
    <hyperlink ref="D62" r:id="rId59" display="https://webgate.ec.europa.eu/CITnet/jira/browse/INTERCOM-64"/>
    <hyperlink ref="D63" r:id="rId60" display="https://webgate.ec.europa.eu/CITnet/jira/browse/PFM-160"/>
    <hyperlink ref="D64" r:id="rId61" display="https://webgate.ec.europa.eu/CITnet/jira/browse/WAVECC-43"/>
    <hyperlink ref="D65" r:id="rId62" display="https://webgate.ec.europa.eu/CITnet/jira/browse/INTERCOM-60"/>
    <hyperlink ref="D66" r:id="rId63" display="https://webgate.ec.europa.eu/CITnet/jira/browse/CCADMIN-51"/>
    <hyperlink ref="D67" r:id="rId64" display="https://webgate.ec.europa.eu/CITnet/jira/browse/CCADMIN-35"/>
    <hyperlink ref="D68" r:id="rId65" display="https://webgate.ec.europa.eu/CITnet/jira/browse/WAVECC-26"/>
    <hyperlink ref="D69" r:id="rId66" display="https://webgate.ec.europa.eu/CITnet/jira/browse/WAVECC-28"/>
    <hyperlink ref="D70" r:id="rId67" display="https://webgate.ec.europa.eu/CITnet/jira/browse/PFM-144"/>
    <hyperlink ref="D71" r:id="rId68" display="https://webgate.ec.europa.eu/CITnet/jira/browse/CCADMIN-47"/>
    <hyperlink ref="D72" r:id="rId69" display="https://webgate.ec.europa.eu/CITnet/jira/browse/CCADMIN-45"/>
    <hyperlink ref="D73" r:id="rId70" display="https://webgate.ec.europa.eu/CITnet/jira/browse/CCADMIN-43"/>
    <hyperlink ref="D74" r:id="rId71" display="https://webgate.ec.europa.eu/CITnet/jira/browse/CCADMIN-46"/>
    <hyperlink ref="D75" r:id="rId72" display="https://webgate.ec.europa.eu/CITnet/jira/browse/INTERCOM-53"/>
    <hyperlink ref="D76" r:id="rId73" display="https://webgate.ec.europa.eu/CITnet/jira/browse/PFM-155"/>
    <hyperlink ref="D77" r:id="rId74" display="https://webgate.ec.europa.eu/CITnet/jira/browse/INTERCOM-57"/>
    <hyperlink ref="D78" r:id="rId75" display="https://webgate.ec.europa.eu/CITnet/jira/browse/INTERCOM-56"/>
    <hyperlink ref="D79" r:id="rId76" display="https://webgate.ec.europa.eu/CITnet/jira/browse/INTERCOM-58"/>
    <hyperlink ref="D80" r:id="rId77" display="https://webgate.ec.europa.eu/CITnet/jira/browse/CCADMIN-52"/>
    <hyperlink ref="D81" r:id="rId78" display="https://webgate.ec.europa.eu/CITnet/jira/browse/PFM-64"/>
    <hyperlink ref="D82" r:id="rId79" display="https://webgate.ec.europa.eu/CITnet/jira/browse/INTERCOM-74"/>
    <hyperlink ref="D83" r:id="rId80" display="https://webgate.ec.europa.eu/CITnet/jira/browse/CCDOCLIST-63"/>
    <hyperlink ref="D84" r:id="rId81" display="https://webgate.ec.europa.eu/CITnet/jira/browse/CCTASK-567"/>
    <hyperlink ref="D85" r:id="rId82" display="https://webgate.ec.europa.eu/CITnet/jira/browse/CCPMO-103"/>
    <hyperlink ref="D86" r:id="rId83" display="https://webgate.ec.europa.eu/CITnet/jira/browse/CCPMO-111"/>
    <hyperlink ref="D87" r:id="rId84" display="https://webgate.ec.europa.eu/CITnet/jira/browse/CCPMO-79"/>
    <hyperlink ref="D88" r:id="rId85" display="https://webgate.ec.europa.eu/CITnet/jira/browse/WAVECC-25"/>
    <hyperlink ref="D89" r:id="rId86" display="https://webgate.ec.europa.eu/CITnet/jira/browse/PROCESS-90"/>
    <hyperlink ref="D90" r:id="rId87" display="https://webgate.ec.europa.eu/CITnet/jira/browse/PFM-142"/>
    <hyperlink ref="D91" r:id="rId88" display="https://webgate.ec.europa.eu/CITnet/jira/browse/CCADMIN-48"/>
    <hyperlink ref="D92" r:id="rId89" display="https://webgate.ec.europa.eu/CITnet/jira/browse/PFM-92"/>
    <hyperlink ref="D93" r:id="rId90" display="https://webgate.ec.europa.eu/CITnet/jira/browse/PFM-91"/>
    <hyperlink ref="D94" r:id="rId91" display="https://webgate.ec.europa.eu/CITnet/jira/browse/CCADMIN-14"/>
    <hyperlink ref="D95" r:id="rId92" display="https://webgate.ec.europa.eu/CITnet/jira/browse/INTERCOM-43"/>
    <hyperlink ref="D96" r:id="rId93" display="https://webgate.ec.europa.eu/CITnet/jira/browse/WAVECC-6"/>
    <hyperlink ref="D97" r:id="rId94" display="https://webgate.ec.europa.eu/CITnet/jira/browse/PFM-110"/>
    <hyperlink ref="D98" r:id="rId95" display="https://webgate.ec.europa.eu/CITnet/jira/browse/PFM-54"/>
    <hyperlink ref="D99" r:id="rId96" display="https://webgate.ec.europa.eu/CITnet/jira/browse/PFM-50"/>
    <hyperlink ref="D100" r:id="rId97" display="https://webgate.ec.europa.eu/CITnet/jira/browse/PFM-49"/>
    <hyperlink ref="D101" r:id="rId98" display="https://webgate.ec.europa.eu/CITnet/jira/browse/PFM-73"/>
    <hyperlink ref="D102" r:id="rId99" display="https://webgate.ec.europa.eu/CITnet/jira/browse/PFM-63"/>
    <hyperlink ref="D103" r:id="rId100" display="https://webgate.ec.europa.eu/CITnet/jira/browse/PFM-8"/>
    <hyperlink ref="D104" r:id="rId101" display="https://webgate.ec.europa.eu/CITnet/jira/browse/PROCESS-129"/>
    <hyperlink ref="D105" r:id="rId102" display="https://webgate.ec.europa.eu/CITnet/jira/browse/PROCESS-128"/>
    <hyperlink ref="D106" r:id="rId103" display="https://webgate.ec.europa.eu/CITnet/jira/browse/CCPMO-119"/>
    <hyperlink ref="D107" r:id="rId104" display="https://webgate.ec.europa.eu/CITnet/jira/browse/CCPMO-95"/>
    <hyperlink ref="D108" r:id="rId105" display="https://webgate.ec.europa.eu/CITnet/jira/browse/CCPMO-87"/>
    <hyperlink ref="D109" r:id="rId106" display="https://webgate.ec.europa.eu/CITnet/jira/browse/PFM-149"/>
    <hyperlink ref="D110" r:id="rId107" display="https://webgate.ec.europa.eu/CITnet/jira/browse/PFM-150"/>
    <hyperlink ref="D111" r:id="rId108" display="https://webgate.ec.europa.eu/CITnet/jira/browse/PFM-148"/>
    <hyperlink ref="D112" r:id="rId109" display="https://webgate.ec.europa.eu/CITnet/jira/browse/PROCESS-111"/>
    <hyperlink ref="D113" r:id="rId110" display="https://webgate.ec.europa.eu/CITnet/jira/browse/PROCESS-113"/>
    <hyperlink ref="D114" r:id="rId111" display="https://webgate.ec.europa.eu/CITnet/jira/browse/PROCESS-110"/>
    <hyperlink ref="D115" r:id="rId112" display="https://webgate.ec.europa.eu/CITnet/jira/browse/PROCESS-108"/>
    <hyperlink ref="D116" r:id="rId113" display="https://webgate.ec.europa.eu/CITnet/jira/browse/PROCESS-107"/>
    <hyperlink ref="D117" r:id="rId114" display="https://webgate.ec.europa.eu/CITnet/jira/browse/PROCESS-109"/>
    <hyperlink ref="D118" r:id="rId115" display="https://webgate.ec.europa.eu/CITnet/jira/browse/INTERCOM-67"/>
    <hyperlink ref="D119" r:id="rId116" display="https://webgate.ec.europa.eu/CITnet/jira/browse/INTERCOM-66"/>
    <hyperlink ref="D120" r:id="rId117" display="https://webgate.ec.europa.eu/CITnet/jira/browse/WAVECC-35"/>
    <hyperlink ref="D121" r:id="rId118" display="https://webgate.ec.europa.eu/CITnet/jira/browse/PFM-143"/>
    <hyperlink ref="D122" r:id="rId119" display="https://webgate.ec.europa.eu/CITnet/jira/browse/PROCESS-112"/>
    <hyperlink ref="D123" r:id="rId120" display="https://webgate.ec.europa.eu/CITnet/jira/browse/WAVECC-44"/>
    <hyperlink ref="D124" r:id="rId121" display="https://webgate.ec.europa.eu/CITnet/jira/browse/CCTASK-50"/>
    <hyperlink ref="D125" r:id="rId122" display="https://webgate.ec.europa.eu/CITnet/jira/browse/PFM-82"/>
    <hyperlink ref="D126" r:id="rId123" display="https://webgate.ec.europa.eu/CITnet/jira/browse/CCTASK-455"/>
    <hyperlink ref="D127" r:id="rId124" display="https://webgate.ec.europa.eu/CITnet/jira/browse/PROCESS-74"/>
    <hyperlink ref="D128" r:id="rId125" display="https://webgate.ec.europa.eu/CITnet/jira/browse/PFM-52"/>
    <hyperlink ref="D129" r:id="rId126" display="https://webgate.ec.europa.eu/CITnet/jira/browse/PFM-71"/>
    <hyperlink ref="D130" r:id="rId127" display="https://webgate.ec.europa.eu/CITnet/jira/browse/PFM-69"/>
    <hyperlink ref="D131" r:id="rId128" display="https://webgate.ec.europa.eu/CITnet/jira/browse/PFM-68"/>
    <hyperlink ref="D132" r:id="rId129" display="https://webgate.ec.europa.eu/CITnet/jira/browse/PFM-59"/>
    <hyperlink ref="D133" r:id="rId130" display="https://webgate.ec.europa.eu/CITnet/jira/browse/PROCESS-48"/>
    <hyperlink ref="D134" r:id="rId131" display="https://webgate.ec.europa.eu/CITnet/jira/browse/PROCESS-49"/>
    <hyperlink ref="D135" r:id="rId132" display="https://webgate.ec.europa.eu/CITnet/jira/browse/CCTASK-67"/>
    <hyperlink ref="D136" r:id="rId133" display="https://webgate.ec.europa.eu/CITnet/jira/browse/CCTASK-53"/>
    <hyperlink ref="D137" r:id="rId134" display="https://webgate.ec.europa.eu/CITnet/jira/browse/CCTASK-137"/>
    <hyperlink ref="D138" r:id="rId135" display="https://webgate.ec.europa.eu/CITnet/jira/browse/CCTASK-62"/>
    <hyperlink ref="D139" r:id="rId136" display="https://webgate.ec.europa.eu/CITnet/jira/browse/CCTASK-65"/>
    <hyperlink ref="D140" r:id="rId137" display="https://webgate.ec.europa.eu/CITnet/jira/browse/CCPMO-62"/>
    <hyperlink ref="D141" r:id="rId138" display="https://webgate.ec.europa.eu/CITnet/jira/browse/CCTASK-564"/>
    <hyperlink ref="D142" r:id="rId139" display="https://webgate.ec.europa.eu/CITnet/jira/browse/CCTASK-522"/>
    <hyperlink ref="D143" r:id="rId140" display="https://webgate.ec.europa.eu/CITnet/jira/browse/CCTASK-512"/>
    <hyperlink ref="D144" r:id="rId141" display="https://webgate.ec.europa.eu/CITnet/jira/browse/PROCESS-122"/>
    <hyperlink ref="D145" r:id="rId142" display="https://webgate.ec.europa.eu/CITnet/jira/browse/PROCESS-120"/>
    <hyperlink ref="D146" r:id="rId143" display="https://webgate.ec.europa.eu/CITnet/jira/browse/PROCESS-117"/>
    <hyperlink ref="D147" r:id="rId144" display="https://webgate.ec.europa.eu/CITnet/jira/browse/PROCESS-119"/>
    <hyperlink ref="D148" r:id="rId145" display="https://webgate.ec.europa.eu/CITnet/jira/browse/PFM-146"/>
    <hyperlink ref="D149" r:id="rId146" display="https://webgate.ec.europa.eu/CITnet/jira/browse/PFM-151"/>
    <hyperlink ref="D150" r:id="rId147" display="https://webgate.ec.europa.eu/CITnet/jira/browse/PFM-152"/>
    <hyperlink ref="D151" r:id="rId148" display="https://webgate.ec.europa.eu/CITnet/jira/browse/PFM-147"/>
    <hyperlink ref="D152" r:id="rId149" display="https://webgate.ec.europa.eu/CITnet/jira/browse/PROCESS-118"/>
    <hyperlink ref="D153" r:id="rId150" display="https://webgate.ec.europa.eu/CITnet/jira/browse/PROCESS-121"/>
    <hyperlink ref="D154" r:id="rId151" display="https://webgate.ec.europa.eu/CITnet/jira/browse/PROCESS-114"/>
    <hyperlink ref="D155" r:id="rId152" display="https://webgate.ec.europa.eu/CITnet/jira/browse/PROCESS-116"/>
    <hyperlink ref="D156" r:id="rId153" display="https://webgate.ec.europa.eu/CITnet/jira/browse/PROCESS-115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15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57"/>
  <sheetViews>
    <sheetView workbookViewId="0">
      <selection activeCell="E8" sqref="E8"/>
    </sheetView>
  </sheetViews>
  <sheetFormatPr defaultRowHeight="12" x14ac:dyDescent="0.2"/>
  <cols>
    <col min="1" max="1" width="10.5" style="17" bestFit="1" customWidth="1"/>
    <col min="2" max="2" width="10.25" style="17" bestFit="1" customWidth="1"/>
    <col min="3" max="3" width="32" style="17" bestFit="1" customWidth="1"/>
    <col min="4" max="4" width="11.75" style="17" bestFit="1" customWidth="1"/>
    <col min="5" max="5" width="31.125" style="17" bestFit="1" customWidth="1"/>
    <col min="6" max="6" width="32" style="17" bestFit="1" customWidth="1"/>
    <col min="7" max="7" width="11.75" style="17" bestFit="1" customWidth="1"/>
    <col min="8" max="8" width="9" style="17" bestFit="1" customWidth="1"/>
    <col min="9" max="9" width="17.875" style="17" bestFit="1" customWidth="1"/>
    <col min="10" max="10" width="20.375" style="17" bestFit="1" customWidth="1"/>
    <col min="11" max="11" width="8.5" style="17" bestFit="1" customWidth="1"/>
    <col min="12" max="12" width="14.125" style="17" bestFit="1" customWidth="1"/>
    <col min="13" max="13" width="14.625" style="17" bestFit="1" customWidth="1"/>
    <col min="14" max="14" width="14.5" style="17" bestFit="1" customWidth="1"/>
    <col min="15" max="15" width="32" style="17" bestFit="1" customWidth="1"/>
    <col min="16" max="16384" width="9" style="17"/>
  </cols>
  <sheetData>
    <row r="1" spans="1:15" ht="27" customHeight="1" x14ac:dyDescent="0.2">
      <c r="A1" s="59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1"/>
    </row>
    <row r="2" spans="1:15" ht="15" customHeight="1" x14ac:dyDescent="0.2">
      <c r="A2" s="41" t="s">
        <v>426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62" t="s">
        <v>633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</row>
    <row r="4" spans="1:15" ht="15" x14ac:dyDescent="0.2">
      <c r="A4" s="18" t="s">
        <v>4</v>
      </c>
      <c r="B4" s="18" t="s">
        <v>5</v>
      </c>
      <c r="C4" s="18" t="s">
        <v>54</v>
      </c>
      <c r="D4" s="18" t="s">
        <v>6</v>
      </c>
      <c r="E4" s="18" t="s">
        <v>7</v>
      </c>
      <c r="F4" s="18" t="s">
        <v>53</v>
      </c>
      <c r="G4" s="18" t="s">
        <v>8</v>
      </c>
      <c r="H4" s="18" t="s">
        <v>427</v>
      </c>
      <c r="I4" s="18" t="s">
        <v>429</v>
      </c>
      <c r="J4" s="18" t="s">
        <v>428</v>
      </c>
      <c r="K4" s="18" t="s">
        <v>9</v>
      </c>
      <c r="L4" s="18" t="s">
        <v>10</v>
      </c>
      <c r="M4" s="18" t="s">
        <v>52</v>
      </c>
      <c r="N4" s="18" t="s">
        <v>51</v>
      </c>
      <c r="O4" s="18" t="s">
        <v>11</v>
      </c>
    </row>
    <row r="5" spans="1:15" ht="28.5" x14ac:dyDescent="0.2">
      <c r="A5" s="21" t="s">
        <v>12</v>
      </c>
      <c r="B5" s="21" t="s">
        <v>14</v>
      </c>
      <c r="C5" s="19" t="s">
        <v>389</v>
      </c>
      <c r="D5" s="20" t="s">
        <v>390</v>
      </c>
      <c r="E5" s="19" t="s">
        <v>70</v>
      </c>
      <c r="F5" s="19"/>
      <c r="G5" s="19">
        <v>13</v>
      </c>
      <c r="H5" s="19"/>
      <c r="I5" s="19">
        <v>115200</v>
      </c>
      <c r="J5" s="19">
        <v>115200</v>
      </c>
      <c r="K5" s="19"/>
      <c r="L5" s="19"/>
      <c r="M5" s="19"/>
      <c r="N5" s="19"/>
      <c r="O5" s="19" t="s">
        <v>391</v>
      </c>
    </row>
    <row r="6" spans="1:15" ht="28.5" x14ac:dyDescent="0.2">
      <c r="A6" s="21" t="s">
        <v>12</v>
      </c>
      <c r="B6" s="21" t="s">
        <v>15</v>
      </c>
      <c r="C6" s="19" t="s">
        <v>186</v>
      </c>
      <c r="D6" s="20" t="s">
        <v>187</v>
      </c>
      <c r="E6" s="19" t="s">
        <v>70</v>
      </c>
      <c r="F6" s="19" t="s">
        <v>188</v>
      </c>
      <c r="G6" s="19">
        <v>13</v>
      </c>
      <c r="H6" s="19">
        <v>13</v>
      </c>
      <c r="I6" s="19">
        <v>115200</v>
      </c>
      <c r="J6" s="19">
        <v>115200</v>
      </c>
      <c r="K6" s="19"/>
      <c r="L6" s="19"/>
      <c r="M6" s="19"/>
      <c r="N6" s="19"/>
      <c r="O6" s="19" t="s">
        <v>189</v>
      </c>
    </row>
    <row r="7" spans="1:15" ht="15" x14ac:dyDescent="0.2">
      <c r="A7" s="21" t="s">
        <v>12</v>
      </c>
      <c r="B7" s="21" t="s">
        <v>14</v>
      </c>
      <c r="C7" s="19" t="s">
        <v>265</v>
      </c>
      <c r="D7" s="20" t="s">
        <v>266</v>
      </c>
      <c r="E7" s="19" t="s">
        <v>70</v>
      </c>
      <c r="F7" s="19" t="s">
        <v>267</v>
      </c>
      <c r="G7" s="19">
        <v>8</v>
      </c>
      <c r="H7" s="19"/>
      <c r="I7" s="19">
        <v>115200</v>
      </c>
      <c r="J7" s="19">
        <v>115200</v>
      </c>
      <c r="K7" s="19"/>
      <c r="L7" s="19"/>
      <c r="M7" s="19"/>
      <c r="N7" s="19"/>
      <c r="O7" s="19" t="s">
        <v>268</v>
      </c>
    </row>
    <row r="8" spans="1:15" ht="15" x14ac:dyDescent="0.2">
      <c r="A8" s="21" t="s">
        <v>12</v>
      </c>
      <c r="B8" s="21" t="s">
        <v>15</v>
      </c>
      <c r="C8" s="19" t="s">
        <v>431</v>
      </c>
      <c r="D8" s="20" t="s">
        <v>430</v>
      </c>
      <c r="E8" s="19" t="s">
        <v>432</v>
      </c>
      <c r="F8" s="19" t="s">
        <v>434</v>
      </c>
      <c r="G8" s="19">
        <v>8</v>
      </c>
      <c r="H8" s="19">
        <v>8</v>
      </c>
      <c r="I8" s="19">
        <v>144000</v>
      </c>
      <c r="J8" s="19">
        <v>144000</v>
      </c>
      <c r="K8" s="19"/>
      <c r="L8" s="19"/>
      <c r="M8" s="19"/>
      <c r="N8" s="19"/>
      <c r="O8" s="19" t="s">
        <v>433</v>
      </c>
    </row>
    <row r="9" spans="1:15" ht="15" x14ac:dyDescent="0.2">
      <c r="A9" s="21" t="s">
        <v>12</v>
      </c>
      <c r="B9" s="21" t="s">
        <v>15</v>
      </c>
      <c r="C9" s="19" t="s">
        <v>436</v>
      </c>
      <c r="D9" s="20" t="s">
        <v>435</v>
      </c>
      <c r="E9" s="19" t="s">
        <v>432</v>
      </c>
      <c r="F9" s="19" t="s">
        <v>434</v>
      </c>
      <c r="G9" s="19">
        <v>3</v>
      </c>
      <c r="H9" s="19">
        <v>3</v>
      </c>
      <c r="I9" s="19">
        <v>14400</v>
      </c>
      <c r="J9" s="19">
        <v>14400</v>
      </c>
      <c r="K9" s="19"/>
      <c r="L9" s="19"/>
      <c r="M9" s="19"/>
      <c r="N9" s="19"/>
      <c r="O9" s="19" t="s">
        <v>433</v>
      </c>
    </row>
    <row r="10" spans="1:15" ht="28.5" x14ac:dyDescent="0.2">
      <c r="A10" s="21" t="s">
        <v>12</v>
      </c>
      <c r="B10" s="21" t="s">
        <v>17</v>
      </c>
      <c r="C10" s="19" t="s">
        <v>438</v>
      </c>
      <c r="D10" s="20" t="s">
        <v>437</v>
      </c>
      <c r="E10" s="19" t="s">
        <v>432</v>
      </c>
      <c r="F10" s="19" t="s">
        <v>434</v>
      </c>
      <c r="G10" s="19">
        <v>8</v>
      </c>
      <c r="H10" s="19"/>
      <c r="I10" s="19">
        <v>57600</v>
      </c>
      <c r="J10" s="19">
        <v>57600</v>
      </c>
      <c r="K10" s="19"/>
      <c r="L10" s="19"/>
      <c r="M10" s="19"/>
      <c r="N10" s="19"/>
      <c r="O10" s="19" t="s">
        <v>439</v>
      </c>
    </row>
    <row r="11" spans="1:15" ht="28.5" x14ac:dyDescent="0.2">
      <c r="A11" s="21" t="s">
        <v>12</v>
      </c>
      <c r="B11" s="21" t="s">
        <v>15</v>
      </c>
      <c r="C11" s="19" t="s">
        <v>441</v>
      </c>
      <c r="D11" s="20" t="s">
        <v>440</v>
      </c>
      <c r="E11" s="19" t="s">
        <v>442</v>
      </c>
      <c r="F11" s="19" t="s">
        <v>443</v>
      </c>
      <c r="G11" s="19">
        <v>5</v>
      </c>
      <c r="H11" s="19">
        <v>5</v>
      </c>
      <c r="I11" s="19">
        <v>259200</v>
      </c>
      <c r="J11" s="19">
        <v>259200</v>
      </c>
      <c r="K11" s="19"/>
      <c r="L11" s="19"/>
      <c r="M11" s="19"/>
      <c r="N11" s="19"/>
      <c r="O11" s="19" t="s">
        <v>439</v>
      </c>
    </row>
    <row r="12" spans="1:15" ht="42.75" x14ac:dyDescent="0.2">
      <c r="A12" s="21" t="s">
        <v>12</v>
      </c>
      <c r="B12" s="21" t="s">
        <v>106</v>
      </c>
      <c r="C12" s="19" t="s">
        <v>445</v>
      </c>
      <c r="D12" s="20" t="s">
        <v>444</v>
      </c>
      <c r="E12" s="19" t="s">
        <v>442</v>
      </c>
      <c r="F12" s="19" t="s">
        <v>447</v>
      </c>
      <c r="G12" s="19">
        <v>5</v>
      </c>
      <c r="H12" s="19"/>
      <c r="I12" s="19">
        <v>302400</v>
      </c>
      <c r="J12" s="19">
        <v>302400</v>
      </c>
      <c r="K12" s="19"/>
      <c r="L12" s="19"/>
      <c r="M12" s="19"/>
      <c r="N12" s="19"/>
      <c r="O12" s="19" t="s">
        <v>446</v>
      </c>
    </row>
    <row r="13" spans="1:15" ht="28.5" x14ac:dyDescent="0.2">
      <c r="A13" s="21" t="s">
        <v>12</v>
      </c>
      <c r="B13" s="21" t="s">
        <v>106</v>
      </c>
      <c r="C13" s="19" t="s">
        <v>139</v>
      </c>
      <c r="D13" s="20" t="s">
        <v>140</v>
      </c>
      <c r="E13" s="19" t="s">
        <v>70</v>
      </c>
      <c r="F13" s="19" t="s">
        <v>128</v>
      </c>
      <c r="G13" s="19"/>
      <c r="H13" s="19"/>
      <c r="I13" s="19"/>
      <c r="J13" s="19"/>
      <c r="K13" s="19"/>
      <c r="L13" s="19"/>
      <c r="M13" s="19"/>
      <c r="N13" s="19"/>
      <c r="O13" s="19"/>
    </row>
    <row r="14" spans="1:15" ht="28.5" x14ac:dyDescent="0.2">
      <c r="A14" s="21" t="s">
        <v>12</v>
      </c>
      <c r="B14" s="21" t="s">
        <v>106</v>
      </c>
      <c r="C14" s="19" t="s">
        <v>136</v>
      </c>
      <c r="D14" s="20" t="s">
        <v>137</v>
      </c>
      <c r="E14" s="19" t="s">
        <v>70</v>
      </c>
      <c r="F14" s="19" t="s">
        <v>138</v>
      </c>
      <c r="G14" s="19"/>
      <c r="H14" s="19"/>
      <c r="I14" s="19"/>
      <c r="J14" s="19"/>
      <c r="K14" s="19"/>
      <c r="L14" s="19"/>
      <c r="M14" s="19"/>
      <c r="N14" s="19"/>
      <c r="O14" s="19"/>
    </row>
    <row r="15" spans="1:15" ht="28.5" x14ac:dyDescent="0.2">
      <c r="A15" s="21" t="s">
        <v>12</v>
      </c>
      <c r="B15" s="21" t="s">
        <v>13</v>
      </c>
      <c r="C15" s="19" t="s">
        <v>324</v>
      </c>
      <c r="D15" s="20" t="s">
        <v>325</v>
      </c>
      <c r="E15" s="19" t="s">
        <v>70</v>
      </c>
      <c r="F15" s="19" t="s">
        <v>314</v>
      </c>
      <c r="G15" s="19"/>
      <c r="H15" s="19"/>
      <c r="I15" s="19"/>
      <c r="J15" s="19"/>
      <c r="K15" s="19"/>
      <c r="L15" s="19"/>
      <c r="M15" s="19"/>
      <c r="N15" s="19"/>
      <c r="O15" s="19"/>
    </row>
    <row r="16" spans="1:15" ht="15" x14ac:dyDescent="0.2">
      <c r="A16" s="21" t="s">
        <v>12</v>
      </c>
      <c r="B16" s="21" t="s">
        <v>13</v>
      </c>
      <c r="C16" s="19" t="s">
        <v>322</v>
      </c>
      <c r="D16" s="20" t="s">
        <v>323</v>
      </c>
      <c r="E16" s="19" t="s">
        <v>70</v>
      </c>
      <c r="F16" s="19" t="s">
        <v>314</v>
      </c>
      <c r="G16" s="19">
        <v>3</v>
      </c>
      <c r="H16" s="19"/>
      <c r="I16" s="19"/>
      <c r="J16" s="19"/>
      <c r="K16" s="19"/>
      <c r="L16" s="19"/>
      <c r="M16" s="19"/>
      <c r="N16" s="19"/>
      <c r="O16" s="19" t="s">
        <v>121</v>
      </c>
    </row>
    <row r="17" spans="1:15" ht="28.5" x14ac:dyDescent="0.2">
      <c r="A17" s="21" t="s">
        <v>12</v>
      </c>
      <c r="B17" s="21" t="s">
        <v>13</v>
      </c>
      <c r="C17" s="19" t="s">
        <v>320</v>
      </c>
      <c r="D17" s="20" t="s">
        <v>321</v>
      </c>
      <c r="E17" s="19" t="s">
        <v>70</v>
      </c>
      <c r="F17" s="19" t="s">
        <v>314</v>
      </c>
      <c r="G17" s="19">
        <v>5</v>
      </c>
      <c r="H17" s="19"/>
      <c r="I17" s="19"/>
      <c r="J17" s="19"/>
      <c r="K17" s="19"/>
      <c r="L17" s="19"/>
      <c r="M17" s="19"/>
      <c r="N17" s="19"/>
      <c r="O17" s="19" t="s">
        <v>121</v>
      </c>
    </row>
    <row r="18" spans="1:15" ht="28.5" x14ac:dyDescent="0.2">
      <c r="A18" s="21" t="s">
        <v>12</v>
      </c>
      <c r="B18" s="21" t="s">
        <v>13</v>
      </c>
      <c r="C18" s="19" t="s">
        <v>318</v>
      </c>
      <c r="D18" s="20" t="s">
        <v>319</v>
      </c>
      <c r="E18" s="19" t="s">
        <v>70</v>
      </c>
      <c r="F18" s="19" t="s">
        <v>314</v>
      </c>
      <c r="G18" s="19">
        <v>3</v>
      </c>
      <c r="H18" s="19"/>
      <c r="I18" s="19"/>
      <c r="J18" s="19"/>
      <c r="K18" s="19"/>
      <c r="L18" s="19"/>
      <c r="M18" s="19"/>
      <c r="N18" s="19"/>
      <c r="O18" s="19" t="s">
        <v>315</v>
      </c>
    </row>
    <row r="19" spans="1:15" ht="28.5" x14ac:dyDescent="0.2">
      <c r="A19" s="21" t="s">
        <v>12</v>
      </c>
      <c r="B19" s="21" t="s">
        <v>13</v>
      </c>
      <c r="C19" s="19" t="s">
        <v>316</v>
      </c>
      <c r="D19" s="20" t="s">
        <v>317</v>
      </c>
      <c r="E19" s="19" t="s">
        <v>70</v>
      </c>
      <c r="F19" s="19" t="s">
        <v>314</v>
      </c>
      <c r="G19" s="19">
        <v>3</v>
      </c>
      <c r="H19" s="19"/>
      <c r="I19" s="19"/>
      <c r="J19" s="19"/>
      <c r="K19" s="19"/>
      <c r="L19" s="19"/>
      <c r="M19" s="19"/>
      <c r="N19" s="19"/>
      <c r="O19" s="19" t="s">
        <v>315</v>
      </c>
    </row>
    <row r="20" spans="1:15" ht="15" x14ac:dyDescent="0.2">
      <c r="A20" s="21" t="s">
        <v>12</v>
      </c>
      <c r="B20" s="21" t="s">
        <v>13</v>
      </c>
      <c r="C20" s="19" t="s">
        <v>312</v>
      </c>
      <c r="D20" s="20" t="s">
        <v>313</v>
      </c>
      <c r="E20" s="19" t="s">
        <v>70</v>
      </c>
      <c r="F20" s="19" t="s">
        <v>314</v>
      </c>
      <c r="G20" s="19">
        <v>1</v>
      </c>
      <c r="H20" s="19"/>
      <c r="I20" s="19"/>
      <c r="J20" s="19"/>
      <c r="K20" s="19"/>
      <c r="L20" s="19"/>
      <c r="M20" s="19"/>
      <c r="N20" s="19"/>
      <c r="O20" s="19" t="s">
        <v>315</v>
      </c>
    </row>
    <row r="21" spans="1:15" ht="42.75" x14ac:dyDescent="0.2">
      <c r="A21" s="21" t="s">
        <v>12</v>
      </c>
      <c r="B21" s="21" t="s">
        <v>13</v>
      </c>
      <c r="C21" s="19" t="s">
        <v>238</v>
      </c>
      <c r="D21" s="20" t="s">
        <v>239</v>
      </c>
      <c r="E21" s="19" t="s">
        <v>70</v>
      </c>
      <c r="F21" s="19" t="s">
        <v>237</v>
      </c>
      <c r="G21" s="19">
        <v>5</v>
      </c>
      <c r="H21" s="19"/>
      <c r="I21" s="19"/>
      <c r="J21" s="19"/>
      <c r="K21" s="19"/>
      <c r="L21" s="19"/>
      <c r="M21" s="19"/>
      <c r="N21" s="19"/>
      <c r="O21" s="19" t="s">
        <v>240</v>
      </c>
    </row>
    <row r="22" spans="1:15" ht="15" x14ac:dyDescent="0.2">
      <c r="A22" s="21" t="s">
        <v>12</v>
      </c>
      <c r="B22" s="21" t="s">
        <v>13</v>
      </c>
      <c r="C22" s="19" t="s">
        <v>235</v>
      </c>
      <c r="D22" s="20" t="s">
        <v>236</v>
      </c>
      <c r="E22" s="19" t="s">
        <v>70</v>
      </c>
      <c r="F22" s="19" t="s">
        <v>237</v>
      </c>
      <c r="G22" s="19">
        <v>13</v>
      </c>
      <c r="H22" s="19"/>
      <c r="I22" s="19"/>
      <c r="J22" s="19"/>
      <c r="K22" s="19"/>
      <c r="L22" s="19"/>
      <c r="M22" s="19"/>
      <c r="N22" s="19"/>
      <c r="O22" s="19" t="s">
        <v>118</v>
      </c>
    </row>
    <row r="23" spans="1:15" ht="28.5" x14ac:dyDescent="0.2">
      <c r="A23" s="21" t="s">
        <v>12</v>
      </c>
      <c r="B23" s="21" t="s">
        <v>13</v>
      </c>
      <c r="C23" s="19" t="s">
        <v>241</v>
      </c>
      <c r="D23" s="20" t="s">
        <v>242</v>
      </c>
      <c r="E23" s="19" t="s">
        <v>70</v>
      </c>
      <c r="F23" s="19" t="s">
        <v>237</v>
      </c>
      <c r="G23" s="19">
        <v>13</v>
      </c>
      <c r="H23" s="19"/>
      <c r="I23" s="19"/>
      <c r="J23" s="19"/>
      <c r="K23" s="19"/>
      <c r="L23" s="19"/>
      <c r="M23" s="19"/>
      <c r="N23" s="19"/>
      <c r="O23" s="19" t="s">
        <v>129</v>
      </c>
    </row>
    <row r="24" spans="1:15" ht="28.5" x14ac:dyDescent="0.2">
      <c r="A24" s="21" t="s">
        <v>12</v>
      </c>
      <c r="B24" s="21" t="s">
        <v>106</v>
      </c>
      <c r="C24" s="19" t="s">
        <v>143</v>
      </c>
      <c r="D24" s="20" t="s">
        <v>144</v>
      </c>
      <c r="E24" s="19" t="s">
        <v>70</v>
      </c>
      <c r="F24" s="19" t="s">
        <v>145</v>
      </c>
      <c r="G24" s="19">
        <v>1</v>
      </c>
      <c r="H24" s="19"/>
      <c r="I24" s="19"/>
      <c r="J24" s="19"/>
      <c r="K24" s="19"/>
      <c r="L24" s="19"/>
      <c r="M24" s="19"/>
      <c r="N24" s="19"/>
      <c r="O24" s="19" t="s">
        <v>129</v>
      </c>
    </row>
    <row r="25" spans="1:15" ht="42.75" x14ac:dyDescent="0.2">
      <c r="A25" s="21" t="s">
        <v>12</v>
      </c>
      <c r="B25" s="21" t="s">
        <v>14</v>
      </c>
      <c r="C25" s="19" t="s">
        <v>130</v>
      </c>
      <c r="D25" s="20" t="s">
        <v>131</v>
      </c>
      <c r="E25" s="19" t="s">
        <v>70</v>
      </c>
      <c r="F25" s="19" t="s">
        <v>132</v>
      </c>
      <c r="G25" s="19">
        <v>5</v>
      </c>
      <c r="H25" s="19"/>
      <c r="I25" s="19"/>
      <c r="J25" s="19"/>
      <c r="K25" s="19"/>
      <c r="L25" s="19"/>
      <c r="M25" s="19"/>
      <c r="N25" s="19"/>
      <c r="O25" s="19" t="s">
        <v>133</v>
      </c>
    </row>
    <row r="26" spans="1:15" ht="28.5" x14ac:dyDescent="0.2">
      <c r="A26" s="21" t="s">
        <v>12</v>
      </c>
      <c r="B26" s="21" t="s">
        <v>106</v>
      </c>
      <c r="C26" s="19" t="s">
        <v>134</v>
      </c>
      <c r="D26" s="20" t="s">
        <v>135</v>
      </c>
      <c r="E26" s="19" t="s">
        <v>70</v>
      </c>
      <c r="F26" s="19" t="s">
        <v>128</v>
      </c>
      <c r="G26" s="19">
        <v>5</v>
      </c>
      <c r="H26" s="19"/>
      <c r="I26" s="19"/>
      <c r="J26" s="19"/>
      <c r="K26" s="19"/>
      <c r="L26" s="19"/>
      <c r="M26" s="19"/>
      <c r="N26" s="19"/>
      <c r="O26" s="19" t="s">
        <v>133</v>
      </c>
    </row>
    <row r="27" spans="1:15" ht="28.5" x14ac:dyDescent="0.2">
      <c r="A27" s="21" t="s">
        <v>12</v>
      </c>
      <c r="B27" s="21" t="s">
        <v>106</v>
      </c>
      <c r="C27" s="19" t="s">
        <v>141</v>
      </c>
      <c r="D27" s="20" t="s">
        <v>142</v>
      </c>
      <c r="E27" s="19" t="s">
        <v>70</v>
      </c>
      <c r="F27" s="19" t="s">
        <v>128</v>
      </c>
      <c r="G27" s="19">
        <v>3</v>
      </c>
      <c r="H27" s="19"/>
      <c r="I27" s="19"/>
      <c r="J27" s="19"/>
      <c r="K27" s="19"/>
      <c r="L27" s="19"/>
      <c r="M27" s="19"/>
      <c r="N27" s="19"/>
      <c r="O27" s="19" t="s">
        <v>133</v>
      </c>
    </row>
    <row r="28" spans="1:15" ht="28.5" x14ac:dyDescent="0.2">
      <c r="A28" s="21" t="s">
        <v>12</v>
      </c>
      <c r="B28" s="21" t="s">
        <v>106</v>
      </c>
      <c r="C28" s="19" t="s">
        <v>126</v>
      </c>
      <c r="D28" s="20" t="s">
        <v>127</v>
      </c>
      <c r="E28" s="19" t="s">
        <v>70</v>
      </c>
      <c r="F28" s="19" t="s">
        <v>128</v>
      </c>
      <c r="G28" s="19">
        <v>8</v>
      </c>
      <c r="H28" s="19"/>
      <c r="I28" s="19"/>
      <c r="J28" s="19"/>
      <c r="K28" s="19"/>
      <c r="L28" s="19"/>
      <c r="M28" s="19"/>
      <c r="N28" s="19"/>
      <c r="O28" s="19" t="s">
        <v>129</v>
      </c>
    </row>
    <row r="29" spans="1:15" ht="42.75" x14ac:dyDescent="0.2">
      <c r="A29" s="21" t="s">
        <v>12</v>
      </c>
      <c r="B29" s="21" t="s">
        <v>106</v>
      </c>
      <c r="C29" s="19" t="s">
        <v>107</v>
      </c>
      <c r="D29" s="20" t="s">
        <v>108</v>
      </c>
      <c r="E29" s="19" t="s">
        <v>70</v>
      </c>
      <c r="F29" s="19" t="s">
        <v>109</v>
      </c>
      <c r="G29" s="19">
        <v>3</v>
      </c>
      <c r="H29" s="19"/>
      <c r="I29" s="19"/>
      <c r="J29" s="19"/>
      <c r="K29" s="19"/>
      <c r="L29" s="19"/>
      <c r="M29" s="19"/>
      <c r="N29" s="19"/>
      <c r="O29" s="19" t="s">
        <v>110</v>
      </c>
    </row>
    <row r="30" spans="1:15" ht="42.75" x14ac:dyDescent="0.2">
      <c r="A30" s="21" t="s">
        <v>12</v>
      </c>
      <c r="B30" s="21" t="s">
        <v>106</v>
      </c>
      <c r="C30" s="19" t="s">
        <v>123</v>
      </c>
      <c r="D30" s="20" t="s">
        <v>124</v>
      </c>
      <c r="E30" s="19" t="s">
        <v>70</v>
      </c>
      <c r="F30" s="19" t="s">
        <v>109</v>
      </c>
      <c r="G30" s="19">
        <v>3</v>
      </c>
      <c r="H30" s="19"/>
      <c r="I30" s="19"/>
      <c r="J30" s="19"/>
      <c r="K30" s="19"/>
      <c r="L30" s="19"/>
      <c r="M30" s="19"/>
      <c r="N30" s="19"/>
      <c r="O30" s="19" t="s">
        <v>125</v>
      </c>
    </row>
    <row r="31" spans="1:15" ht="28.5" x14ac:dyDescent="0.2">
      <c r="A31" s="21" t="s">
        <v>12</v>
      </c>
      <c r="B31" s="21" t="s">
        <v>17</v>
      </c>
      <c r="C31" s="19" t="s">
        <v>449</v>
      </c>
      <c r="D31" s="20" t="s">
        <v>448</v>
      </c>
      <c r="E31" s="19" t="s">
        <v>442</v>
      </c>
      <c r="F31" s="19"/>
      <c r="G31" s="19"/>
      <c r="H31" s="19"/>
      <c r="I31" s="19">
        <v>7200</v>
      </c>
      <c r="J31" s="19">
        <v>7200</v>
      </c>
      <c r="K31" s="19"/>
      <c r="L31" s="19"/>
      <c r="M31" s="19"/>
      <c r="N31" s="19"/>
      <c r="O31" s="19"/>
    </row>
    <row r="32" spans="1:15" ht="28.5" x14ac:dyDescent="0.2">
      <c r="A32" s="21" t="s">
        <v>12</v>
      </c>
      <c r="B32" s="21" t="s">
        <v>15</v>
      </c>
      <c r="C32" s="19" t="s">
        <v>451</v>
      </c>
      <c r="D32" s="20" t="s">
        <v>450</v>
      </c>
      <c r="E32" s="19" t="s">
        <v>442</v>
      </c>
      <c r="F32" s="19" t="s">
        <v>452</v>
      </c>
      <c r="G32" s="19"/>
      <c r="H32" s="19"/>
      <c r="I32" s="19"/>
      <c r="J32" s="19"/>
      <c r="K32" s="19"/>
      <c r="L32" s="19"/>
      <c r="M32" s="19"/>
      <c r="N32" s="19"/>
      <c r="O32" s="19"/>
    </row>
    <row r="33" spans="1:15" ht="42.75" x14ac:dyDescent="0.2">
      <c r="A33" s="21" t="s">
        <v>12</v>
      </c>
      <c r="B33" s="21" t="s">
        <v>15</v>
      </c>
      <c r="C33" s="19" t="s">
        <v>454</v>
      </c>
      <c r="D33" s="20" t="s">
        <v>453</v>
      </c>
      <c r="E33" s="19" t="s">
        <v>442</v>
      </c>
      <c r="F33" s="19" t="s">
        <v>455</v>
      </c>
      <c r="G33" s="19">
        <v>3</v>
      </c>
      <c r="H33" s="19">
        <v>3</v>
      </c>
      <c r="I33" s="19"/>
      <c r="J33" s="19"/>
      <c r="K33" s="19"/>
      <c r="L33" s="19"/>
      <c r="M33" s="19"/>
      <c r="N33" s="19"/>
      <c r="O33" s="19"/>
    </row>
    <row r="34" spans="1:15" ht="28.5" x14ac:dyDescent="0.2">
      <c r="A34" s="21" t="s">
        <v>12</v>
      </c>
      <c r="B34" s="21" t="s">
        <v>15</v>
      </c>
      <c r="C34" s="19" t="s">
        <v>111</v>
      </c>
      <c r="D34" s="20" t="s">
        <v>112</v>
      </c>
      <c r="E34" s="19" t="s">
        <v>113</v>
      </c>
      <c r="F34" s="19" t="s">
        <v>114</v>
      </c>
      <c r="G34" s="19"/>
      <c r="H34" s="19"/>
      <c r="I34" s="19"/>
      <c r="J34" s="19"/>
      <c r="K34" s="19"/>
      <c r="L34" s="19"/>
      <c r="M34" s="19"/>
      <c r="N34" s="19"/>
      <c r="O34" s="19" t="s">
        <v>110</v>
      </c>
    </row>
    <row r="35" spans="1:15" ht="28.5" x14ac:dyDescent="0.2">
      <c r="A35" s="21" t="s">
        <v>12</v>
      </c>
      <c r="B35" s="21" t="s">
        <v>13</v>
      </c>
      <c r="C35" s="19" t="s">
        <v>457</v>
      </c>
      <c r="D35" s="20" t="s">
        <v>456</v>
      </c>
      <c r="E35" s="19" t="s">
        <v>442</v>
      </c>
      <c r="F35" s="19" t="s">
        <v>459</v>
      </c>
      <c r="G35" s="19"/>
      <c r="H35" s="19"/>
      <c r="I35" s="19"/>
      <c r="J35" s="19"/>
      <c r="K35" s="19"/>
      <c r="L35" s="19"/>
      <c r="M35" s="19"/>
      <c r="N35" s="19"/>
      <c r="O35" s="19" t="s">
        <v>458</v>
      </c>
    </row>
    <row r="36" spans="1:15" ht="15" x14ac:dyDescent="0.2">
      <c r="A36" s="21" t="s">
        <v>12</v>
      </c>
      <c r="B36" s="21" t="s">
        <v>13</v>
      </c>
      <c r="C36" s="19" t="s">
        <v>461</v>
      </c>
      <c r="D36" s="20" t="s">
        <v>460</v>
      </c>
      <c r="E36" s="19" t="s">
        <v>442</v>
      </c>
      <c r="F36" s="19"/>
      <c r="G36" s="19"/>
      <c r="H36" s="19"/>
      <c r="I36" s="19"/>
      <c r="J36" s="19"/>
      <c r="K36" s="19"/>
      <c r="L36" s="19"/>
      <c r="M36" s="19"/>
      <c r="N36" s="19"/>
      <c r="O36" s="19" t="s">
        <v>121</v>
      </c>
    </row>
    <row r="37" spans="1:15" ht="42.75" x14ac:dyDescent="0.2">
      <c r="A37" s="21" t="s">
        <v>12</v>
      </c>
      <c r="B37" s="21" t="s">
        <v>13</v>
      </c>
      <c r="C37" s="19" t="s">
        <v>349</v>
      </c>
      <c r="D37" s="20" t="s">
        <v>350</v>
      </c>
      <c r="E37" s="19" t="s">
        <v>113</v>
      </c>
      <c r="F37" s="19"/>
      <c r="G37" s="19"/>
      <c r="H37" s="19"/>
      <c r="I37" s="19"/>
      <c r="J37" s="19"/>
      <c r="K37" s="19"/>
      <c r="L37" s="19"/>
      <c r="M37" s="19"/>
      <c r="N37" s="19"/>
      <c r="O37" s="19" t="s">
        <v>121</v>
      </c>
    </row>
    <row r="38" spans="1:15" ht="28.5" x14ac:dyDescent="0.2">
      <c r="A38" s="21" t="s">
        <v>12</v>
      </c>
      <c r="B38" s="21" t="s">
        <v>15</v>
      </c>
      <c r="C38" s="19" t="s">
        <v>160</v>
      </c>
      <c r="D38" s="20" t="s">
        <v>161</v>
      </c>
      <c r="E38" s="19" t="s">
        <v>70</v>
      </c>
      <c r="F38" s="19" t="s">
        <v>158</v>
      </c>
      <c r="G38" s="19"/>
      <c r="H38" s="19"/>
      <c r="I38" s="19"/>
      <c r="J38" s="19"/>
      <c r="K38" s="19"/>
      <c r="L38" s="19"/>
      <c r="M38" s="19"/>
      <c r="N38" s="19"/>
      <c r="O38" s="19"/>
    </row>
    <row r="39" spans="1:15" ht="28.5" x14ac:dyDescent="0.2">
      <c r="A39" s="21" t="s">
        <v>12</v>
      </c>
      <c r="B39" s="21" t="s">
        <v>15</v>
      </c>
      <c r="C39" s="19" t="s">
        <v>156</v>
      </c>
      <c r="D39" s="20" t="s">
        <v>157</v>
      </c>
      <c r="E39" s="19" t="s">
        <v>70</v>
      </c>
      <c r="F39" s="19" t="s">
        <v>158</v>
      </c>
      <c r="G39" s="19">
        <v>5</v>
      </c>
      <c r="H39" s="19">
        <v>5</v>
      </c>
      <c r="I39" s="19">
        <v>86400</v>
      </c>
      <c r="J39" s="19">
        <v>86400</v>
      </c>
      <c r="K39" s="19"/>
      <c r="L39" s="19"/>
      <c r="M39" s="19"/>
      <c r="N39" s="19"/>
      <c r="O39" s="19" t="s">
        <v>159</v>
      </c>
    </row>
    <row r="40" spans="1:15" ht="15" x14ac:dyDescent="0.2">
      <c r="A40" s="21" t="s">
        <v>12</v>
      </c>
      <c r="B40" s="21" t="s">
        <v>13</v>
      </c>
      <c r="C40" s="19" t="s">
        <v>243</v>
      </c>
      <c r="D40" s="20" t="s">
        <v>244</v>
      </c>
      <c r="E40" s="19" t="s">
        <v>70</v>
      </c>
      <c r="F40" s="19" t="s">
        <v>245</v>
      </c>
      <c r="G40" s="19">
        <v>2</v>
      </c>
      <c r="H40" s="19"/>
      <c r="I40" s="19"/>
      <c r="J40" s="19"/>
      <c r="K40" s="19"/>
      <c r="L40" s="19"/>
      <c r="M40" s="19"/>
      <c r="N40" s="19"/>
      <c r="O40" s="19" t="s">
        <v>246</v>
      </c>
    </row>
    <row r="41" spans="1:15" ht="28.5" x14ac:dyDescent="0.2">
      <c r="A41" s="21" t="s">
        <v>12</v>
      </c>
      <c r="B41" s="21" t="s">
        <v>13</v>
      </c>
      <c r="C41" s="19" t="s">
        <v>170</v>
      </c>
      <c r="D41" s="20" t="s">
        <v>171</v>
      </c>
      <c r="E41" s="19" t="s">
        <v>70</v>
      </c>
      <c r="F41" s="19" t="s">
        <v>172</v>
      </c>
      <c r="G41" s="19">
        <v>5</v>
      </c>
      <c r="H41" s="19"/>
      <c r="I41" s="19"/>
      <c r="J41" s="19"/>
      <c r="K41" s="19"/>
      <c r="L41" s="19"/>
      <c r="M41" s="19"/>
      <c r="N41" s="19"/>
      <c r="O41" s="19" t="s">
        <v>173</v>
      </c>
    </row>
    <row r="42" spans="1:15" ht="15" x14ac:dyDescent="0.2">
      <c r="A42" s="21" t="s">
        <v>12</v>
      </c>
      <c r="B42" s="21" t="s">
        <v>106</v>
      </c>
      <c r="C42" s="19" t="s">
        <v>174</v>
      </c>
      <c r="D42" s="20" t="s">
        <v>175</v>
      </c>
      <c r="E42" s="19" t="s">
        <v>70</v>
      </c>
      <c r="F42" s="19" t="s">
        <v>169</v>
      </c>
      <c r="G42" s="19">
        <v>8</v>
      </c>
      <c r="H42" s="19"/>
      <c r="I42" s="19"/>
      <c r="J42" s="19"/>
      <c r="K42" s="19"/>
      <c r="L42" s="19"/>
      <c r="M42" s="19"/>
      <c r="N42" s="19"/>
      <c r="O42" s="19" t="s">
        <v>173</v>
      </c>
    </row>
    <row r="43" spans="1:15" ht="15" x14ac:dyDescent="0.2">
      <c r="A43" s="21" t="s">
        <v>12</v>
      </c>
      <c r="B43" s="21" t="s">
        <v>106</v>
      </c>
      <c r="C43" s="19" t="s">
        <v>176</v>
      </c>
      <c r="D43" s="20" t="s">
        <v>177</v>
      </c>
      <c r="E43" s="19" t="s">
        <v>70</v>
      </c>
      <c r="F43" s="19" t="s">
        <v>169</v>
      </c>
      <c r="G43" s="19">
        <v>5</v>
      </c>
      <c r="H43" s="19"/>
      <c r="I43" s="19"/>
      <c r="J43" s="19"/>
      <c r="K43" s="19"/>
      <c r="L43" s="19"/>
      <c r="M43" s="19"/>
      <c r="N43" s="19"/>
      <c r="O43" s="19" t="s">
        <v>173</v>
      </c>
    </row>
    <row r="44" spans="1:15" ht="28.5" x14ac:dyDescent="0.2">
      <c r="A44" s="21" t="s">
        <v>12</v>
      </c>
      <c r="B44" s="21" t="s">
        <v>106</v>
      </c>
      <c r="C44" s="19" t="s">
        <v>167</v>
      </c>
      <c r="D44" s="20" t="s">
        <v>168</v>
      </c>
      <c r="E44" s="19" t="s">
        <v>70</v>
      </c>
      <c r="F44" s="19" t="s">
        <v>169</v>
      </c>
      <c r="G44" s="19">
        <v>5</v>
      </c>
      <c r="H44" s="19"/>
      <c r="I44" s="19">
        <v>86400</v>
      </c>
      <c r="J44" s="19">
        <v>86400</v>
      </c>
      <c r="K44" s="19"/>
      <c r="L44" s="19"/>
      <c r="M44" s="19"/>
      <c r="N44" s="19"/>
      <c r="O44" s="19" t="s">
        <v>149</v>
      </c>
    </row>
    <row r="45" spans="1:15" ht="42.75" x14ac:dyDescent="0.2">
      <c r="A45" s="21" t="s">
        <v>12</v>
      </c>
      <c r="B45" s="21" t="s">
        <v>13</v>
      </c>
      <c r="C45" s="19" t="s">
        <v>162</v>
      </c>
      <c r="D45" s="20" t="s">
        <v>163</v>
      </c>
      <c r="E45" s="19" t="s">
        <v>70</v>
      </c>
      <c r="F45" s="19" t="s">
        <v>164</v>
      </c>
      <c r="G45" s="19">
        <v>8</v>
      </c>
      <c r="H45" s="19"/>
      <c r="I45" s="19">
        <v>0</v>
      </c>
      <c r="J45" s="19">
        <v>0</v>
      </c>
      <c r="K45" s="19"/>
      <c r="L45" s="19"/>
      <c r="M45" s="19"/>
      <c r="N45" s="19"/>
      <c r="O45" s="19" t="s">
        <v>159</v>
      </c>
    </row>
    <row r="46" spans="1:15" ht="42.75" x14ac:dyDescent="0.2">
      <c r="A46" s="21" t="s">
        <v>12</v>
      </c>
      <c r="B46" s="21" t="s">
        <v>13</v>
      </c>
      <c r="C46" s="19" t="s">
        <v>165</v>
      </c>
      <c r="D46" s="20" t="s">
        <v>166</v>
      </c>
      <c r="E46" s="19" t="s">
        <v>70</v>
      </c>
      <c r="F46" s="19" t="s">
        <v>164</v>
      </c>
      <c r="G46" s="19">
        <v>5</v>
      </c>
      <c r="H46" s="19"/>
      <c r="I46" s="19">
        <v>120</v>
      </c>
      <c r="J46" s="19">
        <v>120</v>
      </c>
      <c r="K46" s="19"/>
      <c r="L46" s="19"/>
      <c r="M46" s="19"/>
      <c r="N46" s="19"/>
      <c r="O46" s="19" t="s">
        <v>159</v>
      </c>
    </row>
    <row r="47" spans="1:15" ht="28.5" x14ac:dyDescent="0.2">
      <c r="A47" s="21" t="s">
        <v>12</v>
      </c>
      <c r="B47" s="21" t="s">
        <v>15</v>
      </c>
      <c r="C47" s="19" t="s">
        <v>123</v>
      </c>
      <c r="D47" s="20" t="s">
        <v>153</v>
      </c>
      <c r="E47" s="19" t="s">
        <v>70</v>
      </c>
      <c r="F47" s="19" t="s">
        <v>154</v>
      </c>
      <c r="G47" s="19">
        <v>3</v>
      </c>
      <c r="H47" s="19">
        <v>3</v>
      </c>
      <c r="I47" s="19">
        <v>28800</v>
      </c>
      <c r="J47" s="19">
        <v>28800</v>
      </c>
      <c r="K47" s="19"/>
      <c r="L47" s="19"/>
      <c r="M47" s="19"/>
      <c r="N47" s="19"/>
      <c r="O47" s="19" t="s">
        <v>155</v>
      </c>
    </row>
    <row r="48" spans="1:15" ht="57" x14ac:dyDescent="0.2">
      <c r="A48" s="21" t="s">
        <v>12</v>
      </c>
      <c r="B48" s="21" t="s">
        <v>14</v>
      </c>
      <c r="C48" s="19" t="s">
        <v>146</v>
      </c>
      <c r="D48" s="20" t="s">
        <v>147</v>
      </c>
      <c r="E48" s="19" t="s">
        <v>70</v>
      </c>
      <c r="F48" s="19" t="s">
        <v>148</v>
      </c>
      <c r="G48" s="19">
        <v>5</v>
      </c>
      <c r="H48" s="19"/>
      <c r="I48" s="19"/>
      <c r="J48" s="19"/>
      <c r="K48" s="19"/>
      <c r="L48" s="19"/>
      <c r="M48" s="19"/>
      <c r="N48" s="19"/>
      <c r="O48" s="19" t="s">
        <v>149</v>
      </c>
    </row>
    <row r="49" spans="1:15" ht="28.5" x14ac:dyDescent="0.2">
      <c r="A49" s="21" t="s">
        <v>12</v>
      </c>
      <c r="B49" s="21" t="s">
        <v>17</v>
      </c>
      <c r="C49" s="19" t="s">
        <v>150</v>
      </c>
      <c r="D49" s="20" t="s">
        <v>151</v>
      </c>
      <c r="E49" s="19" t="s">
        <v>70</v>
      </c>
      <c r="F49" s="19" t="s">
        <v>152</v>
      </c>
      <c r="G49" s="19">
        <v>3</v>
      </c>
      <c r="H49" s="19"/>
      <c r="I49" s="19"/>
      <c r="J49" s="19"/>
      <c r="K49" s="19"/>
      <c r="L49" s="19"/>
      <c r="M49" s="19"/>
      <c r="N49" s="19"/>
      <c r="O49" s="19"/>
    </row>
    <row r="50" spans="1:15" ht="42.75" x14ac:dyDescent="0.2">
      <c r="A50" s="21" t="s">
        <v>12</v>
      </c>
      <c r="B50" s="21" t="s">
        <v>15</v>
      </c>
      <c r="C50" s="19" t="s">
        <v>463</v>
      </c>
      <c r="D50" s="20" t="s">
        <v>462</v>
      </c>
      <c r="E50" s="19" t="s">
        <v>442</v>
      </c>
      <c r="F50" s="19" t="s">
        <v>464</v>
      </c>
      <c r="G50" s="19">
        <v>3</v>
      </c>
      <c r="H50" s="19">
        <v>3</v>
      </c>
      <c r="I50" s="19">
        <v>57780</v>
      </c>
      <c r="J50" s="19">
        <v>57780</v>
      </c>
      <c r="K50" s="19"/>
      <c r="L50" s="19"/>
      <c r="M50" s="19"/>
      <c r="N50" s="19"/>
      <c r="O50" s="19"/>
    </row>
    <row r="51" spans="1:15" ht="42.75" x14ac:dyDescent="0.2">
      <c r="A51" s="21" t="s">
        <v>12</v>
      </c>
      <c r="B51" s="21" t="s">
        <v>15</v>
      </c>
      <c r="C51" s="19" t="s">
        <v>466</v>
      </c>
      <c r="D51" s="20" t="s">
        <v>465</v>
      </c>
      <c r="E51" s="19" t="s">
        <v>442</v>
      </c>
      <c r="F51" s="19" t="s">
        <v>468</v>
      </c>
      <c r="G51" s="19">
        <v>2</v>
      </c>
      <c r="H51" s="19">
        <v>2</v>
      </c>
      <c r="I51" s="19">
        <v>115200</v>
      </c>
      <c r="J51" s="19">
        <v>115200</v>
      </c>
      <c r="K51" s="19"/>
      <c r="L51" s="19"/>
      <c r="M51" s="19"/>
      <c r="N51" s="19"/>
      <c r="O51" s="19" t="s">
        <v>467</v>
      </c>
    </row>
    <row r="52" spans="1:15" ht="28.5" x14ac:dyDescent="0.2">
      <c r="A52" s="21" t="s">
        <v>12</v>
      </c>
      <c r="B52" s="21" t="s">
        <v>106</v>
      </c>
      <c r="C52" s="19" t="s">
        <v>470</v>
      </c>
      <c r="D52" s="20" t="s">
        <v>469</v>
      </c>
      <c r="E52" s="19" t="s">
        <v>442</v>
      </c>
      <c r="F52" s="19" t="s">
        <v>471</v>
      </c>
      <c r="G52" s="19">
        <v>5</v>
      </c>
      <c r="H52" s="19"/>
      <c r="I52" s="19">
        <v>115500</v>
      </c>
      <c r="J52" s="19">
        <v>300</v>
      </c>
      <c r="K52" s="19"/>
      <c r="L52" s="19"/>
      <c r="M52" s="19"/>
      <c r="N52" s="19"/>
      <c r="O52" s="19"/>
    </row>
    <row r="53" spans="1:15" ht="28.5" x14ac:dyDescent="0.2">
      <c r="A53" s="21" t="s">
        <v>12</v>
      </c>
      <c r="B53" s="21" t="s">
        <v>106</v>
      </c>
      <c r="C53" s="19" t="s">
        <v>473</v>
      </c>
      <c r="D53" s="20" t="s">
        <v>472</v>
      </c>
      <c r="E53" s="19" t="s">
        <v>442</v>
      </c>
      <c r="F53" s="19" t="s">
        <v>471</v>
      </c>
      <c r="G53" s="19">
        <v>5</v>
      </c>
      <c r="H53" s="19"/>
      <c r="I53" s="19">
        <v>57600</v>
      </c>
      <c r="J53" s="19">
        <v>57600</v>
      </c>
      <c r="K53" s="19"/>
      <c r="L53" s="19"/>
      <c r="M53" s="19"/>
      <c r="N53" s="19"/>
      <c r="O53" s="19" t="s">
        <v>474</v>
      </c>
    </row>
    <row r="54" spans="1:15" ht="28.5" x14ac:dyDescent="0.2">
      <c r="A54" s="21" t="s">
        <v>12</v>
      </c>
      <c r="B54" s="21" t="s">
        <v>106</v>
      </c>
      <c r="C54" s="19" t="s">
        <v>476</v>
      </c>
      <c r="D54" s="20" t="s">
        <v>475</v>
      </c>
      <c r="E54" s="19" t="s">
        <v>442</v>
      </c>
      <c r="F54" s="19" t="s">
        <v>477</v>
      </c>
      <c r="G54" s="19">
        <v>3</v>
      </c>
      <c r="H54" s="19"/>
      <c r="I54" s="19">
        <v>7200</v>
      </c>
      <c r="J54" s="19">
        <v>7200</v>
      </c>
      <c r="K54" s="19"/>
      <c r="L54" s="19"/>
      <c r="M54" s="19"/>
      <c r="N54" s="19"/>
      <c r="O54" s="19" t="s">
        <v>474</v>
      </c>
    </row>
    <row r="55" spans="1:15" ht="15" x14ac:dyDescent="0.2">
      <c r="A55" s="21" t="s">
        <v>12</v>
      </c>
      <c r="B55" s="21" t="s">
        <v>15</v>
      </c>
      <c r="C55" s="19" t="s">
        <v>479</v>
      </c>
      <c r="D55" s="20" t="s">
        <v>478</v>
      </c>
      <c r="E55" s="19" t="s">
        <v>442</v>
      </c>
      <c r="F55" s="19" t="s">
        <v>481</v>
      </c>
      <c r="G55" s="19">
        <v>3</v>
      </c>
      <c r="H55" s="19">
        <v>3</v>
      </c>
      <c r="I55" s="19"/>
      <c r="J55" s="19"/>
      <c r="K55" s="19"/>
      <c r="L55" s="19"/>
      <c r="M55" s="19"/>
      <c r="N55" s="19"/>
      <c r="O55" s="19" t="s">
        <v>480</v>
      </c>
    </row>
    <row r="56" spans="1:15" ht="42.75" x14ac:dyDescent="0.2">
      <c r="A56" s="21" t="s">
        <v>12</v>
      </c>
      <c r="B56" s="21" t="s">
        <v>13</v>
      </c>
      <c r="C56" s="19" t="s">
        <v>346</v>
      </c>
      <c r="D56" s="20" t="s">
        <v>347</v>
      </c>
      <c r="E56" s="19" t="s">
        <v>113</v>
      </c>
      <c r="F56" s="19"/>
      <c r="G56" s="19"/>
      <c r="H56" s="19"/>
      <c r="I56" s="19"/>
      <c r="J56" s="19"/>
      <c r="K56" s="19"/>
      <c r="L56" s="19"/>
      <c r="M56" s="19"/>
      <c r="N56" s="19"/>
      <c r="O56" s="19" t="s">
        <v>348</v>
      </c>
    </row>
    <row r="57" spans="1:15" ht="15" x14ac:dyDescent="0.2">
      <c r="A57" s="21" t="s">
        <v>12</v>
      </c>
      <c r="B57" s="21" t="s">
        <v>15</v>
      </c>
      <c r="C57" s="19" t="s">
        <v>483</v>
      </c>
      <c r="D57" s="20" t="s">
        <v>482</v>
      </c>
      <c r="E57" s="19" t="s">
        <v>442</v>
      </c>
      <c r="F57" s="19" t="s">
        <v>485</v>
      </c>
      <c r="G57" s="19">
        <v>5</v>
      </c>
      <c r="H57" s="19">
        <v>5</v>
      </c>
      <c r="I57" s="19"/>
      <c r="J57" s="19"/>
      <c r="K57" s="19"/>
      <c r="L57" s="19"/>
      <c r="M57" s="19"/>
      <c r="N57" s="19"/>
      <c r="O57" s="19" t="s">
        <v>484</v>
      </c>
    </row>
    <row r="58" spans="1:15" ht="15" x14ac:dyDescent="0.2">
      <c r="A58" s="21" t="s">
        <v>12</v>
      </c>
      <c r="B58" s="21" t="s">
        <v>106</v>
      </c>
      <c r="C58" s="19" t="s">
        <v>487</v>
      </c>
      <c r="D58" s="20" t="s">
        <v>486</v>
      </c>
      <c r="E58" s="19" t="s">
        <v>442</v>
      </c>
      <c r="F58" s="19" t="s">
        <v>477</v>
      </c>
      <c r="G58" s="19">
        <v>2</v>
      </c>
      <c r="H58" s="19"/>
      <c r="I58" s="19">
        <v>100800</v>
      </c>
      <c r="J58" s="19">
        <v>100800</v>
      </c>
      <c r="K58" s="19"/>
      <c r="L58" s="19"/>
      <c r="M58" s="19"/>
      <c r="N58" s="19"/>
      <c r="O58" s="19" t="s">
        <v>488</v>
      </c>
    </row>
    <row r="59" spans="1:15" ht="28.5" x14ac:dyDescent="0.2">
      <c r="A59" s="21" t="s">
        <v>12</v>
      </c>
      <c r="B59" s="21" t="s">
        <v>13</v>
      </c>
      <c r="C59" s="19" t="s">
        <v>490</v>
      </c>
      <c r="D59" s="20" t="s">
        <v>489</v>
      </c>
      <c r="E59" s="19" t="s">
        <v>442</v>
      </c>
      <c r="F59" s="19" t="s">
        <v>491</v>
      </c>
      <c r="G59" s="19">
        <v>10</v>
      </c>
      <c r="H59" s="19"/>
      <c r="I59" s="19"/>
      <c r="J59" s="19"/>
      <c r="K59" s="19"/>
      <c r="L59" s="19"/>
      <c r="M59" s="19"/>
      <c r="N59" s="19"/>
      <c r="O59" s="19" t="s">
        <v>173</v>
      </c>
    </row>
    <row r="60" spans="1:15" ht="42.75" x14ac:dyDescent="0.2">
      <c r="A60" s="21" t="s">
        <v>12</v>
      </c>
      <c r="B60" s="21" t="s">
        <v>13</v>
      </c>
      <c r="C60" s="19" t="s">
        <v>493</v>
      </c>
      <c r="D60" s="20" t="s">
        <v>492</v>
      </c>
      <c r="E60" s="19" t="s">
        <v>442</v>
      </c>
      <c r="F60" s="19" t="s">
        <v>464</v>
      </c>
      <c r="G60" s="19">
        <v>10</v>
      </c>
      <c r="H60" s="19"/>
      <c r="I60" s="19">
        <v>144000</v>
      </c>
      <c r="J60" s="19">
        <v>144000</v>
      </c>
      <c r="K60" s="19"/>
      <c r="L60" s="19"/>
      <c r="M60" s="19"/>
      <c r="N60" s="19"/>
      <c r="O60" s="19" t="s">
        <v>173</v>
      </c>
    </row>
    <row r="61" spans="1:15" ht="57" x14ac:dyDescent="0.2">
      <c r="A61" s="21" t="s">
        <v>12</v>
      </c>
      <c r="B61" s="21" t="s">
        <v>13</v>
      </c>
      <c r="C61" s="19" t="s">
        <v>495</v>
      </c>
      <c r="D61" s="20" t="s">
        <v>494</v>
      </c>
      <c r="E61" s="19" t="s">
        <v>442</v>
      </c>
      <c r="F61" s="19" t="s">
        <v>496</v>
      </c>
      <c r="G61" s="19">
        <v>10</v>
      </c>
      <c r="H61" s="19"/>
      <c r="I61" s="19"/>
      <c r="J61" s="19"/>
      <c r="K61" s="19"/>
      <c r="L61" s="19"/>
      <c r="M61" s="19"/>
      <c r="N61" s="19"/>
      <c r="O61" s="19" t="s">
        <v>173</v>
      </c>
    </row>
    <row r="62" spans="1:15" ht="28.5" x14ac:dyDescent="0.2">
      <c r="A62" s="21" t="s">
        <v>12</v>
      </c>
      <c r="B62" s="21" t="s">
        <v>15</v>
      </c>
      <c r="C62" s="19" t="s">
        <v>498</v>
      </c>
      <c r="D62" s="20" t="s">
        <v>497</v>
      </c>
      <c r="E62" s="19" t="s">
        <v>442</v>
      </c>
      <c r="F62" s="19" t="s">
        <v>477</v>
      </c>
      <c r="G62" s="19">
        <v>2</v>
      </c>
      <c r="H62" s="19">
        <v>2</v>
      </c>
      <c r="I62" s="19"/>
      <c r="J62" s="19"/>
      <c r="K62" s="19"/>
      <c r="L62" s="19"/>
      <c r="M62" s="19"/>
      <c r="N62" s="19"/>
      <c r="O62" s="19" t="s">
        <v>488</v>
      </c>
    </row>
    <row r="63" spans="1:15" ht="28.5" x14ac:dyDescent="0.2">
      <c r="A63" s="21" t="s">
        <v>12</v>
      </c>
      <c r="B63" s="21" t="s">
        <v>106</v>
      </c>
      <c r="C63" s="19" t="s">
        <v>500</v>
      </c>
      <c r="D63" s="20" t="s">
        <v>499</v>
      </c>
      <c r="E63" s="19" t="s">
        <v>442</v>
      </c>
      <c r="F63" s="19" t="s">
        <v>477</v>
      </c>
      <c r="G63" s="19">
        <v>3</v>
      </c>
      <c r="H63" s="19"/>
      <c r="I63" s="19">
        <v>28800</v>
      </c>
      <c r="J63" s="19">
        <v>28800</v>
      </c>
      <c r="K63" s="19"/>
      <c r="L63" s="19"/>
      <c r="M63" s="19"/>
      <c r="N63" s="19"/>
      <c r="O63" s="19" t="s">
        <v>501</v>
      </c>
    </row>
    <row r="64" spans="1:15" ht="42.75" x14ac:dyDescent="0.2">
      <c r="A64" s="21" t="s">
        <v>12</v>
      </c>
      <c r="B64" s="21" t="s">
        <v>13</v>
      </c>
      <c r="C64" s="19" t="s">
        <v>396</v>
      </c>
      <c r="D64" s="20" t="s">
        <v>397</v>
      </c>
      <c r="E64" s="19" t="s">
        <v>113</v>
      </c>
      <c r="F64" s="19"/>
      <c r="G64" s="19"/>
      <c r="H64" s="19"/>
      <c r="I64" s="19"/>
      <c r="J64" s="19"/>
      <c r="K64" s="19"/>
      <c r="L64" s="19"/>
      <c r="M64" s="19"/>
      <c r="N64" s="19"/>
      <c r="O64" s="19" t="s">
        <v>246</v>
      </c>
    </row>
    <row r="65" spans="1:15" ht="42.75" x14ac:dyDescent="0.2">
      <c r="A65" s="21" t="s">
        <v>12</v>
      </c>
      <c r="B65" s="21" t="s">
        <v>15</v>
      </c>
      <c r="C65" s="19" t="s">
        <v>503</v>
      </c>
      <c r="D65" s="20" t="s">
        <v>502</v>
      </c>
      <c r="E65" s="19" t="s">
        <v>442</v>
      </c>
      <c r="F65" s="19" t="s">
        <v>491</v>
      </c>
      <c r="G65" s="19">
        <v>2</v>
      </c>
      <c r="H65" s="19">
        <v>2</v>
      </c>
      <c r="I65" s="19">
        <v>28800</v>
      </c>
      <c r="J65" s="19">
        <v>28800</v>
      </c>
      <c r="K65" s="19"/>
      <c r="L65" s="19"/>
      <c r="M65" s="19"/>
      <c r="N65" s="19"/>
      <c r="O65" s="19" t="s">
        <v>504</v>
      </c>
    </row>
    <row r="66" spans="1:15" ht="42.75" x14ac:dyDescent="0.2">
      <c r="A66" s="21" t="s">
        <v>12</v>
      </c>
      <c r="B66" s="21" t="s">
        <v>106</v>
      </c>
      <c r="C66" s="19" t="s">
        <v>506</v>
      </c>
      <c r="D66" s="20" t="s">
        <v>505</v>
      </c>
      <c r="E66" s="19" t="s">
        <v>442</v>
      </c>
      <c r="F66" s="19" t="s">
        <v>491</v>
      </c>
      <c r="G66" s="19">
        <v>5</v>
      </c>
      <c r="H66" s="19"/>
      <c r="I66" s="19">
        <v>7200</v>
      </c>
      <c r="J66" s="19">
        <v>7200</v>
      </c>
      <c r="K66" s="19"/>
      <c r="L66" s="19"/>
      <c r="M66" s="19"/>
      <c r="N66" s="19"/>
      <c r="O66" s="19" t="s">
        <v>507</v>
      </c>
    </row>
    <row r="67" spans="1:15" ht="42.75" x14ac:dyDescent="0.2">
      <c r="A67" s="21" t="s">
        <v>12</v>
      </c>
      <c r="B67" s="21" t="s">
        <v>15</v>
      </c>
      <c r="C67" s="19" t="s">
        <v>509</v>
      </c>
      <c r="D67" s="20" t="s">
        <v>508</v>
      </c>
      <c r="E67" s="19" t="s">
        <v>442</v>
      </c>
      <c r="F67" s="19" t="s">
        <v>491</v>
      </c>
      <c r="G67" s="19">
        <v>5</v>
      </c>
      <c r="H67" s="19">
        <v>5</v>
      </c>
      <c r="I67" s="19"/>
      <c r="J67" s="19"/>
      <c r="K67" s="19"/>
      <c r="L67" s="19"/>
      <c r="M67" s="19"/>
      <c r="N67" s="19"/>
      <c r="O67" s="19" t="s">
        <v>510</v>
      </c>
    </row>
    <row r="68" spans="1:15" ht="42.75" x14ac:dyDescent="0.2">
      <c r="A68" s="21" t="s">
        <v>12</v>
      </c>
      <c r="B68" s="21" t="s">
        <v>13</v>
      </c>
      <c r="C68" s="19" t="s">
        <v>512</v>
      </c>
      <c r="D68" s="20" t="s">
        <v>511</v>
      </c>
      <c r="E68" s="19" t="s">
        <v>442</v>
      </c>
      <c r="F68" s="19" t="s">
        <v>464</v>
      </c>
      <c r="G68" s="19">
        <v>8</v>
      </c>
      <c r="H68" s="19"/>
      <c r="I68" s="19"/>
      <c r="J68" s="19"/>
      <c r="K68" s="19"/>
      <c r="L68" s="19"/>
      <c r="M68" s="19"/>
      <c r="N68" s="19"/>
      <c r="O68" s="19" t="s">
        <v>510</v>
      </c>
    </row>
    <row r="69" spans="1:15" ht="28.5" x14ac:dyDescent="0.2">
      <c r="A69" s="21" t="s">
        <v>12</v>
      </c>
      <c r="B69" s="21" t="s">
        <v>15</v>
      </c>
      <c r="C69" s="19" t="s">
        <v>514</v>
      </c>
      <c r="D69" s="20" t="s">
        <v>513</v>
      </c>
      <c r="E69" s="19" t="s">
        <v>442</v>
      </c>
      <c r="F69" s="19" t="s">
        <v>485</v>
      </c>
      <c r="G69" s="19">
        <v>5</v>
      </c>
      <c r="H69" s="19">
        <v>5</v>
      </c>
      <c r="I69" s="19">
        <v>151200</v>
      </c>
      <c r="J69" s="19">
        <v>151200</v>
      </c>
      <c r="K69" s="19"/>
      <c r="L69" s="19"/>
      <c r="M69" s="19"/>
      <c r="N69" s="19"/>
      <c r="O69" s="19" t="s">
        <v>510</v>
      </c>
    </row>
    <row r="70" spans="1:15" ht="15" x14ac:dyDescent="0.2">
      <c r="A70" s="21" t="s">
        <v>12</v>
      </c>
      <c r="B70" s="21" t="s">
        <v>106</v>
      </c>
      <c r="C70" s="19" t="s">
        <v>516</v>
      </c>
      <c r="D70" s="20" t="s">
        <v>515</v>
      </c>
      <c r="E70" s="19" t="s">
        <v>442</v>
      </c>
      <c r="F70" s="19" t="s">
        <v>477</v>
      </c>
      <c r="G70" s="19">
        <v>2</v>
      </c>
      <c r="H70" s="19"/>
      <c r="I70" s="19">
        <v>72000</v>
      </c>
      <c r="J70" s="19">
        <v>72000</v>
      </c>
      <c r="K70" s="19"/>
      <c r="L70" s="19"/>
      <c r="M70" s="19"/>
      <c r="N70" s="19"/>
      <c r="O70" s="19" t="s">
        <v>501</v>
      </c>
    </row>
    <row r="71" spans="1:15" ht="15" x14ac:dyDescent="0.2">
      <c r="A71" s="21" t="s">
        <v>12</v>
      </c>
      <c r="B71" s="21" t="s">
        <v>106</v>
      </c>
      <c r="C71" s="19" t="s">
        <v>518</v>
      </c>
      <c r="D71" s="20" t="s">
        <v>517</v>
      </c>
      <c r="E71" s="19" t="s">
        <v>442</v>
      </c>
      <c r="F71" s="19" t="s">
        <v>477</v>
      </c>
      <c r="G71" s="19">
        <v>3</v>
      </c>
      <c r="H71" s="19"/>
      <c r="I71" s="19">
        <v>115200</v>
      </c>
      <c r="J71" s="19">
        <v>115200</v>
      </c>
      <c r="K71" s="19"/>
      <c r="L71" s="19"/>
      <c r="M71" s="19"/>
      <c r="N71" s="19"/>
      <c r="O71" s="19" t="s">
        <v>501</v>
      </c>
    </row>
    <row r="72" spans="1:15" ht="28.5" x14ac:dyDescent="0.2">
      <c r="A72" s="21" t="s">
        <v>12</v>
      </c>
      <c r="B72" s="21" t="s">
        <v>106</v>
      </c>
      <c r="C72" s="19" t="s">
        <v>520</v>
      </c>
      <c r="D72" s="20" t="s">
        <v>519</v>
      </c>
      <c r="E72" s="19" t="s">
        <v>521</v>
      </c>
      <c r="F72" s="19" t="s">
        <v>523</v>
      </c>
      <c r="G72" s="19"/>
      <c r="H72" s="19"/>
      <c r="I72" s="19">
        <v>14400</v>
      </c>
      <c r="J72" s="19">
        <v>14400</v>
      </c>
      <c r="K72" s="19"/>
      <c r="L72" s="19"/>
      <c r="M72" s="19"/>
      <c r="N72" s="19"/>
      <c r="O72" s="19" t="s">
        <v>522</v>
      </c>
    </row>
    <row r="73" spans="1:15" ht="28.5" x14ac:dyDescent="0.2">
      <c r="A73" s="21" t="s">
        <v>12</v>
      </c>
      <c r="B73" s="21" t="s">
        <v>15</v>
      </c>
      <c r="C73" s="19" t="s">
        <v>202</v>
      </c>
      <c r="D73" s="20" t="s">
        <v>203</v>
      </c>
      <c r="E73" s="19" t="s">
        <v>70</v>
      </c>
      <c r="F73" s="19" t="s">
        <v>188</v>
      </c>
      <c r="G73" s="19">
        <v>3</v>
      </c>
      <c r="H73" s="19">
        <v>3</v>
      </c>
      <c r="I73" s="19">
        <v>14400</v>
      </c>
      <c r="J73" s="19">
        <v>14400</v>
      </c>
      <c r="K73" s="19"/>
      <c r="L73" s="19"/>
      <c r="M73" s="19"/>
      <c r="N73" s="19"/>
      <c r="O73" s="19" t="s">
        <v>204</v>
      </c>
    </row>
    <row r="74" spans="1:15" ht="15" x14ac:dyDescent="0.2">
      <c r="A74" s="21" t="s">
        <v>12</v>
      </c>
      <c r="B74" s="21" t="s">
        <v>15</v>
      </c>
      <c r="C74" s="19" t="s">
        <v>207</v>
      </c>
      <c r="D74" s="20" t="s">
        <v>208</v>
      </c>
      <c r="E74" s="19" t="s">
        <v>70</v>
      </c>
      <c r="F74" s="19" t="s">
        <v>188</v>
      </c>
      <c r="G74" s="19">
        <v>5</v>
      </c>
      <c r="H74" s="19">
        <v>5</v>
      </c>
      <c r="I74" s="19">
        <v>86400</v>
      </c>
      <c r="J74" s="19">
        <v>86400</v>
      </c>
      <c r="K74" s="19"/>
      <c r="L74" s="19"/>
      <c r="M74" s="19"/>
      <c r="N74" s="19"/>
      <c r="O74" s="19" t="s">
        <v>209</v>
      </c>
    </row>
    <row r="75" spans="1:15" ht="28.5" x14ac:dyDescent="0.2">
      <c r="A75" s="21" t="s">
        <v>12</v>
      </c>
      <c r="B75" s="21" t="s">
        <v>15</v>
      </c>
      <c r="C75" s="19" t="s">
        <v>199</v>
      </c>
      <c r="D75" s="20" t="s">
        <v>200</v>
      </c>
      <c r="E75" s="19" t="s">
        <v>70</v>
      </c>
      <c r="F75" s="19" t="s">
        <v>188</v>
      </c>
      <c r="G75" s="19">
        <v>5</v>
      </c>
      <c r="H75" s="19">
        <v>5</v>
      </c>
      <c r="I75" s="19">
        <v>28800</v>
      </c>
      <c r="J75" s="19">
        <v>28800</v>
      </c>
      <c r="K75" s="19"/>
      <c r="L75" s="19"/>
      <c r="M75" s="19"/>
      <c r="N75" s="19"/>
      <c r="O75" s="19" t="s">
        <v>201</v>
      </c>
    </row>
    <row r="76" spans="1:15" ht="15" x14ac:dyDescent="0.2">
      <c r="A76" s="21" t="s">
        <v>12</v>
      </c>
      <c r="B76" s="21" t="s">
        <v>14</v>
      </c>
      <c r="C76" s="19" t="s">
        <v>326</v>
      </c>
      <c r="D76" s="20" t="s">
        <v>327</v>
      </c>
      <c r="E76" s="19" t="s">
        <v>70</v>
      </c>
      <c r="F76" s="19" t="s">
        <v>328</v>
      </c>
      <c r="G76" s="19">
        <v>13</v>
      </c>
      <c r="H76" s="19"/>
      <c r="I76" s="19">
        <v>144000</v>
      </c>
      <c r="J76" s="19">
        <v>144000</v>
      </c>
      <c r="K76" s="19"/>
      <c r="L76" s="19"/>
      <c r="M76" s="19"/>
      <c r="N76" s="19"/>
      <c r="O76" s="19" t="s">
        <v>329</v>
      </c>
    </row>
    <row r="77" spans="1:15" ht="28.5" x14ac:dyDescent="0.2">
      <c r="A77" s="21" t="s">
        <v>12</v>
      </c>
      <c r="B77" s="21" t="s">
        <v>14</v>
      </c>
      <c r="C77" s="19" t="s">
        <v>269</v>
      </c>
      <c r="D77" s="20" t="s">
        <v>270</v>
      </c>
      <c r="E77" s="19" t="s">
        <v>70</v>
      </c>
      <c r="F77" s="19" t="s">
        <v>267</v>
      </c>
      <c r="G77" s="19">
        <v>8</v>
      </c>
      <c r="H77" s="19"/>
      <c r="I77" s="19">
        <v>122400</v>
      </c>
      <c r="J77" s="19">
        <v>122400</v>
      </c>
      <c r="K77" s="19"/>
      <c r="L77" s="19"/>
      <c r="M77" s="19"/>
      <c r="N77" s="19"/>
      <c r="O77" s="19"/>
    </row>
    <row r="78" spans="1:15" ht="28.5" x14ac:dyDescent="0.2">
      <c r="A78" s="21" t="s">
        <v>12</v>
      </c>
      <c r="B78" s="21" t="s">
        <v>15</v>
      </c>
      <c r="C78" s="19" t="s">
        <v>190</v>
      </c>
      <c r="D78" s="20" t="s">
        <v>191</v>
      </c>
      <c r="E78" s="19" t="s">
        <v>70</v>
      </c>
      <c r="F78" s="19" t="s">
        <v>188</v>
      </c>
      <c r="G78" s="19">
        <v>3</v>
      </c>
      <c r="H78" s="19">
        <v>3</v>
      </c>
      <c r="I78" s="19">
        <v>28800</v>
      </c>
      <c r="J78" s="19">
        <v>28800</v>
      </c>
      <c r="K78" s="19"/>
      <c r="L78" s="19"/>
      <c r="M78" s="19"/>
      <c r="N78" s="19"/>
      <c r="O78" s="19" t="s">
        <v>88</v>
      </c>
    </row>
    <row r="79" spans="1:15" ht="15" x14ac:dyDescent="0.2">
      <c r="A79" s="21" t="s">
        <v>12</v>
      </c>
      <c r="B79" s="21" t="s">
        <v>15</v>
      </c>
      <c r="C79" s="19" t="s">
        <v>192</v>
      </c>
      <c r="D79" s="20" t="s">
        <v>193</v>
      </c>
      <c r="E79" s="19" t="s">
        <v>70</v>
      </c>
      <c r="F79" s="19" t="s">
        <v>188</v>
      </c>
      <c r="G79" s="19">
        <v>5</v>
      </c>
      <c r="H79" s="19">
        <v>5</v>
      </c>
      <c r="I79" s="19">
        <v>28800</v>
      </c>
      <c r="J79" s="19">
        <v>28800</v>
      </c>
      <c r="K79" s="19"/>
      <c r="L79" s="19"/>
      <c r="M79" s="19"/>
      <c r="N79" s="19"/>
      <c r="O79" s="19" t="s">
        <v>96</v>
      </c>
    </row>
    <row r="80" spans="1:15" ht="42.75" x14ac:dyDescent="0.2">
      <c r="A80" s="21" t="s">
        <v>12</v>
      </c>
      <c r="B80" s="21" t="s">
        <v>15</v>
      </c>
      <c r="C80" s="19" t="s">
        <v>178</v>
      </c>
      <c r="D80" s="20" t="s">
        <v>179</v>
      </c>
      <c r="E80" s="19" t="s">
        <v>70</v>
      </c>
      <c r="F80" s="19" t="s">
        <v>180</v>
      </c>
      <c r="G80" s="19">
        <v>3</v>
      </c>
      <c r="H80" s="19">
        <v>3</v>
      </c>
      <c r="I80" s="19">
        <v>86400</v>
      </c>
      <c r="J80" s="19">
        <v>86400</v>
      </c>
      <c r="K80" s="19"/>
      <c r="L80" s="19"/>
      <c r="M80" s="19"/>
      <c r="N80" s="19"/>
      <c r="O80" s="19" t="s">
        <v>181</v>
      </c>
    </row>
    <row r="81" spans="1:15" ht="28.5" x14ac:dyDescent="0.2">
      <c r="A81" s="21" t="s">
        <v>12</v>
      </c>
      <c r="B81" s="21" t="s">
        <v>15</v>
      </c>
      <c r="C81" s="19" t="s">
        <v>184</v>
      </c>
      <c r="D81" s="20" t="s">
        <v>185</v>
      </c>
      <c r="E81" s="19" t="s">
        <v>70</v>
      </c>
      <c r="F81" s="19" t="s">
        <v>180</v>
      </c>
      <c r="G81" s="19">
        <v>5</v>
      </c>
      <c r="H81" s="19">
        <v>5</v>
      </c>
      <c r="I81" s="19">
        <v>57600</v>
      </c>
      <c r="J81" s="19">
        <v>57600</v>
      </c>
      <c r="K81" s="19"/>
      <c r="L81" s="19"/>
      <c r="M81" s="19"/>
      <c r="N81" s="19"/>
      <c r="O81" s="19" t="s">
        <v>96</v>
      </c>
    </row>
    <row r="82" spans="1:15" ht="28.5" x14ac:dyDescent="0.2">
      <c r="A82" s="21" t="s">
        <v>12</v>
      </c>
      <c r="B82" s="21" t="s">
        <v>15</v>
      </c>
      <c r="C82" s="19" t="s">
        <v>94</v>
      </c>
      <c r="D82" s="20" t="s">
        <v>95</v>
      </c>
      <c r="E82" s="19" t="s">
        <v>70</v>
      </c>
      <c r="F82" s="19" t="s">
        <v>87</v>
      </c>
      <c r="G82" s="19">
        <v>3</v>
      </c>
      <c r="H82" s="19">
        <v>3</v>
      </c>
      <c r="I82" s="19">
        <v>28800</v>
      </c>
      <c r="J82" s="19">
        <v>28800</v>
      </c>
      <c r="K82" s="19"/>
      <c r="L82" s="19"/>
      <c r="M82" s="19"/>
      <c r="N82" s="19"/>
      <c r="O82" s="19" t="s">
        <v>96</v>
      </c>
    </row>
    <row r="83" spans="1:15" ht="15" x14ac:dyDescent="0.2">
      <c r="A83" s="21" t="s">
        <v>12</v>
      </c>
      <c r="B83" s="21" t="s">
        <v>15</v>
      </c>
      <c r="C83" s="19" t="s">
        <v>97</v>
      </c>
      <c r="D83" s="20" t="s">
        <v>98</v>
      </c>
      <c r="E83" s="19" t="s">
        <v>70</v>
      </c>
      <c r="F83" s="19" t="s">
        <v>87</v>
      </c>
      <c r="G83" s="19">
        <v>3</v>
      </c>
      <c r="H83" s="19">
        <v>3</v>
      </c>
      <c r="I83" s="19">
        <v>86400</v>
      </c>
      <c r="J83" s="19">
        <v>86400</v>
      </c>
      <c r="K83" s="19"/>
      <c r="L83" s="19"/>
      <c r="M83" s="19"/>
      <c r="N83" s="19"/>
      <c r="O83" s="19" t="s">
        <v>96</v>
      </c>
    </row>
    <row r="84" spans="1:15" ht="28.5" x14ac:dyDescent="0.2">
      <c r="A84" s="21" t="s">
        <v>12</v>
      </c>
      <c r="B84" s="21" t="s">
        <v>15</v>
      </c>
      <c r="C84" s="19" t="s">
        <v>99</v>
      </c>
      <c r="D84" s="20" t="s">
        <v>100</v>
      </c>
      <c r="E84" s="19" t="s">
        <v>70</v>
      </c>
      <c r="F84" s="19" t="s">
        <v>87</v>
      </c>
      <c r="G84" s="19">
        <v>5</v>
      </c>
      <c r="H84" s="19">
        <v>5</v>
      </c>
      <c r="I84" s="19">
        <v>57600</v>
      </c>
      <c r="J84" s="19">
        <v>57600</v>
      </c>
      <c r="K84" s="19"/>
      <c r="L84" s="19"/>
      <c r="M84" s="19"/>
      <c r="N84" s="19"/>
      <c r="O84" s="19" t="s">
        <v>101</v>
      </c>
    </row>
    <row r="85" spans="1:15" ht="15" x14ac:dyDescent="0.2">
      <c r="A85" s="21" t="s">
        <v>12</v>
      </c>
      <c r="B85" s="21" t="s">
        <v>106</v>
      </c>
      <c r="C85" s="19" t="s">
        <v>525</v>
      </c>
      <c r="D85" s="20" t="s">
        <v>524</v>
      </c>
      <c r="E85" s="19" t="s">
        <v>442</v>
      </c>
      <c r="F85" s="19" t="s">
        <v>447</v>
      </c>
      <c r="G85" s="19">
        <v>5</v>
      </c>
      <c r="H85" s="19"/>
      <c r="I85" s="19"/>
      <c r="J85" s="19"/>
      <c r="K85" s="19"/>
      <c r="L85" s="19"/>
      <c r="M85" s="19"/>
      <c r="N85" s="19"/>
      <c r="O85" s="19" t="s">
        <v>433</v>
      </c>
    </row>
    <row r="86" spans="1:15" ht="15" x14ac:dyDescent="0.2">
      <c r="A86" s="21" t="s">
        <v>12</v>
      </c>
      <c r="B86" s="21" t="s">
        <v>15</v>
      </c>
      <c r="C86" s="19" t="s">
        <v>527</v>
      </c>
      <c r="D86" s="20" t="s">
        <v>526</v>
      </c>
      <c r="E86" s="19" t="s">
        <v>442</v>
      </c>
      <c r="F86" s="19" t="s">
        <v>443</v>
      </c>
      <c r="G86" s="19">
        <v>5</v>
      </c>
      <c r="H86" s="19">
        <v>5</v>
      </c>
      <c r="I86" s="19">
        <v>57600</v>
      </c>
      <c r="J86" s="19">
        <v>57600</v>
      </c>
      <c r="K86" s="19"/>
      <c r="L86" s="19"/>
      <c r="M86" s="19"/>
      <c r="N86" s="19"/>
      <c r="O86" s="19" t="s">
        <v>433</v>
      </c>
    </row>
    <row r="87" spans="1:15" ht="15" x14ac:dyDescent="0.2">
      <c r="A87" s="21" t="s">
        <v>12</v>
      </c>
      <c r="B87" s="21" t="s">
        <v>15</v>
      </c>
      <c r="C87" s="19" t="s">
        <v>529</v>
      </c>
      <c r="D87" s="20" t="s">
        <v>528</v>
      </c>
      <c r="E87" s="19" t="s">
        <v>442</v>
      </c>
      <c r="F87" s="19" t="s">
        <v>443</v>
      </c>
      <c r="G87" s="19">
        <v>5</v>
      </c>
      <c r="H87" s="19">
        <v>5</v>
      </c>
      <c r="I87" s="19">
        <v>21600</v>
      </c>
      <c r="J87" s="19">
        <v>21600</v>
      </c>
      <c r="K87" s="19"/>
      <c r="L87" s="19"/>
      <c r="M87" s="19"/>
      <c r="N87" s="19"/>
      <c r="O87" s="19" t="s">
        <v>433</v>
      </c>
    </row>
    <row r="88" spans="1:15" ht="28.5" x14ac:dyDescent="0.2">
      <c r="A88" s="21" t="s">
        <v>12</v>
      </c>
      <c r="B88" s="21" t="s">
        <v>16</v>
      </c>
      <c r="C88" s="19" t="s">
        <v>230</v>
      </c>
      <c r="D88" s="20" t="s">
        <v>231</v>
      </c>
      <c r="E88" s="19" t="s">
        <v>70</v>
      </c>
      <c r="F88" s="19" t="s">
        <v>219</v>
      </c>
      <c r="G88" s="19">
        <v>8</v>
      </c>
      <c r="H88" s="19"/>
      <c r="I88" s="19"/>
      <c r="J88" s="19"/>
      <c r="K88" s="19"/>
      <c r="L88" s="19"/>
      <c r="M88" s="19"/>
      <c r="N88" s="19"/>
      <c r="O88" s="19" t="s">
        <v>218</v>
      </c>
    </row>
    <row r="89" spans="1:15" ht="28.5" x14ac:dyDescent="0.2">
      <c r="A89" s="21" t="s">
        <v>12</v>
      </c>
      <c r="B89" s="21" t="s">
        <v>13</v>
      </c>
      <c r="C89" s="19" t="s">
        <v>232</v>
      </c>
      <c r="D89" s="20" t="s">
        <v>233</v>
      </c>
      <c r="E89" s="19" t="s">
        <v>70</v>
      </c>
      <c r="F89" s="19" t="s">
        <v>219</v>
      </c>
      <c r="G89" s="19">
        <v>13</v>
      </c>
      <c r="H89" s="19"/>
      <c r="I89" s="19"/>
      <c r="J89" s="19"/>
      <c r="K89" s="19"/>
      <c r="L89" s="19"/>
      <c r="M89" s="19"/>
      <c r="N89" s="19"/>
      <c r="O89" s="19" t="s">
        <v>234</v>
      </c>
    </row>
    <row r="90" spans="1:15" ht="28.5" x14ac:dyDescent="0.2">
      <c r="A90" s="21" t="s">
        <v>12</v>
      </c>
      <c r="B90" s="21" t="s">
        <v>13</v>
      </c>
      <c r="C90" s="19" t="s">
        <v>531</v>
      </c>
      <c r="D90" s="20" t="s">
        <v>530</v>
      </c>
      <c r="E90" s="19" t="s">
        <v>442</v>
      </c>
      <c r="F90" s="19" t="s">
        <v>277</v>
      </c>
      <c r="G90" s="19"/>
      <c r="H90" s="19"/>
      <c r="I90" s="19">
        <v>43200</v>
      </c>
      <c r="J90" s="19">
        <v>43200</v>
      </c>
      <c r="K90" s="19"/>
      <c r="L90" s="19"/>
      <c r="M90" s="19"/>
      <c r="N90" s="19"/>
      <c r="O90" s="19"/>
    </row>
    <row r="91" spans="1:15" ht="15" x14ac:dyDescent="0.2">
      <c r="A91" s="21" t="s">
        <v>12</v>
      </c>
      <c r="B91" s="21" t="s">
        <v>13</v>
      </c>
      <c r="C91" s="19" t="s">
        <v>381</v>
      </c>
      <c r="D91" s="20" t="s">
        <v>382</v>
      </c>
      <c r="E91" s="19" t="s">
        <v>70</v>
      </c>
      <c r="F91" s="19"/>
      <c r="G91" s="19"/>
      <c r="H91" s="19"/>
      <c r="I91" s="19"/>
      <c r="J91" s="19"/>
      <c r="K91" s="19"/>
      <c r="L91" s="19"/>
      <c r="M91" s="19"/>
      <c r="N91" s="19"/>
      <c r="O91" s="19" t="s">
        <v>383</v>
      </c>
    </row>
    <row r="92" spans="1:15" ht="28.5" x14ac:dyDescent="0.2">
      <c r="A92" s="21" t="s">
        <v>12</v>
      </c>
      <c r="B92" s="21" t="s">
        <v>13</v>
      </c>
      <c r="C92" s="19" t="s">
        <v>533</v>
      </c>
      <c r="D92" s="20" t="s">
        <v>532</v>
      </c>
      <c r="E92" s="19" t="s">
        <v>442</v>
      </c>
      <c r="F92" s="19"/>
      <c r="G92" s="19"/>
      <c r="H92" s="19"/>
      <c r="I92" s="19"/>
      <c r="J92" s="19"/>
      <c r="K92" s="19"/>
      <c r="L92" s="19"/>
      <c r="M92" s="19"/>
      <c r="N92" s="19"/>
      <c r="O92" s="19" t="s">
        <v>310</v>
      </c>
    </row>
    <row r="93" spans="1:15" ht="15" x14ac:dyDescent="0.2">
      <c r="A93" s="21" t="s">
        <v>12</v>
      </c>
      <c r="B93" s="21" t="s">
        <v>13</v>
      </c>
      <c r="C93" s="19" t="s">
        <v>535</v>
      </c>
      <c r="D93" s="20" t="s">
        <v>534</v>
      </c>
      <c r="E93" s="19">
        <v>3</v>
      </c>
      <c r="F93" s="19"/>
      <c r="G93" s="19"/>
      <c r="H93" s="19"/>
      <c r="I93" s="19"/>
      <c r="J93" s="19"/>
      <c r="K93" s="19"/>
      <c r="L93" s="19"/>
      <c r="M93" s="19"/>
      <c r="N93" s="19"/>
      <c r="O93" s="19"/>
    </row>
    <row r="94" spans="1:15" ht="28.5" x14ac:dyDescent="0.2">
      <c r="A94" s="21" t="s">
        <v>12</v>
      </c>
      <c r="B94" s="21" t="s">
        <v>15</v>
      </c>
      <c r="C94" s="19" t="s">
        <v>537</v>
      </c>
      <c r="D94" s="20" t="s">
        <v>536</v>
      </c>
      <c r="E94" s="19" t="s">
        <v>538</v>
      </c>
      <c r="F94" s="19"/>
      <c r="G94" s="19"/>
      <c r="H94" s="19"/>
      <c r="I94" s="19"/>
      <c r="J94" s="19">
        <v>0</v>
      </c>
      <c r="K94" s="19"/>
      <c r="L94" s="19"/>
      <c r="M94" s="19"/>
      <c r="N94" s="19"/>
      <c r="O94" s="19"/>
    </row>
    <row r="95" spans="1:15" ht="28.5" x14ac:dyDescent="0.2">
      <c r="A95" s="21" t="s">
        <v>12</v>
      </c>
      <c r="B95" s="21" t="s">
        <v>15</v>
      </c>
      <c r="C95" s="19" t="s">
        <v>540</v>
      </c>
      <c r="D95" s="20" t="s">
        <v>539</v>
      </c>
      <c r="E95" s="19" t="s">
        <v>541</v>
      </c>
      <c r="F95" s="19"/>
      <c r="G95" s="19"/>
      <c r="H95" s="19"/>
      <c r="I95" s="19"/>
      <c r="J95" s="19">
        <v>0</v>
      </c>
      <c r="K95" s="19"/>
      <c r="L95" s="19"/>
      <c r="M95" s="19"/>
      <c r="N95" s="19"/>
      <c r="O95" s="19"/>
    </row>
    <row r="96" spans="1:15" ht="15" x14ac:dyDescent="0.2">
      <c r="A96" s="21" t="s">
        <v>12</v>
      </c>
      <c r="B96" s="21" t="s">
        <v>15</v>
      </c>
      <c r="C96" s="19" t="s">
        <v>543</v>
      </c>
      <c r="D96" s="20" t="s">
        <v>542</v>
      </c>
      <c r="E96" s="19" t="s">
        <v>538</v>
      </c>
      <c r="F96" s="19"/>
      <c r="G96" s="19"/>
      <c r="H96" s="19"/>
      <c r="I96" s="19"/>
      <c r="J96" s="19">
        <v>0</v>
      </c>
      <c r="K96" s="19"/>
      <c r="L96" s="19"/>
      <c r="M96" s="19"/>
      <c r="N96" s="19"/>
      <c r="O96" s="19"/>
    </row>
    <row r="97" spans="1:15" ht="28.5" x14ac:dyDescent="0.2">
      <c r="A97" s="21" t="s">
        <v>12</v>
      </c>
      <c r="B97" s="21" t="s">
        <v>15</v>
      </c>
      <c r="C97" s="19" t="s">
        <v>545</v>
      </c>
      <c r="D97" s="20" t="s">
        <v>544</v>
      </c>
      <c r="E97" s="19" t="s">
        <v>541</v>
      </c>
      <c r="F97" s="19"/>
      <c r="G97" s="19"/>
      <c r="H97" s="19"/>
      <c r="I97" s="19"/>
      <c r="J97" s="19">
        <v>0</v>
      </c>
      <c r="K97" s="19"/>
      <c r="L97" s="19"/>
      <c r="M97" s="19"/>
      <c r="N97" s="19"/>
      <c r="O97" s="19"/>
    </row>
    <row r="98" spans="1:15" ht="28.5" x14ac:dyDescent="0.2">
      <c r="A98" s="21" t="s">
        <v>12</v>
      </c>
      <c r="B98" s="21" t="s">
        <v>15</v>
      </c>
      <c r="C98" s="19" t="s">
        <v>547</v>
      </c>
      <c r="D98" s="20" t="s">
        <v>546</v>
      </c>
      <c r="E98" s="19" t="s">
        <v>541</v>
      </c>
      <c r="F98" s="19"/>
      <c r="G98" s="19"/>
      <c r="H98" s="19"/>
      <c r="I98" s="19"/>
      <c r="J98" s="19">
        <v>0</v>
      </c>
      <c r="K98" s="19"/>
      <c r="L98" s="19"/>
      <c r="M98" s="19"/>
      <c r="N98" s="19"/>
      <c r="O98" s="19"/>
    </row>
    <row r="99" spans="1:15" ht="15" x14ac:dyDescent="0.2">
      <c r="A99" s="21" t="s">
        <v>12</v>
      </c>
      <c r="B99" s="21" t="s">
        <v>15</v>
      </c>
      <c r="C99" s="19" t="s">
        <v>549</v>
      </c>
      <c r="D99" s="20" t="s">
        <v>548</v>
      </c>
      <c r="E99" s="19" t="s">
        <v>541</v>
      </c>
      <c r="F99" s="19"/>
      <c r="G99" s="19"/>
      <c r="H99" s="19"/>
      <c r="I99" s="19"/>
      <c r="J99" s="19">
        <v>0</v>
      </c>
      <c r="K99" s="19"/>
      <c r="L99" s="19"/>
      <c r="M99" s="19"/>
      <c r="N99" s="19"/>
      <c r="O99" s="19"/>
    </row>
    <row r="100" spans="1:15" ht="28.5" x14ac:dyDescent="0.2">
      <c r="A100" s="21" t="s">
        <v>12</v>
      </c>
      <c r="B100" s="21" t="s">
        <v>15</v>
      </c>
      <c r="C100" s="19" t="s">
        <v>551</v>
      </c>
      <c r="D100" s="20" t="s">
        <v>550</v>
      </c>
      <c r="E100" s="19" t="s">
        <v>538</v>
      </c>
      <c r="F100" s="19"/>
      <c r="G100" s="19"/>
      <c r="H100" s="19"/>
      <c r="I100" s="19"/>
      <c r="J100" s="19">
        <v>0</v>
      </c>
      <c r="K100" s="19"/>
      <c r="L100" s="19"/>
      <c r="M100" s="19"/>
      <c r="N100" s="19"/>
      <c r="O100" s="19"/>
    </row>
    <row r="101" spans="1:15" ht="15" x14ac:dyDescent="0.2">
      <c r="A101" s="21" t="s">
        <v>12</v>
      </c>
      <c r="B101" s="21" t="s">
        <v>15</v>
      </c>
      <c r="C101" s="19" t="s">
        <v>553</v>
      </c>
      <c r="D101" s="20" t="s">
        <v>552</v>
      </c>
      <c r="E101" s="19" t="s">
        <v>538</v>
      </c>
      <c r="F101" s="19"/>
      <c r="G101" s="19"/>
      <c r="H101" s="19"/>
      <c r="I101" s="19"/>
      <c r="J101" s="19">
        <v>0</v>
      </c>
      <c r="K101" s="19"/>
      <c r="L101" s="19"/>
      <c r="M101" s="19"/>
      <c r="N101" s="19"/>
      <c r="O101" s="19"/>
    </row>
    <row r="102" spans="1:15" ht="28.5" x14ac:dyDescent="0.2">
      <c r="A102" s="21" t="s">
        <v>12</v>
      </c>
      <c r="B102" s="21" t="s">
        <v>15</v>
      </c>
      <c r="C102" s="19" t="s">
        <v>555</v>
      </c>
      <c r="D102" s="20" t="s">
        <v>554</v>
      </c>
      <c r="E102" s="19" t="s">
        <v>538</v>
      </c>
      <c r="F102" s="19"/>
      <c r="G102" s="19"/>
      <c r="H102" s="19"/>
      <c r="I102" s="19"/>
      <c r="J102" s="19">
        <v>0</v>
      </c>
      <c r="K102" s="19"/>
      <c r="L102" s="19"/>
      <c r="M102" s="19"/>
      <c r="N102" s="19"/>
      <c r="O102" s="19"/>
    </row>
    <row r="103" spans="1:15" ht="28.5" x14ac:dyDescent="0.2">
      <c r="A103" s="21" t="s">
        <v>12</v>
      </c>
      <c r="B103" s="21" t="s">
        <v>15</v>
      </c>
      <c r="C103" s="19" t="s">
        <v>557</v>
      </c>
      <c r="D103" s="20" t="s">
        <v>556</v>
      </c>
      <c r="E103" s="19" t="s">
        <v>538</v>
      </c>
      <c r="F103" s="19"/>
      <c r="G103" s="19"/>
      <c r="H103" s="19"/>
      <c r="I103" s="19"/>
      <c r="J103" s="19">
        <v>0</v>
      </c>
      <c r="K103" s="19"/>
      <c r="L103" s="19"/>
      <c r="M103" s="19"/>
      <c r="N103" s="19"/>
      <c r="O103" s="19"/>
    </row>
    <row r="104" spans="1:15" ht="15" x14ac:dyDescent="0.2">
      <c r="A104" s="21" t="s">
        <v>12</v>
      </c>
      <c r="B104" s="21" t="s">
        <v>15</v>
      </c>
      <c r="C104" s="19" t="s">
        <v>559</v>
      </c>
      <c r="D104" s="20" t="s">
        <v>558</v>
      </c>
      <c r="E104" s="19" t="s">
        <v>541</v>
      </c>
      <c r="F104" s="19"/>
      <c r="G104" s="19"/>
      <c r="H104" s="19"/>
      <c r="I104" s="19"/>
      <c r="J104" s="19">
        <v>0</v>
      </c>
      <c r="K104" s="19"/>
      <c r="L104" s="19"/>
      <c r="M104" s="19"/>
      <c r="N104" s="19"/>
      <c r="O104" s="19"/>
    </row>
    <row r="105" spans="1:15" ht="28.5" x14ac:dyDescent="0.2">
      <c r="A105" s="21" t="s">
        <v>12</v>
      </c>
      <c r="B105" s="21" t="s">
        <v>15</v>
      </c>
      <c r="C105" s="19" t="s">
        <v>561</v>
      </c>
      <c r="D105" s="20" t="s">
        <v>560</v>
      </c>
      <c r="E105" s="19" t="s">
        <v>538</v>
      </c>
      <c r="F105" s="19"/>
      <c r="G105" s="19"/>
      <c r="H105" s="19"/>
      <c r="I105" s="19"/>
      <c r="J105" s="19">
        <v>0</v>
      </c>
      <c r="K105" s="19"/>
      <c r="L105" s="19"/>
      <c r="M105" s="19"/>
      <c r="N105" s="19"/>
      <c r="O105" s="19"/>
    </row>
    <row r="106" spans="1:15" ht="28.5" x14ac:dyDescent="0.2">
      <c r="A106" s="21" t="s">
        <v>12</v>
      </c>
      <c r="B106" s="21" t="s">
        <v>15</v>
      </c>
      <c r="C106" s="19" t="s">
        <v>563</v>
      </c>
      <c r="D106" s="20" t="s">
        <v>562</v>
      </c>
      <c r="E106" s="19" t="s">
        <v>538</v>
      </c>
      <c r="F106" s="19"/>
      <c r="G106" s="19"/>
      <c r="H106" s="19"/>
      <c r="I106" s="19"/>
      <c r="J106" s="19">
        <v>0</v>
      </c>
      <c r="K106" s="19"/>
      <c r="L106" s="19"/>
      <c r="M106" s="19"/>
      <c r="N106" s="19"/>
      <c r="O106" s="19"/>
    </row>
    <row r="107" spans="1:15" ht="28.5" x14ac:dyDescent="0.2">
      <c r="A107" s="21" t="s">
        <v>12</v>
      </c>
      <c r="B107" s="21" t="s">
        <v>15</v>
      </c>
      <c r="C107" s="19" t="s">
        <v>565</v>
      </c>
      <c r="D107" s="20" t="s">
        <v>564</v>
      </c>
      <c r="E107" s="19" t="s">
        <v>538</v>
      </c>
      <c r="F107" s="19"/>
      <c r="G107" s="19"/>
      <c r="H107" s="19"/>
      <c r="I107" s="19"/>
      <c r="J107" s="19">
        <v>0</v>
      </c>
      <c r="K107" s="19"/>
      <c r="L107" s="19"/>
      <c r="M107" s="19"/>
      <c r="N107" s="19"/>
      <c r="O107" s="19"/>
    </row>
    <row r="108" spans="1:15" ht="28.5" x14ac:dyDescent="0.2">
      <c r="A108" s="21" t="s">
        <v>12</v>
      </c>
      <c r="B108" s="21" t="s">
        <v>15</v>
      </c>
      <c r="C108" s="19" t="s">
        <v>567</v>
      </c>
      <c r="D108" s="20" t="s">
        <v>566</v>
      </c>
      <c r="E108" s="19" t="s">
        <v>538</v>
      </c>
      <c r="F108" s="19"/>
      <c r="G108" s="19"/>
      <c r="H108" s="19"/>
      <c r="I108" s="19"/>
      <c r="J108" s="19">
        <v>0</v>
      </c>
      <c r="K108" s="19"/>
      <c r="L108" s="19"/>
      <c r="M108" s="19"/>
      <c r="N108" s="19"/>
      <c r="O108" s="19"/>
    </row>
    <row r="109" spans="1:15" ht="28.5" x14ac:dyDescent="0.2">
      <c r="A109" s="21" t="s">
        <v>12</v>
      </c>
      <c r="B109" s="21" t="s">
        <v>15</v>
      </c>
      <c r="C109" s="19" t="s">
        <v>569</v>
      </c>
      <c r="D109" s="20" t="s">
        <v>568</v>
      </c>
      <c r="E109" s="19" t="s">
        <v>541</v>
      </c>
      <c r="F109" s="19"/>
      <c r="G109" s="19"/>
      <c r="H109" s="19"/>
      <c r="I109" s="19"/>
      <c r="J109" s="19">
        <v>0</v>
      </c>
      <c r="K109" s="19"/>
      <c r="L109" s="19"/>
      <c r="M109" s="19"/>
      <c r="N109" s="19"/>
      <c r="O109" s="19"/>
    </row>
    <row r="110" spans="1:15" ht="28.5" x14ac:dyDescent="0.2">
      <c r="A110" s="21" t="s">
        <v>12</v>
      </c>
      <c r="B110" s="21" t="s">
        <v>15</v>
      </c>
      <c r="C110" s="19" t="s">
        <v>571</v>
      </c>
      <c r="D110" s="20" t="s">
        <v>570</v>
      </c>
      <c r="E110" s="19" t="s">
        <v>541</v>
      </c>
      <c r="F110" s="19"/>
      <c r="G110" s="19"/>
      <c r="H110" s="19"/>
      <c r="I110" s="19">
        <v>0</v>
      </c>
      <c r="J110" s="19">
        <v>0</v>
      </c>
      <c r="K110" s="19"/>
      <c r="L110" s="19"/>
      <c r="M110" s="19"/>
      <c r="N110" s="19"/>
      <c r="O110" s="19"/>
    </row>
    <row r="111" spans="1:15" ht="28.5" x14ac:dyDescent="0.2">
      <c r="A111" s="21" t="s">
        <v>12</v>
      </c>
      <c r="B111" s="21" t="s">
        <v>15</v>
      </c>
      <c r="C111" s="19" t="s">
        <v>573</v>
      </c>
      <c r="D111" s="20" t="s">
        <v>572</v>
      </c>
      <c r="E111" s="19" t="s">
        <v>541</v>
      </c>
      <c r="F111" s="19"/>
      <c r="G111" s="19"/>
      <c r="H111" s="19"/>
      <c r="I111" s="19"/>
      <c r="J111" s="19">
        <v>0</v>
      </c>
      <c r="K111" s="19"/>
      <c r="L111" s="19"/>
      <c r="M111" s="19"/>
      <c r="N111" s="19"/>
      <c r="O111" s="19"/>
    </row>
    <row r="112" spans="1:15" ht="28.5" x14ac:dyDescent="0.2">
      <c r="A112" s="21" t="s">
        <v>12</v>
      </c>
      <c r="B112" s="21" t="s">
        <v>15</v>
      </c>
      <c r="C112" s="19" t="s">
        <v>575</v>
      </c>
      <c r="D112" s="20" t="s">
        <v>574</v>
      </c>
      <c r="E112" s="19" t="s">
        <v>538</v>
      </c>
      <c r="F112" s="19"/>
      <c r="G112" s="19"/>
      <c r="H112" s="19"/>
      <c r="I112" s="19"/>
      <c r="J112" s="19">
        <v>0</v>
      </c>
      <c r="K112" s="19"/>
      <c r="L112" s="19"/>
      <c r="M112" s="19"/>
      <c r="N112" s="19"/>
      <c r="O112" s="19"/>
    </row>
    <row r="113" spans="1:15" ht="15" x14ac:dyDescent="0.2">
      <c r="A113" s="21" t="s">
        <v>12</v>
      </c>
      <c r="B113" s="21" t="s">
        <v>15</v>
      </c>
      <c r="C113" s="19" t="s">
        <v>577</v>
      </c>
      <c r="D113" s="20" t="s">
        <v>576</v>
      </c>
      <c r="E113" s="19" t="s">
        <v>541</v>
      </c>
      <c r="F113" s="19"/>
      <c r="G113" s="19"/>
      <c r="H113" s="19"/>
      <c r="I113" s="19"/>
      <c r="J113" s="19">
        <v>0</v>
      </c>
      <c r="K113" s="19"/>
      <c r="L113" s="19"/>
      <c r="M113" s="19"/>
      <c r="N113" s="19"/>
      <c r="O113" s="19"/>
    </row>
    <row r="114" spans="1:15" ht="28.5" x14ac:dyDescent="0.2">
      <c r="A114" s="21" t="s">
        <v>12</v>
      </c>
      <c r="B114" s="21" t="s">
        <v>15</v>
      </c>
      <c r="C114" s="19" t="s">
        <v>579</v>
      </c>
      <c r="D114" s="20" t="s">
        <v>578</v>
      </c>
      <c r="E114" s="19" t="s">
        <v>538</v>
      </c>
      <c r="F114" s="19"/>
      <c r="G114" s="19"/>
      <c r="H114" s="19"/>
      <c r="I114" s="19"/>
      <c r="J114" s="19">
        <v>0</v>
      </c>
      <c r="K114" s="19"/>
      <c r="L114" s="19"/>
      <c r="M114" s="19"/>
      <c r="N114" s="19"/>
      <c r="O114" s="19"/>
    </row>
    <row r="115" spans="1:15" ht="15" x14ac:dyDescent="0.2">
      <c r="A115" s="21" t="s">
        <v>12</v>
      </c>
      <c r="B115" s="21" t="s">
        <v>15</v>
      </c>
      <c r="C115" s="19" t="s">
        <v>581</v>
      </c>
      <c r="D115" s="20" t="s">
        <v>580</v>
      </c>
      <c r="E115" s="19" t="s">
        <v>541</v>
      </c>
      <c r="F115" s="19"/>
      <c r="G115" s="19"/>
      <c r="H115" s="19"/>
      <c r="I115" s="19"/>
      <c r="J115" s="19">
        <v>0</v>
      </c>
      <c r="K115" s="19"/>
      <c r="L115" s="19"/>
      <c r="M115" s="19"/>
      <c r="N115" s="19"/>
      <c r="O115" s="19"/>
    </row>
    <row r="116" spans="1:15" ht="28.5" x14ac:dyDescent="0.2">
      <c r="A116" s="21" t="s">
        <v>12</v>
      </c>
      <c r="B116" s="21" t="s">
        <v>15</v>
      </c>
      <c r="C116" s="19" t="s">
        <v>583</v>
      </c>
      <c r="D116" s="20" t="s">
        <v>582</v>
      </c>
      <c r="E116" s="19" t="s">
        <v>538</v>
      </c>
      <c r="F116" s="19"/>
      <c r="G116" s="19"/>
      <c r="H116" s="19"/>
      <c r="I116" s="19"/>
      <c r="J116" s="19">
        <v>0</v>
      </c>
      <c r="K116" s="19"/>
      <c r="L116" s="19"/>
      <c r="M116" s="19"/>
      <c r="N116" s="19"/>
      <c r="O116" s="19"/>
    </row>
    <row r="117" spans="1:15" ht="28.5" x14ac:dyDescent="0.2">
      <c r="A117" s="21" t="s">
        <v>12</v>
      </c>
      <c r="B117" s="21" t="s">
        <v>15</v>
      </c>
      <c r="C117" s="19" t="s">
        <v>585</v>
      </c>
      <c r="D117" s="20" t="s">
        <v>584</v>
      </c>
      <c r="E117" s="19" t="s">
        <v>541</v>
      </c>
      <c r="F117" s="19"/>
      <c r="G117" s="19"/>
      <c r="H117" s="19"/>
      <c r="I117" s="19"/>
      <c r="J117" s="19">
        <v>0</v>
      </c>
      <c r="K117" s="19"/>
      <c r="L117" s="19"/>
      <c r="M117" s="19"/>
      <c r="N117" s="19"/>
      <c r="O117" s="19"/>
    </row>
    <row r="118" spans="1:15" ht="15" x14ac:dyDescent="0.2">
      <c r="A118" s="21" t="s">
        <v>12</v>
      </c>
      <c r="B118" s="21" t="s">
        <v>15</v>
      </c>
      <c r="C118" s="19" t="s">
        <v>587</v>
      </c>
      <c r="D118" s="20" t="s">
        <v>586</v>
      </c>
      <c r="E118" s="19" t="s">
        <v>538</v>
      </c>
      <c r="F118" s="19"/>
      <c r="G118" s="19"/>
      <c r="H118" s="19"/>
      <c r="I118" s="19"/>
      <c r="J118" s="19">
        <v>0</v>
      </c>
      <c r="K118" s="19"/>
      <c r="L118" s="19"/>
      <c r="M118" s="19"/>
      <c r="N118" s="19"/>
      <c r="O118" s="19"/>
    </row>
    <row r="119" spans="1:15" ht="42.75" x14ac:dyDescent="0.2">
      <c r="A119" s="21" t="s">
        <v>12</v>
      </c>
      <c r="B119" s="21" t="s">
        <v>15</v>
      </c>
      <c r="C119" s="19" t="s">
        <v>589</v>
      </c>
      <c r="D119" s="20" t="s">
        <v>588</v>
      </c>
      <c r="E119" s="19" t="s">
        <v>541</v>
      </c>
      <c r="F119" s="19"/>
      <c r="G119" s="19"/>
      <c r="H119" s="19"/>
      <c r="I119" s="19"/>
      <c r="J119" s="19">
        <v>0</v>
      </c>
      <c r="K119" s="19"/>
      <c r="L119" s="19"/>
      <c r="M119" s="19"/>
      <c r="N119" s="19"/>
      <c r="O119" s="19"/>
    </row>
    <row r="120" spans="1:15" ht="15" x14ac:dyDescent="0.2">
      <c r="A120" s="21" t="s">
        <v>12</v>
      </c>
      <c r="B120" s="21" t="s">
        <v>15</v>
      </c>
      <c r="C120" s="19" t="s">
        <v>591</v>
      </c>
      <c r="D120" s="20" t="s">
        <v>590</v>
      </c>
      <c r="E120" s="19" t="s">
        <v>538</v>
      </c>
      <c r="F120" s="19"/>
      <c r="G120" s="19"/>
      <c r="H120" s="19"/>
      <c r="I120" s="19"/>
      <c r="J120" s="19">
        <v>0</v>
      </c>
      <c r="K120" s="19"/>
      <c r="L120" s="19"/>
      <c r="M120" s="19"/>
      <c r="N120" s="19"/>
      <c r="O120" s="19"/>
    </row>
    <row r="121" spans="1:15" ht="15" x14ac:dyDescent="0.2">
      <c r="A121" s="21" t="s">
        <v>12</v>
      </c>
      <c r="B121" s="21" t="s">
        <v>15</v>
      </c>
      <c r="C121" s="19" t="s">
        <v>593</v>
      </c>
      <c r="D121" s="20" t="s">
        <v>592</v>
      </c>
      <c r="E121" s="19" t="s">
        <v>541</v>
      </c>
      <c r="F121" s="19"/>
      <c r="G121" s="19"/>
      <c r="H121" s="19"/>
      <c r="I121" s="19"/>
      <c r="J121" s="19">
        <v>0</v>
      </c>
      <c r="K121" s="19"/>
      <c r="L121" s="19"/>
      <c r="M121" s="19"/>
      <c r="N121" s="19"/>
      <c r="O121" s="19"/>
    </row>
    <row r="122" spans="1:15" ht="28.5" x14ac:dyDescent="0.2">
      <c r="A122" s="21" t="s">
        <v>12</v>
      </c>
      <c r="B122" s="21" t="s">
        <v>15</v>
      </c>
      <c r="C122" s="19" t="s">
        <v>595</v>
      </c>
      <c r="D122" s="20" t="s">
        <v>594</v>
      </c>
      <c r="E122" s="19" t="s">
        <v>541</v>
      </c>
      <c r="F122" s="19"/>
      <c r="G122" s="19"/>
      <c r="H122" s="19"/>
      <c r="I122" s="19"/>
      <c r="J122" s="19">
        <v>0</v>
      </c>
      <c r="K122" s="19"/>
      <c r="L122" s="19"/>
      <c r="M122" s="19"/>
      <c r="N122" s="19"/>
      <c r="O122" s="19"/>
    </row>
    <row r="123" spans="1:15" ht="28.5" x14ac:dyDescent="0.2">
      <c r="A123" s="21" t="s">
        <v>12</v>
      </c>
      <c r="B123" s="21" t="s">
        <v>15</v>
      </c>
      <c r="C123" s="19" t="s">
        <v>597</v>
      </c>
      <c r="D123" s="20" t="s">
        <v>596</v>
      </c>
      <c r="E123" s="19" t="s">
        <v>538</v>
      </c>
      <c r="F123" s="19"/>
      <c r="G123" s="19"/>
      <c r="H123" s="19"/>
      <c r="I123" s="19"/>
      <c r="J123" s="19">
        <v>0</v>
      </c>
      <c r="K123" s="19"/>
      <c r="L123" s="19"/>
      <c r="M123" s="19"/>
      <c r="N123" s="19"/>
      <c r="O123" s="19"/>
    </row>
    <row r="124" spans="1:15" ht="28.5" x14ac:dyDescent="0.2">
      <c r="A124" s="21" t="s">
        <v>12</v>
      </c>
      <c r="B124" s="21" t="s">
        <v>15</v>
      </c>
      <c r="C124" s="19" t="s">
        <v>599</v>
      </c>
      <c r="D124" s="20" t="s">
        <v>598</v>
      </c>
      <c r="E124" s="19" t="s">
        <v>538</v>
      </c>
      <c r="F124" s="19"/>
      <c r="G124" s="19"/>
      <c r="H124" s="19"/>
      <c r="I124" s="19"/>
      <c r="J124" s="19">
        <v>0</v>
      </c>
      <c r="K124" s="19"/>
      <c r="L124" s="19"/>
      <c r="M124" s="19"/>
      <c r="N124" s="19"/>
      <c r="O124" s="19"/>
    </row>
    <row r="125" spans="1:15" ht="15" x14ac:dyDescent="0.2">
      <c r="A125" s="21" t="s">
        <v>12</v>
      </c>
      <c r="B125" s="21" t="s">
        <v>15</v>
      </c>
      <c r="C125" s="19" t="s">
        <v>601</v>
      </c>
      <c r="D125" s="20" t="s">
        <v>600</v>
      </c>
      <c r="E125" s="19" t="s">
        <v>541</v>
      </c>
      <c r="F125" s="19"/>
      <c r="G125" s="19"/>
      <c r="H125" s="19"/>
      <c r="I125" s="19"/>
      <c r="J125" s="19">
        <v>0</v>
      </c>
      <c r="K125" s="19"/>
      <c r="L125" s="19"/>
      <c r="M125" s="19"/>
      <c r="N125" s="19"/>
      <c r="O125" s="19"/>
    </row>
    <row r="126" spans="1:15" ht="28.5" x14ac:dyDescent="0.2">
      <c r="A126" s="21" t="s">
        <v>12</v>
      </c>
      <c r="B126" s="21" t="s">
        <v>13</v>
      </c>
      <c r="C126" s="19" t="s">
        <v>603</v>
      </c>
      <c r="D126" s="20" t="s">
        <v>602</v>
      </c>
      <c r="E126" s="19" t="s">
        <v>541</v>
      </c>
      <c r="F126" s="19"/>
      <c r="G126" s="19"/>
      <c r="H126" s="19"/>
      <c r="I126" s="19"/>
      <c r="J126" s="19"/>
      <c r="K126" s="19"/>
      <c r="L126" s="19"/>
      <c r="M126" s="19"/>
      <c r="N126" s="19"/>
      <c r="O126" s="19"/>
    </row>
    <row r="127" spans="1:15" ht="28.5" x14ac:dyDescent="0.2">
      <c r="A127" s="21" t="s">
        <v>12</v>
      </c>
      <c r="B127" s="21" t="s">
        <v>13</v>
      </c>
      <c r="C127" s="19" t="s">
        <v>605</v>
      </c>
      <c r="D127" s="20" t="s">
        <v>604</v>
      </c>
      <c r="E127" s="19" t="s">
        <v>541</v>
      </c>
      <c r="F127" s="19"/>
      <c r="G127" s="19"/>
      <c r="H127" s="19"/>
      <c r="I127" s="19">
        <v>0</v>
      </c>
      <c r="J127" s="19">
        <v>0</v>
      </c>
      <c r="K127" s="19"/>
      <c r="L127" s="19"/>
      <c r="M127" s="19"/>
      <c r="N127" s="19"/>
      <c r="O127" s="19"/>
    </row>
    <row r="128" spans="1:15" ht="28.5" x14ac:dyDescent="0.2">
      <c r="A128" s="21" t="s">
        <v>12</v>
      </c>
      <c r="B128" s="21" t="s">
        <v>13</v>
      </c>
      <c r="C128" s="19" t="s">
        <v>607</v>
      </c>
      <c r="D128" s="20" t="s">
        <v>606</v>
      </c>
      <c r="E128" s="19" t="s">
        <v>541</v>
      </c>
      <c r="F128" s="19"/>
      <c r="G128" s="19"/>
      <c r="H128" s="19"/>
      <c r="I128" s="19">
        <v>0</v>
      </c>
      <c r="J128" s="19">
        <v>0</v>
      </c>
      <c r="K128" s="19"/>
      <c r="L128" s="19"/>
      <c r="M128" s="19"/>
      <c r="N128" s="19"/>
      <c r="O128" s="19"/>
    </row>
    <row r="129" spans="1:15" ht="15" x14ac:dyDescent="0.2">
      <c r="A129" s="21" t="s">
        <v>12</v>
      </c>
      <c r="B129" s="21" t="s">
        <v>13</v>
      </c>
      <c r="C129" s="19" t="s">
        <v>609</v>
      </c>
      <c r="D129" s="20" t="s">
        <v>608</v>
      </c>
      <c r="E129" s="19" t="s">
        <v>541</v>
      </c>
      <c r="F129" s="19"/>
      <c r="G129" s="19"/>
      <c r="H129" s="19"/>
      <c r="I129" s="19">
        <v>0</v>
      </c>
      <c r="J129" s="19">
        <v>0</v>
      </c>
      <c r="K129" s="19"/>
      <c r="L129" s="19"/>
      <c r="M129" s="19"/>
      <c r="N129" s="19"/>
      <c r="O129" s="19"/>
    </row>
    <row r="130" spans="1:15" ht="42.75" x14ac:dyDescent="0.2">
      <c r="A130" s="21" t="s">
        <v>12</v>
      </c>
      <c r="B130" s="21" t="s">
        <v>14</v>
      </c>
      <c r="C130" s="19" t="s">
        <v>611</v>
      </c>
      <c r="D130" s="20" t="s">
        <v>610</v>
      </c>
      <c r="E130" s="19" t="s">
        <v>541</v>
      </c>
      <c r="F130" s="19" t="s">
        <v>613</v>
      </c>
      <c r="G130" s="19">
        <v>13</v>
      </c>
      <c r="H130" s="19"/>
      <c r="I130" s="19">
        <v>115200</v>
      </c>
      <c r="J130" s="19">
        <v>115200</v>
      </c>
      <c r="K130" s="19"/>
      <c r="L130" s="19"/>
      <c r="M130" s="19"/>
      <c r="N130" s="19"/>
      <c r="O130" s="19" t="s">
        <v>612</v>
      </c>
    </row>
    <row r="131" spans="1:15" ht="15" x14ac:dyDescent="0.2">
      <c r="A131" s="21" t="s">
        <v>12</v>
      </c>
      <c r="B131" s="21" t="s">
        <v>106</v>
      </c>
      <c r="C131" s="19" t="s">
        <v>251</v>
      </c>
      <c r="D131" s="20" t="s">
        <v>252</v>
      </c>
      <c r="E131" s="19" t="s">
        <v>70</v>
      </c>
      <c r="F131" s="19" t="s">
        <v>249</v>
      </c>
      <c r="G131" s="19">
        <v>5</v>
      </c>
      <c r="H131" s="19"/>
      <c r="I131" s="19">
        <v>4500</v>
      </c>
      <c r="J131" s="19">
        <v>0</v>
      </c>
      <c r="K131" s="19"/>
      <c r="L131" s="19"/>
      <c r="M131" s="19"/>
      <c r="N131" s="19"/>
      <c r="O131" s="19" t="s">
        <v>253</v>
      </c>
    </row>
    <row r="132" spans="1:15" ht="15" x14ac:dyDescent="0.2">
      <c r="A132" s="21" t="s">
        <v>12</v>
      </c>
      <c r="B132" s="21" t="s">
        <v>16</v>
      </c>
      <c r="C132" s="19" t="s">
        <v>263</v>
      </c>
      <c r="D132" s="20" t="s">
        <v>264</v>
      </c>
      <c r="E132" s="19" t="s">
        <v>70</v>
      </c>
      <c r="F132" s="19" t="s">
        <v>249</v>
      </c>
      <c r="G132" s="19">
        <v>5</v>
      </c>
      <c r="H132" s="19"/>
      <c r="I132" s="19">
        <v>4500</v>
      </c>
      <c r="J132" s="19">
        <v>0</v>
      </c>
      <c r="K132" s="19"/>
      <c r="L132" s="19"/>
      <c r="M132" s="19"/>
      <c r="N132" s="19"/>
      <c r="O132" s="19" t="s">
        <v>253</v>
      </c>
    </row>
    <row r="133" spans="1:15" ht="15" x14ac:dyDescent="0.2">
      <c r="A133" s="21" t="s">
        <v>12</v>
      </c>
      <c r="B133" s="21" t="s">
        <v>16</v>
      </c>
      <c r="C133" s="19" t="s">
        <v>261</v>
      </c>
      <c r="D133" s="20" t="s">
        <v>262</v>
      </c>
      <c r="E133" s="19" t="s">
        <v>70</v>
      </c>
      <c r="F133" s="19" t="s">
        <v>249</v>
      </c>
      <c r="G133" s="19">
        <v>5</v>
      </c>
      <c r="H133" s="19"/>
      <c r="I133" s="19">
        <v>4500</v>
      </c>
      <c r="J133" s="19">
        <v>0</v>
      </c>
      <c r="K133" s="19"/>
      <c r="L133" s="19"/>
      <c r="M133" s="19"/>
      <c r="N133" s="19"/>
      <c r="O133" s="19" t="s">
        <v>253</v>
      </c>
    </row>
    <row r="134" spans="1:15" ht="15" x14ac:dyDescent="0.2">
      <c r="A134" s="21" t="s">
        <v>12</v>
      </c>
      <c r="B134" s="21" t="s">
        <v>106</v>
      </c>
      <c r="C134" s="19" t="s">
        <v>256</v>
      </c>
      <c r="D134" s="20" t="s">
        <v>257</v>
      </c>
      <c r="E134" s="19" t="s">
        <v>70</v>
      </c>
      <c r="F134" s="19" t="s">
        <v>249</v>
      </c>
      <c r="G134" s="19">
        <v>5</v>
      </c>
      <c r="H134" s="19"/>
      <c r="I134" s="19">
        <v>4500</v>
      </c>
      <c r="J134" s="19">
        <v>0</v>
      </c>
      <c r="K134" s="19"/>
      <c r="L134" s="19"/>
      <c r="M134" s="19"/>
      <c r="N134" s="19"/>
      <c r="O134" s="19" t="s">
        <v>253</v>
      </c>
    </row>
    <row r="135" spans="1:15" ht="15" x14ac:dyDescent="0.2">
      <c r="A135" s="21" t="s">
        <v>12</v>
      </c>
      <c r="B135" s="21" t="s">
        <v>106</v>
      </c>
      <c r="C135" s="19" t="s">
        <v>254</v>
      </c>
      <c r="D135" s="20" t="s">
        <v>255</v>
      </c>
      <c r="E135" s="19" t="s">
        <v>70</v>
      </c>
      <c r="F135" s="19" t="s">
        <v>249</v>
      </c>
      <c r="G135" s="19">
        <v>5</v>
      </c>
      <c r="H135" s="19"/>
      <c r="I135" s="19">
        <v>4500</v>
      </c>
      <c r="J135" s="19">
        <v>0</v>
      </c>
      <c r="K135" s="19"/>
      <c r="L135" s="19"/>
      <c r="M135" s="19"/>
      <c r="N135" s="19"/>
      <c r="O135" s="19" t="s">
        <v>253</v>
      </c>
    </row>
    <row r="136" spans="1:15" ht="42.75" x14ac:dyDescent="0.2">
      <c r="A136" s="21" t="s">
        <v>12</v>
      </c>
      <c r="B136" s="21" t="s">
        <v>16</v>
      </c>
      <c r="C136" s="19" t="s">
        <v>258</v>
      </c>
      <c r="D136" s="20" t="s">
        <v>259</v>
      </c>
      <c r="E136" s="19" t="s">
        <v>70</v>
      </c>
      <c r="F136" s="19" t="s">
        <v>249</v>
      </c>
      <c r="G136" s="19">
        <v>5</v>
      </c>
      <c r="H136" s="19"/>
      <c r="I136" s="19">
        <v>4500</v>
      </c>
      <c r="J136" s="19">
        <v>0</v>
      </c>
      <c r="K136" s="19"/>
      <c r="L136" s="19"/>
      <c r="M136" s="19"/>
      <c r="N136" s="19"/>
      <c r="O136" s="19" t="s">
        <v>260</v>
      </c>
    </row>
    <row r="137" spans="1:15" ht="28.5" x14ac:dyDescent="0.2">
      <c r="A137" s="21" t="s">
        <v>12</v>
      </c>
      <c r="B137" s="21" t="s">
        <v>13</v>
      </c>
      <c r="C137" s="19" t="s">
        <v>247</v>
      </c>
      <c r="D137" s="20" t="s">
        <v>248</v>
      </c>
      <c r="E137" s="19" t="s">
        <v>70</v>
      </c>
      <c r="F137" s="19" t="s">
        <v>249</v>
      </c>
      <c r="G137" s="19">
        <v>8</v>
      </c>
      <c r="H137" s="19"/>
      <c r="I137" s="19"/>
      <c r="J137" s="19"/>
      <c r="K137" s="19"/>
      <c r="L137" s="19"/>
      <c r="M137" s="19"/>
      <c r="N137" s="19"/>
      <c r="O137" s="19" t="s">
        <v>250</v>
      </c>
    </row>
    <row r="138" spans="1:15" ht="15" x14ac:dyDescent="0.2">
      <c r="A138" s="21" t="s">
        <v>12</v>
      </c>
      <c r="B138" s="21" t="s">
        <v>15</v>
      </c>
      <c r="C138" s="19" t="s">
        <v>77</v>
      </c>
      <c r="D138" s="20" t="s">
        <v>78</v>
      </c>
      <c r="E138" s="19" t="s">
        <v>70</v>
      </c>
      <c r="F138" s="19" t="s">
        <v>75</v>
      </c>
      <c r="G138" s="19">
        <v>0</v>
      </c>
      <c r="H138" s="19"/>
      <c r="I138" s="19">
        <v>7200</v>
      </c>
      <c r="J138" s="19">
        <v>7200</v>
      </c>
      <c r="K138" s="19"/>
      <c r="L138" s="19"/>
      <c r="M138" s="19"/>
      <c r="N138" s="19"/>
      <c r="O138" s="19" t="s">
        <v>76</v>
      </c>
    </row>
    <row r="139" spans="1:15" ht="15" x14ac:dyDescent="0.2">
      <c r="A139" s="21" t="s">
        <v>12</v>
      </c>
      <c r="B139" s="21" t="s">
        <v>15</v>
      </c>
      <c r="C139" s="19" t="s">
        <v>79</v>
      </c>
      <c r="D139" s="20" t="s">
        <v>80</v>
      </c>
      <c r="E139" s="19" t="s">
        <v>70</v>
      </c>
      <c r="F139" s="19" t="s">
        <v>75</v>
      </c>
      <c r="G139" s="19">
        <v>0</v>
      </c>
      <c r="H139" s="19"/>
      <c r="I139" s="19"/>
      <c r="J139" s="19"/>
      <c r="K139" s="19"/>
      <c r="L139" s="19"/>
      <c r="M139" s="19"/>
      <c r="N139" s="19"/>
      <c r="O139" s="19" t="s">
        <v>76</v>
      </c>
    </row>
    <row r="140" spans="1:15" ht="28.5" x14ac:dyDescent="0.2">
      <c r="A140" s="21" t="s">
        <v>12</v>
      </c>
      <c r="B140" s="21" t="s">
        <v>15</v>
      </c>
      <c r="C140" s="19" t="s">
        <v>73</v>
      </c>
      <c r="D140" s="20" t="s">
        <v>74</v>
      </c>
      <c r="E140" s="19" t="s">
        <v>70</v>
      </c>
      <c r="F140" s="19" t="s">
        <v>75</v>
      </c>
      <c r="G140" s="19">
        <v>0</v>
      </c>
      <c r="H140" s="19"/>
      <c r="I140" s="19"/>
      <c r="J140" s="19"/>
      <c r="K140" s="19"/>
      <c r="L140" s="19"/>
      <c r="M140" s="19"/>
      <c r="N140" s="19"/>
      <c r="O140" s="19" t="s">
        <v>76</v>
      </c>
    </row>
    <row r="141" spans="1:15" ht="15" x14ac:dyDescent="0.2">
      <c r="A141" s="21" t="s">
        <v>12</v>
      </c>
      <c r="B141" s="21" t="s">
        <v>15</v>
      </c>
      <c r="C141" s="19" t="s">
        <v>279</v>
      </c>
      <c r="D141" s="20" t="s">
        <v>614</v>
      </c>
      <c r="E141" s="19" t="s">
        <v>442</v>
      </c>
      <c r="F141" s="19" t="s">
        <v>616</v>
      </c>
      <c r="G141" s="19">
        <v>7</v>
      </c>
      <c r="H141" s="19">
        <v>5</v>
      </c>
      <c r="I141" s="19">
        <v>288000</v>
      </c>
      <c r="J141" s="19">
        <v>57600</v>
      </c>
      <c r="K141" s="19"/>
      <c r="L141" s="19"/>
      <c r="M141" s="19"/>
      <c r="N141" s="19"/>
      <c r="O141" s="19" t="s">
        <v>615</v>
      </c>
    </row>
    <row r="142" spans="1:15" ht="28.5" x14ac:dyDescent="0.2">
      <c r="A142" s="21" t="s">
        <v>12</v>
      </c>
      <c r="B142" s="21" t="s">
        <v>15</v>
      </c>
      <c r="C142" s="19" t="s">
        <v>196</v>
      </c>
      <c r="D142" s="20" t="s">
        <v>197</v>
      </c>
      <c r="E142" s="19" t="s">
        <v>70</v>
      </c>
      <c r="F142" s="19" t="s">
        <v>188</v>
      </c>
      <c r="G142" s="19">
        <v>5</v>
      </c>
      <c r="H142" s="19">
        <v>5</v>
      </c>
      <c r="I142" s="19">
        <v>104400</v>
      </c>
      <c r="J142" s="19">
        <v>104400</v>
      </c>
      <c r="K142" s="19"/>
      <c r="L142" s="19"/>
      <c r="M142" s="19"/>
      <c r="N142" s="19"/>
      <c r="O142" s="19" t="s">
        <v>198</v>
      </c>
    </row>
    <row r="143" spans="1:15" ht="28.5" x14ac:dyDescent="0.2">
      <c r="A143" s="21" t="s">
        <v>12</v>
      </c>
      <c r="B143" s="21" t="s">
        <v>15</v>
      </c>
      <c r="C143" s="19" t="s">
        <v>205</v>
      </c>
      <c r="D143" s="20" t="s">
        <v>206</v>
      </c>
      <c r="E143" s="19" t="s">
        <v>70</v>
      </c>
      <c r="F143" s="19" t="s">
        <v>188</v>
      </c>
      <c r="G143" s="19">
        <v>8</v>
      </c>
      <c r="H143" s="19">
        <v>8</v>
      </c>
      <c r="I143" s="19">
        <v>57600</v>
      </c>
      <c r="J143" s="19">
        <v>57600</v>
      </c>
      <c r="K143" s="19"/>
      <c r="L143" s="19"/>
      <c r="M143" s="19"/>
      <c r="N143" s="19"/>
      <c r="O143" s="19" t="s">
        <v>91</v>
      </c>
    </row>
    <row r="144" spans="1:15" ht="28.5" x14ac:dyDescent="0.2">
      <c r="A144" s="21" t="s">
        <v>12</v>
      </c>
      <c r="B144" s="21" t="s">
        <v>15</v>
      </c>
      <c r="C144" s="19" t="s">
        <v>194</v>
      </c>
      <c r="D144" s="20" t="s">
        <v>195</v>
      </c>
      <c r="E144" s="19" t="s">
        <v>70</v>
      </c>
      <c r="F144" s="19" t="s">
        <v>188</v>
      </c>
      <c r="G144" s="19">
        <v>3</v>
      </c>
      <c r="H144" s="19">
        <v>3</v>
      </c>
      <c r="I144" s="19">
        <v>28800</v>
      </c>
      <c r="J144" s="19">
        <v>28800</v>
      </c>
      <c r="K144" s="19"/>
      <c r="L144" s="19"/>
      <c r="M144" s="19"/>
      <c r="N144" s="19"/>
      <c r="O144" s="19" t="s">
        <v>91</v>
      </c>
    </row>
    <row r="145" spans="1:15" ht="28.5" x14ac:dyDescent="0.2">
      <c r="A145" s="21" t="s">
        <v>12</v>
      </c>
      <c r="B145" s="21" t="s">
        <v>15</v>
      </c>
      <c r="C145" s="19" t="s">
        <v>182</v>
      </c>
      <c r="D145" s="20" t="s">
        <v>183</v>
      </c>
      <c r="E145" s="19" t="s">
        <v>70</v>
      </c>
      <c r="F145" s="19" t="s">
        <v>180</v>
      </c>
      <c r="G145" s="19">
        <v>3</v>
      </c>
      <c r="H145" s="19">
        <v>3</v>
      </c>
      <c r="I145" s="19">
        <v>28800</v>
      </c>
      <c r="J145" s="19">
        <v>28800</v>
      </c>
      <c r="K145" s="19"/>
      <c r="L145" s="19"/>
      <c r="M145" s="19"/>
      <c r="N145" s="19"/>
      <c r="O145" s="19" t="s">
        <v>88</v>
      </c>
    </row>
    <row r="146" spans="1:15" ht="15" x14ac:dyDescent="0.2">
      <c r="A146" s="21" t="s">
        <v>12</v>
      </c>
      <c r="B146" s="21" t="s">
        <v>17</v>
      </c>
      <c r="C146" s="19" t="s">
        <v>102</v>
      </c>
      <c r="D146" s="20" t="s">
        <v>103</v>
      </c>
      <c r="E146" s="19" t="s">
        <v>70</v>
      </c>
      <c r="F146" s="19" t="s">
        <v>87</v>
      </c>
      <c r="G146" s="19">
        <v>1</v>
      </c>
      <c r="H146" s="19"/>
      <c r="I146" s="19">
        <v>14400</v>
      </c>
      <c r="J146" s="19">
        <v>14400</v>
      </c>
      <c r="K146" s="19"/>
      <c r="L146" s="19"/>
      <c r="M146" s="19"/>
      <c r="N146" s="19"/>
      <c r="O146" s="19"/>
    </row>
    <row r="147" spans="1:15" ht="15" x14ac:dyDescent="0.2">
      <c r="A147" s="21" t="s">
        <v>12</v>
      </c>
      <c r="B147" s="21" t="s">
        <v>15</v>
      </c>
      <c r="C147" s="19" t="s">
        <v>89</v>
      </c>
      <c r="D147" s="20" t="s">
        <v>90</v>
      </c>
      <c r="E147" s="19" t="s">
        <v>70</v>
      </c>
      <c r="F147" s="19" t="s">
        <v>87</v>
      </c>
      <c r="G147" s="19">
        <v>8</v>
      </c>
      <c r="H147" s="19">
        <v>8</v>
      </c>
      <c r="I147" s="19">
        <v>129600</v>
      </c>
      <c r="J147" s="19">
        <v>129600</v>
      </c>
      <c r="K147" s="19"/>
      <c r="L147" s="19"/>
      <c r="M147" s="19"/>
      <c r="N147" s="19"/>
      <c r="O147" s="19" t="s">
        <v>91</v>
      </c>
    </row>
    <row r="148" spans="1:15" ht="15" x14ac:dyDescent="0.2">
      <c r="A148" s="21" t="s">
        <v>12</v>
      </c>
      <c r="B148" s="21" t="s">
        <v>15</v>
      </c>
      <c r="C148" s="19" t="s">
        <v>92</v>
      </c>
      <c r="D148" s="20" t="s">
        <v>93</v>
      </c>
      <c r="E148" s="19" t="s">
        <v>70</v>
      </c>
      <c r="F148" s="19" t="s">
        <v>87</v>
      </c>
      <c r="G148" s="19">
        <v>3</v>
      </c>
      <c r="H148" s="19">
        <v>3</v>
      </c>
      <c r="I148" s="19">
        <v>57600</v>
      </c>
      <c r="J148" s="19">
        <v>57600</v>
      </c>
      <c r="K148" s="19"/>
      <c r="L148" s="19"/>
      <c r="M148" s="19"/>
      <c r="N148" s="19"/>
      <c r="O148" s="19" t="s">
        <v>91</v>
      </c>
    </row>
    <row r="149" spans="1:15" ht="28.5" x14ac:dyDescent="0.2">
      <c r="A149" s="21" t="s">
        <v>12</v>
      </c>
      <c r="B149" s="21" t="s">
        <v>15</v>
      </c>
      <c r="C149" s="19" t="s">
        <v>104</v>
      </c>
      <c r="D149" s="20" t="s">
        <v>105</v>
      </c>
      <c r="E149" s="19" t="s">
        <v>70</v>
      </c>
      <c r="F149" s="19" t="s">
        <v>87</v>
      </c>
      <c r="G149" s="19">
        <v>3</v>
      </c>
      <c r="H149" s="19">
        <v>3</v>
      </c>
      <c r="I149" s="19">
        <v>28800</v>
      </c>
      <c r="J149" s="19">
        <v>28800</v>
      </c>
      <c r="K149" s="19"/>
      <c r="L149" s="19"/>
      <c r="M149" s="19"/>
      <c r="N149" s="19"/>
      <c r="O149" s="19" t="s">
        <v>91</v>
      </c>
    </row>
    <row r="150" spans="1:15" ht="15" x14ac:dyDescent="0.2">
      <c r="A150" s="21" t="s">
        <v>12</v>
      </c>
      <c r="B150" s="21" t="s">
        <v>15</v>
      </c>
      <c r="C150" s="19" t="s">
        <v>85</v>
      </c>
      <c r="D150" s="20" t="s">
        <v>86</v>
      </c>
      <c r="E150" s="19" t="s">
        <v>70</v>
      </c>
      <c r="F150" s="19" t="s">
        <v>87</v>
      </c>
      <c r="G150" s="19">
        <v>3</v>
      </c>
      <c r="H150" s="19">
        <v>3</v>
      </c>
      <c r="I150" s="19">
        <v>144000</v>
      </c>
      <c r="J150" s="19">
        <v>144000</v>
      </c>
      <c r="K150" s="19"/>
      <c r="L150" s="19"/>
      <c r="M150" s="19"/>
      <c r="N150" s="19"/>
      <c r="O150" s="19" t="s">
        <v>88</v>
      </c>
    </row>
    <row r="151" spans="1:15" ht="15" x14ac:dyDescent="0.2">
      <c r="A151" s="21" t="s">
        <v>12</v>
      </c>
      <c r="B151" s="21" t="s">
        <v>15</v>
      </c>
      <c r="C151" s="19" t="s">
        <v>618</v>
      </c>
      <c r="D151" s="20" t="s">
        <v>617</v>
      </c>
      <c r="E151" s="19" t="s">
        <v>432</v>
      </c>
      <c r="F151" s="19" t="s">
        <v>434</v>
      </c>
      <c r="G151" s="19">
        <v>5</v>
      </c>
      <c r="H151" s="19">
        <v>5</v>
      </c>
      <c r="I151" s="19">
        <v>208800</v>
      </c>
      <c r="J151" s="19">
        <v>208800</v>
      </c>
      <c r="K151" s="19"/>
      <c r="L151" s="19"/>
      <c r="M151" s="19"/>
      <c r="N151" s="19"/>
      <c r="O151" s="19" t="s">
        <v>619</v>
      </c>
    </row>
    <row r="152" spans="1:15" ht="28.5" x14ac:dyDescent="0.2">
      <c r="A152" s="21" t="s">
        <v>12</v>
      </c>
      <c r="B152" s="21" t="s">
        <v>15</v>
      </c>
      <c r="C152" s="19" t="s">
        <v>621</v>
      </c>
      <c r="D152" s="20" t="s">
        <v>620</v>
      </c>
      <c r="E152" s="19" t="s">
        <v>442</v>
      </c>
      <c r="F152" s="19" t="s">
        <v>443</v>
      </c>
      <c r="G152" s="19">
        <v>5</v>
      </c>
      <c r="H152" s="19">
        <v>5</v>
      </c>
      <c r="I152" s="19">
        <v>57840</v>
      </c>
      <c r="J152" s="19">
        <v>57840</v>
      </c>
      <c r="K152" s="19"/>
      <c r="L152" s="19"/>
      <c r="M152" s="19"/>
      <c r="N152" s="19"/>
      <c r="O152" s="19" t="s">
        <v>622</v>
      </c>
    </row>
    <row r="153" spans="1:15" ht="57" x14ac:dyDescent="0.2">
      <c r="A153" s="21" t="s">
        <v>12</v>
      </c>
      <c r="B153" s="21" t="s">
        <v>15</v>
      </c>
      <c r="C153" s="19" t="s">
        <v>624</v>
      </c>
      <c r="D153" s="20" t="s">
        <v>623</v>
      </c>
      <c r="E153" s="19" t="s">
        <v>442</v>
      </c>
      <c r="F153" s="19" t="s">
        <v>443</v>
      </c>
      <c r="G153" s="19">
        <v>5</v>
      </c>
      <c r="H153" s="19">
        <v>5</v>
      </c>
      <c r="I153" s="19">
        <v>64800</v>
      </c>
      <c r="J153" s="19">
        <v>64800</v>
      </c>
      <c r="K153" s="19"/>
      <c r="L153" s="19"/>
      <c r="M153" s="19"/>
      <c r="N153" s="19"/>
      <c r="O153" s="19" t="s">
        <v>622</v>
      </c>
    </row>
    <row r="154" spans="1:15" ht="42.75" x14ac:dyDescent="0.2">
      <c r="A154" s="21" t="s">
        <v>12</v>
      </c>
      <c r="B154" s="21" t="s">
        <v>106</v>
      </c>
      <c r="C154" s="19" t="s">
        <v>626</v>
      </c>
      <c r="D154" s="20" t="s">
        <v>625</v>
      </c>
      <c r="E154" s="19" t="s">
        <v>442</v>
      </c>
      <c r="F154" s="19" t="s">
        <v>447</v>
      </c>
      <c r="G154" s="19">
        <v>5</v>
      </c>
      <c r="H154" s="19"/>
      <c r="I154" s="19">
        <v>64800</v>
      </c>
      <c r="J154" s="19">
        <v>64800</v>
      </c>
      <c r="K154" s="19"/>
      <c r="L154" s="19"/>
      <c r="M154" s="19"/>
      <c r="N154" s="19"/>
      <c r="O154" s="19" t="s">
        <v>622</v>
      </c>
    </row>
    <row r="155" spans="1:15" ht="42.75" x14ac:dyDescent="0.2">
      <c r="A155" s="21" t="s">
        <v>12</v>
      </c>
      <c r="B155" s="21" t="s">
        <v>15</v>
      </c>
      <c r="C155" s="19" t="s">
        <v>628</v>
      </c>
      <c r="D155" s="20" t="s">
        <v>627</v>
      </c>
      <c r="E155" s="19" t="s">
        <v>442</v>
      </c>
      <c r="F155" s="19" t="s">
        <v>443</v>
      </c>
      <c r="G155" s="19">
        <v>5</v>
      </c>
      <c r="H155" s="19">
        <v>5</v>
      </c>
      <c r="I155" s="19">
        <v>115200</v>
      </c>
      <c r="J155" s="19">
        <v>115200</v>
      </c>
      <c r="K155" s="19"/>
      <c r="L155" s="19"/>
      <c r="M155" s="19"/>
      <c r="N155" s="19"/>
      <c r="O155" s="19" t="s">
        <v>622</v>
      </c>
    </row>
    <row r="156" spans="1:15" ht="28.5" x14ac:dyDescent="0.2">
      <c r="A156" s="21" t="s">
        <v>12</v>
      </c>
      <c r="B156" s="21" t="s">
        <v>15</v>
      </c>
      <c r="C156" s="19" t="s">
        <v>630</v>
      </c>
      <c r="D156" s="20" t="s">
        <v>629</v>
      </c>
      <c r="E156" s="19" t="s">
        <v>442</v>
      </c>
      <c r="F156" s="19" t="s">
        <v>443</v>
      </c>
      <c r="G156" s="19">
        <v>5</v>
      </c>
      <c r="H156" s="19">
        <v>5</v>
      </c>
      <c r="I156" s="19">
        <v>86400</v>
      </c>
      <c r="J156" s="19">
        <v>86400</v>
      </c>
      <c r="K156" s="19"/>
      <c r="L156" s="19"/>
      <c r="M156" s="19"/>
      <c r="N156" s="19"/>
      <c r="O156" s="19" t="s">
        <v>622</v>
      </c>
    </row>
    <row r="157" spans="1:15" x14ac:dyDescent="0.2">
      <c r="A157" s="65" t="s">
        <v>634</v>
      </c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7"/>
    </row>
  </sheetData>
  <mergeCells count="4">
    <mergeCell ref="A1:O1"/>
    <mergeCell ref="A2:O2"/>
    <mergeCell ref="A3:O3"/>
    <mergeCell ref="A157:O157"/>
  </mergeCells>
  <hyperlinks>
    <hyperlink ref="A2" r:id="rId1" display="https://webgate.ec.europa.eu/CITnet/jira/issues/?jql=project+in+%28COMPCORP%2C+CCADMIN%2C+CCARCHITEC%2C+CCDOCLIST%2C+ECKL%2C+CCINFRAEC%2C+INTERCOM%2C+CCPMO%2C+PFM%2C+PROCESS%2C+CCTASK%2C+TSKACTION%2C+WAVECC%2C+COMPASS%29+AND+issuetype+in+%28Story%29+and+fixversion+is+not+empty"/>
    <hyperlink ref="D5" r:id="rId2" display="https://webgate.ec.europa.eu/CITnet/jira/browse/WAVECC-44"/>
    <hyperlink ref="D6" r:id="rId3" display="https://webgate.ec.europa.eu/CITnet/jira/browse/WAVECC-43"/>
    <hyperlink ref="D7" r:id="rId4" display="https://webgate.ec.europa.eu/CITnet/jira/browse/WAVECC-35"/>
    <hyperlink ref="D8" r:id="rId5" display="https://webgate.ec.europa.eu/CITnet/jira/browse/WAVECC-28"/>
    <hyperlink ref="D9" r:id="rId6" display="https://webgate.ec.europa.eu/CITnet/jira/browse/WAVECC-26"/>
    <hyperlink ref="D10" r:id="rId7" display="https://webgate.ec.europa.eu/CITnet/jira/browse/WAVECC-25"/>
    <hyperlink ref="D11" r:id="rId8" display="https://webgate.ec.europa.eu/CITnet/jira/browse/WAVECC-7"/>
    <hyperlink ref="D12" r:id="rId9" display="https://webgate.ec.europa.eu/CITnet/jira/browse/WAVECC-6"/>
    <hyperlink ref="D13" r:id="rId10" display="https://webgate.ec.europa.eu/CITnet/jira/browse/PROCESS-129"/>
    <hyperlink ref="D14" r:id="rId11" display="https://webgate.ec.europa.eu/CITnet/jira/browse/PROCESS-128"/>
    <hyperlink ref="D15" r:id="rId12" display="https://webgate.ec.europa.eu/CITnet/jira/browse/PROCESS-122"/>
    <hyperlink ref="D16" r:id="rId13" display="https://webgate.ec.europa.eu/CITnet/jira/browse/PROCESS-121"/>
    <hyperlink ref="D17" r:id="rId14" display="https://webgate.ec.europa.eu/CITnet/jira/browse/PROCESS-120"/>
    <hyperlink ref="D18" r:id="rId15" display="https://webgate.ec.europa.eu/CITnet/jira/browse/PROCESS-119"/>
    <hyperlink ref="D19" r:id="rId16" display="https://webgate.ec.europa.eu/CITnet/jira/browse/PROCESS-118"/>
    <hyperlink ref="D20" r:id="rId17" display="https://webgate.ec.europa.eu/CITnet/jira/browse/PROCESS-117"/>
    <hyperlink ref="D21" r:id="rId18" display="https://webgate.ec.europa.eu/CITnet/jira/browse/PROCESS-116"/>
    <hyperlink ref="D22" r:id="rId19" display="https://webgate.ec.europa.eu/CITnet/jira/browse/PROCESS-115"/>
    <hyperlink ref="D23" r:id="rId20" display="https://webgate.ec.europa.eu/CITnet/jira/browse/PROCESS-114"/>
    <hyperlink ref="D24" r:id="rId21" display="https://webgate.ec.europa.eu/CITnet/jira/browse/PROCESS-113"/>
    <hyperlink ref="D25" r:id="rId22" display="https://webgate.ec.europa.eu/CITnet/jira/browse/PROCESS-112"/>
    <hyperlink ref="D26" r:id="rId23" display="https://webgate.ec.europa.eu/CITnet/jira/browse/PROCESS-111"/>
    <hyperlink ref="D27" r:id="rId24" display="https://webgate.ec.europa.eu/CITnet/jira/browse/PROCESS-110"/>
    <hyperlink ref="D28" r:id="rId25" display="https://webgate.ec.europa.eu/CITnet/jira/browse/PROCESS-109"/>
    <hyperlink ref="D29" r:id="rId26" display="https://webgate.ec.europa.eu/CITnet/jira/browse/PROCESS-108"/>
    <hyperlink ref="D30" r:id="rId27" display="https://webgate.ec.europa.eu/CITnet/jira/browse/PROCESS-107"/>
    <hyperlink ref="D31" r:id="rId28" display="https://webgate.ec.europa.eu/CITnet/jira/browse/PROCESS-90"/>
    <hyperlink ref="D32" r:id="rId29" display="https://webgate.ec.europa.eu/CITnet/jira/browse/PROCESS-89"/>
    <hyperlink ref="D33" r:id="rId30" display="https://webgate.ec.europa.eu/CITnet/jira/browse/PROCESS-86"/>
    <hyperlink ref="D34" r:id="rId31" display="https://webgate.ec.europa.eu/CITnet/jira/browse/PROCESS-76"/>
    <hyperlink ref="D35" r:id="rId32" display="https://webgate.ec.europa.eu/CITnet/jira/browse/PROCESS-74"/>
    <hyperlink ref="D36" r:id="rId33" display="https://webgate.ec.europa.eu/CITnet/jira/browse/PROCESS-49"/>
    <hyperlink ref="D37" r:id="rId34" display="https://webgate.ec.europa.eu/CITnet/jira/browse/PROCESS-48"/>
    <hyperlink ref="D38" r:id="rId35" display="https://webgate.ec.europa.eu/CITnet/jira/browse/PFM-160"/>
    <hyperlink ref="D39" r:id="rId36" display="https://webgate.ec.europa.eu/CITnet/jira/browse/PFM-155"/>
    <hyperlink ref="D40" r:id="rId37" display="https://webgate.ec.europa.eu/CITnet/jira/browse/PFM-152"/>
    <hyperlink ref="D41" r:id="rId38" display="https://webgate.ec.europa.eu/CITnet/jira/browse/PFM-151"/>
    <hyperlink ref="D42" r:id="rId39" display="https://webgate.ec.europa.eu/CITnet/jira/browse/PFM-150"/>
    <hyperlink ref="D43" r:id="rId40" display="https://webgate.ec.europa.eu/CITnet/jira/browse/PFM-149"/>
    <hyperlink ref="D44" r:id="rId41" display="https://webgate.ec.europa.eu/CITnet/jira/browse/PFM-148"/>
    <hyperlink ref="D45" r:id="rId42" display="https://webgate.ec.europa.eu/CITnet/jira/browse/PFM-147"/>
    <hyperlink ref="D46" r:id="rId43" display="https://webgate.ec.europa.eu/CITnet/jira/browse/PFM-146"/>
    <hyperlink ref="D47" r:id="rId44" display="https://webgate.ec.europa.eu/CITnet/jira/browse/PFM-144"/>
    <hyperlink ref="D48" r:id="rId45" display="https://webgate.ec.europa.eu/CITnet/jira/browse/PFM-143"/>
    <hyperlink ref="D49" r:id="rId46" display="https://webgate.ec.europa.eu/CITnet/jira/browse/PFM-142"/>
    <hyperlink ref="D50" r:id="rId47" display="https://webgate.ec.europa.eu/CITnet/jira/browse/PFM-116"/>
    <hyperlink ref="D51" r:id="rId48" display="https://webgate.ec.europa.eu/CITnet/jira/browse/PFM-114"/>
    <hyperlink ref="D52" r:id="rId49" display="https://webgate.ec.europa.eu/CITnet/jira/browse/PFM-110"/>
    <hyperlink ref="D53" r:id="rId50" display="https://webgate.ec.europa.eu/CITnet/jira/browse/PFM-92"/>
    <hyperlink ref="D54" r:id="rId51" display="https://webgate.ec.europa.eu/CITnet/jira/browse/PFM-91"/>
    <hyperlink ref="D55" r:id="rId52" display="https://webgate.ec.europa.eu/CITnet/jira/browse/PFM-87"/>
    <hyperlink ref="D56" r:id="rId53" display="https://webgate.ec.europa.eu/CITnet/jira/browse/PFM-82"/>
    <hyperlink ref="D57" r:id="rId54" display="https://webgate.ec.europa.eu/CITnet/jira/browse/PFM-81"/>
    <hyperlink ref="D58" r:id="rId55" display="https://webgate.ec.europa.eu/CITnet/jira/browse/PFM-73"/>
    <hyperlink ref="D59" r:id="rId56" display="https://webgate.ec.europa.eu/CITnet/jira/browse/PFM-71"/>
    <hyperlink ref="D60" r:id="rId57" display="https://webgate.ec.europa.eu/CITnet/jira/browse/PFM-69"/>
    <hyperlink ref="D61" r:id="rId58" display="https://webgate.ec.europa.eu/CITnet/jira/browse/PFM-68"/>
    <hyperlink ref="D62" r:id="rId59" display="https://webgate.ec.europa.eu/CITnet/jira/browse/PFM-64"/>
    <hyperlink ref="D63" r:id="rId60" display="https://webgate.ec.europa.eu/CITnet/jira/browse/PFM-63"/>
    <hyperlink ref="D64" r:id="rId61" display="https://webgate.ec.europa.eu/CITnet/jira/browse/PFM-59"/>
    <hyperlink ref="D65" r:id="rId62" display="https://webgate.ec.europa.eu/CITnet/jira/browse/PFM-56"/>
    <hyperlink ref="D66" r:id="rId63" display="https://webgate.ec.europa.eu/CITnet/jira/browse/PFM-54"/>
    <hyperlink ref="D67" r:id="rId64" display="https://webgate.ec.europa.eu/CITnet/jira/browse/PFM-53"/>
    <hyperlink ref="D68" r:id="rId65" display="https://webgate.ec.europa.eu/CITnet/jira/browse/PFM-52"/>
    <hyperlink ref="D69" r:id="rId66" display="https://webgate.ec.europa.eu/CITnet/jira/browse/PFM-51"/>
    <hyperlink ref="D70" r:id="rId67" display="https://webgate.ec.europa.eu/CITnet/jira/browse/PFM-50"/>
    <hyperlink ref="D71" r:id="rId68" display="https://webgate.ec.europa.eu/CITnet/jira/browse/PFM-49"/>
    <hyperlink ref="D72" r:id="rId69" display="https://webgate.ec.europa.eu/CITnet/jira/browse/PFM-8"/>
    <hyperlink ref="D73" r:id="rId70" display="https://webgate.ec.europa.eu/CITnet/jira/browse/INTERCOM-74"/>
    <hyperlink ref="D74" r:id="rId71" display="https://webgate.ec.europa.eu/CITnet/jira/browse/INTERCOM-73"/>
    <hyperlink ref="D75" r:id="rId72" display="https://webgate.ec.europa.eu/CITnet/jira/browse/INTERCOM-70"/>
    <hyperlink ref="D76" r:id="rId73" display="https://webgate.ec.europa.eu/CITnet/jira/browse/INTERCOM-67"/>
    <hyperlink ref="D77" r:id="rId74" display="https://webgate.ec.europa.eu/CITnet/jira/browse/INTERCOM-66"/>
    <hyperlink ref="D78" r:id="rId75" display="https://webgate.ec.europa.eu/CITnet/jira/browse/INTERCOM-65"/>
    <hyperlink ref="D79" r:id="rId76" display="https://webgate.ec.europa.eu/CITnet/jira/browse/INTERCOM-64"/>
    <hyperlink ref="D80" r:id="rId77" display="https://webgate.ec.europa.eu/CITnet/jira/browse/INTERCOM-60"/>
    <hyperlink ref="D81" r:id="rId78" display="https://webgate.ec.europa.eu/CITnet/jira/browse/INTERCOM-58"/>
    <hyperlink ref="D82" r:id="rId79" display="https://webgate.ec.europa.eu/CITnet/jira/browse/INTERCOM-57"/>
    <hyperlink ref="D83" r:id="rId80" display="https://webgate.ec.europa.eu/CITnet/jira/browse/INTERCOM-56"/>
    <hyperlink ref="D84" r:id="rId81" display="https://webgate.ec.europa.eu/CITnet/jira/browse/INTERCOM-53"/>
    <hyperlink ref="D85" r:id="rId82" display="https://webgate.ec.europa.eu/CITnet/jira/browse/INTERCOM-43"/>
    <hyperlink ref="D86" r:id="rId83" display="https://webgate.ec.europa.eu/CITnet/jira/browse/INTERCOM-41"/>
    <hyperlink ref="D87" r:id="rId84" display="https://webgate.ec.europa.eu/CITnet/jira/browse/INTERCOM-36"/>
    <hyperlink ref="D88" r:id="rId85" display="https://webgate.ec.europa.eu/CITnet/jira/browse/CCTASK-567"/>
    <hyperlink ref="D89" r:id="rId86" display="https://webgate.ec.europa.eu/CITnet/jira/browse/CCTASK-564"/>
    <hyperlink ref="D90" r:id="rId87" display="https://webgate.ec.europa.eu/CITnet/jira/browse/CCTASK-522"/>
    <hyperlink ref="D91" r:id="rId88" display="https://webgate.ec.europa.eu/CITnet/jira/browse/CCTASK-512"/>
    <hyperlink ref="D92" r:id="rId89" display="https://webgate.ec.europa.eu/CITnet/jira/browse/CCTASK-455"/>
    <hyperlink ref="D93" r:id="rId90" display="https://webgate.ec.europa.eu/CITnet/jira/browse/CCTASK-137"/>
    <hyperlink ref="D94" r:id="rId91" display="https://webgate.ec.europa.eu/CITnet/jira/browse/CCTASK-123"/>
    <hyperlink ref="D95" r:id="rId92" display="https://webgate.ec.europa.eu/CITnet/jira/browse/CCTASK-121"/>
    <hyperlink ref="D96" r:id="rId93" display="https://webgate.ec.europa.eu/CITnet/jira/browse/CCTASK-120"/>
    <hyperlink ref="D97" r:id="rId94" display="https://webgate.ec.europa.eu/CITnet/jira/browse/CCTASK-118"/>
    <hyperlink ref="D98" r:id="rId95" display="https://webgate.ec.europa.eu/CITnet/jira/browse/CCTASK-117"/>
    <hyperlink ref="D99" r:id="rId96" display="https://webgate.ec.europa.eu/CITnet/jira/browse/CCTASK-116"/>
    <hyperlink ref="D100" r:id="rId97" display="https://webgate.ec.europa.eu/CITnet/jira/browse/CCTASK-113"/>
    <hyperlink ref="D101" r:id="rId98" display="https://webgate.ec.europa.eu/CITnet/jira/browse/CCTASK-112"/>
    <hyperlink ref="D102" r:id="rId99" display="https://webgate.ec.europa.eu/CITnet/jira/browse/CCTASK-110"/>
    <hyperlink ref="D103" r:id="rId100" display="https://webgate.ec.europa.eu/CITnet/jira/browse/CCTASK-109"/>
    <hyperlink ref="D104" r:id="rId101" display="https://webgate.ec.europa.eu/CITnet/jira/browse/CCTASK-107"/>
    <hyperlink ref="D105" r:id="rId102" display="https://webgate.ec.europa.eu/CITnet/jira/browse/CCTASK-104"/>
    <hyperlink ref="D106" r:id="rId103" display="https://webgate.ec.europa.eu/CITnet/jira/browse/CCTASK-103"/>
    <hyperlink ref="D107" r:id="rId104" display="https://webgate.ec.europa.eu/CITnet/jira/browse/CCTASK-102"/>
    <hyperlink ref="D108" r:id="rId105" display="https://webgate.ec.europa.eu/CITnet/jira/browse/CCTASK-101"/>
    <hyperlink ref="D109" r:id="rId106" display="https://webgate.ec.europa.eu/CITnet/jira/browse/CCTASK-100"/>
    <hyperlink ref="D110" r:id="rId107" display="https://webgate.ec.europa.eu/CITnet/jira/browse/CCTASK-99"/>
    <hyperlink ref="D111" r:id="rId108" display="https://webgate.ec.europa.eu/CITnet/jira/browse/CCTASK-98"/>
    <hyperlink ref="D112" r:id="rId109" display="https://webgate.ec.europa.eu/CITnet/jira/browse/CCTASK-97"/>
    <hyperlink ref="D113" r:id="rId110" display="https://webgate.ec.europa.eu/CITnet/jira/browse/CCTASK-94"/>
    <hyperlink ref="D114" r:id="rId111" display="https://webgate.ec.europa.eu/CITnet/jira/browse/CCTASK-93"/>
    <hyperlink ref="D115" r:id="rId112" display="https://webgate.ec.europa.eu/CITnet/jira/browse/CCTASK-90"/>
    <hyperlink ref="D116" r:id="rId113" display="https://webgate.ec.europa.eu/CITnet/jira/browse/CCTASK-89"/>
    <hyperlink ref="D117" r:id="rId114" display="https://webgate.ec.europa.eu/CITnet/jira/browse/CCTASK-88"/>
    <hyperlink ref="D118" r:id="rId115" display="https://webgate.ec.europa.eu/CITnet/jira/browse/CCTASK-87"/>
    <hyperlink ref="D119" r:id="rId116" display="https://webgate.ec.europa.eu/CITnet/jira/browse/CCTASK-84"/>
    <hyperlink ref="D120" r:id="rId117" display="https://webgate.ec.europa.eu/CITnet/jira/browse/CCTASK-82"/>
    <hyperlink ref="D121" r:id="rId118" display="https://webgate.ec.europa.eu/CITnet/jira/browse/CCTASK-80"/>
    <hyperlink ref="D122" r:id="rId119" display="https://webgate.ec.europa.eu/CITnet/jira/browse/CCTASK-79"/>
    <hyperlink ref="D123" r:id="rId120" display="https://webgate.ec.europa.eu/CITnet/jira/browse/CCTASK-78"/>
    <hyperlink ref="D124" r:id="rId121" display="https://webgate.ec.europa.eu/CITnet/jira/browse/CCTASK-77"/>
    <hyperlink ref="D125" r:id="rId122" display="https://webgate.ec.europa.eu/CITnet/jira/browse/CCTASK-75"/>
    <hyperlink ref="D126" r:id="rId123" display="https://webgate.ec.europa.eu/CITnet/jira/browse/CCTASK-67"/>
    <hyperlink ref="D127" r:id="rId124" display="https://webgate.ec.europa.eu/CITnet/jira/browse/CCTASK-65"/>
    <hyperlink ref="D128" r:id="rId125" display="https://webgate.ec.europa.eu/CITnet/jira/browse/CCTASK-62"/>
    <hyperlink ref="D129" r:id="rId126" display="https://webgate.ec.europa.eu/CITnet/jira/browse/CCTASK-53"/>
    <hyperlink ref="D130" r:id="rId127" display="https://webgate.ec.europa.eu/CITnet/jira/browse/CCTASK-50"/>
    <hyperlink ref="D131" r:id="rId128" display="https://webgate.ec.europa.eu/CITnet/jira/browse/CCPMO-119"/>
    <hyperlink ref="D132" r:id="rId129" display="https://webgate.ec.europa.eu/CITnet/jira/browse/CCPMO-111"/>
    <hyperlink ref="D133" r:id="rId130" display="https://webgate.ec.europa.eu/CITnet/jira/browse/CCPMO-103"/>
    <hyperlink ref="D134" r:id="rId131" display="https://webgate.ec.europa.eu/CITnet/jira/browse/CCPMO-95"/>
    <hyperlink ref="D135" r:id="rId132" display="https://webgate.ec.europa.eu/CITnet/jira/browse/CCPMO-87"/>
    <hyperlink ref="D136" r:id="rId133" display="https://webgate.ec.europa.eu/CITnet/jira/browse/CCPMO-79"/>
    <hyperlink ref="D137" r:id="rId134" display="https://webgate.ec.europa.eu/CITnet/jira/browse/CCPMO-62"/>
    <hyperlink ref="D138" r:id="rId135" display="https://webgate.ec.europa.eu/CITnet/jira/browse/CCPMO-59"/>
    <hyperlink ref="D139" r:id="rId136" display="https://webgate.ec.europa.eu/CITnet/jira/browse/CCPMO-58"/>
    <hyperlink ref="D140" r:id="rId137" display="https://webgate.ec.europa.eu/CITnet/jira/browse/CCPMO-46"/>
    <hyperlink ref="D141" r:id="rId138" display="https://webgate.ec.europa.eu/CITnet/jira/browse/CCDOCLIST-63"/>
    <hyperlink ref="D142" r:id="rId139" display="https://webgate.ec.europa.eu/CITnet/jira/browse/CCADMIN-56"/>
    <hyperlink ref="D143" r:id="rId140" display="https://webgate.ec.europa.eu/CITnet/jira/browse/CCADMIN-53"/>
    <hyperlink ref="D144" r:id="rId141" display="https://webgate.ec.europa.eu/CITnet/jira/browse/CCADMIN-52"/>
    <hyperlink ref="D145" r:id="rId142" display="https://webgate.ec.europa.eu/CITnet/jira/browse/CCADMIN-51"/>
    <hyperlink ref="D146" r:id="rId143" display="https://webgate.ec.europa.eu/CITnet/jira/browse/CCADMIN-48"/>
    <hyperlink ref="D147" r:id="rId144" display="https://webgate.ec.europa.eu/CITnet/jira/browse/CCADMIN-47"/>
    <hyperlink ref="D148" r:id="rId145" display="https://webgate.ec.europa.eu/CITnet/jira/browse/CCADMIN-46"/>
    <hyperlink ref="D149" r:id="rId146" display="https://webgate.ec.europa.eu/CITnet/jira/browse/CCADMIN-45"/>
    <hyperlink ref="D150" r:id="rId147" display="https://webgate.ec.europa.eu/CITnet/jira/browse/CCADMIN-43"/>
    <hyperlink ref="D151" r:id="rId148" display="https://webgate.ec.europa.eu/CITnet/jira/browse/CCADMIN-35"/>
    <hyperlink ref="D152" r:id="rId149" display="https://webgate.ec.europa.eu/CITnet/jira/browse/CCADMIN-16"/>
    <hyperlink ref="D153" r:id="rId150" display="https://webgate.ec.europa.eu/CITnet/jira/browse/CCADMIN-15"/>
    <hyperlink ref="D154" r:id="rId151" display="https://webgate.ec.europa.eu/CITnet/jira/browse/CCADMIN-14"/>
    <hyperlink ref="D155" r:id="rId152" display="https://webgate.ec.europa.eu/CITnet/jira/browse/CCADMIN-13"/>
    <hyperlink ref="D156" r:id="rId153" display="https://webgate.ec.europa.eu/CITnet/jira/browse/CCADMIN-12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15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57"/>
  <sheetViews>
    <sheetView topLeftCell="D1" zoomScale="90" zoomScaleNormal="90" workbookViewId="0">
      <selection activeCell="E37" sqref="E37"/>
    </sheetView>
  </sheetViews>
  <sheetFormatPr defaultRowHeight="12" x14ac:dyDescent="0.2"/>
  <cols>
    <col min="1" max="1" width="11.25" style="17" bestFit="1" customWidth="1"/>
    <col min="2" max="2" width="18" style="17" bestFit="1" customWidth="1"/>
    <col min="3" max="3" width="32" style="17" bestFit="1" customWidth="1"/>
    <col min="4" max="4" width="13.25" style="17" bestFit="1" customWidth="1"/>
    <col min="5" max="5" width="31.125" style="17" bestFit="1" customWidth="1"/>
    <col min="6" max="6" width="32" style="17" bestFit="1" customWidth="1"/>
    <col min="7" max="7" width="11.75" style="17" bestFit="1" customWidth="1"/>
    <col min="8" max="8" width="9" style="17" bestFit="1" customWidth="1"/>
    <col min="9" max="9" width="17.875" style="17" bestFit="1" customWidth="1"/>
    <col min="10" max="10" width="20.375" style="17" bestFit="1" customWidth="1"/>
    <col min="11" max="11" width="8.5" style="17" bestFit="1" customWidth="1"/>
    <col min="12" max="12" width="14.125" style="17" bestFit="1" customWidth="1"/>
    <col min="13" max="13" width="14.625" style="17" bestFit="1" customWidth="1"/>
    <col min="14" max="14" width="14.5" style="17" bestFit="1" customWidth="1"/>
    <col min="15" max="15" width="32" style="17" bestFit="1" customWidth="1"/>
    <col min="16" max="16384" width="9" style="17"/>
  </cols>
  <sheetData>
    <row r="1" spans="1:15" ht="27" customHeight="1" x14ac:dyDescent="0.2">
      <c r="A1" s="59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1"/>
    </row>
    <row r="2" spans="1:15" ht="15" customHeight="1" x14ac:dyDescent="0.2">
      <c r="A2" s="41" t="s">
        <v>426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62" t="s">
        <v>631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</row>
    <row r="4" spans="1:15" ht="15" x14ac:dyDescent="0.2">
      <c r="A4" s="18" t="s">
        <v>4</v>
      </c>
      <c r="B4" s="18" t="s">
        <v>5</v>
      </c>
      <c r="C4" s="18" t="s">
        <v>54</v>
      </c>
      <c r="D4" s="18" t="s">
        <v>6</v>
      </c>
      <c r="E4" s="18" t="s">
        <v>7</v>
      </c>
      <c r="F4" s="18" t="s">
        <v>53</v>
      </c>
      <c r="G4" s="18" t="s">
        <v>8</v>
      </c>
      <c r="H4" s="18" t="s">
        <v>427</v>
      </c>
      <c r="I4" s="18" t="s">
        <v>429</v>
      </c>
      <c r="J4" s="18" t="s">
        <v>428</v>
      </c>
      <c r="K4" s="18" t="s">
        <v>9</v>
      </c>
      <c r="L4" s="18" t="s">
        <v>10</v>
      </c>
      <c r="M4" s="18" t="s">
        <v>52</v>
      </c>
      <c r="N4" s="18" t="s">
        <v>51</v>
      </c>
      <c r="O4" s="18" t="s">
        <v>11</v>
      </c>
    </row>
    <row r="5" spans="1:15" ht="15" x14ac:dyDescent="0.2">
      <c r="A5" s="21" t="s">
        <v>18</v>
      </c>
      <c r="B5" s="21" t="s">
        <v>19</v>
      </c>
      <c r="C5" s="19" t="s">
        <v>392</v>
      </c>
      <c r="D5" s="20" t="s">
        <v>155</v>
      </c>
      <c r="E5" s="19" t="s">
        <v>70</v>
      </c>
      <c r="F5" s="19"/>
      <c r="G5" s="19"/>
      <c r="H5" s="19"/>
      <c r="I5" s="19"/>
      <c r="J5" s="19"/>
      <c r="K5" s="19"/>
      <c r="L5" s="19"/>
      <c r="M5" s="19"/>
      <c r="N5" s="19"/>
      <c r="O5" s="19" t="s">
        <v>393</v>
      </c>
    </row>
    <row r="6" spans="1:15" ht="15" x14ac:dyDescent="0.2">
      <c r="A6" s="21" t="s">
        <v>18</v>
      </c>
      <c r="B6" s="21" t="s">
        <v>15</v>
      </c>
      <c r="C6" s="19" t="s">
        <v>392</v>
      </c>
      <c r="D6" s="20" t="s">
        <v>394</v>
      </c>
      <c r="E6" s="19" t="s">
        <v>70</v>
      </c>
      <c r="F6" s="19"/>
      <c r="G6" s="19"/>
      <c r="H6" s="19"/>
      <c r="I6" s="19"/>
      <c r="J6" s="19"/>
      <c r="K6" s="19"/>
      <c r="L6" s="19"/>
      <c r="M6" s="19"/>
      <c r="N6" s="19"/>
      <c r="O6" s="19" t="s">
        <v>395</v>
      </c>
    </row>
    <row r="7" spans="1:15" ht="28.5" x14ac:dyDescent="0.2">
      <c r="A7" s="21" t="s">
        <v>18</v>
      </c>
      <c r="B7" s="21" t="s">
        <v>19</v>
      </c>
      <c r="C7" s="19" t="s">
        <v>99</v>
      </c>
      <c r="D7" s="20" t="s">
        <v>101</v>
      </c>
      <c r="E7" s="19" t="s">
        <v>70</v>
      </c>
      <c r="F7" s="19"/>
      <c r="G7" s="19">
        <v>5</v>
      </c>
      <c r="H7" s="19"/>
      <c r="I7" s="19"/>
      <c r="J7" s="19"/>
      <c r="K7" s="19"/>
      <c r="L7" s="19"/>
      <c r="M7" s="19"/>
      <c r="N7" s="19"/>
      <c r="O7" s="19" t="s">
        <v>100</v>
      </c>
    </row>
    <row r="8" spans="1:15" ht="28.5" x14ac:dyDescent="0.2">
      <c r="A8" s="21" t="s">
        <v>18</v>
      </c>
      <c r="B8" s="21" t="s">
        <v>19</v>
      </c>
      <c r="C8" s="19" t="s">
        <v>387</v>
      </c>
      <c r="D8" s="20" t="s">
        <v>159</v>
      </c>
      <c r="E8" s="19" t="s">
        <v>70</v>
      </c>
      <c r="F8" s="19"/>
      <c r="G8" s="19"/>
      <c r="H8" s="19"/>
      <c r="I8" s="19"/>
      <c r="J8" s="19"/>
      <c r="K8" s="19"/>
      <c r="L8" s="19"/>
      <c r="M8" s="19"/>
      <c r="N8" s="19"/>
      <c r="O8" s="19" t="s">
        <v>388</v>
      </c>
    </row>
    <row r="9" spans="1:15" ht="28.5" x14ac:dyDescent="0.2">
      <c r="A9" s="21" t="s">
        <v>18</v>
      </c>
      <c r="B9" s="21" t="s">
        <v>19</v>
      </c>
      <c r="C9" s="19" t="s">
        <v>309</v>
      </c>
      <c r="D9" s="20" t="s">
        <v>310</v>
      </c>
      <c r="E9" s="19" t="s">
        <v>70</v>
      </c>
      <c r="F9" s="19" t="s">
        <v>291</v>
      </c>
      <c r="G9" s="19"/>
      <c r="H9" s="19"/>
      <c r="I9" s="19"/>
      <c r="J9" s="19"/>
      <c r="K9" s="19"/>
      <c r="L9" s="19"/>
      <c r="M9" s="19"/>
      <c r="N9" s="19"/>
      <c r="O9" s="19" t="s">
        <v>311</v>
      </c>
    </row>
    <row r="10" spans="1:15" ht="42.75" x14ac:dyDescent="0.2">
      <c r="A10" s="21" t="s">
        <v>24</v>
      </c>
      <c r="B10" s="21" t="s">
        <v>19</v>
      </c>
      <c r="C10" s="19" t="s">
        <v>285</v>
      </c>
      <c r="D10" s="20" t="s">
        <v>286</v>
      </c>
      <c r="E10" s="19" t="s">
        <v>113</v>
      </c>
      <c r="F10" s="19" t="s">
        <v>287</v>
      </c>
      <c r="G10" s="19"/>
      <c r="H10" s="19"/>
      <c r="I10" s="19"/>
      <c r="J10" s="19"/>
      <c r="K10" s="19"/>
      <c r="L10" s="19"/>
      <c r="M10" s="19"/>
      <c r="N10" s="19"/>
      <c r="O10" s="19" t="s">
        <v>288</v>
      </c>
    </row>
    <row r="11" spans="1:15" ht="42.75" x14ac:dyDescent="0.2">
      <c r="A11" s="21" t="s">
        <v>18</v>
      </c>
      <c r="B11" s="21" t="s">
        <v>21</v>
      </c>
      <c r="C11" s="19" t="s">
        <v>306</v>
      </c>
      <c r="D11" s="20" t="s">
        <v>307</v>
      </c>
      <c r="E11" s="19" t="s">
        <v>70</v>
      </c>
      <c r="F11" s="19" t="s">
        <v>291</v>
      </c>
      <c r="G11" s="19"/>
      <c r="H11" s="19"/>
      <c r="I11" s="19"/>
      <c r="J11" s="19"/>
      <c r="K11" s="19"/>
      <c r="L11" s="19"/>
      <c r="M11" s="19"/>
      <c r="N11" s="19"/>
      <c r="O11" s="19" t="s">
        <v>308</v>
      </c>
    </row>
    <row r="12" spans="1:15" ht="28.5" x14ac:dyDescent="0.2">
      <c r="A12" s="21" t="s">
        <v>18</v>
      </c>
      <c r="B12" s="21" t="s">
        <v>19</v>
      </c>
      <c r="C12" s="19" t="s">
        <v>304</v>
      </c>
      <c r="D12" s="20" t="s">
        <v>234</v>
      </c>
      <c r="E12" s="19" t="s">
        <v>70</v>
      </c>
      <c r="F12" s="19" t="s">
        <v>291</v>
      </c>
      <c r="G12" s="19"/>
      <c r="H12" s="19"/>
      <c r="I12" s="19"/>
      <c r="J12" s="19"/>
      <c r="K12" s="19"/>
      <c r="L12" s="19"/>
      <c r="M12" s="19"/>
      <c r="N12" s="19"/>
      <c r="O12" s="19" t="s">
        <v>305</v>
      </c>
    </row>
    <row r="13" spans="1:15" ht="15" x14ac:dyDescent="0.2">
      <c r="A13" s="21" t="s">
        <v>18</v>
      </c>
      <c r="B13" s="21" t="s">
        <v>19</v>
      </c>
      <c r="C13" s="19" t="s">
        <v>384</v>
      </c>
      <c r="D13" s="20" t="s">
        <v>385</v>
      </c>
      <c r="E13" s="19" t="s">
        <v>70</v>
      </c>
      <c r="F13" s="19"/>
      <c r="G13" s="19"/>
      <c r="H13" s="19"/>
      <c r="I13" s="19"/>
      <c r="J13" s="19"/>
      <c r="K13" s="19"/>
      <c r="L13" s="19"/>
      <c r="M13" s="19"/>
      <c r="N13" s="19"/>
      <c r="O13" s="19" t="s">
        <v>386</v>
      </c>
    </row>
    <row r="14" spans="1:15" ht="42.75" x14ac:dyDescent="0.2">
      <c r="A14" s="21" t="s">
        <v>18</v>
      </c>
      <c r="B14" s="21" t="s">
        <v>20</v>
      </c>
      <c r="C14" s="19" t="s">
        <v>120</v>
      </c>
      <c r="D14" s="20" t="s">
        <v>121</v>
      </c>
      <c r="E14" s="19" t="s">
        <v>113</v>
      </c>
      <c r="F14" s="19" t="s">
        <v>114</v>
      </c>
      <c r="G14" s="19"/>
      <c r="H14" s="19"/>
      <c r="I14" s="19"/>
      <c r="J14" s="19"/>
      <c r="K14" s="19"/>
      <c r="L14" s="19"/>
      <c r="M14" s="19"/>
      <c r="N14" s="19"/>
      <c r="O14" s="19" t="s">
        <v>122</v>
      </c>
    </row>
    <row r="15" spans="1:15" ht="15" x14ac:dyDescent="0.2">
      <c r="A15" s="21" t="s">
        <v>18</v>
      </c>
      <c r="B15" s="21" t="s">
        <v>21</v>
      </c>
      <c r="C15" s="19" t="s">
        <v>207</v>
      </c>
      <c r="D15" s="20" t="s">
        <v>209</v>
      </c>
      <c r="E15" s="19" t="s">
        <v>70</v>
      </c>
      <c r="F15" s="19"/>
      <c r="G15" s="19">
        <v>8</v>
      </c>
      <c r="H15" s="19"/>
      <c r="I15" s="19"/>
      <c r="J15" s="19"/>
      <c r="K15" s="19"/>
      <c r="L15" s="19"/>
      <c r="M15" s="19"/>
      <c r="N15" s="19"/>
      <c r="O15" s="19" t="s">
        <v>208</v>
      </c>
    </row>
    <row r="16" spans="1:15" ht="42.75" x14ac:dyDescent="0.2">
      <c r="A16" s="21" t="s">
        <v>18</v>
      </c>
      <c r="B16" s="21" t="s">
        <v>19</v>
      </c>
      <c r="C16" s="19" t="s">
        <v>301</v>
      </c>
      <c r="D16" s="20" t="s">
        <v>302</v>
      </c>
      <c r="E16" s="19" t="s">
        <v>70</v>
      </c>
      <c r="F16" s="19" t="s">
        <v>291</v>
      </c>
      <c r="G16" s="19"/>
      <c r="H16" s="19"/>
      <c r="I16" s="19"/>
      <c r="J16" s="19"/>
      <c r="K16" s="19"/>
      <c r="L16" s="19"/>
      <c r="M16" s="19"/>
      <c r="N16" s="19"/>
      <c r="O16" s="19" t="s">
        <v>303</v>
      </c>
    </row>
    <row r="17" spans="1:15" ht="15" x14ac:dyDescent="0.2">
      <c r="A17" s="21" t="s">
        <v>18</v>
      </c>
      <c r="B17" s="21" t="s">
        <v>15</v>
      </c>
      <c r="C17" s="19" t="s">
        <v>379</v>
      </c>
      <c r="D17" s="20" t="s">
        <v>181</v>
      </c>
      <c r="E17" s="19" t="s">
        <v>70</v>
      </c>
      <c r="F17" s="19"/>
      <c r="G17" s="19">
        <v>3</v>
      </c>
      <c r="H17" s="19"/>
      <c r="I17" s="19"/>
      <c r="J17" s="19"/>
      <c r="K17" s="19"/>
      <c r="L17" s="19"/>
      <c r="M17" s="19"/>
      <c r="N17" s="19"/>
      <c r="O17" s="19" t="s">
        <v>380</v>
      </c>
    </row>
    <row r="18" spans="1:15" ht="42.75" x14ac:dyDescent="0.2">
      <c r="A18" s="21" t="s">
        <v>18</v>
      </c>
      <c r="B18" s="21" t="s">
        <v>19</v>
      </c>
      <c r="C18" s="19" t="s">
        <v>377</v>
      </c>
      <c r="D18" s="20" t="s">
        <v>91</v>
      </c>
      <c r="E18" s="19" t="s">
        <v>70</v>
      </c>
      <c r="F18" s="19"/>
      <c r="G18" s="19">
        <v>13</v>
      </c>
      <c r="H18" s="19"/>
      <c r="I18" s="19"/>
      <c r="J18" s="19"/>
      <c r="K18" s="19"/>
      <c r="L18" s="19"/>
      <c r="M18" s="19"/>
      <c r="N18" s="19"/>
      <c r="O18" s="19" t="s">
        <v>378</v>
      </c>
    </row>
    <row r="19" spans="1:15" ht="28.5" x14ac:dyDescent="0.2">
      <c r="A19" s="21" t="s">
        <v>18</v>
      </c>
      <c r="B19" s="21" t="s">
        <v>20</v>
      </c>
      <c r="C19" s="19" t="s">
        <v>375</v>
      </c>
      <c r="D19" s="20" t="s">
        <v>376</v>
      </c>
      <c r="E19" s="19" t="s">
        <v>70</v>
      </c>
      <c r="F19" s="19"/>
      <c r="G19" s="19"/>
      <c r="H19" s="19"/>
      <c r="I19" s="19"/>
      <c r="J19" s="19"/>
      <c r="K19" s="19"/>
      <c r="L19" s="19"/>
      <c r="M19" s="19"/>
      <c r="N19" s="19"/>
      <c r="O19" s="19" t="s">
        <v>239</v>
      </c>
    </row>
    <row r="20" spans="1:15" ht="15" x14ac:dyDescent="0.2">
      <c r="A20" s="21" t="s">
        <v>18</v>
      </c>
      <c r="B20" s="21" t="s">
        <v>19</v>
      </c>
      <c r="C20" s="19" t="s">
        <v>373</v>
      </c>
      <c r="D20" s="20" t="s">
        <v>198</v>
      </c>
      <c r="E20" s="19" t="s">
        <v>70</v>
      </c>
      <c r="F20" s="19"/>
      <c r="G20" s="19">
        <v>5</v>
      </c>
      <c r="H20" s="19"/>
      <c r="I20" s="19"/>
      <c r="J20" s="19"/>
      <c r="K20" s="19"/>
      <c r="L20" s="19"/>
      <c r="M20" s="19"/>
      <c r="N20" s="19"/>
      <c r="O20" s="19" t="s">
        <v>374</v>
      </c>
    </row>
    <row r="21" spans="1:15" ht="28.5" x14ac:dyDescent="0.2">
      <c r="A21" s="21" t="s">
        <v>24</v>
      </c>
      <c r="B21" s="21" t="s">
        <v>19</v>
      </c>
      <c r="C21" s="19" t="s">
        <v>298</v>
      </c>
      <c r="D21" s="20" t="s">
        <v>299</v>
      </c>
      <c r="E21" s="19" t="s">
        <v>113</v>
      </c>
      <c r="F21" s="19" t="s">
        <v>291</v>
      </c>
      <c r="G21" s="19"/>
      <c r="H21" s="19"/>
      <c r="I21" s="19"/>
      <c r="J21" s="19"/>
      <c r="K21" s="19"/>
      <c r="L21" s="19"/>
      <c r="M21" s="19"/>
      <c r="N21" s="19"/>
      <c r="O21" s="19" t="s">
        <v>300</v>
      </c>
    </row>
    <row r="22" spans="1:15" ht="15" x14ac:dyDescent="0.2">
      <c r="A22" s="21" t="s">
        <v>18</v>
      </c>
      <c r="B22" s="21" t="s">
        <v>22</v>
      </c>
      <c r="C22" s="19" t="s">
        <v>271</v>
      </c>
      <c r="D22" s="20" t="s">
        <v>272</v>
      </c>
      <c r="E22" s="19" t="s">
        <v>70</v>
      </c>
      <c r="F22" s="19" t="s">
        <v>273</v>
      </c>
      <c r="G22" s="19"/>
      <c r="H22" s="19"/>
      <c r="I22" s="19"/>
      <c r="J22" s="19"/>
      <c r="K22" s="19"/>
      <c r="L22" s="19"/>
      <c r="M22" s="19"/>
      <c r="N22" s="19"/>
      <c r="O22" s="19" t="s">
        <v>274</v>
      </c>
    </row>
    <row r="23" spans="1:15" ht="15" x14ac:dyDescent="0.2">
      <c r="A23" s="21" t="s">
        <v>18</v>
      </c>
      <c r="B23" s="21" t="s">
        <v>15</v>
      </c>
      <c r="C23" s="19" t="s">
        <v>371</v>
      </c>
      <c r="D23" s="20" t="s">
        <v>204</v>
      </c>
      <c r="E23" s="19" t="s">
        <v>70</v>
      </c>
      <c r="F23" s="19"/>
      <c r="G23" s="19">
        <v>3</v>
      </c>
      <c r="H23" s="19"/>
      <c r="I23" s="19"/>
      <c r="J23" s="19"/>
      <c r="K23" s="19"/>
      <c r="L23" s="19"/>
      <c r="M23" s="19"/>
      <c r="N23" s="19"/>
      <c r="O23" s="19" t="s">
        <v>372</v>
      </c>
    </row>
    <row r="24" spans="1:15" ht="28.5" x14ac:dyDescent="0.2">
      <c r="A24" s="21" t="s">
        <v>18</v>
      </c>
      <c r="B24" s="21" t="s">
        <v>15</v>
      </c>
      <c r="C24" s="19" t="s">
        <v>81</v>
      </c>
      <c r="D24" s="20" t="s">
        <v>82</v>
      </c>
      <c r="E24" s="19" t="s">
        <v>70</v>
      </c>
      <c r="F24" s="19" t="s">
        <v>83</v>
      </c>
      <c r="G24" s="19"/>
      <c r="H24" s="19"/>
      <c r="I24" s="19"/>
      <c r="J24" s="19"/>
      <c r="K24" s="19"/>
      <c r="L24" s="19"/>
      <c r="M24" s="19"/>
      <c r="N24" s="19"/>
      <c r="O24" s="19" t="s">
        <v>84</v>
      </c>
    </row>
    <row r="25" spans="1:15" ht="57" x14ac:dyDescent="0.2">
      <c r="A25" s="21" t="s">
        <v>24</v>
      </c>
      <c r="B25" s="21" t="s">
        <v>25</v>
      </c>
      <c r="C25" s="19" t="s">
        <v>369</v>
      </c>
      <c r="D25" s="20" t="s">
        <v>76</v>
      </c>
      <c r="E25" s="19" t="s">
        <v>70</v>
      </c>
      <c r="F25" s="19"/>
      <c r="G25" s="19"/>
      <c r="H25" s="19"/>
      <c r="I25" s="19"/>
      <c r="J25" s="19"/>
      <c r="K25" s="19"/>
      <c r="L25" s="19"/>
      <c r="M25" s="19"/>
      <c r="N25" s="19"/>
      <c r="O25" s="19" t="s">
        <v>370</v>
      </c>
    </row>
    <row r="26" spans="1:15" ht="15" x14ac:dyDescent="0.2">
      <c r="A26" s="21" t="s">
        <v>18</v>
      </c>
      <c r="B26" s="21" t="s">
        <v>19</v>
      </c>
      <c r="C26" s="19" t="s">
        <v>366</v>
      </c>
      <c r="D26" s="20" t="s">
        <v>367</v>
      </c>
      <c r="E26" s="19" t="s">
        <v>70</v>
      </c>
      <c r="F26" s="19"/>
      <c r="G26" s="19"/>
      <c r="H26" s="19"/>
      <c r="I26" s="19"/>
      <c r="J26" s="19"/>
      <c r="K26" s="19"/>
      <c r="L26" s="19"/>
      <c r="M26" s="19"/>
      <c r="N26" s="19"/>
      <c r="O26" s="19" t="s">
        <v>368</v>
      </c>
    </row>
    <row r="27" spans="1:15" ht="28.5" x14ac:dyDescent="0.2">
      <c r="A27" s="21" t="s">
        <v>18</v>
      </c>
      <c r="B27" s="21" t="s">
        <v>20</v>
      </c>
      <c r="C27" s="19" t="s">
        <v>363</v>
      </c>
      <c r="D27" s="20" t="s">
        <v>364</v>
      </c>
      <c r="E27" s="19" t="s">
        <v>70</v>
      </c>
      <c r="F27" s="19"/>
      <c r="G27" s="19"/>
      <c r="H27" s="19"/>
      <c r="I27" s="19"/>
      <c r="J27" s="19"/>
      <c r="K27" s="19"/>
      <c r="L27" s="19"/>
      <c r="M27" s="19"/>
      <c r="N27" s="19"/>
      <c r="O27" s="19" t="s">
        <v>365</v>
      </c>
    </row>
    <row r="28" spans="1:15" ht="15" x14ac:dyDescent="0.2">
      <c r="A28" s="21" t="s">
        <v>18</v>
      </c>
      <c r="B28" s="21" t="s">
        <v>20</v>
      </c>
      <c r="C28" s="19" t="s">
        <v>282</v>
      </c>
      <c r="D28" s="20" t="s">
        <v>283</v>
      </c>
      <c r="E28" s="19" t="s">
        <v>70</v>
      </c>
      <c r="F28" s="19" t="s">
        <v>277</v>
      </c>
      <c r="G28" s="19"/>
      <c r="H28" s="19"/>
      <c r="I28" s="19"/>
      <c r="J28" s="19"/>
      <c r="K28" s="19"/>
      <c r="L28" s="19"/>
      <c r="M28" s="19"/>
      <c r="N28" s="19"/>
      <c r="O28" s="19" t="s">
        <v>284</v>
      </c>
    </row>
    <row r="29" spans="1:15" ht="28.5" x14ac:dyDescent="0.2">
      <c r="A29" s="21" t="s">
        <v>18</v>
      </c>
      <c r="B29" s="21" t="s">
        <v>20</v>
      </c>
      <c r="C29" s="19" t="s">
        <v>214</v>
      </c>
      <c r="D29" s="20" t="s">
        <v>215</v>
      </c>
      <c r="E29" s="19" t="s">
        <v>70</v>
      </c>
      <c r="F29" s="19" t="s">
        <v>212</v>
      </c>
      <c r="G29" s="19">
        <v>8</v>
      </c>
      <c r="H29" s="19"/>
      <c r="I29" s="19"/>
      <c r="J29" s="19"/>
      <c r="K29" s="19"/>
      <c r="L29" s="19">
        <v>10</v>
      </c>
      <c r="M29" s="19"/>
      <c r="N29" s="19">
        <v>5</v>
      </c>
      <c r="O29" s="19" t="s">
        <v>216</v>
      </c>
    </row>
    <row r="30" spans="1:15" ht="42.75" x14ac:dyDescent="0.2">
      <c r="A30" s="21" t="s">
        <v>24</v>
      </c>
      <c r="B30" s="21" t="s">
        <v>19</v>
      </c>
      <c r="C30" s="19" t="s">
        <v>210</v>
      </c>
      <c r="D30" s="20" t="s">
        <v>211</v>
      </c>
      <c r="E30" s="19" t="s">
        <v>70</v>
      </c>
      <c r="F30" s="19" t="s">
        <v>212</v>
      </c>
      <c r="G30" s="19"/>
      <c r="H30" s="19"/>
      <c r="I30" s="19"/>
      <c r="J30" s="19"/>
      <c r="K30" s="19"/>
      <c r="L30" s="19"/>
      <c r="M30" s="19"/>
      <c r="N30" s="19"/>
      <c r="O30" s="19" t="s">
        <v>213</v>
      </c>
    </row>
    <row r="31" spans="1:15" ht="15" x14ac:dyDescent="0.2">
      <c r="A31" s="21" t="s">
        <v>18</v>
      </c>
      <c r="B31" s="21" t="s">
        <v>21</v>
      </c>
      <c r="C31" s="19" t="s">
        <v>293</v>
      </c>
      <c r="D31" s="20" t="s">
        <v>294</v>
      </c>
      <c r="E31" s="19" t="s">
        <v>70</v>
      </c>
      <c r="F31" s="19" t="s">
        <v>291</v>
      </c>
      <c r="G31" s="19"/>
      <c r="H31" s="19"/>
      <c r="I31" s="19"/>
      <c r="J31" s="19"/>
      <c r="K31" s="19"/>
      <c r="L31" s="19"/>
      <c r="M31" s="19"/>
      <c r="N31" s="19"/>
      <c r="O31" s="19" t="s">
        <v>295</v>
      </c>
    </row>
    <row r="32" spans="1:15" ht="28.5" x14ac:dyDescent="0.2">
      <c r="A32" s="21" t="s">
        <v>18</v>
      </c>
      <c r="B32" s="21" t="s">
        <v>20</v>
      </c>
      <c r="C32" s="19" t="s">
        <v>293</v>
      </c>
      <c r="D32" s="20" t="s">
        <v>296</v>
      </c>
      <c r="E32" s="19" t="s">
        <v>70</v>
      </c>
      <c r="F32" s="19" t="s">
        <v>291</v>
      </c>
      <c r="G32" s="19"/>
      <c r="H32" s="19"/>
      <c r="I32" s="19"/>
      <c r="J32" s="19"/>
      <c r="K32" s="19"/>
      <c r="L32" s="19"/>
      <c r="M32" s="19"/>
      <c r="N32" s="19"/>
      <c r="O32" s="19" t="s">
        <v>297</v>
      </c>
    </row>
    <row r="33" spans="1:15" ht="28.5" x14ac:dyDescent="0.2">
      <c r="A33" s="21" t="s">
        <v>18</v>
      </c>
      <c r="B33" s="21" t="s">
        <v>20</v>
      </c>
      <c r="C33" s="19" t="s">
        <v>117</v>
      </c>
      <c r="D33" s="20" t="s">
        <v>118</v>
      </c>
      <c r="E33" s="19" t="s">
        <v>70</v>
      </c>
      <c r="F33" s="19" t="s">
        <v>114</v>
      </c>
      <c r="G33" s="19">
        <v>10</v>
      </c>
      <c r="H33" s="19"/>
      <c r="I33" s="19"/>
      <c r="J33" s="19"/>
      <c r="K33" s="19"/>
      <c r="L33" s="19"/>
      <c r="M33" s="19"/>
      <c r="N33" s="19"/>
      <c r="O33" s="19" t="s">
        <v>119</v>
      </c>
    </row>
    <row r="34" spans="1:15" ht="15" x14ac:dyDescent="0.2">
      <c r="A34" s="21" t="s">
        <v>18</v>
      </c>
      <c r="B34" s="21" t="s">
        <v>22</v>
      </c>
      <c r="C34" s="19" t="s">
        <v>361</v>
      </c>
      <c r="D34" s="20" t="s">
        <v>362</v>
      </c>
      <c r="E34" s="19" t="s">
        <v>70</v>
      </c>
      <c r="F34" s="19"/>
      <c r="G34" s="19"/>
      <c r="H34" s="19"/>
      <c r="I34" s="19"/>
      <c r="J34" s="19"/>
      <c r="K34" s="19"/>
      <c r="L34" s="19"/>
      <c r="M34" s="19"/>
      <c r="N34" s="19"/>
      <c r="O34" s="19"/>
    </row>
    <row r="35" spans="1:15" ht="28.5" x14ac:dyDescent="0.2">
      <c r="A35" s="21" t="s">
        <v>18</v>
      </c>
      <c r="B35" s="21" t="s">
        <v>19</v>
      </c>
      <c r="C35" s="19" t="s">
        <v>358</v>
      </c>
      <c r="D35" s="20" t="s">
        <v>129</v>
      </c>
      <c r="E35" s="19" t="s">
        <v>359</v>
      </c>
      <c r="F35" s="19"/>
      <c r="G35" s="19"/>
      <c r="H35" s="19"/>
      <c r="I35" s="19"/>
      <c r="J35" s="19"/>
      <c r="K35" s="19"/>
      <c r="L35" s="19"/>
      <c r="M35" s="19"/>
      <c r="N35" s="19"/>
      <c r="O35" s="19" t="s">
        <v>360</v>
      </c>
    </row>
    <row r="36" spans="1:15" ht="15" x14ac:dyDescent="0.2">
      <c r="A36" s="21" t="s">
        <v>18</v>
      </c>
      <c r="B36" s="21" t="s">
        <v>19</v>
      </c>
      <c r="C36" s="19" t="s">
        <v>355</v>
      </c>
      <c r="D36" s="20" t="s">
        <v>149</v>
      </c>
      <c r="E36" s="19" t="s">
        <v>70</v>
      </c>
      <c r="F36" s="19"/>
      <c r="G36" s="19"/>
      <c r="H36" s="19"/>
      <c r="I36" s="19"/>
      <c r="J36" s="19"/>
      <c r="K36" s="19"/>
      <c r="L36" s="19"/>
      <c r="M36" s="19"/>
      <c r="N36" s="19"/>
      <c r="O36" s="19" t="s">
        <v>356</v>
      </c>
    </row>
    <row r="37" spans="1:15" ht="28.5" x14ac:dyDescent="0.2">
      <c r="A37" s="21" t="s">
        <v>18</v>
      </c>
      <c r="B37" s="21" t="s">
        <v>19</v>
      </c>
      <c r="C37" s="19" t="s">
        <v>355</v>
      </c>
      <c r="D37" s="20" t="s">
        <v>133</v>
      </c>
      <c r="E37" s="19" t="s">
        <v>70</v>
      </c>
      <c r="F37" s="19"/>
      <c r="G37" s="19"/>
      <c r="H37" s="19"/>
      <c r="I37" s="19"/>
      <c r="J37" s="19"/>
      <c r="K37" s="19"/>
      <c r="L37" s="19"/>
      <c r="M37" s="19"/>
      <c r="N37" s="19"/>
      <c r="O37" s="19" t="s">
        <v>357</v>
      </c>
    </row>
    <row r="38" spans="1:15" ht="28.5" x14ac:dyDescent="0.2">
      <c r="A38" s="21" t="s">
        <v>18</v>
      </c>
      <c r="B38" s="21" t="s">
        <v>15</v>
      </c>
      <c r="C38" s="19" t="s">
        <v>227</v>
      </c>
      <c r="D38" s="20" t="s">
        <v>228</v>
      </c>
      <c r="E38" s="19" t="s">
        <v>70</v>
      </c>
      <c r="F38" s="19" t="s">
        <v>219</v>
      </c>
      <c r="G38" s="19">
        <v>8</v>
      </c>
      <c r="H38" s="19"/>
      <c r="I38" s="19"/>
      <c r="J38" s="19"/>
      <c r="K38" s="19"/>
      <c r="L38" s="19"/>
      <c r="M38" s="19"/>
      <c r="N38" s="19"/>
      <c r="O38" s="19" t="s">
        <v>229</v>
      </c>
    </row>
    <row r="39" spans="1:15" ht="28.5" x14ac:dyDescent="0.2">
      <c r="A39" s="21" t="s">
        <v>18</v>
      </c>
      <c r="B39" s="21" t="s">
        <v>19</v>
      </c>
      <c r="C39" s="19" t="s">
        <v>115</v>
      </c>
      <c r="D39" s="20" t="s">
        <v>110</v>
      </c>
      <c r="E39" s="19" t="s">
        <v>70</v>
      </c>
      <c r="F39" s="19" t="s">
        <v>114</v>
      </c>
      <c r="G39" s="19"/>
      <c r="H39" s="19"/>
      <c r="I39" s="19"/>
      <c r="J39" s="19"/>
      <c r="K39" s="19"/>
      <c r="L39" s="19"/>
      <c r="M39" s="19"/>
      <c r="N39" s="19"/>
      <c r="O39" s="19" t="s">
        <v>116</v>
      </c>
    </row>
    <row r="40" spans="1:15" ht="28.5" x14ac:dyDescent="0.2">
      <c r="A40" s="21" t="s">
        <v>18</v>
      </c>
      <c r="B40" s="21" t="s">
        <v>20</v>
      </c>
      <c r="C40" s="19" t="s">
        <v>353</v>
      </c>
      <c r="D40" s="20" t="s">
        <v>315</v>
      </c>
      <c r="E40" s="19" t="s">
        <v>70</v>
      </c>
      <c r="F40" s="19"/>
      <c r="G40" s="19"/>
      <c r="H40" s="19"/>
      <c r="I40" s="19"/>
      <c r="J40" s="19"/>
      <c r="K40" s="19"/>
      <c r="L40" s="19"/>
      <c r="M40" s="19"/>
      <c r="N40" s="19"/>
      <c r="O40" s="19" t="s">
        <v>354</v>
      </c>
    </row>
    <row r="41" spans="1:15" ht="15" x14ac:dyDescent="0.2">
      <c r="A41" s="21" t="s">
        <v>18</v>
      </c>
      <c r="B41" s="21" t="s">
        <v>15</v>
      </c>
      <c r="C41" s="19" t="s">
        <v>351</v>
      </c>
      <c r="D41" s="20" t="s">
        <v>201</v>
      </c>
      <c r="E41" s="19" t="s">
        <v>70</v>
      </c>
      <c r="F41" s="19"/>
      <c r="G41" s="19">
        <v>5</v>
      </c>
      <c r="H41" s="19"/>
      <c r="I41" s="19"/>
      <c r="J41" s="19"/>
      <c r="K41" s="19"/>
      <c r="L41" s="19"/>
      <c r="M41" s="19"/>
      <c r="N41" s="19"/>
      <c r="O41" s="19" t="s">
        <v>352</v>
      </c>
    </row>
    <row r="42" spans="1:15" ht="28.5" x14ac:dyDescent="0.2">
      <c r="A42" s="21" t="s">
        <v>18</v>
      </c>
      <c r="B42" s="21" t="s">
        <v>15</v>
      </c>
      <c r="C42" s="19" t="s">
        <v>224</v>
      </c>
      <c r="D42" s="20" t="s">
        <v>225</v>
      </c>
      <c r="E42" s="19" t="s">
        <v>70</v>
      </c>
      <c r="F42" s="19" t="s">
        <v>219</v>
      </c>
      <c r="G42" s="19"/>
      <c r="H42" s="19"/>
      <c r="I42" s="19"/>
      <c r="J42" s="19"/>
      <c r="K42" s="19"/>
      <c r="L42" s="19"/>
      <c r="M42" s="19"/>
      <c r="N42" s="19"/>
      <c r="O42" s="19" t="s">
        <v>226</v>
      </c>
    </row>
    <row r="43" spans="1:15" ht="42.75" x14ac:dyDescent="0.2">
      <c r="A43" s="21" t="s">
        <v>18</v>
      </c>
      <c r="B43" s="21" t="s">
        <v>19</v>
      </c>
      <c r="C43" s="19" t="s">
        <v>344</v>
      </c>
      <c r="D43" s="20" t="s">
        <v>96</v>
      </c>
      <c r="E43" s="19" t="s">
        <v>70</v>
      </c>
      <c r="F43" s="19"/>
      <c r="G43" s="19">
        <v>13</v>
      </c>
      <c r="H43" s="19"/>
      <c r="I43" s="19"/>
      <c r="J43" s="19"/>
      <c r="K43" s="19"/>
      <c r="L43" s="19"/>
      <c r="M43" s="19"/>
      <c r="N43" s="19"/>
      <c r="O43" s="19" t="s">
        <v>345</v>
      </c>
    </row>
    <row r="44" spans="1:15" ht="28.5" x14ac:dyDescent="0.2">
      <c r="A44" s="21" t="s">
        <v>18</v>
      </c>
      <c r="B44" s="21" t="s">
        <v>15</v>
      </c>
      <c r="C44" s="19" t="s">
        <v>279</v>
      </c>
      <c r="D44" s="20" t="s">
        <v>280</v>
      </c>
      <c r="E44" s="19" t="s">
        <v>113</v>
      </c>
      <c r="F44" s="19" t="s">
        <v>277</v>
      </c>
      <c r="G44" s="19"/>
      <c r="H44" s="19"/>
      <c r="I44" s="19"/>
      <c r="J44" s="19"/>
      <c r="K44" s="19"/>
      <c r="L44" s="19"/>
      <c r="M44" s="19"/>
      <c r="N44" s="19"/>
      <c r="O44" s="19" t="s">
        <v>281</v>
      </c>
    </row>
    <row r="45" spans="1:15" ht="28.5" x14ac:dyDescent="0.2">
      <c r="A45" s="21" t="s">
        <v>18</v>
      </c>
      <c r="B45" s="21" t="s">
        <v>15</v>
      </c>
      <c r="C45" s="19" t="s">
        <v>221</v>
      </c>
      <c r="D45" s="20" t="s">
        <v>222</v>
      </c>
      <c r="E45" s="19" t="s">
        <v>70</v>
      </c>
      <c r="F45" s="19" t="s">
        <v>219</v>
      </c>
      <c r="G45" s="19">
        <v>8</v>
      </c>
      <c r="H45" s="19"/>
      <c r="I45" s="19">
        <v>7200</v>
      </c>
      <c r="J45" s="19">
        <v>7200</v>
      </c>
      <c r="K45" s="19"/>
      <c r="L45" s="19"/>
      <c r="M45" s="19"/>
      <c r="N45" s="19"/>
      <c r="O45" s="19" t="s">
        <v>223</v>
      </c>
    </row>
    <row r="46" spans="1:15" ht="15" x14ac:dyDescent="0.2">
      <c r="A46" s="21" t="s">
        <v>18</v>
      </c>
      <c r="B46" s="21" t="s">
        <v>15</v>
      </c>
      <c r="C46" s="19" t="s">
        <v>275</v>
      </c>
      <c r="D46" s="20" t="s">
        <v>276</v>
      </c>
      <c r="E46" s="19" t="s">
        <v>70</v>
      </c>
      <c r="F46" s="19" t="s">
        <v>277</v>
      </c>
      <c r="G46" s="19"/>
      <c r="H46" s="19"/>
      <c r="I46" s="19"/>
      <c r="J46" s="19"/>
      <c r="K46" s="19"/>
      <c r="L46" s="19"/>
      <c r="M46" s="19"/>
      <c r="N46" s="19"/>
      <c r="O46" s="19" t="s">
        <v>278</v>
      </c>
    </row>
    <row r="47" spans="1:15" ht="28.5" x14ac:dyDescent="0.2">
      <c r="A47" s="21" t="s">
        <v>18</v>
      </c>
      <c r="B47" s="21" t="s">
        <v>19</v>
      </c>
      <c r="C47" s="19" t="s">
        <v>85</v>
      </c>
      <c r="D47" s="20" t="s">
        <v>88</v>
      </c>
      <c r="E47" s="19" t="s">
        <v>70</v>
      </c>
      <c r="F47" s="19"/>
      <c r="G47" s="19">
        <v>5</v>
      </c>
      <c r="H47" s="19"/>
      <c r="I47" s="19"/>
      <c r="J47" s="19"/>
      <c r="K47" s="19"/>
      <c r="L47" s="19"/>
      <c r="M47" s="19"/>
      <c r="N47" s="19"/>
      <c r="O47" s="19" t="s">
        <v>343</v>
      </c>
    </row>
    <row r="48" spans="1:15" ht="28.5" x14ac:dyDescent="0.2">
      <c r="A48" s="21" t="s">
        <v>18</v>
      </c>
      <c r="B48" s="21" t="s">
        <v>19</v>
      </c>
      <c r="C48" s="19" t="s">
        <v>340</v>
      </c>
      <c r="D48" s="20" t="s">
        <v>341</v>
      </c>
      <c r="E48" s="19" t="s">
        <v>70</v>
      </c>
      <c r="F48" s="19"/>
      <c r="G48" s="19">
        <v>13</v>
      </c>
      <c r="H48" s="19"/>
      <c r="I48" s="19"/>
      <c r="J48" s="19"/>
      <c r="K48" s="19"/>
      <c r="L48" s="19"/>
      <c r="M48" s="19"/>
      <c r="N48" s="19"/>
      <c r="O48" s="19" t="s">
        <v>342</v>
      </c>
    </row>
    <row r="49" spans="1:15" ht="15" x14ac:dyDescent="0.2">
      <c r="A49" s="21" t="s">
        <v>24</v>
      </c>
      <c r="B49" s="21" t="s">
        <v>20</v>
      </c>
      <c r="C49" s="19" t="s">
        <v>338</v>
      </c>
      <c r="D49" s="20" t="s">
        <v>339</v>
      </c>
      <c r="E49" s="19" t="s">
        <v>70</v>
      </c>
      <c r="F49" s="19"/>
      <c r="G49" s="19"/>
      <c r="H49" s="19"/>
      <c r="I49" s="19"/>
      <c r="J49" s="19"/>
      <c r="K49" s="19"/>
      <c r="L49" s="19"/>
      <c r="M49" s="19"/>
      <c r="N49" s="19"/>
      <c r="O49" s="19"/>
    </row>
    <row r="50" spans="1:15" ht="15" x14ac:dyDescent="0.2">
      <c r="A50" s="21" t="s">
        <v>24</v>
      </c>
      <c r="B50" s="21" t="s">
        <v>20</v>
      </c>
      <c r="C50" s="19" t="s">
        <v>337</v>
      </c>
      <c r="D50" s="20" t="s">
        <v>250</v>
      </c>
      <c r="E50" s="19" t="s">
        <v>70</v>
      </c>
      <c r="F50" s="19"/>
      <c r="G50" s="19"/>
      <c r="H50" s="19"/>
      <c r="I50" s="19"/>
      <c r="J50" s="19"/>
      <c r="K50" s="19"/>
      <c r="L50" s="19"/>
      <c r="M50" s="19"/>
      <c r="N50" s="19"/>
      <c r="O50" s="19" t="s">
        <v>248</v>
      </c>
    </row>
    <row r="51" spans="1:15" ht="15" x14ac:dyDescent="0.2">
      <c r="A51" s="21" t="s">
        <v>24</v>
      </c>
      <c r="B51" s="21" t="s">
        <v>19</v>
      </c>
      <c r="C51" s="19" t="s">
        <v>335</v>
      </c>
      <c r="D51" s="20" t="s">
        <v>336</v>
      </c>
      <c r="E51" s="19" t="s">
        <v>70</v>
      </c>
      <c r="F51" s="19"/>
      <c r="G51" s="19"/>
      <c r="H51" s="19"/>
      <c r="I51" s="19"/>
      <c r="J51" s="19"/>
      <c r="K51" s="19"/>
      <c r="L51" s="19"/>
      <c r="M51" s="19"/>
      <c r="N51" s="19"/>
      <c r="O51" s="19"/>
    </row>
    <row r="52" spans="1:15" ht="15" x14ac:dyDescent="0.2">
      <c r="A52" s="21" t="s">
        <v>18</v>
      </c>
      <c r="B52" s="21" t="s">
        <v>21</v>
      </c>
      <c r="C52" s="19" t="s">
        <v>333</v>
      </c>
      <c r="D52" s="20" t="s">
        <v>329</v>
      </c>
      <c r="E52" s="19" t="s">
        <v>70</v>
      </c>
      <c r="F52" s="19"/>
      <c r="G52" s="19">
        <v>13</v>
      </c>
      <c r="H52" s="19"/>
      <c r="I52" s="19"/>
      <c r="J52" s="19"/>
      <c r="K52" s="19"/>
      <c r="L52" s="19"/>
      <c r="M52" s="19"/>
      <c r="N52" s="19"/>
      <c r="O52" s="19" t="s">
        <v>334</v>
      </c>
    </row>
    <row r="53" spans="1:15" ht="28.5" x14ac:dyDescent="0.2">
      <c r="A53" s="21" t="s">
        <v>18</v>
      </c>
      <c r="B53" s="21" t="s">
        <v>23</v>
      </c>
      <c r="C53" s="19" t="s">
        <v>217</v>
      </c>
      <c r="D53" s="20" t="s">
        <v>218</v>
      </c>
      <c r="E53" s="19" t="s">
        <v>70</v>
      </c>
      <c r="F53" s="19" t="s">
        <v>219</v>
      </c>
      <c r="G53" s="19"/>
      <c r="H53" s="19"/>
      <c r="I53" s="19"/>
      <c r="J53" s="19"/>
      <c r="K53" s="19"/>
      <c r="L53" s="19"/>
      <c r="M53" s="19"/>
      <c r="N53" s="19"/>
      <c r="O53" s="19" t="s">
        <v>220</v>
      </c>
    </row>
    <row r="54" spans="1:15" ht="85.5" x14ac:dyDescent="0.2">
      <c r="A54" s="21" t="s">
        <v>18</v>
      </c>
      <c r="B54" s="21" t="s">
        <v>25</v>
      </c>
      <c r="C54" s="19" t="s">
        <v>68</v>
      </c>
      <c r="D54" s="20" t="s">
        <v>69</v>
      </c>
      <c r="E54" s="19" t="s">
        <v>70</v>
      </c>
      <c r="F54" s="19" t="s">
        <v>71</v>
      </c>
      <c r="G54" s="19"/>
      <c r="H54" s="19"/>
      <c r="I54" s="19">
        <v>28800</v>
      </c>
      <c r="J54" s="19">
        <v>28800</v>
      </c>
      <c r="K54" s="19"/>
      <c r="L54" s="19"/>
      <c r="M54" s="19"/>
      <c r="N54" s="19"/>
      <c r="O54" s="19" t="s">
        <v>72</v>
      </c>
    </row>
    <row r="55" spans="1:15" ht="42.75" x14ac:dyDescent="0.2">
      <c r="A55" s="21" t="s">
        <v>18</v>
      </c>
      <c r="B55" s="21" t="s">
        <v>19</v>
      </c>
      <c r="C55" s="19" t="s">
        <v>289</v>
      </c>
      <c r="D55" s="20" t="s">
        <v>290</v>
      </c>
      <c r="E55" s="19" t="s">
        <v>70</v>
      </c>
      <c r="F55" s="19" t="s">
        <v>291</v>
      </c>
      <c r="G55" s="19"/>
      <c r="H55" s="19"/>
      <c r="I55" s="19"/>
      <c r="J55" s="19"/>
      <c r="K55" s="19"/>
      <c r="L55" s="19">
        <v>0</v>
      </c>
      <c r="M55" s="19"/>
      <c r="N55" s="19">
        <v>0</v>
      </c>
      <c r="O55" s="19" t="s">
        <v>292</v>
      </c>
    </row>
    <row r="56" spans="1:15" ht="28.5" x14ac:dyDescent="0.2">
      <c r="A56" s="21" t="s">
        <v>18</v>
      </c>
      <c r="B56" s="21" t="s">
        <v>20</v>
      </c>
      <c r="C56" s="19" t="s">
        <v>330</v>
      </c>
      <c r="D56" s="20" t="s">
        <v>331</v>
      </c>
      <c r="E56" s="19" t="s">
        <v>70</v>
      </c>
      <c r="F56" s="19"/>
      <c r="G56" s="19"/>
      <c r="H56" s="19"/>
      <c r="I56" s="19"/>
      <c r="J56" s="19"/>
      <c r="K56" s="19"/>
      <c r="L56" s="19"/>
      <c r="M56" s="19"/>
      <c r="N56" s="19"/>
      <c r="O56" s="19" t="s">
        <v>332</v>
      </c>
    </row>
    <row r="57" spans="1:15" x14ac:dyDescent="0.2">
      <c r="A57" s="65" t="s">
        <v>632</v>
      </c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7"/>
    </row>
  </sheetData>
  <mergeCells count="4">
    <mergeCell ref="A1:O1"/>
    <mergeCell ref="A2:O2"/>
    <mergeCell ref="A3:O3"/>
    <mergeCell ref="A57:O57"/>
  </mergeCells>
  <hyperlinks>
    <hyperlink ref="A2" r:id="rId1" display="https://webgate.ec.europa.eu/CITnet/jira/issues/?jql=project+in+%28COMPCORP%2C+CCADMIN%2C+CCARCHITEC%2C+CCDOCLIST%2C+ECKL%2C+CCINFRAEC%2C+INTERCOM%2C+CCPMO%2C+PFM%2C+PROCESS%2C+CCTASK%2C+TSKACTION%2C+WAVECC%2C+COMPASS%29+AND+issuetype+in+%28Enabler%2C+%22New+Feature%22%29+AND+fixVersion+in+%28COMPCORP-PI4%29+ORDER+BY+summary+DESC%2C+issuetype+DESC%2C+cf%5B12631%5D+ASC%2C+WSJF+DESC"/>
    <hyperlink ref="D5" r:id="rId2" display="https://webgate.ec.europa.eu/CITnet/jira/browse/PFM-126"/>
    <hyperlink ref="D6" r:id="rId3" display="https://webgate.ec.europa.eu/CITnet/jira/browse/PROCESS-96"/>
    <hyperlink ref="D7" r:id="rId4" display="https://webgate.ec.europa.eu/CITnet/jira/browse/INTERCOM-52"/>
    <hyperlink ref="D8" r:id="rId5" display="https://webgate.ec.europa.eu/CITnet/jira/browse/PFM-131"/>
    <hyperlink ref="D9" r:id="rId6" display="https://webgate.ec.europa.eu/CITnet/jira/browse/CCTASK-476"/>
    <hyperlink ref="D10" r:id="rId7" display="https://webgate.ec.europa.eu/CITnet/jira/browse/CCARCHITEC-49"/>
    <hyperlink ref="D11" r:id="rId8" display="https://webgate.ec.europa.eu/CITnet/jira/browse/CCDOCLIST-174"/>
    <hyperlink ref="D12" r:id="rId9" display="https://webgate.ec.europa.eu/CITnet/jira/browse/CCTASK-519"/>
    <hyperlink ref="D13" r:id="rId10" display="https://webgate.ec.europa.eu/CITnet/jira/browse/CCTASK-518"/>
    <hyperlink ref="D14" r:id="rId11" display="https://webgate.ec.europa.eu/CITnet/jira/browse/PROCESS-75"/>
    <hyperlink ref="D15" r:id="rId12" display="https://webgate.ec.europa.eu/CITnet/jira/browse/INTERCOM-72"/>
    <hyperlink ref="D16" r:id="rId13" display="https://webgate.ec.europa.eu/CITnet/jira/browse/CCTASK-272"/>
    <hyperlink ref="D17" r:id="rId14" display="https://webgate.ec.europa.eu/CITnet/jira/browse/INTERCOM-59"/>
    <hyperlink ref="D18" r:id="rId15" display="https://webgate.ec.europa.eu/CITnet/jira/browse/CCADMIN-44"/>
    <hyperlink ref="D19" r:id="rId16" display="https://webgate.ec.europa.eu/CITnet/jira/browse/PROCESS-125"/>
    <hyperlink ref="D20" r:id="rId17" display="https://webgate.ec.europa.eu/CITnet/jira/browse/CCADMIN-55"/>
    <hyperlink ref="D21" r:id="rId18" display="https://webgate.ec.europa.eu/CITnet/jira/browse/CCTASK-527"/>
    <hyperlink ref="D22" r:id="rId19" display="https://webgate.ec.europa.eu/CITnet/jira/browse/CCTASK-534"/>
    <hyperlink ref="D23" r:id="rId20" display="https://webgate.ec.europa.eu/CITnet/jira/browse/INTERCOM-75"/>
    <hyperlink ref="D24" r:id="rId21" display="https://webgate.ec.europa.eu/CITnet/jira/browse/CCDOCLIST-165"/>
    <hyperlink ref="D25" r:id="rId22" display="https://webgate.ec.europa.eu/CITnet/jira/browse/CCPMO-76"/>
    <hyperlink ref="D26" r:id="rId23" display="https://webgate.ec.europa.eu/CITnet/jira/browse/WAVECC-34"/>
    <hyperlink ref="D27" r:id="rId24" display="https://webgate.ec.europa.eu/CITnet/jira/browse/CCDOCLIST-116"/>
    <hyperlink ref="D28" r:id="rId25" display="https://webgate.ec.europa.eu/CITnet/jira/browse/CCDOCLIST-25"/>
    <hyperlink ref="D29" r:id="rId26" display="https://webgate.ec.europa.eu/CITnet/jira/browse/COMPCORP-114"/>
    <hyperlink ref="D30" r:id="rId27" display="https://webgate.ec.europa.eu/CITnet/jira/browse/CCARCHITEC-37"/>
    <hyperlink ref="D31" r:id="rId28" display="https://webgate.ec.europa.eu/CITnet/jira/browse/CCDOCLIST-181"/>
    <hyperlink ref="D32" r:id="rId29" display="https://webgate.ec.europa.eu/CITnet/jira/browse/CCTASK-579"/>
    <hyperlink ref="D33" r:id="rId30" display="https://webgate.ec.europa.eu/CITnet/jira/browse/PROCESS-92"/>
    <hyperlink ref="D34" r:id="rId31" display="https://webgate.ec.europa.eu/CITnet/jira/browse/CCTASK-532"/>
    <hyperlink ref="D35" r:id="rId32" display="https://webgate.ec.europa.eu/CITnet/jira/browse/PROCESS-33"/>
    <hyperlink ref="D36" r:id="rId33" display="https://webgate.ec.europa.eu/CITnet/jira/browse/PFM-125"/>
    <hyperlink ref="D37" r:id="rId34" display="https://webgate.ec.europa.eu/CITnet/jira/browse/PROCESS-95"/>
    <hyperlink ref="D38" r:id="rId35" display="https://webgate.ec.europa.eu/CITnet/jira/browse/CCDOCLIST-157"/>
    <hyperlink ref="D39" r:id="rId36" display="https://webgate.ec.europa.eu/CITnet/jira/browse/PROCESS-44"/>
    <hyperlink ref="D40" r:id="rId37" display="https://webgate.ec.europa.eu/CITnet/jira/browse/PROCESS-98"/>
    <hyperlink ref="D41" r:id="rId38" display="https://webgate.ec.europa.eu/CITnet/jira/browse/INTERCOM-71"/>
    <hyperlink ref="D42" r:id="rId39" display="https://webgate.ec.europa.eu/CITnet/jira/browse/CCDOCLIST-19"/>
    <hyperlink ref="D43" r:id="rId40" display="https://webgate.ec.europa.eu/CITnet/jira/browse/INTERCOM-54"/>
    <hyperlink ref="D44" r:id="rId41" display="https://webgate.ec.europa.eu/CITnet/jira/browse/CCDOCLIST-27"/>
    <hyperlink ref="D45" r:id="rId42" display="https://webgate.ec.europa.eu/CITnet/jira/browse/CCDOCLIST-156"/>
    <hyperlink ref="D46" r:id="rId43" display="https://webgate.ec.europa.eu/CITnet/jira/browse/CCDOCLIST-17"/>
    <hyperlink ref="D47" r:id="rId44" display="https://webgate.ec.europa.eu/CITnet/jira/browse/CCADMIN-42"/>
    <hyperlink ref="D48" r:id="rId45" display="https://webgate.ec.europa.eu/CITnet/jira/browse/WAVECC-42"/>
    <hyperlink ref="D49" r:id="rId46" display="https://webgate.ec.europa.eu/CITnet/jira/browse/CCPMO-63"/>
    <hyperlink ref="D50" r:id="rId47" display="https://webgate.ec.europa.eu/CITnet/jira/browse/CCPMO-77"/>
    <hyperlink ref="D51" r:id="rId48" display="https://webgate.ec.europa.eu/CITnet/jira/browse/CCPMO-129"/>
    <hyperlink ref="D52" r:id="rId49" display="https://webgate.ec.europa.eu/CITnet/jira/browse/INTERCOM-55"/>
    <hyperlink ref="D53" r:id="rId50" display="https://webgate.ec.europa.eu/CITnet/jira/browse/CCTASK-533"/>
    <hyperlink ref="D54" r:id="rId51" display="https://webgate.ec.europa.eu/CITnet/jira/browse/TSKACTION-217"/>
    <hyperlink ref="D55" r:id="rId52" display="https://webgate.ec.europa.eu/CITnet/jira/browse/TSKACTION-245"/>
    <hyperlink ref="D56" r:id="rId53" display="https://webgate.ec.europa.eu/CITnet/jira/browse/TSKACTION-56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5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00B050"/>
  </sheetPr>
  <dimension ref="A1:M46"/>
  <sheetViews>
    <sheetView tabSelected="1" topLeftCell="D1" workbookViewId="0">
      <selection activeCell="H16" sqref="H16"/>
    </sheetView>
  </sheetViews>
  <sheetFormatPr defaultRowHeight="15.75" x14ac:dyDescent="0.25"/>
  <cols>
    <col min="1" max="1" width="16.375" customWidth="1"/>
    <col min="2" max="2" width="25.375" customWidth="1"/>
    <col min="3" max="3" width="65.625" customWidth="1"/>
    <col min="4" max="4" width="16.625" customWidth="1"/>
    <col min="5" max="7" width="15.375" customWidth="1"/>
    <col min="8" max="8" width="11.875" customWidth="1"/>
    <col min="9" max="9" width="12" customWidth="1"/>
    <col min="10" max="10" width="10.375" customWidth="1"/>
    <col min="11" max="11" width="28.25" customWidth="1"/>
    <col min="12" max="13" width="14.25" customWidth="1"/>
  </cols>
  <sheetData>
    <row r="1" spans="1:13" ht="46.5" customHeight="1" x14ac:dyDescent="0.35">
      <c r="A1" s="71" t="s">
        <v>27</v>
      </c>
      <c r="B1" s="71" t="s">
        <v>5</v>
      </c>
      <c r="C1" s="2" t="s">
        <v>1559</v>
      </c>
      <c r="D1" s="2" t="s">
        <v>2</v>
      </c>
      <c r="E1" s="2" t="s">
        <v>1</v>
      </c>
      <c r="F1" s="2" t="s">
        <v>28</v>
      </c>
      <c r="G1" s="2" t="s">
        <v>1562</v>
      </c>
      <c r="H1" s="72" t="s">
        <v>1560</v>
      </c>
      <c r="I1" s="71" t="s">
        <v>27</v>
      </c>
      <c r="J1" s="71" t="s">
        <v>5</v>
      </c>
      <c r="K1" s="2" t="s">
        <v>1561</v>
      </c>
      <c r="L1" s="2" t="s">
        <v>2</v>
      </c>
      <c r="M1" s="2" t="s">
        <v>1</v>
      </c>
    </row>
    <row r="2" spans="1:13" x14ac:dyDescent="0.25">
      <c r="A2" t="s">
        <v>69</v>
      </c>
      <c r="B2" t="s">
        <v>1563</v>
      </c>
      <c r="C2" t="s">
        <v>68</v>
      </c>
      <c r="D2">
        <v>5</v>
      </c>
      <c r="E2">
        <v>34</v>
      </c>
      <c r="F2" t="s">
        <v>399</v>
      </c>
      <c r="G2">
        <v>4</v>
      </c>
    </row>
    <row r="3" spans="1:13" x14ac:dyDescent="0.25">
      <c r="A3" t="s">
        <v>82</v>
      </c>
      <c r="B3" t="s">
        <v>1564</v>
      </c>
      <c r="C3" t="s">
        <v>81</v>
      </c>
      <c r="D3">
        <v>13</v>
      </c>
      <c r="E3">
        <v>13</v>
      </c>
      <c r="F3" t="s">
        <v>399</v>
      </c>
      <c r="G3">
        <v>2</v>
      </c>
    </row>
    <row r="4" spans="1:13" x14ac:dyDescent="0.25">
      <c r="A4" t="s">
        <v>110</v>
      </c>
      <c r="B4" t="s">
        <v>1565</v>
      </c>
      <c r="C4" t="s">
        <v>115</v>
      </c>
      <c r="D4">
        <v>0</v>
      </c>
      <c r="E4">
        <v>3</v>
      </c>
      <c r="F4" t="s">
        <v>398</v>
      </c>
      <c r="G4">
        <v>2</v>
      </c>
    </row>
    <row r="5" spans="1:13" x14ac:dyDescent="0.25">
      <c r="A5" t="s">
        <v>118</v>
      </c>
      <c r="B5" t="s">
        <v>1566</v>
      </c>
      <c r="C5" t="s">
        <v>117</v>
      </c>
      <c r="D5">
        <v>0</v>
      </c>
      <c r="E5">
        <v>13</v>
      </c>
      <c r="F5" t="s">
        <v>398</v>
      </c>
      <c r="G5">
        <v>1</v>
      </c>
    </row>
    <row r="6" spans="1:13" x14ac:dyDescent="0.25">
      <c r="A6" t="s">
        <v>121</v>
      </c>
      <c r="B6" t="s">
        <v>1566</v>
      </c>
      <c r="C6" t="s">
        <v>120</v>
      </c>
      <c r="D6">
        <v>0</v>
      </c>
      <c r="E6">
        <v>8</v>
      </c>
      <c r="F6" t="s">
        <v>398</v>
      </c>
      <c r="G6">
        <v>4</v>
      </c>
    </row>
    <row r="7" spans="1:13" x14ac:dyDescent="0.25">
      <c r="A7" t="s">
        <v>215</v>
      </c>
      <c r="B7" t="s">
        <v>1566</v>
      </c>
      <c r="C7" t="s">
        <v>214</v>
      </c>
      <c r="D7">
        <v>0</v>
      </c>
      <c r="E7">
        <v>0</v>
      </c>
      <c r="F7" t="s">
        <v>411</v>
      </c>
      <c r="G7">
        <v>0</v>
      </c>
    </row>
    <row r="8" spans="1:13" x14ac:dyDescent="0.25">
      <c r="A8" t="s">
        <v>218</v>
      </c>
      <c r="B8" t="s">
        <v>1567</v>
      </c>
      <c r="C8" t="s">
        <v>217</v>
      </c>
      <c r="D8">
        <v>0</v>
      </c>
      <c r="E8">
        <v>8</v>
      </c>
      <c r="F8" t="s">
        <v>399</v>
      </c>
      <c r="G8">
        <v>2</v>
      </c>
    </row>
    <row r="9" spans="1:13" x14ac:dyDescent="0.25">
      <c r="A9" t="s">
        <v>222</v>
      </c>
      <c r="B9" t="s">
        <v>1564</v>
      </c>
      <c r="C9" t="s">
        <v>221</v>
      </c>
      <c r="D9">
        <v>8</v>
      </c>
      <c r="E9">
        <v>8</v>
      </c>
      <c r="F9" t="s">
        <v>399</v>
      </c>
      <c r="G9">
        <v>1</v>
      </c>
    </row>
    <row r="10" spans="1:13" x14ac:dyDescent="0.25">
      <c r="A10" t="s">
        <v>225</v>
      </c>
      <c r="B10" t="s">
        <v>1564</v>
      </c>
      <c r="C10" t="s">
        <v>224</v>
      </c>
      <c r="D10">
        <v>13</v>
      </c>
      <c r="E10">
        <v>21</v>
      </c>
      <c r="F10" t="s">
        <v>399</v>
      </c>
      <c r="G10">
        <v>3</v>
      </c>
    </row>
    <row r="11" spans="1:13" x14ac:dyDescent="0.25">
      <c r="A11" t="s">
        <v>228</v>
      </c>
      <c r="B11" t="s">
        <v>1564</v>
      </c>
      <c r="C11" t="s">
        <v>227</v>
      </c>
      <c r="D11">
        <v>8</v>
      </c>
      <c r="E11">
        <v>8</v>
      </c>
      <c r="F11" t="s">
        <v>399</v>
      </c>
      <c r="G11">
        <v>1</v>
      </c>
    </row>
    <row r="12" spans="1:13" x14ac:dyDescent="0.25">
      <c r="A12" t="s">
        <v>272</v>
      </c>
      <c r="B12" t="s">
        <v>1568</v>
      </c>
      <c r="C12" t="s">
        <v>271</v>
      </c>
      <c r="D12">
        <v>0</v>
      </c>
      <c r="E12">
        <v>0</v>
      </c>
      <c r="F12" t="s">
        <v>399</v>
      </c>
      <c r="G12">
        <v>0</v>
      </c>
    </row>
    <row r="13" spans="1:13" x14ac:dyDescent="0.25">
      <c r="A13" t="s">
        <v>276</v>
      </c>
      <c r="B13" t="s">
        <v>1564</v>
      </c>
      <c r="C13" t="s">
        <v>275</v>
      </c>
      <c r="D13">
        <v>0</v>
      </c>
      <c r="E13">
        <v>0</v>
      </c>
      <c r="F13" t="s">
        <v>399</v>
      </c>
      <c r="G13">
        <v>0</v>
      </c>
    </row>
    <row r="14" spans="1:13" x14ac:dyDescent="0.25">
      <c r="A14" t="s">
        <v>280</v>
      </c>
      <c r="B14" t="s">
        <v>1564</v>
      </c>
      <c r="C14" t="s">
        <v>279</v>
      </c>
      <c r="D14">
        <v>7</v>
      </c>
      <c r="E14">
        <v>7</v>
      </c>
      <c r="F14" t="s">
        <v>399</v>
      </c>
      <c r="G14">
        <v>1</v>
      </c>
    </row>
    <row r="15" spans="1:13" x14ac:dyDescent="0.25">
      <c r="A15" t="s">
        <v>283</v>
      </c>
      <c r="B15" t="s">
        <v>1566</v>
      </c>
      <c r="C15" t="s">
        <v>282</v>
      </c>
      <c r="D15">
        <v>0</v>
      </c>
      <c r="E15">
        <v>8</v>
      </c>
      <c r="F15" t="s">
        <v>399</v>
      </c>
      <c r="G15">
        <v>1</v>
      </c>
    </row>
    <row r="16" spans="1:13" x14ac:dyDescent="0.25">
      <c r="A16" t="s">
        <v>290</v>
      </c>
      <c r="B16" t="s">
        <v>1565</v>
      </c>
      <c r="C16" t="s">
        <v>289</v>
      </c>
      <c r="D16">
        <v>0</v>
      </c>
      <c r="E16">
        <v>0</v>
      </c>
      <c r="F16" t="s">
        <v>399</v>
      </c>
      <c r="G16">
        <v>2</v>
      </c>
    </row>
    <row r="17" spans="1:7" x14ac:dyDescent="0.25">
      <c r="A17" t="s">
        <v>296</v>
      </c>
      <c r="B17" t="s">
        <v>1566</v>
      </c>
      <c r="C17" t="s">
        <v>293</v>
      </c>
      <c r="D17">
        <v>13</v>
      </c>
      <c r="E17">
        <v>18</v>
      </c>
      <c r="F17" t="s">
        <v>399</v>
      </c>
      <c r="G17">
        <v>2</v>
      </c>
    </row>
    <row r="18" spans="1:7" x14ac:dyDescent="0.25">
      <c r="A18" t="s">
        <v>294</v>
      </c>
      <c r="B18" t="s">
        <v>1569</v>
      </c>
      <c r="C18" t="s">
        <v>293</v>
      </c>
      <c r="D18">
        <v>0</v>
      </c>
      <c r="E18">
        <v>5</v>
      </c>
      <c r="F18" t="s">
        <v>399</v>
      </c>
      <c r="G18">
        <v>1</v>
      </c>
    </row>
    <row r="19" spans="1:7" x14ac:dyDescent="0.25">
      <c r="A19" t="s">
        <v>302</v>
      </c>
      <c r="B19" t="s">
        <v>1565</v>
      </c>
      <c r="C19" t="s">
        <v>301</v>
      </c>
      <c r="D19">
        <v>0</v>
      </c>
      <c r="E19">
        <v>65</v>
      </c>
      <c r="F19" t="s">
        <v>399</v>
      </c>
      <c r="G19">
        <v>6</v>
      </c>
    </row>
    <row r="20" spans="1:7" x14ac:dyDescent="0.25">
      <c r="A20" t="s">
        <v>234</v>
      </c>
      <c r="B20" t="s">
        <v>1565</v>
      </c>
      <c r="C20" t="s">
        <v>304</v>
      </c>
      <c r="D20">
        <v>0</v>
      </c>
      <c r="E20">
        <v>34</v>
      </c>
      <c r="F20" t="s">
        <v>399</v>
      </c>
      <c r="G20">
        <v>2</v>
      </c>
    </row>
    <row r="21" spans="1:7" x14ac:dyDescent="0.25">
      <c r="A21" t="s">
        <v>307</v>
      </c>
      <c r="B21" t="s">
        <v>1569</v>
      </c>
      <c r="C21" t="s">
        <v>306</v>
      </c>
      <c r="D21">
        <v>3</v>
      </c>
      <c r="E21">
        <v>8</v>
      </c>
      <c r="F21" t="s">
        <v>399</v>
      </c>
      <c r="G21">
        <v>2</v>
      </c>
    </row>
    <row r="22" spans="1:7" x14ac:dyDescent="0.25">
      <c r="A22" t="s">
        <v>310</v>
      </c>
      <c r="B22" t="s">
        <v>1565</v>
      </c>
      <c r="C22" t="s">
        <v>309</v>
      </c>
      <c r="D22">
        <v>0</v>
      </c>
      <c r="E22">
        <v>0</v>
      </c>
      <c r="F22" t="s">
        <v>399</v>
      </c>
      <c r="G22">
        <v>2</v>
      </c>
    </row>
    <row r="23" spans="1:7" x14ac:dyDescent="0.25">
      <c r="A23" t="s">
        <v>331</v>
      </c>
      <c r="B23" t="s">
        <v>1566</v>
      </c>
      <c r="C23" t="s">
        <v>330</v>
      </c>
      <c r="D23">
        <v>0</v>
      </c>
      <c r="E23">
        <v>0</v>
      </c>
      <c r="F23" t="s">
        <v>399</v>
      </c>
      <c r="G23">
        <v>0</v>
      </c>
    </row>
    <row r="24" spans="1:7" x14ac:dyDescent="0.25">
      <c r="A24" t="s">
        <v>329</v>
      </c>
      <c r="B24" t="s">
        <v>1569</v>
      </c>
      <c r="C24" t="s">
        <v>333</v>
      </c>
      <c r="D24">
        <v>0</v>
      </c>
      <c r="E24">
        <v>13</v>
      </c>
      <c r="F24" t="s">
        <v>400</v>
      </c>
      <c r="G24">
        <v>1</v>
      </c>
    </row>
    <row r="25" spans="1:7" x14ac:dyDescent="0.25">
      <c r="A25" t="s">
        <v>341</v>
      </c>
      <c r="B25" t="s">
        <v>1565</v>
      </c>
      <c r="C25" t="s">
        <v>340</v>
      </c>
      <c r="D25">
        <v>13</v>
      </c>
      <c r="E25">
        <v>26</v>
      </c>
      <c r="F25" t="s">
        <v>400</v>
      </c>
      <c r="G25">
        <v>2</v>
      </c>
    </row>
    <row r="26" spans="1:7" x14ac:dyDescent="0.25">
      <c r="A26" t="s">
        <v>88</v>
      </c>
      <c r="B26" t="s">
        <v>1565</v>
      </c>
      <c r="C26" t="s">
        <v>85</v>
      </c>
      <c r="D26">
        <v>9</v>
      </c>
      <c r="E26">
        <v>9</v>
      </c>
      <c r="F26" t="s">
        <v>400</v>
      </c>
      <c r="G26">
        <v>3</v>
      </c>
    </row>
    <row r="27" spans="1:7" x14ac:dyDescent="0.25">
      <c r="A27" t="s">
        <v>96</v>
      </c>
      <c r="B27" t="s">
        <v>1565</v>
      </c>
      <c r="C27" t="s">
        <v>344</v>
      </c>
      <c r="D27">
        <v>16</v>
      </c>
      <c r="E27">
        <v>32</v>
      </c>
      <c r="F27" t="s">
        <v>400</v>
      </c>
      <c r="G27">
        <v>6</v>
      </c>
    </row>
    <row r="28" spans="1:7" x14ac:dyDescent="0.25">
      <c r="A28" t="s">
        <v>201</v>
      </c>
      <c r="B28" t="s">
        <v>1564</v>
      </c>
      <c r="C28" t="s">
        <v>351</v>
      </c>
      <c r="D28">
        <v>5</v>
      </c>
      <c r="E28">
        <v>5</v>
      </c>
      <c r="F28" t="s">
        <v>400</v>
      </c>
      <c r="G28">
        <v>1</v>
      </c>
    </row>
    <row r="29" spans="1:7" x14ac:dyDescent="0.25">
      <c r="A29" t="s">
        <v>315</v>
      </c>
      <c r="B29" t="s">
        <v>1566</v>
      </c>
      <c r="C29" t="s">
        <v>353</v>
      </c>
      <c r="D29">
        <v>0</v>
      </c>
      <c r="E29">
        <v>7</v>
      </c>
      <c r="F29" t="s">
        <v>398</v>
      </c>
      <c r="G29">
        <v>3</v>
      </c>
    </row>
    <row r="30" spans="1:7" x14ac:dyDescent="0.25">
      <c r="A30" t="s">
        <v>149</v>
      </c>
      <c r="B30" t="s">
        <v>1565</v>
      </c>
      <c r="C30" t="s">
        <v>355</v>
      </c>
      <c r="D30">
        <v>0</v>
      </c>
      <c r="E30">
        <v>10</v>
      </c>
      <c r="F30" t="s">
        <v>398</v>
      </c>
      <c r="G30">
        <v>2</v>
      </c>
    </row>
    <row r="31" spans="1:7" x14ac:dyDescent="0.25">
      <c r="A31" t="s">
        <v>133</v>
      </c>
      <c r="B31" t="s">
        <v>1565</v>
      </c>
      <c r="C31" t="s">
        <v>355</v>
      </c>
      <c r="D31">
        <v>0</v>
      </c>
      <c r="E31">
        <v>18</v>
      </c>
      <c r="F31" t="s">
        <v>398</v>
      </c>
      <c r="G31">
        <v>4</v>
      </c>
    </row>
    <row r="32" spans="1:7" x14ac:dyDescent="0.25">
      <c r="A32" t="s">
        <v>129</v>
      </c>
      <c r="B32" t="s">
        <v>1565</v>
      </c>
      <c r="C32" t="s">
        <v>358</v>
      </c>
      <c r="D32">
        <v>0</v>
      </c>
      <c r="E32">
        <v>22</v>
      </c>
      <c r="F32" t="s">
        <v>398</v>
      </c>
      <c r="G32">
        <v>3</v>
      </c>
    </row>
    <row r="33" spans="1:7" x14ac:dyDescent="0.25">
      <c r="A33" t="s">
        <v>362</v>
      </c>
      <c r="B33" t="s">
        <v>1568</v>
      </c>
      <c r="C33" t="s">
        <v>361</v>
      </c>
      <c r="D33">
        <v>0</v>
      </c>
      <c r="E33">
        <v>22</v>
      </c>
      <c r="F33" t="s">
        <v>399</v>
      </c>
      <c r="G33">
        <v>3</v>
      </c>
    </row>
    <row r="34" spans="1:7" x14ac:dyDescent="0.25">
      <c r="A34" t="s">
        <v>364</v>
      </c>
      <c r="B34" t="s">
        <v>1566</v>
      </c>
      <c r="C34" t="s">
        <v>363</v>
      </c>
      <c r="D34">
        <v>0</v>
      </c>
      <c r="E34">
        <v>0</v>
      </c>
      <c r="F34" t="s">
        <v>399</v>
      </c>
      <c r="G34">
        <v>0</v>
      </c>
    </row>
    <row r="35" spans="1:7" x14ac:dyDescent="0.25">
      <c r="A35" t="s">
        <v>367</v>
      </c>
      <c r="B35" t="s">
        <v>1565</v>
      </c>
      <c r="C35" t="s">
        <v>366</v>
      </c>
      <c r="D35">
        <v>0</v>
      </c>
      <c r="E35">
        <v>8</v>
      </c>
      <c r="F35" t="s">
        <v>400</v>
      </c>
      <c r="G35">
        <v>1</v>
      </c>
    </row>
    <row r="36" spans="1:7" x14ac:dyDescent="0.25">
      <c r="A36" t="s">
        <v>204</v>
      </c>
      <c r="B36" t="s">
        <v>1564</v>
      </c>
      <c r="C36" t="s">
        <v>371</v>
      </c>
      <c r="D36">
        <v>3</v>
      </c>
      <c r="E36">
        <v>3</v>
      </c>
      <c r="F36" t="s">
        <v>400</v>
      </c>
      <c r="G36">
        <v>1</v>
      </c>
    </row>
    <row r="37" spans="1:7" x14ac:dyDescent="0.25">
      <c r="A37" t="s">
        <v>198</v>
      </c>
      <c r="B37" t="s">
        <v>1565</v>
      </c>
      <c r="C37" t="s">
        <v>373</v>
      </c>
      <c r="D37">
        <v>5</v>
      </c>
      <c r="E37">
        <v>5</v>
      </c>
      <c r="F37" t="s">
        <v>400</v>
      </c>
      <c r="G37">
        <v>1</v>
      </c>
    </row>
    <row r="38" spans="1:7" x14ac:dyDescent="0.25">
      <c r="A38" t="s">
        <v>376</v>
      </c>
      <c r="B38" t="s">
        <v>1566</v>
      </c>
      <c r="C38" t="s">
        <v>375</v>
      </c>
      <c r="D38">
        <v>0</v>
      </c>
      <c r="E38">
        <v>5</v>
      </c>
      <c r="F38" t="s">
        <v>398</v>
      </c>
      <c r="G38">
        <v>1</v>
      </c>
    </row>
    <row r="39" spans="1:7" x14ac:dyDescent="0.25">
      <c r="A39" t="s">
        <v>91</v>
      </c>
      <c r="B39" t="s">
        <v>1565</v>
      </c>
      <c r="C39" t="s">
        <v>377</v>
      </c>
      <c r="D39">
        <v>25</v>
      </c>
      <c r="E39">
        <v>25</v>
      </c>
      <c r="F39" t="s">
        <v>400</v>
      </c>
      <c r="G39">
        <v>5</v>
      </c>
    </row>
    <row r="40" spans="1:7" x14ac:dyDescent="0.25">
      <c r="A40" t="s">
        <v>1083</v>
      </c>
      <c r="B40" t="s">
        <v>1565</v>
      </c>
      <c r="C40" t="s">
        <v>1120</v>
      </c>
      <c r="D40">
        <v>0</v>
      </c>
      <c r="E40">
        <v>6</v>
      </c>
      <c r="F40" t="s">
        <v>400</v>
      </c>
      <c r="G40">
        <v>2</v>
      </c>
    </row>
    <row r="41" spans="1:7" x14ac:dyDescent="0.25">
      <c r="A41" t="s">
        <v>181</v>
      </c>
      <c r="B41" t="s">
        <v>1564</v>
      </c>
      <c r="C41" t="s">
        <v>379</v>
      </c>
      <c r="D41">
        <v>3</v>
      </c>
      <c r="E41">
        <v>3</v>
      </c>
      <c r="F41" t="s">
        <v>400</v>
      </c>
      <c r="G41">
        <v>1</v>
      </c>
    </row>
    <row r="42" spans="1:7" x14ac:dyDescent="0.25">
      <c r="A42" t="s">
        <v>209</v>
      </c>
      <c r="B42" t="s">
        <v>1569</v>
      </c>
      <c r="C42" t="s">
        <v>207</v>
      </c>
      <c r="D42">
        <v>5</v>
      </c>
      <c r="E42">
        <v>5</v>
      </c>
      <c r="F42" t="s">
        <v>400</v>
      </c>
      <c r="G42">
        <v>1</v>
      </c>
    </row>
    <row r="43" spans="1:7" x14ac:dyDescent="0.25">
      <c r="A43" t="s">
        <v>385</v>
      </c>
      <c r="B43" t="s">
        <v>1565</v>
      </c>
      <c r="C43" t="s">
        <v>384</v>
      </c>
      <c r="D43">
        <v>5</v>
      </c>
      <c r="E43">
        <v>5</v>
      </c>
      <c r="F43" t="s">
        <v>399</v>
      </c>
      <c r="G43">
        <v>1</v>
      </c>
    </row>
    <row r="44" spans="1:7" x14ac:dyDescent="0.25">
      <c r="A44" t="s">
        <v>159</v>
      </c>
      <c r="B44" t="s">
        <v>1565</v>
      </c>
      <c r="C44" t="s">
        <v>387</v>
      </c>
      <c r="D44">
        <v>5</v>
      </c>
      <c r="E44">
        <v>18</v>
      </c>
      <c r="F44" t="s">
        <v>398</v>
      </c>
      <c r="G44">
        <v>3</v>
      </c>
    </row>
    <row r="45" spans="1:7" x14ac:dyDescent="0.25">
      <c r="A45" t="s">
        <v>101</v>
      </c>
      <c r="B45" t="s">
        <v>1565</v>
      </c>
      <c r="C45" t="s">
        <v>99</v>
      </c>
      <c r="D45">
        <v>5</v>
      </c>
      <c r="E45">
        <v>5</v>
      </c>
      <c r="F45" t="s">
        <v>400</v>
      </c>
      <c r="G45">
        <v>1</v>
      </c>
    </row>
    <row r="46" spans="1:7" x14ac:dyDescent="0.25">
      <c r="A46" t="s">
        <v>155</v>
      </c>
      <c r="B46" t="s">
        <v>1565</v>
      </c>
      <c r="C46" t="s">
        <v>392</v>
      </c>
      <c r="D46">
        <v>3</v>
      </c>
      <c r="E46">
        <v>3</v>
      </c>
      <c r="F46" t="s">
        <v>398</v>
      </c>
      <c r="G46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  <pageSetUpPr fitToPage="1"/>
  </sheetPr>
  <dimension ref="A2:AD69"/>
  <sheetViews>
    <sheetView topLeftCell="J18" zoomScale="50" zoomScaleNormal="50" zoomScaleSheetLayoutView="50" workbookViewId="0">
      <selection sqref="A1:AQ70"/>
    </sheetView>
  </sheetViews>
  <sheetFormatPr defaultRowHeight="15.75" x14ac:dyDescent="0.25"/>
  <cols>
    <col min="3" max="3" width="9" customWidth="1"/>
    <col min="15" max="15" width="2.75" customWidth="1"/>
    <col min="29" max="29" width="3.125" customWidth="1"/>
  </cols>
  <sheetData>
    <row r="2" spans="1:30" ht="21" x14ac:dyDescent="0.35">
      <c r="B2" s="24" t="s">
        <v>784</v>
      </c>
      <c r="P2" s="24" t="s">
        <v>785</v>
      </c>
      <c r="AD2" t="s">
        <v>786</v>
      </c>
    </row>
    <row r="3" spans="1:30" ht="15.75" customHeight="1" x14ac:dyDescent="0.25">
      <c r="A3" s="68" t="s">
        <v>789</v>
      </c>
    </row>
    <row r="4" spans="1:30" x14ac:dyDescent="0.25">
      <c r="A4" s="68"/>
    </row>
    <row r="5" spans="1:30" x14ac:dyDescent="0.25">
      <c r="A5" s="68"/>
    </row>
    <row r="6" spans="1:30" x14ac:dyDescent="0.25">
      <c r="A6" s="68"/>
    </row>
    <row r="7" spans="1:30" x14ac:dyDescent="0.25">
      <c r="A7" s="68"/>
    </row>
    <row r="8" spans="1:30" x14ac:dyDescent="0.25">
      <c r="A8" s="68"/>
    </row>
    <row r="9" spans="1:30" x14ac:dyDescent="0.25">
      <c r="A9" s="68"/>
    </row>
    <row r="10" spans="1:30" x14ac:dyDescent="0.25">
      <c r="A10" s="68"/>
    </row>
    <row r="11" spans="1:30" x14ac:dyDescent="0.25">
      <c r="A11" s="68"/>
    </row>
    <row r="12" spans="1:30" x14ac:dyDescent="0.25">
      <c r="A12" s="68"/>
    </row>
    <row r="13" spans="1:30" x14ac:dyDescent="0.25">
      <c r="A13" s="68"/>
    </row>
    <row r="14" spans="1:30" x14ac:dyDescent="0.25">
      <c r="A14" s="68"/>
    </row>
    <row r="15" spans="1:30" x14ac:dyDescent="0.25">
      <c r="A15" s="68"/>
    </row>
    <row r="16" spans="1:30" x14ac:dyDescent="0.25">
      <c r="A16" s="68"/>
    </row>
    <row r="17" spans="1:1" x14ac:dyDescent="0.25">
      <c r="A17" s="68"/>
    </row>
    <row r="18" spans="1:1" x14ac:dyDescent="0.25">
      <c r="A18" s="68"/>
    </row>
    <row r="19" spans="1:1" x14ac:dyDescent="0.25">
      <c r="A19" s="68"/>
    </row>
    <row r="20" spans="1:1" x14ac:dyDescent="0.25">
      <c r="A20" s="68"/>
    </row>
    <row r="21" spans="1:1" x14ac:dyDescent="0.25">
      <c r="A21" s="68"/>
    </row>
    <row r="22" spans="1:1" x14ac:dyDescent="0.25">
      <c r="A22" s="68"/>
    </row>
    <row r="23" spans="1:1" x14ac:dyDescent="0.25">
      <c r="A23" s="68"/>
    </row>
    <row r="24" spans="1:1" x14ac:dyDescent="0.25">
      <c r="A24" s="68"/>
    </row>
    <row r="25" spans="1:1" x14ac:dyDescent="0.25">
      <c r="A25" s="68"/>
    </row>
    <row r="26" spans="1:1" x14ac:dyDescent="0.25">
      <c r="A26" s="68"/>
    </row>
    <row r="27" spans="1:1" x14ac:dyDescent="0.25">
      <c r="A27" s="68"/>
    </row>
    <row r="28" spans="1:1" x14ac:dyDescent="0.25">
      <c r="A28" s="68"/>
    </row>
    <row r="29" spans="1:1" x14ac:dyDescent="0.25">
      <c r="A29" s="68"/>
    </row>
    <row r="30" spans="1:1" x14ac:dyDescent="0.25">
      <c r="A30" s="68"/>
    </row>
    <row r="31" spans="1:1" x14ac:dyDescent="0.25">
      <c r="A31" s="68"/>
    </row>
    <row r="32" spans="1:1" x14ac:dyDescent="0.25">
      <c r="A32" s="68"/>
    </row>
    <row r="33" spans="1:1" x14ac:dyDescent="0.25">
      <c r="A33" s="68"/>
    </row>
    <row r="34" spans="1:1" x14ac:dyDescent="0.25">
      <c r="A34" s="68"/>
    </row>
    <row r="35" spans="1:1" x14ac:dyDescent="0.25">
      <c r="A35" s="68"/>
    </row>
    <row r="38" spans="1:1" x14ac:dyDescent="0.25">
      <c r="A38" s="68" t="s">
        <v>787</v>
      </c>
    </row>
    <row r="39" spans="1:1" x14ac:dyDescent="0.25">
      <c r="A39" s="68"/>
    </row>
    <row r="40" spans="1:1" x14ac:dyDescent="0.25">
      <c r="A40" s="68"/>
    </row>
    <row r="41" spans="1:1" x14ac:dyDescent="0.25">
      <c r="A41" s="68"/>
    </row>
    <row r="42" spans="1:1" x14ac:dyDescent="0.25">
      <c r="A42" s="68"/>
    </row>
    <row r="43" spans="1:1" x14ac:dyDescent="0.25">
      <c r="A43" s="68"/>
    </row>
    <row r="44" spans="1:1" x14ac:dyDescent="0.25">
      <c r="A44" s="68"/>
    </row>
    <row r="45" spans="1:1" x14ac:dyDescent="0.25">
      <c r="A45" s="68"/>
    </row>
    <row r="46" spans="1:1" x14ac:dyDescent="0.25">
      <c r="A46" s="68"/>
    </row>
    <row r="47" spans="1:1" x14ac:dyDescent="0.25">
      <c r="A47" s="68"/>
    </row>
    <row r="48" spans="1:1" x14ac:dyDescent="0.25">
      <c r="A48" s="68"/>
    </row>
    <row r="49" spans="1:1" x14ac:dyDescent="0.25">
      <c r="A49" s="68"/>
    </row>
    <row r="50" spans="1:1" x14ac:dyDescent="0.25">
      <c r="A50" s="68"/>
    </row>
    <row r="51" spans="1:1" x14ac:dyDescent="0.25">
      <c r="A51" s="68"/>
    </row>
    <row r="52" spans="1:1" x14ac:dyDescent="0.25">
      <c r="A52" s="68"/>
    </row>
    <row r="55" spans="1:1" x14ac:dyDescent="0.25">
      <c r="A55" s="68" t="s">
        <v>788</v>
      </c>
    </row>
    <row r="56" spans="1:1" x14ac:dyDescent="0.25">
      <c r="A56" s="68"/>
    </row>
    <row r="57" spans="1:1" x14ac:dyDescent="0.25">
      <c r="A57" s="68"/>
    </row>
    <row r="58" spans="1:1" x14ac:dyDescent="0.25">
      <c r="A58" s="68"/>
    </row>
    <row r="59" spans="1:1" x14ac:dyDescent="0.25">
      <c r="A59" s="68"/>
    </row>
    <row r="60" spans="1:1" x14ac:dyDescent="0.25">
      <c r="A60" s="68"/>
    </row>
    <row r="61" spans="1:1" x14ac:dyDescent="0.25">
      <c r="A61" s="68"/>
    </row>
    <row r="62" spans="1:1" x14ac:dyDescent="0.25">
      <c r="A62" s="68"/>
    </row>
    <row r="63" spans="1:1" x14ac:dyDescent="0.25">
      <c r="A63" s="68"/>
    </row>
    <row r="64" spans="1:1" x14ac:dyDescent="0.25">
      <c r="A64" s="68"/>
    </row>
    <row r="65" spans="1:1" x14ac:dyDescent="0.25">
      <c r="A65" s="68"/>
    </row>
    <row r="66" spans="1:1" x14ac:dyDescent="0.25">
      <c r="A66" s="68"/>
    </row>
    <row r="67" spans="1:1" x14ac:dyDescent="0.25">
      <c r="A67" s="68"/>
    </row>
    <row r="68" spans="1:1" x14ac:dyDescent="0.25">
      <c r="A68" s="68"/>
    </row>
    <row r="69" spans="1:1" x14ac:dyDescent="0.25">
      <c r="A69" s="68"/>
    </row>
  </sheetData>
  <mergeCells count="3">
    <mergeCell ref="A55:A69"/>
    <mergeCell ref="A38:A52"/>
    <mergeCell ref="A3:A35"/>
  </mergeCells>
  <pageMargins left="0.7" right="0.7" top="0.75" bottom="0.75" header="0.3" footer="0.3"/>
  <pageSetup paperSize="9" scale="32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9"/>
  </sheetPr>
  <dimension ref="A2:G58"/>
  <sheetViews>
    <sheetView topLeftCell="D1" zoomScale="90" zoomScaleNormal="90" zoomScalePageLayoutView="90" workbookViewId="0">
      <selection activeCell="E3" sqref="E3:F3"/>
    </sheetView>
  </sheetViews>
  <sheetFormatPr defaultColWidth="11" defaultRowHeight="15.75" x14ac:dyDescent="0.25"/>
  <cols>
    <col min="1" max="1" width="16.625" hidden="1" customWidth="1"/>
    <col min="2" max="2" width="39.375" hidden="1" customWidth="1"/>
    <col min="3" max="3" width="13.625" hidden="1" customWidth="1"/>
    <col min="4" max="4" width="70.125" customWidth="1"/>
    <col min="5" max="5" width="14.5" customWidth="1"/>
    <col min="6" max="6" width="17.625" customWidth="1"/>
    <col min="7" max="7" width="8.25" customWidth="1"/>
  </cols>
  <sheetData>
    <row r="2" spans="1:7" x14ac:dyDescent="0.25">
      <c r="E2" s="69">
        <f>SUM(E4:E58)</f>
        <v>172</v>
      </c>
      <c r="F2" s="69">
        <f>SUM(F4:F58)</f>
        <v>516</v>
      </c>
      <c r="G2" s="70">
        <f>IF(ISBLANK(F2),0,IF(F2=0,0,E2/F2))</f>
        <v>0.33333333333333331</v>
      </c>
    </row>
    <row r="3" spans="1:7" ht="42" x14ac:dyDescent="0.35">
      <c r="D3" s="1" t="s">
        <v>0</v>
      </c>
      <c r="E3" s="2" t="s">
        <v>2</v>
      </c>
      <c r="F3" s="2" t="s">
        <v>1</v>
      </c>
    </row>
    <row r="4" spans="1:7" ht="42" customHeight="1" x14ac:dyDescent="0.25">
      <c r="A4" s="12" t="s">
        <v>215</v>
      </c>
      <c r="B4" s="12" t="s">
        <v>214</v>
      </c>
      <c r="C4" s="12" t="s">
        <v>411</v>
      </c>
      <c r="D4" s="13" t="str">
        <f>CONCATENATE(IF(LEN(CONCATENATE("[",A4,"] ",B4))&lt;=60,CONCATENATE("[",A4,"] ",B4),CONCATENATE("[",A4,"] ",LEFT(B4,30)," … ",RIGHT(B4,30))), " / ", C4)</f>
        <v>[COMPCORP-114] Internationalization of the ap … he data provided by the system / ART</v>
      </c>
      <c r="E4" s="10">
        <v>0</v>
      </c>
      <c r="F4" s="10">
        <v>0</v>
      </c>
      <c r="G4" s="70">
        <f t="shared" ref="G4:G58" si="0">IF(ISBLANK(F4),0,IF(F4=0,0,E4/F4))</f>
        <v>0</v>
      </c>
    </row>
    <row r="5" spans="1:7" ht="42" customHeight="1" x14ac:dyDescent="0.25">
      <c r="A5" s="12" t="s">
        <v>110</v>
      </c>
      <c r="B5" s="12" t="s">
        <v>115</v>
      </c>
      <c r="C5" s="12" t="s">
        <v>398</v>
      </c>
      <c r="D5" s="13" t="str">
        <f>CONCATENATE(IF(LEN(CONCATENATE("[",A5,"] ",B5))&lt;=60,CONCATENATE("[",A5,"] ",B5),CONCATENATE("[",A5,"] ",LEFT(B5,30)," … ",RIGHT(B5,30))), " / ", C5)</f>
        <v>[PROCESS-44] Filter processes based on user …  on user portfolio assignments / Busy Bees</v>
      </c>
      <c r="E5" s="10">
        <v>0</v>
      </c>
      <c r="F5" s="10">
        <v>3</v>
      </c>
      <c r="G5" s="70">
        <f t="shared" si="0"/>
        <v>0</v>
      </c>
    </row>
    <row r="6" spans="1:7" x14ac:dyDescent="0.25">
      <c r="A6" s="12" t="s">
        <v>118</v>
      </c>
      <c r="B6" s="12" t="s">
        <v>117</v>
      </c>
      <c r="C6" s="12" t="s">
        <v>398</v>
      </c>
      <c r="D6" s="13" t="str">
        <f>CONCATENATE(IF(LEN(CONCATENATE("[",A6,"] ",B6))&lt;=60,CONCATENATE("[",A6,"] ",B6),CONCATENATE("[",A6,"] ",LEFT(B6,30)," … ",RIGHT(B6,30))), " / ", C6)</f>
        <v>[PROCESS-92] Improve search performance (elastic search) / Busy Bees</v>
      </c>
      <c r="E6" s="10">
        <v>0</v>
      </c>
      <c r="F6" s="10">
        <v>13</v>
      </c>
      <c r="G6" s="70">
        <f t="shared" si="0"/>
        <v>0</v>
      </c>
    </row>
    <row r="7" spans="1:7" x14ac:dyDescent="0.25">
      <c r="A7" s="12" t="s">
        <v>121</v>
      </c>
      <c r="B7" s="12" t="s">
        <v>120</v>
      </c>
      <c r="C7" s="12" t="s">
        <v>398</v>
      </c>
      <c r="D7" s="13" t="str">
        <f>CONCATENATE(IF(LEN(CONCATENATE("[",A7,"] ",B7))&lt;=60,CONCATENATE("[",A7,"] ",B7),CONCATENATE("[",A7,"] ",LEFT(B7,30)," … ",RIGHT(B7,30))), " / ", C7)</f>
        <v>[PROCESS-75] Support specific attributes based on taxonomy / Busy Bees</v>
      </c>
      <c r="E7" s="10">
        <v>0</v>
      </c>
      <c r="F7" s="10">
        <v>8</v>
      </c>
      <c r="G7" s="70">
        <f t="shared" si="0"/>
        <v>0</v>
      </c>
    </row>
    <row r="8" spans="1:7" x14ac:dyDescent="0.25">
      <c r="A8" s="12" t="s">
        <v>315</v>
      </c>
      <c r="B8" s="12" t="s">
        <v>353</v>
      </c>
      <c r="C8" s="12" t="s">
        <v>398</v>
      </c>
      <c r="D8" s="13" t="str">
        <f>CONCATENATE(IF(LEN(CONCATENATE("[",A8,"] ",B8))&lt;=60,CONCATENATE("[",A8,"] ",B8),CONCATENATE("[",A8,"] ",LEFT(B8,30)," … ",RIGHT(B8,30))), " / ", C8)</f>
        <v>[PROCESS-98] Filter process by "my" active tasks / Busy Bees</v>
      </c>
      <c r="E8" s="10">
        <v>0</v>
      </c>
      <c r="F8" s="10">
        <v>7</v>
      </c>
      <c r="G8" s="70">
        <f t="shared" si="0"/>
        <v>0</v>
      </c>
    </row>
    <row r="9" spans="1:7" x14ac:dyDescent="0.25">
      <c r="A9" s="12" t="s">
        <v>149</v>
      </c>
      <c r="B9" s="12" t="s">
        <v>355</v>
      </c>
      <c r="C9" s="12" t="s">
        <v>398</v>
      </c>
      <c r="D9" s="13" t="str">
        <f>CONCATENATE(IF(LEN(CONCATENATE("[",A9,"] ",B9))&lt;=60,CONCATENATE("[",A9,"] ",B9),CONCATENATE("[",A9,"] ",LEFT(B9,30)," … ",RIGHT(B9,30))), " / ", C9)</f>
        <v>[PFM-125] Foundation stabilization / Busy Bees</v>
      </c>
      <c r="E9" s="10">
        <v>0</v>
      </c>
      <c r="F9" s="10">
        <v>10</v>
      </c>
      <c r="G9" s="70">
        <f t="shared" si="0"/>
        <v>0</v>
      </c>
    </row>
    <row r="10" spans="1:7" x14ac:dyDescent="0.25">
      <c r="A10" s="12" t="s">
        <v>133</v>
      </c>
      <c r="B10" s="12" t="s">
        <v>355</v>
      </c>
      <c r="C10" s="12" t="s">
        <v>398</v>
      </c>
      <c r="D10" s="13" t="str">
        <f>CONCATENATE(IF(LEN(CONCATENATE("[",A10,"] ",B10))&lt;=60,CONCATENATE("[",A10,"] ",B10),CONCATENATE("[",A10,"] ",LEFT(B10,30)," … ",RIGHT(B10,30))), " / ", C10)</f>
        <v>[PROCESS-95] Foundation stabilization / Busy Bees</v>
      </c>
      <c r="E10" s="10">
        <v>0</v>
      </c>
      <c r="F10" s="10">
        <v>18</v>
      </c>
      <c r="G10" s="70">
        <f t="shared" si="0"/>
        <v>0</v>
      </c>
    </row>
    <row r="11" spans="1:7" x14ac:dyDescent="0.25">
      <c r="A11" s="12" t="s">
        <v>129</v>
      </c>
      <c r="B11" s="12" t="s">
        <v>358</v>
      </c>
      <c r="C11" s="12" t="s">
        <v>398</v>
      </c>
      <c r="D11" s="13" t="str">
        <f>CONCATENATE(IF(LEN(CONCATENATE("[",A11,"] ",B11))&lt;=60,CONCATENATE("[",A11,"] ",B11),CONCATENATE("[",A11,"] ",LEFT(B11,30)," … ",RIGHT(B11,30))), " / ", C11)</f>
        <v>[PROCESS-33] Harmonization of User Experience / Busy Bees</v>
      </c>
      <c r="E11" s="10">
        <v>0</v>
      </c>
      <c r="F11" s="10">
        <v>22</v>
      </c>
      <c r="G11" s="70">
        <f t="shared" si="0"/>
        <v>0</v>
      </c>
    </row>
    <row r="12" spans="1:7" x14ac:dyDescent="0.25">
      <c r="A12" s="12" t="s">
        <v>376</v>
      </c>
      <c r="B12" s="12" t="s">
        <v>375</v>
      </c>
      <c r="C12" s="12" t="s">
        <v>398</v>
      </c>
      <c r="D12" s="13" t="str">
        <f>CONCATENATE(IF(LEN(CONCATENATE("[",A12,"] ",B12))&lt;=60,CONCATENATE("[",A12,"] ",B12),CONCATENATE("[",A12,"] ",LEFT(B12,30)," … ",RIGHT(B12,30))), " / ", C12)</f>
        <v>[PROCESS-125] Secure Process Centre by filte … esses according to logged user / Busy Bees</v>
      </c>
      <c r="E12" s="10">
        <v>0</v>
      </c>
      <c r="F12" s="10">
        <v>5</v>
      </c>
      <c r="G12" s="70">
        <f t="shared" si="0"/>
        <v>0</v>
      </c>
    </row>
    <row r="13" spans="1:7" x14ac:dyDescent="0.25">
      <c r="A13" s="12" t="s">
        <v>159</v>
      </c>
      <c r="B13" s="12" t="s">
        <v>387</v>
      </c>
      <c r="C13" s="12" t="s">
        <v>398</v>
      </c>
      <c r="D13" s="13" t="str">
        <f>CONCATENATE(IF(LEN(CONCATENATE("[",A13,"] ",B13))&lt;=60,CONCATENATE("[",A13,"] ",B13),CONCATENATE("[",A13,"] ",LEFT(B13,30)," … ",RIGHT(B13,30))), " / ", C13)</f>
        <v>[PFM-131] UX harmonisation / Busy Bees</v>
      </c>
      <c r="E13" s="10">
        <v>5</v>
      </c>
      <c r="F13" s="10">
        <v>18</v>
      </c>
      <c r="G13" s="70">
        <f t="shared" si="0"/>
        <v>0.27777777777777779</v>
      </c>
    </row>
    <row r="14" spans="1:7" x14ac:dyDescent="0.25">
      <c r="A14" s="12" t="s">
        <v>155</v>
      </c>
      <c r="B14" s="12" t="s">
        <v>392</v>
      </c>
      <c r="C14" s="12" t="s">
        <v>398</v>
      </c>
      <c r="D14" s="13" t="str">
        <f>CONCATENATE(IF(LEN(CONCATENATE("[",A14,"] ",B14))&lt;=60,CONCATENATE("[",A14,"] ",B14),CONCATENATE("[",A14,"] ",LEFT(B14,30)," … ",RIGHT(B14,30))), " / ", C14)</f>
        <v>[PFM-126] User Impersonation / Busy Bees</v>
      </c>
      <c r="E14" s="10">
        <v>3</v>
      </c>
      <c r="F14" s="10">
        <v>3</v>
      </c>
      <c r="G14" s="70">
        <f t="shared" si="0"/>
        <v>1</v>
      </c>
    </row>
    <row r="15" spans="1:7" x14ac:dyDescent="0.25">
      <c r="A15" s="12" t="s">
        <v>329</v>
      </c>
      <c r="B15" s="12" t="s">
        <v>333</v>
      </c>
      <c r="C15" s="12" t="s">
        <v>400</v>
      </c>
      <c r="D15" s="13" t="str">
        <f>CONCATENATE(IF(LEN(CONCATENATE("[",A15,"] ",B15))&lt;=60,CONCATENATE("[",A15,"] ",B15),CONCATENATE("[",A15,"] ",LEFT(B15,30)," … ",RIGHT(B15,30))), " / ", C15)</f>
        <v>[INTERCOM-55] Answer Consultation / Pink Panthers</v>
      </c>
      <c r="E15" s="10">
        <v>0</v>
      </c>
      <c r="F15" s="10">
        <v>13</v>
      </c>
      <c r="G15" s="70">
        <f t="shared" si="0"/>
        <v>0</v>
      </c>
    </row>
    <row r="16" spans="1:7" x14ac:dyDescent="0.25">
      <c r="A16" s="12" t="s">
        <v>341</v>
      </c>
      <c r="B16" s="12" t="s">
        <v>340</v>
      </c>
      <c r="C16" s="12" t="s">
        <v>400</v>
      </c>
      <c r="D16" s="13" t="str">
        <f>CONCATENATE(IF(LEN(CONCATENATE("[",A16,"] ",B16))&lt;=60,CONCATENATE("[",A16,"] ",B16),CONCATENATE("[",A16,"] ",LEFT(B16,30)," … ",RIGHT(B16,30))), " / ", C16)</f>
        <v>[WAVECC-42] Claim/unclaim Wave tasks from Compass Corporate / Pink Panthers</v>
      </c>
      <c r="E16" s="10">
        <v>13</v>
      </c>
      <c r="F16" s="10">
        <v>26</v>
      </c>
      <c r="G16" s="70">
        <f t="shared" si="0"/>
        <v>0.5</v>
      </c>
    </row>
    <row r="17" spans="1:7" x14ac:dyDescent="0.25">
      <c r="A17" s="12" t="s">
        <v>88</v>
      </c>
      <c r="B17" s="12" t="s">
        <v>85</v>
      </c>
      <c r="C17" s="12" t="s">
        <v>400</v>
      </c>
      <c r="D17" s="13" t="str">
        <f>CONCATENATE(IF(LEN(CONCATENATE("[",A17,"] ",B17))&lt;=60,CONCATENATE("[",A17,"] ",B17),CONCATENATE("[",A17,"] ",LEFT(B17,30)," … ",RIGHT(B17,30))), " / ", C17)</f>
        <v>[CCADMIN-42] Configuration library adoption support / Pink Panthers</v>
      </c>
      <c r="E17" s="10">
        <v>9</v>
      </c>
      <c r="F17" s="10">
        <v>9</v>
      </c>
      <c r="G17" s="70">
        <f t="shared" si="0"/>
        <v>1</v>
      </c>
    </row>
    <row r="18" spans="1:7" x14ac:dyDescent="0.25">
      <c r="A18" s="12" t="s">
        <v>96</v>
      </c>
      <c r="B18" s="12" t="s">
        <v>344</v>
      </c>
      <c r="C18" s="12" t="s">
        <v>400</v>
      </c>
      <c r="D18" s="13" t="str">
        <f>CONCATENATE(IF(LEN(CONCATENATE("[",A18,"] ",B18))&lt;=60,CONCATENATE("[",A18,"] ",B18),CONCATENATE("[",A18,"] ",LEFT(B18,30)," … ",RIGHT(B18,30))), " / ", C18)</f>
        <v>[INTERCOM-54] Create Consultations / Pink Panthers</v>
      </c>
      <c r="E18" s="10">
        <v>16</v>
      </c>
      <c r="F18" s="10">
        <v>32</v>
      </c>
      <c r="G18" s="70">
        <f t="shared" si="0"/>
        <v>0.5</v>
      </c>
    </row>
    <row r="19" spans="1:7" x14ac:dyDescent="0.25">
      <c r="A19" s="12" t="s">
        <v>201</v>
      </c>
      <c r="B19" s="12" t="s">
        <v>351</v>
      </c>
      <c r="C19" s="12" t="s">
        <v>400</v>
      </c>
      <c r="D19" s="13" t="str">
        <f>CONCATENATE(IF(LEN(CONCATENATE("[",A19,"] ",B19))&lt;=60,CONCATENATE("[",A19,"] ",B19),CONCATENATE("[",A19,"] ",LEFT(B19,30)," … ",RIGHT(B19,30))), " / ", C19)</f>
        <v>[INTERCOM-71] Externalize configuration / Pink Panthers</v>
      </c>
      <c r="E19" s="10">
        <v>5</v>
      </c>
      <c r="F19" s="10">
        <v>5</v>
      </c>
      <c r="G19" s="70">
        <f t="shared" si="0"/>
        <v>1</v>
      </c>
    </row>
    <row r="20" spans="1:7" x14ac:dyDescent="0.25">
      <c r="A20" s="12" t="s">
        <v>367</v>
      </c>
      <c r="B20" s="12" t="s">
        <v>366</v>
      </c>
      <c r="C20" s="12" t="s">
        <v>400</v>
      </c>
      <c r="D20" s="13" t="str">
        <f>CONCATENATE(IF(LEN(CONCATENATE("[",A20,"] ",B20))&lt;=60,CONCATENATE("[",A20,"] ",B20),CONCATENATE("[",A20,"] ",LEFT(B20,30)," … ",RIGHT(B20,30))), " / ", C20)</f>
        <v>[WAVECC-34] Open Wave tasks / Pink Panthers</v>
      </c>
      <c r="E20" s="10">
        <v>0</v>
      </c>
      <c r="F20" s="10">
        <v>8</v>
      </c>
      <c r="G20" s="70">
        <f t="shared" si="0"/>
        <v>0</v>
      </c>
    </row>
    <row r="21" spans="1:7" x14ac:dyDescent="0.25">
      <c r="A21" s="12" t="s">
        <v>204</v>
      </c>
      <c r="B21" s="12" t="s">
        <v>371</v>
      </c>
      <c r="C21" s="12" t="s">
        <v>400</v>
      </c>
      <c r="D21" s="13" t="str">
        <f>CONCATENATE(IF(LEN(CONCATENATE("[",A21,"] ",B21))&lt;=60,CONCATENATE("[",A21,"] ",B21),CONCATENATE("[",A21,"] ",LEFT(B21,30)," … ",RIGHT(B21,30))), " / ", C21)</f>
        <v>[INTERCOM-75] Read only mode for Consultations / Pink Panthers</v>
      </c>
      <c r="E21" s="10">
        <v>3</v>
      </c>
      <c r="F21" s="10">
        <v>3</v>
      </c>
      <c r="G21" s="70">
        <f t="shared" si="0"/>
        <v>1</v>
      </c>
    </row>
    <row r="22" spans="1:7" x14ac:dyDescent="0.25">
      <c r="A22" s="12" t="s">
        <v>198</v>
      </c>
      <c r="B22" s="12" t="s">
        <v>373</v>
      </c>
      <c r="C22" s="12" t="s">
        <v>400</v>
      </c>
      <c r="D22" s="13" t="str">
        <f>CONCATENATE(IF(LEN(CONCATENATE("[",A22,"] ",B22))&lt;=60,CONCATENATE("[",A22,"] ",B22),CONCATENATE("[",A22,"] ",LEFT(B22,30)," … ",RIGHT(B22,30))), " / ", C22)</f>
        <v>[CCADMIN-55] Secure Admin Tool / Pink Panthers</v>
      </c>
      <c r="E22" s="10">
        <v>5</v>
      </c>
      <c r="F22" s="10">
        <v>5</v>
      </c>
      <c r="G22" s="70">
        <f t="shared" si="0"/>
        <v>1</v>
      </c>
    </row>
    <row r="23" spans="1:7" x14ac:dyDescent="0.25">
      <c r="A23" s="12" t="s">
        <v>91</v>
      </c>
      <c r="B23" s="12" t="s">
        <v>377</v>
      </c>
      <c r="C23" s="12" t="s">
        <v>400</v>
      </c>
      <c r="D23" s="13" t="str">
        <f>CONCATENATE(IF(LEN(CONCATENATE("[",A23,"] ",B23))&lt;=60,CONCATENATE("[",A23,"] ",B23),CONCATENATE("[",A23,"] ",LEFT(B23,30)," … ",RIGHT(B23,30))), " / ", C23)</f>
        <v>[CCADMIN-44] Service catalog / Pink Panthers</v>
      </c>
      <c r="E23" s="10">
        <v>25</v>
      </c>
      <c r="F23" s="10">
        <v>25</v>
      </c>
      <c r="G23" s="70">
        <f t="shared" si="0"/>
        <v>1</v>
      </c>
    </row>
    <row r="24" spans="1:7" x14ac:dyDescent="0.25">
      <c r="A24" s="12" t="s">
        <v>1083</v>
      </c>
      <c r="B24" s="12" t="s">
        <v>1120</v>
      </c>
      <c r="C24" s="12" t="s">
        <v>400</v>
      </c>
      <c r="D24" s="13" t="str">
        <f>CONCATENATE(IF(LEN(CONCATENATE("[",A24,"] ",B24))&lt;=60,CONCATENATE("[",A24,"] ",B24),CONCATENATE("[",A24,"] ",LEFT(B24,30)," … ",RIGHT(B24,30))), " / ", C24)</f>
        <v>[INTERCOM-76] Services interoperability / Pink Panthers</v>
      </c>
      <c r="E24" s="10">
        <v>0</v>
      </c>
      <c r="F24" s="10">
        <v>6</v>
      </c>
      <c r="G24" s="70">
        <f t="shared" si="0"/>
        <v>0</v>
      </c>
    </row>
    <row r="25" spans="1:7" x14ac:dyDescent="0.25">
      <c r="A25" s="12" t="s">
        <v>181</v>
      </c>
      <c r="B25" s="12" t="s">
        <v>379</v>
      </c>
      <c r="C25" s="12" t="s">
        <v>400</v>
      </c>
      <c r="D25" s="13" t="str">
        <f>CONCATENATE(IF(LEN(CONCATENATE("[",A25,"] ",B25))&lt;=60,CONCATENATE("[",A25,"] ",B25),CONCATENATE("[",A25,"] ",LEFT(B25,30)," … ",RIGHT(B25,30))), " / ", C25)</f>
        <v>[INTERCOM-59] Show full user name / Pink Panthers</v>
      </c>
      <c r="E25" s="10">
        <v>3</v>
      </c>
      <c r="F25" s="10">
        <v>3</v>
      </c>
      <c r="G25" s="70">
        <f t="shared" si="0"/>
        <v>1</v>
      </c>
    </row>
    <row r="26" spans="1:7" x14ac:dyDescent="0.25">
      <c r="A26" s="12" t="s">
        <v>209</v>
      </c>
      <c r="B26" s="12" t="s">
        <v>207</v>
      </c>
      <c r="C26" s="12" t="s">
        <v>400</v>
      </c>
      <c r="D26" s="13" t="str">
        <f>CONCATENATE(IF(LEN(CONCATENATE("[",A26,"] ",B26))&lt;=60,CONCATENATE("[",A26,"] ",B26),CONCATENATE("[",A26,"] ",LEFT(B26,30)," … ",RIGHT(B26,30))), " / ", C26)</f>
        <v>[INTERCOM-72] Support for parallel tasks / Pink Panthers</v>
      </c>
      <c r="E26" s="10">
        <v>5</v>
      </c>
      <c r="F26" s="10">
        <v>5</v>
      </c>
      <c r="G26" s="70">
        <f t="shared" si="0"/>
        <v>1</v>
      </c>
    </row>
    <row r="27" spans="1:7" x14ac:dyDescent="0.25">
      <c r="A27" s="12" t="s">
        <v>101</v>
      </c>
      <c r="B27" s="12" t="s">
        <v>99</v>
      </c>
      <c r="C27" s="12" t="s">
        <v>400</v>
      </c>
      <c r="D27" s="13" t="str">
        <f>CONCATENATE(IF(LEN(CONCATENATE("[",A27,"] ",B27))&lt;=60,CONCATENATE("[",A27,"] ",B27),CONCATENATE("[",A27,"] ",LEFT(B27,30)," … ",RIGHT(B27,30))), " / ", C27)</f>
        <v>[INTERCOM-52] Update the maven archetype for microservices / Pink Panthers</v>
      </c>
      <c r="E27" s="10">
        <v>5</v>
      </c>
      <c r="F27" s="10">
        <v>5</v>
      </c>
      <c r="G27" s="70">
        <f t="shared" si="0"/>
        <v>1</v>
      </c>
    </row>
    <row r="28" spans="1:7" x14ac:dyDescent="0.25">
      <c r="A28" s="12" t="s">
        <v>69</v>
      </c>
      <c r="B28" s="12" t="s">
        <v>68</v>
      </c>
      <c r="C28" s="12" t="s">
        <v>399</v>
      </c>
      <c r="D28" s="13" t="str">
        <f>CONCATENATE(IF(LEN(CONCATENATE("[",A28,"] ",B28))&lt;=60,CONCATENATE("[",A28,"] ",B28),CONCATENATE("[",A28,"] ",LEFT(B28,30)," … ",RIGHT(B28,30))), " / ", C28)</f>
        <v>[TSKACTION-217] Action: Session Management / RTD</v>
      </c>
      <c r="E28" s="10">
        <v>5</v>
      </c>
      <c r="F28" s="10">
        <v>34</v>
      </c>
      <c r="G28" s="70">
        <f t="shared" si="0"/>
        <v>0.14705882352941177</v>
      </c>
    </row>
    <row r="29" spans="1:7" x14ac:dyDescent="0.25">
      <c r="A29" s="12" t="s">
        <v>82</v>
      </c>
      <c r="B29" s="12" t="s">
        <v>81</v>
      </c>
      <c r="C29" s="12" t="s">
        <v>399</v>
      </c>
      <c r="D29" s="13" t="str">
        <f>CONCATENATE(IF(LEN(CONCATENATE("[",A29,"] ",B29))&lt;=60,CONCATENATE("[",A29,"] ",B29),CONCATENATE("[",A29,"] ",LEFT(B29,30)," … ",RIGHT(B29,30))), " / ", C29)</f>
        <v>[CCDOCLIST-165] Provide pre/post operation cal … peration callbacks to business / RTD</v>
      </c>
      <c r="E29" s="10">
        <v>13</v>
      </c>
      <c r="F29" s="10">
        <v>13</v>
      </c>
      <c r="G29" s="70">
        <f t="shared" si="0"/>
        <v>1</v>
      </c>
    </row>
    <row r="30" spans="1:7" x14ac:dyDescent="0.25">
      <c r="A30" s="12" t="s">
        <v>218</v>
      </c>
      <c r="B30" s="12" t="s">
        <v>217</v>
      </c>
      <c r="C30" s="12" t="s">
        <v>399</v>
      </c>
      <c r="D30" s="13" t="str">
        <f>CONCATENATE(IF(LEN(CONCATENATE("[",A30,"] ",B30))&lt;=60,CONCATENATE("[",A30,"] ",B30),CONCATENATE("[",A30,"] ",LEFT(B30,30)," … ",RIGHT(B30,30))), " / ", C30)</f>
        <v>[CCTASK-533] Adoption of OpenID security model / RTD</v>
      </c>
      <c r="E30" s="10">
        <v>0</v>
      </c>
      <c r="F30" s="10">
        <v>8</v>
      </c>
      <c r="G30" s="70">
        <f t="shared" si="0"/>
        <v>0</v>
      </c>
    </row>
    <row r="31" spans="1:7" x14ac:dyDescent="0.25">
      <c r="A31" s="12" t="s">
        <v>222</v>
      </c>
      <c r="B31" s="12" t="s">
        <v>221</v>
      </c>
      <c r="C31" s="12" t="s">
        <v>399</v>
      </c>
      <c r="D31" s="13" t="str">
        <f>CONCATENATE(IF(LEN(CONCATENATE("[",A31,"] ",B31))&lt;=60,CONCATENATE("[",A31,"] ",B31),CONCATENATE("[",A31,"] ",LEFT(B31,30)," … ",RIGHT(B31,30))), " / ", C31)</f>
        <v>[CCDOCLIST-156] Configuration of presentation - compact view / RTD</v>
      </c>
      <c r="E31" s="10">
        <v>8</v>
      </c>
      <c r="F31" s="10">
        <v>8</v>
      </c>
      <c r="G31" s="70">
        <f t="shared" si="0"/>
        <v>1</v>
      </c>
    </row>
    <row r="32" spans="1:7" x14ac:dyDescent="0.25">
      <c r="A32" s="12" t="s">
        <v>225</v>
      </c>
      <c r="B32" s="12" t="s">
        <v>224</v>
      </c>
      <c r="C32" s="12" t="s">
        <v>399</v>
      </c>
      <c r="D32" s="13" t="str">
        <f>CONCATENATE(IF(LEN(CONCATENATE("[",A32,"] ",B32))&lt;=60,CONCATENATE("[",A32,"] ",B32),CONCATENATE("[",A32,"] ",LEFT(B32,30)," … ",RIGHT(B32,30))), " / ", C32)</f>
        <v>[CCDOCLIST-19] Document list read-only mode / RTD</v>
      </c>
      <c r="E32" s="10">
        <v>13</v>
      </c>
      <c r="F32" s="10">
        <v>21</v>
      </c>
      <c r="G32" s="70">
        <f t="shared" si="0"/>
        <v>0.61904761904761907</v>
      </c>
    </row>
    <row r="33" spans="1:7" x14ac:dyDescent="0.25">
      <c r="A33" s="12" t="s">
        <v>228</v>
      </c>
      <c r="B33" s="12" t="s">
        <v>227</v>
      </c>
      <c r="C33" s="12" t="s">
        <v>399</v>
      </c>
      <c r="D33" s="13" t="str">
        <f>CONCATENATE(IF(LEN(CONCATENATE("[",A33,"] ",B33))&lt;=60,CONCATENATE("[",A33,"] ",B33),CONCATENATE("[",A33,"] ",LEFT(B33,30)," … ",RIGHT(B33,30))), " / ", C33)</f>
        <v>[CCDOCLIST-157] Filter the Document List at ru … ment List at runtime (backend) / RTD</v>
      </c>
      <c r="E33" s="10">
        <v>8</v>
      </c>
      <c r="F33" s="10">
        <v>8</v>
      </c>
      <c r="G33" s="70">
        <f t="shared" si="0"/>
        <v>1</v>
      </c>
    </row>
    <row r="34" spans="1:7" x14ac:dyDescent="0.25">
      <c r="A34" s="12" t="s">
        <v>272</v>
      </c>
      <c r="B34" s="12" t="s">
        <v>271</v>
      </c>
      <c r="C34" s="12" t="s">
        <v>399</v>
      </c>
      <c r="D34" s="13" t="str">
        <f>CONCATENATE(IF(LEN(CONCATENATE("[",A34,"] ",B34))&lt;=60,CONCATENATE("[",A34,"] ",B34),CONCATENATE("[",A34,"] ",LEFT(B34,30)," … ",RIGHT(B34,30))), " / ", C34)</f>
        <v>[CCTASK-534] Readiness for translation service / RTD</v>
      </c>
      <c r="E34" s="10">
        <v>0</v>
      </c>
      <c r="F34" s="10">
        <v>0</v>
      </c>
      <c r="G34" s="70">
        <f t="shared" si="0"/>
        <v>0</v>
      </c>
    </row>
    <row r="35" spans="1:7" x14ac:dyDescent="0.25">
      <c r="A35" s="12" t="s">
        <v>276</v>
      </c>
      <c r="B35" s="12" t="s">
        <v>275</v>
      </c>
      <c r="C35" s="12" t="s">
        <v>399</v>
      </c>
      <c r="D35" s="13" t="str">
        <f>CONCATENATE(IF(LEN(CONCATENATE("[",A35,"] ",B35))&lt;=60,CONCATENATE("[",A35,"] ",B35),CONCATENATE("[",A35,"] ",LEFT(B35,30)," … ",RIGHT(B35,30))), " / ", C35)</f>
        <v>[CCDOCLIST-17] Configuration management / RTD</v>
      </c>
      <c r="E35" s="10">
        <v>0</v>
      </c>
      <c r="F35" s="10">
        <v>0</v>
      </c>
      <c r="G35" s="70">
        <f t="shared" si="0"/>
        <v>0</v>
      </c>
    </row>
    <row r="36" spans="1:7" x14ac:dyDescent="0.25">
      <c r="A36" s="12" t="s">
        <v>280</v>
      </c>
      <c r="B36" s="12" t="s">
        <v>279</v>
      </c>
      <c r="C36" s="12" t="s">
        <v>399</v>
      </c>
      <c r="D36" s="13" t="str">
        <f>CONCATENATE(IF(LEN(CONCATENATE("[",A36,"] ",B36))&lt;=60,CONCATENATE("[",A36,"] ",B36),CONCATENATE("[",A36,"] ",LEFT(B36,30)," … ",RIGHT(B36,30))), " / ", C36)</f>
        <v>[CCDOCLIST-27] Configuration override / RTD</v>
      </c>
      <c r="E36" s="10">
        <v>7</v>
      </c>
      <c r="F36" s="10">
        <v>7</v>
      </c>
      <c r="G36" s="70">
        <f t="shared" si="0"/>
        <v>1</v>
      </c>
    </row>
    <row r="37" spans="1:7" x14ac:dyDescent="0.25">
      <c r="A37" s="12" t="s">
        <v>283</v>
      </c>
      <c r="B37" s="12" t="s">
        <v>282</v>
      </c>
      <c r="C37" s="12" t="s">
        <v>399</v>
      </c>
      <c r="D37" s="13" t="str">
        <f>CONCATENATE(IF(LEN(CONCATENATE("[",A37,"] ",B37))&lt;=60,CONCATENATE("[",A37,"] ",B37),CONCATENATE("[",A37,"] ",LEFT(B37,30)," … ",RIGHT(B37,30))), " / ", C37)</f>
        <v>[CCDOCLIST-25] Manage document encryption / RTD</v>
      </c>
      <c r="E37" s="10">
        <v>0</v>
      </c>
      <c r="F37" s="10">
        <v>8</v>
      </c>
      <c r="G37" s="70">
        <f t="shared" si="0"/>
        <v>0</v>
      </c>
    </row>
    <row r="38" spans="1:7" x14ac:dyDescent="0.25">
      <c r="A38" s="12" t="s">
        <v>290</v>
      </c>
      <c r="B38" s="12" t="s">
        <v>289</v>
      </c>
      <c r="C38" s="12" t="s">
        <v>399</v>
      </c>
      <c r="D38" s="13" t="str">
        <f>CONCATENATE(IF(LEN(CONCATENATE("[",A38,"] ",B38))&lt;=60,CONCATENATE("[",A38,"] ",B38),CONCATENATE("[",A38,"] ",LEFT(B38,30)," … ",RIGHT(B38,30))), " / ", C38)</f>
        <v>[TSKACTION-245] Action: Parallel Actors / Support task / RTD</v>
      </c>
      <c r="E38" s="10">
        <v>0</v>
      </c>
      <c r="F38" s="10">
        <v>0</v>
      </c>
      <c r="G38" s="70">
        <f t="shared" si="0"/>
        <v>0</v>
      </c>
    </row>
    <row r="39" spans="1:7" x14ac:dyDescent="0.25">
      <c r="A39" s="12" t="s">
        <v>296</v>
      </c>
      <c r="B39" s="12" t="s">
        <v>293</v>
      </c>
      <c r="C39" s="12" t="s">
        <v>399</v>
      </c>
      <c r="D39" s="13" t="str">
        <f>CONCATENATE(IF(LEN(CONCATENATE("[",A39,"] ",B39))&lt;=60,CONCATENATE("[",A39,"] ",B39),CONCATENATE("[",A39,"] ",LEFT(B39,30)," … ",RIGHT(B39,30))), " / ", C39)</f>
        <v>[CCTASK-579] Integration with Config Admin / RTD</v>
      </c>
      <c r="E39" s="10">
        <v>13</v>
      </c>
      <c r="F39" s="10">
        <v>18</v>
      </c>
      <c r="G39" s="70">
        <f t="shared" si="0"/>
        <v>0.72222222222222221</v>
      </c>
    </row>
    <row r="40" spans="1:7" x14ac:dyDescent="0.25">
      <c r="A40" s="12" t="s">
        <v>294</v>
      </c>
      <c r="B40" s="12" t="s">
        <v>293</v>
      </c>
      <c r="C40" s="12" t="s">
        <v>399</v>
      </c>
      <c r="D40" s="13" t="str">
        <f>CONCATENATE(IF(LEN(CONCATENATE("[",A40,"] ",B40))&lt;=60,CONCATENATE("[",A40,"] ",B40),CONCATENATE("[",A40,"] ",LEFT(B40,30)," … ",RIGHT(B40,30))), " / ", C40)</f>
        <v>[CCDOCLIST-181] Integration with Config Admin / RTD</v>
      </c>
      <c r="E40" s="10">
        <v>0</v>
      </c>
      <c r="F40" s="10">
        <v>5</v>
      </c>
      <c r="G40" s="70">
        <f t="shared" si="0"/>
        <v>0</v>
      </c>
    </row>
    <row r="41" spans="1:7" x14ac:dyDescent="0.25">
      <c r="A41" s="12" t="s">
        <v>302</v>
      </c>
      <c r="B41" s="12" t="s">
        <v>301</v>
      </c>
      <c r="C41" s="12" t="s">
        <v>399</v>
      </c>
      <c r="D41" s="13" t="str">
        <f>CONCATENATE(IF(LEN(CONCATENATE("[",A41,"] ",B41))&lt;=60,CONCATENATE("[",A41,"] ",B41),CONCATENATE("[",A41,"] ",LEFT(B41,30)," … ",RIGHT(B41,30))), " / ", C41)</f>
        <v>[CCTASK-272] Signature on Outcome / RTD</v>
      </c>
      <c r="E41" s="10">
        <v>0</v>
      </c>
      <c r="F41" s="10">
        <v>65</v>
      </c>
      <c r="G41" s="70">
        <f t="shared" si="0"/>
        <v>0</v>
      </c>
    </row>
    <row r="42" spans="1:7" x14ac:dyDescent="0.25">
      <c r="A42" s="12" t="s">
        <v>234</v>
      </c>
      <c r="B42" s="12" t="s">
        <v>304</v>
      </c>
      <c r="C42" s="12" t="s">
        <v>399</v>
      </c>
      <c r="D42" s="13" t="str">
        <f>CONCATENATE(IF(LEN(CONCATENATE("[",A42,"] ",B42))&lt;=60,CONCATENATE("[",A42,"] ",B42),CONCATENATE("[",A42,"] ",LEFT(B42,30)," … ",RIGHT(B42,30))), " / ", C42)</f>
        <v>[CCTASK-519] Taxonomy multiple references a … and events (for ProcessCentre) / RTD</v>
      </c>
      <c r="E42" s="10">
        <v>0</v>
      </c>
      <c r="F42" s="10">
        <v>34</v>
      </c>
      <c r="G42" s="70">
        <f t="shared" si="0"/>
        <v>0</v>
      </c>
    </row>
    <row r="43" spans="1:7" x14ac:dyDescent="0.25">
      <c r="A43" s="12" t="s">
        <v>307</v>
      </c>
      <c r="B43" s="12" t="s">
        <v>306</v>
      </c>
      <c r="C43" s="12" t="s">
        <v>399</v>
      </c>
      <c r="D43" s="13" t="str">
        <f>CONCATENATE(IF(LEN(CONCATENATE("[",A43,"] ",B43))&lt;=60,CONCATENATE("[",A43,"] ",B43),CONCATENATE("[",A43,"] ",LEFT(B43,30)," … ",RIGHT(B43,30))), " / ", C43)</f>
        <v>[CCDOCLIST-174] The client should be able to r … en a business variable changes / RTD</v>
      </c>
      <c r="E43" s="10">
        <v>3</v>
      </c>
      <c r="F43" s="10">
        <v>8</v>
      </c>
      <c r="G43" s="70">
        <f t="shared" si="0"/>
        <v>0.375</v>
      </c>
    </row>
    <row r="44" spans="1:7" x14ac:dyDescent="0.25">
      <c r="A44" s="12" t="s">
        <v>310</v>
      </c>
      <c r="B44" s="12" t="s">
        <v>309</v>
      </c>
      <c r="C44" s="12" t="s">
        <v>399</v>
      </c>
      <c r="D44" s="13" t="str">
        <f>CONCATENATE(IF(LEN(CONCATENATE("[",A44,"] ",B44))&lt;=60,CONCATENATE("[",A44,"] ",B44),CONCATENATE("[",A44,"] ",LEFT(B44,30)," … ",RIGHT(B44,30))), " / ", C44)</f>
        <v>[CCTASK-476] UX - Post Checks (error handli … ror handling on task complete) / RTD</v>
      </c>
      <c r="E44" s="10">
        <v>0</v>
      </c>
      <c r="F44" s="10">
        <v>0</v>
      </c>
      <c r="G44" s="70">
        <f t="shared" si="0"/>
        <v>0</v>
      </c>
    </row>
    <row r="45" spans="1:7" x14ac:dyDescent="0.25">
      <c r="A45" s="12" t="s">
        <v>331</v>
      </c>
      <c r="B45" s="12" t="s">
        <v>330</v>
      </c>
      <c r="C45" s="12" t="s">
        <v>399</v>
      </c>
      <c r="D45" s="13" t="str">
        <f>CONCATENATE(IF(LEN(CONCATENATE("[",A45,"] ",B45))&lt;=60,CONCATENATE("[",A45,"] ",B45),CONCATENATE("[",A45,"] ",LEFT(B45,30)," … ",RIGHT(B45,30))), " / ", C45)</f>
        <v>[TSKACTION-56] Action: Document review/download link / RTD</v>
      </c>
      <c r="E45" s="10">
        <v>0</v>
      </c>
      <c r="F45" s="10">
        <v>0</v>
      </c>
      <c r="G45" s="70">
        <f t="shared" si="0"/>
        <v>0</v>
      </c>
    </row>
    <row r="46" spans="1:7" x14ac:dyDescent="0.25">
      <c r="A46" s="12" t="s">
        <v>362</v>
      </c>
      <c r="B46" s="12" t="s">
        <v>361</v>
      </c>
      <c r="C46" s="12" t="s">
        <v>399</v>
      </c>
      <c r="D46" s="13" t="str">
        <f>CONCATENATE(IF(LEN(CONCATENATE("[",A46,"] ",B46))&lt;=60,CONCATENATE("[",A46,"] ",B46),CONCATENATE("[",A46,"] ",LEFT(B46,30)," … ",RIGHT(B46,30))), " / ", C46)</f>
        <v>[CCTASK-532] Impersonation / RTD</v>
      </c>
      <c r="E46" s="10">
        <v>0</v>
      </c>
      <c r="F46" s="10">
        <v>22</v>
      </c>
      <c r="G46" s="70">
        <f t="shared" si="0"/>
        <v>0</v>
      </c>
    </row>
    <row r="47" spans="1:7" x14ac:dyDescent="0.25">
      <c r="A47" s="12" t="s">
        <v>364</v>
      </c>
      <c r="B47" s="12" t="s">
        <v>363</v>
      </c>
      <c r="C47" s="12" t="s">
        <v>399</v>
      </c>
      <c r="D47" s="13" t="str">
        <f>CONCATENATE(IF(LEN(CONCATENATE("[",A47,"] ",B47))&lt;=60,CONCATENATE("[",A47,"] ",B47),CONCATENATE("[",A47,"] ",LEFT(B47,30)," … ",RIGHT(B47,30))), " / ", C47)</f>
        <v>[CCDOCLIST-116] Mandatory documents / RTD</v>
      </c>
      <c r="E47" s="10">
        <v>0</v>
      </c>
      <c r="F47" s="10">
        <v>0</v>
      </c>
      <c r="G47" s="70">
        <f t="shared" si="0"/>
        <v>0</v>
      </c>
    </row>
    <row r="48" spans="1:7" x14ac:dyDescent="0.25">
      <c r="A48" s="12" t="s">
        <v>385</v>
      </c>
      <c r="B48" s="12" t="s">
        <v>384</v>
      </c>
      <c r="C48" s="12" t="s">
        <v>399</v>
      </c>
      <c r="D48" s="13" t="str">
        <f>CONCATENATE(IF(LEN(CONCATENATE("[",A48,"] ",B48))&lt;=60,CONCATENATE("[",A48,"] ",B48),CONCATENATE("[",A48,"] ",LEFT(B48,30)," … ",RIGHT(B48,30))), " / ", C48)</f>
        <v>[CCTASK-518] Taxonomy link to CCM2 / RTD</v>
      </c>
      <c r="E48" s="10">
        <v>5</v>
      </c>
      <c r="F48" s="10">
        <v>5</v>
      </c>
      <c r="G48" s="70">
        <f t="shared" si="0"/>
        <v>1</v>
      </c>
    </row>
    <row r="49" spans="1:7" x14ac:dyDescent="0.25">
      <c r="A49" s="12"/>
      <c r="B49" s="9"/>
      <c r="C49" s="9"/>
      <c r="D49" s="13" t="str">
        <f>CONCATENATE(IF(LEN(CONCATENATE("[",A49,"] ",B49))&lt;=60,CONCATENATE("[",A49,"] ",B49),CONCATENATE("[",A49,"] ",LEFT(B49,30)," … ",RIGHT(B49,30))), " / ", C49)</f>
        <v xml:space="preserve">[]  / </v>
      </c>
      <c r="E49" s="10"/>
      <c r="F49" s="10"/>
      <c r="G49" s="70">
        <f t="shared" si="0"/>
        <v>0</v>
      </c>
    </row>
    <row r="50" spans="1:7" x14ac:dyDescent="0.25">
      <c r="A50" s="12"/>
      <c r="B50" s="9"/>
      <c r="C50" s="9"/>
      <c r="D50" s="13" t="str">
        <f t="shared" ref="D50:D58" si="1">CONCATENATE(IF(LEN(CONCATENATE("[",A50,"] ",B50))&lt;=60,CONCATENATE("[",A50,"] ",B50),CONCATENATE("[",A50,"] ",LEFT(B50,30)," … ",RIGHT(B50,30))), " / ", C50)</f>
        <v xml:space="preserve">[]  / </v>
      </c>
      <c r="E50" s="10"/>
      <c r="F50" s="10"/>
      <c r="G50" s="70">
        <f t="shared" si="0"/>
        <v>0</v>
      </c>
    </row>
    <row r="51" spans="1:7" x14ac:dyDescent="0.25">
      <c r="A51" s="12"/>
      <c r="B51" s="9"/>
      <c r="C51" s="9"/>
      <c r="D51" s="13" t="str">
        <f t="shared" si="1"/>
        <v xml:space="preserve">[]  / </v>
      </c>
      <c r="E51" s="10"/>
      <c r="F51" s="10"/>
      <c r="G51" s="70">
        <f t="shared" si="0"/>
        <v>0</v>
      </c>
    </row>
    <row r="52" spans="1:7" x14ac:dyDescent="0.25">
      <c r="A52" s="12"/>
      <c r="B52" s="9"/>
      <c r="C52" s="9"/>
      <c r="D52" s="13" t="str">
        <f t="shared" si="1"/>
        <v xml:space="preserve">[]  / </v>
      </c>
      <c r="E52" s="10"/>
      <c r="F52" s="10"/>
      <c r="G52" s="70">
        <f t="shared" si="0"/>
        <v>0</v>
      </c>
    </row>
    <row r="53" spans="1:7" x14ac:dyDescent="0.25">
      <c r="A53" s="12"/>
      <c r="B53" s="9"/>
      <c r="C53" s="9"/>
      <c r="D53" s="13" t="str">
        <f t="shared" si="1"/>
        <v xml:space="preserve">[]  / </v>
      </c>
      <c r="E53" s="10"/>
      <c r="F53" s="10"/>
      <c r="G53" s="70">
        <f t="shared" si="0"/>
        <v>0</v>
      </c>
    </row>
    <row r="54" spans="1:7" x14ac:dyDescent="0.25">
      <c r="A54" s="12"/>
      <c r="B54" s="9"/>
      <c r="C54" s="9"/>
      <c r="D54" s="13" t="str">
        <f t="shared" si="1"/>
        <v xml:space="preserve">[]  / </v>
      </c>
      <c r="E54" s="10"/>
      <c r="F54" s="10"/>
      <c r="G54" s="70">
        <f t="shared" si="0"/>
        <v>0</v>
      </c>
    </row>
    <row r="55" spans="1:7" x14ac:dyDescent="0.25">
      <c r="A55" s="12"/>
      <c r="B55" s="9"/>
      <c r="C55" s="9"/>
      <c r="D55" s="13" t="str">
        <f t="shared" si="1"/>
        <v xml:space="preserve">[]  / </v>
      </c>
      <c r="E55" s="10"/>
      <c r="F55" s="10"/>
      <c r="G55" s="70">
        <f t="shared" si="0"/>
        <v>0</v>
      </c>
    </row>
    <row r="56" spans="1:7" x14ac:dyDescent="0.25">
      <c r="A56" s="12"/>
      <c r="B56" s="9"/>
      <c r="C56" s="9"/>
      <c r="D56" s="13" t="str">
        <f t="shared" si="1"/>
        <v xml:space="preserve">[]  / </v>
      </c>
      <c r="E56" s="10"/>
      <c r="F56" s="10"/>
      <c r="G56" s="70">
        <f t="shared" si="0"/>
        <v>0</v>
      </c>
    </row>
    <row r="57" spans="1:7" x14ac:dyDescent="0.25">
      <c r="A57" s="12"/>
      <c r="B57" s="9"/>
      <c r="C57" s="9"/>
      <c r="D57" s="13" t="str">
        <f t="shared" si="1"/>
        <v xml:space="preserve">[]  / </v>
      </c>
      <c r="E57" s="10"/>
      <c r="F57" s="10"/>
      <c r="G57" s="70">
        <f t="shared" si="0"/>
        <v>0</v>
      </c>
    </row>
    <row r="58" spans="1:7" x14ac:dyDescent="0.25">
      <c r="A58" s="12"/>
      <c r="B58" s="9"/>
      <c r="C58" s="9"/>
      <c r="D58" s="13" t="str">
        <f t="shared" si="1"/>
        <v xml:space="preserve">[]  / </v>
      </c>
      <c r="E58" s="10"/>
      <c r="F58" s="10"/>
      <c r="G58" s="70">
        <f t="shared" si="0"/>
        <v>0</v>
      </c>
    </row>
  </sheetData>
  <sortState ref="A4:F49">
    <sortCondition ref="C4"/>
  </sortState>
  <conditionalFormatting sqref="D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9"/>
  </sheetPr>
  <dimension ref="A2:G58"/>
  <sheetViews>
    <sheetView zoomScale="50" zoomScaleNormal="50" zoomScalePageLayoutView="90" workbookViewId="0">
      <selection activeCell="J47" sqref="J47"/>
    </sheetView>
  </sheetViews>
  <sheetFormatPr defaultColWidth="11" defaultRowHeight="15.75" x14ac:dyDescent="0.25"/>
  <cols>
    <col min="2" max="2" width="64.125" customWidth="1"/>
    <col min="3" max="3" width="47.125" customWidth="1"/>
    <col min="4" max="4" width="64.125" customWidth="1"/>
    <col min="5" max="5" width="14.5" customWidth="1"/>
    <col min="6" max="6" width="17.625" customWidth="1"/>
    <col min="7" max="7" width="8.25" customWidth="1"/>
  </cols>
  <sheetData>
    <row r="2" spans="1:7" x14ac:dyDescent="0.25">
      <c r="E2" s="69">
        <f>SUM(E4:E58)</f>
        <v>0</v>
      </c>
      <c r="F2" s="69">
        <f>SUM(F4:F58)</f>
        <v>82</v>
      </c>
      <c r="G2" s="70">
        <f>IF(ISBLANK(F2),0,IF(F2=0,0,E2/F2))</f>
        <v>0</v>
      </c>
    </row>
    <row r="3" spans="1:7" ht="42" x14ac:dyDescent="0.35">
      <c r="A3" s="1" t="s">
        <v>27</v>
      </c>
      <c r="B3" s="1" t="s">
        <v>0</v>
      </c>
      <c r="C3" s="1" t="s">
        <v>28</v>
      </c>
      <c r="D3" s="1" t="s">
        <v>0</v>
      </c>
      <c r="E3" s="2" t="s">
        <v>2</v>
      </c>
      <c r="F3" s="2" t="s">
        <v>1</v>
      </c>
    </row>
    <row r="4" spans="1:7" ht="42" customHeight="1" x14ac:dyDescent="0.25">
      <c r="A4" s="9" t="s">
        <v>336</v>
      </c>
      <c r="B4" s="9" t="s">
        <v>335</v>
      </c>
      <c r="C4" s="9" t="s">
        <v>403</v>
      </c>
      <c r="D4" s="9" t="str">
        <f>CONCATENATE(IF(LEN(CONCATENATE("[",A4,"] ",B4))&lt;=60,CONCATENATE("[",A4,"] ",B4),CONCATENATE("[",A4,"] ",LEFT(B4,30)," … ",RIGHT(B4,30))), " / ", C4)</f>
        <v>[CCPMO-129] Automated Program Metrics Update / Minions</v>
      </c>
      <c r="E4" s="10">
        <v>0</v>
      </c>
      <c r="F4" s="10">
        <v>13</v>
      </c>
      <c r="G4" s="70">
        <f t="shared" ref="G4:G58" si="0">IF(ISBLANK(F4),0,IF(F4=0,0,E4/F4))</f>
        <v>0</v>
      </c>
    </row>
    <row r="5" spans="1:7" x14ac:dyDescent="0.25">
      <c r="A5" s="9" t="s">
        <v>250</v>
      </c>
      <c r="B5" s="9" t="s">
        <v>337</v>
      </c>
      <c r="C5" s="9" t="s">
        <v>403</v>
      </c>
      <c r="D5" s="9" t="str">
        <f>CONCATENATE(IF(LEN(CONCATENATE("[",A5,"] ",B5))&lt;=60,CONCATENATE("[",A5,"] ",B5),CONCATENATE("[",A5,"] ",LEFT(B5,30)," … ",RIGHT(B5,30))), " / ", C5)</f>
        <v>[CCPMO-77] Cheat Sheet (Program) / Minions</v>
      </c>
      <c r="E5" s="10">
        <v>0</v>
      </c>
      <c r="F5" s="10">
        <v>8</v>
      </c>
      <c r="G5" s="70">
        <f t="shared" si="0"/>
        <v>0</v>
      </c>
    </row>
    <row r="6" spans="1:7" x14ac:dyDescent="0.25">
      <c r="A6" s="9" t="s">
        <v>339</v>
      </c>
      <c r="B6" s="9" t="s">
        <v>338</v>
      </c>
      <c r="C6" s="9" t="s">
        <v>403</v>
      </c>
      <c r="D6" s="9" t="str">
        <f>CONCATENATE(IF(LEN(CONCATENATE("[",A6,"] ",B6))&lt;=60,CONCATENATE("[",A6,"] ",B6),CONCATENATE("[",A6,"] ",LEFT(B6,30)," … ",RIGHT(B6,30))), " / ", C6)</f>
        <v>[CCPMO-63] Cheat Sheets (Team) / Minions</v>
      </c>
      <c r="E6" s="10">
        <v>0</v>
      </c>
      <c r="F6" s="10">
        <v>8</v>
      </c>
      <c r="G6" s="70">
        <f t="shared" si="0"/>
        <v>0</v>
      </c>
    </row>
    <row r="7" spans="1:7" x14ac:dyDescent="0.25">
      <c r="A7" s="9" t="s">
        <v>76</v>
      </c>
      <c r="B7" s="9" t="s">
        <v>369</v>
      </c>
      <c r="C7" s="9" t="s">
        <v>403</v>
      </c>
      <c r="D7" s="9" t="str">
        <f>CONCATENATE(IF(LEN(CONCATENATE("[",A7,"] ",B7))&lt;=60,CONCATENATE("[",A7,"] ",B7),CONCATENATE("[",A7,"] ",LEFT(B7,30)," … ",RIGHT(B7,30))), " / ", C7)</f>
        <v>[CCPMO-76] Program Monitoring Dashboard / Minions</v>
      </c>
      <c r="E7" s="10">
        <v>0</v>
      </c>
      <c r="F7" s="10">
        <v>30</v>
      </c>
      <c r="G7" s="70">
        <f t="shared" si="0"/>
        <v>0</v>
      </c>
    </row>
    <row r="8" spans="1:7" x14ac:dyDescent="0.25">
      <c r="A8" s="9" t="s">
        <v>299</v>
      </c>
      <c r="B8" s="9" t="s">
        <v>298</v>
      </c>
      <c r="C8" s="9" t="s">
        <v>399</v>
      </c>
      <c r="D8" s="9" t="str">
        <f>CONCATENATE(IF(LEN(CONCATENATE("[",A8,"] ",B8))&lt;=60,CONCATENATE("[",A8,"] ",B8),CONCATENATE("[",A8,"] ",LEFT(B8,30)," … ",RIGHT(B8,30))), " / ", C8)</f>
        <v>[CCTASK-527] SSE Bridge / RTD</v>
      </c>
      <c r="E8" s="10">
        <v>0</v>
      </c>
      <c r="F8" s="10">
        <v>23</v>
      </c>
      <c r="G8" s="70">
        <f t="shared" si="0"/>
        <v>0</v>
      </c>
    </row>
    <row r="9" spans="1:7" x14ac:dyDescent="0.25">
      <c r="A9" s="9" t="s">
        <v>211</v>
      </c>
      <c r="B9" s="9" t="s">
        <v>210</v>
      </c>
      <c r="C9" s="9" t="s">
        <v>402</v>
      </c>
      <c r="D9" s="9" t="str">
        <f>CONCATENATE(IF(LEN(CONCATENATE("[",A9,"] ",B9))&lt;=60,CONCATENATE("[",A9,"] ",B9),CONCATENATE("[",A9,"] ",LEFT(B9,30)," … ",RIGHT(B9,30))), " / ", C9)</f>
        <v>[CCARCHITEC-37] Internationalization / Scape Goats</v>
      </c>
      <c r="E9" s="10">
        <v>0</v>
      </c>
      <c r="F9" s="10">
        <v>0</v>
      </c>
      <c r="G9" s="70">
        <f t="shared" si="0"/>
        <v>0</v>
      </c>
    </row>
    <row r="10" spans="1:7" x14ac:dyDescent="0.25">
      <c r="A10" s="9" t="s">
        <v>286</v>
      </c>
      <c r="B10" s="9" t="s">
        <v>285</v>
      </c>
      <c r="C10" s="9" t="s">
        <v>402</v>
      </c>
      <c r="D10" s="9" t="str">
        <f>CONCATENATE(IF(LEN(CONCATENATE("[",A10,"] ",B10))&lt;=60,CONCATENATE("[",A10,"] ",B10),CONCATENATE("[",A10,"] ",LEFT(B10,30)," … ",RIGHT(B10,30))), " / ", C10)</f>
        <v>[CCARCHITEC-49] Translation Service / Scape Goats</v>
      </c>
      <c r="E10" s="10">
        <v>0</v>
      </c>
      <c r="F10" s="10">
        <v>0</v>
      </c>
      <c r="G10" s="70">
        <f t="shared" si="0"/>
        <v>0</v>
      </c>
    </row>
    <row r="11" spans="1:7" x14ac:dyDescent="0.25">
      <c r="A11" s="9"/>
      <c r="B11" s="9"/>
      <c r="C11" s="9"/>
      <c r="D11" s="9" t="str">
        <f t="shared" ref="D11:D58" si="1">CONCATENATE(IF(LEN(CONCATENATE("[",A11,"] ",B11))&lt;=60,CONCATENATE("[",A11,"] ",B11),CONCATENATE("[",A11,"] ",LEFT(B11,30)," … ",RIGHT(B11,30))), " / ", C11)</f>
        <v xml:space="preserve">[]  / </v>
      </c>
      <c r="E11" s="10"/>
      <c r="F11" s="10"/>
      <c r="G11" s="70">
        <f t="shared" si="0"/>
        <v>0</v>
      </c>
    </row>
    <row r="12" spans="1:7" x14ac:dyDescent="0.25">
      <c r="A12" s="9"/>
      <c r="B12" s="9"/>
      <c r="C12" s="9"/>
      <c r="D12" s="9" t="str">
        <f t="shared" si="1"/>
        <v xml:space="preserve">[]  / </v>
      </c>
      <c r="E12" s="10"/>
      <c r="F12" s="10"/>
      <c r="G12" s="70">
        <f t="shared" si="0"/>
        <v>0</v>
      </c>
    </row>
    <row r="13" spans="1:7" x14ac:dyDescent="0.25">
      <c r="A13" s="9"/>
      <c r="B13" s="9"/>
      <c r="C13" s="9"/>
      <c r="D13" s="9" t="str">
        <f t="shared" si="1"/>
        <v xml:space="preserve">[]  / </v>
      </c>
      <c r="E13" s="10"/>
      <c r="F13" s="10"/>
      <c r="G13" s="70">
        <f t="shared" si="0"/>
        <v>0</v>
      </c>
    </row>
    <row r="14" spans="1:7" x14ac:dyDescent="0.25">
      <c r="A14" s="9"/>
      <c r="B14" s="9"/>
      <c r="C14" s="9"/>
      <c r="D14" s="9" t="str">
        <f t="shared" si="1"/>
        <v xml:space="preserve">[]  / </v>
      </c>
      <c r="E14" s="10"/>
      <c r="F14" s="10"/>
      <c r="G14" s="70">
        <f t="shared" si="0"/>
        <v>0</v>
      </c>
    </row>
    <row r="15" spans="1:7" x14ac:dyDescent="0.25">
      <c r="A15" s="9"/>
      <c r="B15" s="9"/>
      <c r="C15" s="9"/>
      <c r="D15" s="9" t="str">
        <f t="shared" si="1"/>
        <v xml:space="preserve">[]  / </v>
      </c>
      <c r="E15" s="10"/>
      <c r="F15" s="10"/>
      <c r="G15" s="70">
        <f t="shared" si="0"/>
        <v>0</v>
      </c>
    </row>
    <row r="16" spans="1:7" x14ac:dyDescent="0.25">
      <c r="A16" s="9"/>
      <c r="B16" s="9"/>
      <c r="C16" s="9"/>
      <c r="D16" s="9" t="str">
        <f t="shared" si="1"/>
        <v xml:space="preserve">[]  / </v>
      </c>
      <c r="E16" s="10"/>
      <c r="F16" s="10"/>
      <c r="G16" s="70">
        <f t="shared" si="0"/>
        <v>0</v>
      </c>
    </row>
    <row r="17" spans="1:7" x14ac:dyDescent="0.25">
      <c r="A17" s="9"/>
      <c r="B17" s="9"/>
      <c r="C17" s="9"/>
      <c r="D17" s="9" t="str">
        <f t="shared" si="1"/>
        <v xml:space="preserve">[]  / </v>
      </c>
      <c r="E17" s="10"/>
      <c r="F17" s="10"/>
      <c r="G17" s="70">
        <f t="shared" si="0"/>
        <v>0</v>
      </c>
    </row>
    <row r="18" spans="1:7" x14ac:dyDescent="0.25">
      <c r="A18" s="9"/>
      <c r="B18" s="9"/>
      <c r="C18" s="9"/>
      <c r="D18" s="9" t="str">
        <f t="shared" si="1"/>
        <v xml:space="preserve">[]  / </v>
      </c>
      <c r="E18" s="10"/>
      <c r="F18" s="10"/>
      <c r="G18" s="70">
        <f t="shared" si="0"/>
        <v>0</v>
      </c>
    </row>
    <row r="19" spans="1:7" x14ac:dyDescent="0.25">
      <c r="A19" s="9"/>
      <c r="B19" s="9"/>
      <c r="C19" s="9"/>
      <c r="D19" s="9" t="str">
        <f t="shared" si="1"/>
        <v xml:space="preserve">[]  / </v>
      </c>
      <c r="E19" s="10"/>
      <c r="F19" s="10"/>
      <c r="G19" s="70">
        <f t="shared" si="0"/>
        <v>0</v>
      </c>
    </row>
    <row r="20" spans="1:7" x14ac:dyDescent="0.25">
      <c r="A20" s="9"/>
      <c r="B20" s="9"/>
      <c r="C20" s="9"/>
      <c r="D20" s="9" t="str">
        <f t="shared" si="1"/>
        <v xml:space="preserve">[]  / </v>
      </c>
      <c r="E20" s="10"/>
      <c r="F20" s="10"/>
      <c r="G20" s="70">
        <f t="shared" si="0"/>
        <v>0</v>
      </c>
    </row>
    <row r="21" spans="1:7" x14ac:dyDescent="0.25">
      <c r="A21" s="9"/>
      <c r="B21" s="9"/>
      <c r="C21" s="9"/>
      <c r="D21" s="9" t="str">
        <f t="shared" si="1"/>
        <v xml:space="preserve">[]  / </v>
      </c>
      <c r="E21" s="10"/>
      <c r="F21" s="10"/>
      <c r="G21" s="70">
        <f t="shared" si="0"/>
        <v>0</v>
      </c>
    </row>
    <row r="22" spans="1:7" x14ac:dyDescent="0.25">
      <c r="A22" s="9"/>
      <c r="B22" s="9"/>
      <c r="C22" s="9"/>
      <c r="D22" s="9" t="str">
        <f t="shared" si="1"/>
        <v xml:space="preserve">[]  / </v>
      </c>
      <c r="E22" s="10"/>
      <c r="F22" s="10"/>
      <c r="G22" s="70">
        <f t="shared" si="0"/>
        <v>0</v>
      </c>
    </row>
    <row r="23" spans="1:7" x14ac:dyDescent="0.25">
      <c r="A23" s="9"/>
      <c r="B23" s="9"/>
      <c r="C23" s="9"/>
      <c r="D23" s="9" t="str">
        <f t="shared" si="1"/>
        <v xml:space="preserve">[]  / </v>
      </c>
      <c r="E23" s="10"/>
      <c r="F23" s="10"/>
      <c r="G23" s="70">
        <f t="shared" si="0"/>
        <v>0</v>
      </c>
    </row>
    <row r="24" spans="1:7" x14ac:dyDescent="0.25">
      <c r="A24" s="9"/>
      <c r="B24" s="9"/>
      <c r="C24" s="9"/>
      <c r="D24" s="9" t="str">
        <f t="shared" si="1"/>
        <v xml:space="preserve">[]  / </v>
      </c>
      <c r="E24" s="10"/>
      <c r="F24" s="10"/>
      <c r="G24" s="70">
        <f t="shared" si="0"/>
        <v>0</v>
      </c>
    </row>
    <row r="25" spans="1:7" x14ac:dyDescent="0.25">
      <c r="A25" s="9"/>
      <c r="B25" s="9"/>
      <c r="C25" s="9"/>
      <c r="D25" s="9" t="str">
        <f t="shared" si="1"/>
        <v xml:space="preserve">[]  / </v>
      </c>
      <c r="E25" s="10"/>
      <c r="F25" s="10"/>
      <c r="G25" s="70">
        <f t="shared" si="0"/>
        <v>0</v>
      </c>
    </row>
    <row r="26" spans="1:7" x14ac:dyDescent="0.25">
      <c r="A26" s="9"/>
      <c r="B26" s="9"/>
      <c r="C26" s="9"/>
      <c r="D26" s="9" t="str">
        <f t="shared" si="1"/>
        <v xml:space="preserve">[]  / </v>
      </c>
      <c r="E26" s="10"/>
      <c r="F26" s="10"/>
      <c r="G26" s="70">
        <f t="shared" si="0"/>
        <v>0</v>
      </c>
    </row>
    <row r="27" spans="1:7" x14ac:dyDescent="0.25">
      <c r="A27" s="9"/>
      <c r="B27" s="9"/>
      <c r="C27" s="9"/>
      <c r="D27" s="9" t="str">
        <f t="shared" si="1"/>
        <v xml:space="preserve">[]  / </v>
      </c>
      <c r="E27" s="10"/>
      <c r="F27" s="10"/>
      <c r="G27" s="70">
        <f t="shared" si="0"/>
        <v>0</v>
      </c>
    </row>
    <row r="28" spans="1:7" x14ac:dyDescent="0.25">
      <c r="A28" s="9"/>
      <c r="B28" s="9"/>
      <c r="C28" s="9"/>
      <c r="D28" s="9" t="str">
        <f t="shared" si="1"/>
        <v xml:space="preserve">[]  / </v>
      </c>
      <c r="E28" s="10"/>
      <c r="F28" s="10"/>
      <c r="G28" s="70">
        <f t="shared" si="0"/>
        <v>0</v>
      </c>
    </row>
    <row r="29" spans="1:7" x14ac:dyDescent="0.25">
      <c r="A29" s="9"/>
      <c r="B29" s="9"/>
      <c r="C29" s="9"/>
      <c r="D29" s="9" t="str">
        <f t="shared" si="1"/>
        <v xml:space="preserve">[]  / </v>
      </c>
      <c r="E29" s="10"/>
      <c r="F29" s="10"/>
      <c r="G29" s="70">
        <f t="shared" si="0"/>
        <v>0</v>
      </c>
    </row>
    <row r="30" spans="1:7" x14ac:dyDescent="0.25">
      <c r="A30" s="9"/>
      <c r="B30" s="9"/>
      <c r="C30" s="9"/>
      <c r="D30" s="9" t="str">
        <f t="shared" si="1"/>
        <v xml:space="preserve">[]  / </v>
      </c>
      <c r="E30" s="10"/>
      <c r="F30" s="10"/>
      <c r="G30" s="70">
        <f t="shared" si="0"/>
        <v>0</v>
      </c>
    </row>
    <row r="31" spans="1:7" x14ac:dyDescent="0.25">
      <c r="A31" s="9"/>
      <c r="B31" s="9"/>
      <c r="C31" s="9"/>
      <c r="D31" s="9" t="str">
        <f t="shared" si="1"/>
        <v xml:space="preserve">[]  / </v>
      </c>
      <c r="E31" s="10"/>
      <c r="F31" s="10"/>
      <c r="G31" s="70">
        <f t="shared" si="0"/>
        <v>0</v>
      </c>
    </row>
    <row r="32" spans="1:7" x14ac:dyDescent="0.25">
      <c r="A32" s="9"/>
      <c r="B32" s="9"/>
      <c r="C32" s="9"/>
      <c r="D32" s="9" t="str">
        <f t="shared" si="1"/>
        <v xml:space="preserve">[]  / </v>
      </c>
      <c r="E32" s="10"/>
      <c r="F32" s="10"/>
      <c r="G32" s="70">
        <f t="shared" si="0"/>
        <v>0</v>
      </c>
    </row>
    <row r="33" spans="1:7" x14ac:dyDescent="0.25">
      <c r="A33" s="9"/>
      <c r="B33" s="9"/>
      <c r="C33" s="9"/>
      <c r="D33" s="9" t="str">
        <f t="shared" si="1"/>
        <v xml:space="preserve">[]  / </v>
      </c>
      <c r="E33" s="10"/>
      <c r="F33" s="10"/>
      <c r="G33" s="70">
        <f t="shared" si="0"/>
        <v>0</v>
      </c>
    </row>
    <row r="34" spans="1:7" x14ac:dyDescent="0.25">
      <c r="A34" s="9"/>
      <c r="B34" s="9"/>
      <c r="C34" s="9"/>
      <c r="D34" s="9" t="str">
        <f t="shared" si="1"/>
        <v xml:space="preserve">[]  / </v>
      </c>
      <c r="E34" s="10"/>
      <c r="F34" s="10"/>
      <c r="G34" s="70">
        <f t="shared" si="0"/>
        <v>0</v>
      </c>
    </row>
    <row r="35" spans="1:7" x14ac:dyDescent="0.25">
      <c r="A35" s="9"/>
      <c r="B35" s="9"/>
      <c r="C35" s="9"/>
      <c r="D35" s="9" t="str">
        <f t="shared" si="1"/>
        <v xml:space="preserve">[]  / </v>
      </c>
      <c r="E35" s="10"/>
      <c r="F35" s="10"/>
      <c r="G35" s="70">
        <f t="shared" si="0"/>
        <v>0</v>
      </c>
    </row>
    <row r="36" spans="1:7" x14ac:dyDescent="0.25">
      <c r="A36" s="9"/>
      <c r="B36" s="9"/>
      <c r="C36" s="9"/>
      <c r="D36" s="9" t="str">
        <f t="shared" si="1"/>
        <v xml:space="preserve">[]  / </v>
      </c>
      <c r="E36" s="10"/>
      <c r="F36" s="10"/>
      <c r="G36" s="70">
        <f t="shared" si="0"/>
        <v>0</v>
      </c>
    </row>
    <row r="37" spans="1:7" x14ac:dyDescent="0.25">
      <c r="A37" s="9"/>
      <c r="B37" s="9"/>
      <c r="C37" s="9"/>
      <c r="D37" s="9" t="str">
        <f t="shared" si="1"/>
        <v xml:space="preserve">[]  / </v>
      </c>
      <c r="E37" s="10"/>
      <c r="F37" s="10"/>
      <c r="G37" s="70">
        <f t="shared" si="0"/>
        <v>0</v>
      </c>
    </row>
    <row r="38" spans="1:7" x14ac:dyDescent="0.25">
      <c r="A38" s="9"/>
      <c r="B38" s="9"/>
      <c r="C38" s="9"/>
      <c r="D38" s="9" t="str">
        <f t="shared" si="1"/>
        <v xml:space="preserve">[]  / </v>
      </c>
      <c r="E38" s="10"/>
      <c r="F38" s="10"/>
      <c r="G38" s="70">
        <f t="shared" si="0"/>
        <v>0</v>
      </c>
    </row>
    <row r="39" spans="1:7" x14ac:dyDescent="0.25">
      <c r="A39" s="9"/>
      <c r="B39" s="9"/>
      <c r="C39" s="9"/>
      <c r="D39" s="9" t="str">
        <f t="shared" si="1"/>
        <v xml:space="preserve">[]  / </v>
      </c>
      <c r="E39" s="10"/>
      <c r="F39" s="10"/>
      <c r="G39" s="70">
        <f t="shared" si="0"/>
        <v>0</v>
      </c>
    </row>
    <row r="40" spans="1:7" x14ac:dyDescent="0.25">
      <c r="A40" s="9"/>
      <c r="B40" s="9"/>
      <c r="C40" s="9"/>
      <c r="D40" s="9" t="str">
        <f t="shared" si="1"/>
        <v xml:space="preserve">[]  / </v>
      </c>
      <c r="E40" s="10"/>
      <c r="F40" s="10"/>
      <c r="G40" s="70">
        <f t="shared" si="0"/>
        <v>0</v>
      </c>
    </row>
    <row r="41" spans="1:7" x14ac:dyDescent="0.25">
      <c r="A41" s="9"/>
      <c r="B41" s="9"/>
      <c r="C41" s="9"/>
      <c r="D41" s="9" t="str">
        <f t="shared" si="1"/>
        <v xml:space="preserve">[]  / </v>
      </c>
      <c r="E41" s="10"/>
      <c r="F41" s="10"/>
      <c r="G41" s="70">
        <f t="shared" si="0"/>
        <v>0</v>
      </c>
    </row>
    <row r="42" spans="1:7" x14ac:dyDescent="0.25">
      <c r="A42" s="9"/>
      <c r="B42" s="9"/>
      <c r="C42" s="9"/>
      <c r="D42" s="9" t="str">
        <f t="shared" si="1"/>
        <v xml:space="preserve">[]  / </v>
      </c>
      <c r="E42" s="10"/>
      <c r="F42" s="10"/>
      <c r="G42" s="70">
        <f t="shared" si="0"/>
        <v>0</v>
      </c>
    </row>
    <row r="43" spans="1:7" x14ac:dyDescent="0.25">
      <c r="A43" s="9"/>
      <c r="B43" s="9"/>
      <c r="C43" s="9"/>
      <c r="D43" s="9" t="str">
        <f t="shared" si="1"/>
        <v xml:space="preserve">[]  / </v>
      </c>
      <c r="E43" s="10"/>
      <c r="F43" s="10"/>
      <c r="G43" s="70">
        <f t="shared" si="0"/>
        <v>0</v>
      </c>
    </row>
    <row r="44" spans="1:7" x14ac:dyDescent="0.25">
      <c r="A44" s="9"/>
      <c r="B44" s="9"/>
      <c r="C44" s="9"/>
      <c r="D44" s="9" t="str">
        <f t="shared" si="1"/>
        <v xml:space="preserve">[]  / </v>
      </c>
      <c r="E44" s="10"/>
      <c r="F44" s="10"/>
      <c r="G44" s="70">
        <f t="shared" si="0"/>
        <v>0</v>
      </c>
    </row>
    <row r="45" spans="1:7" x14ac:dyDescent="0.25">
      <c r="A45" s="9"/>
      <c r="B45" s="9"/>
      <c r="C45" s="9"/>
      <c r="D45" s="9" t="str">
        <f t="shared" si="1"/>
        <v xml:space="preserve">[]  / </v>
      </c>
      <c r="E45" s="10"/>
      <c r="F45" s="10"/>
      <c r="G45" s="70">
        <f t="shared" si="0"/>
        <v>0</v>
      </c>
    </row>
    <row r="46" spans="1:7" x14ac:dyDescent="0.25">
      <c r="A46" s="9"/>
      <c r="B46" s="9"/>
      <c r="C46" s="9"/>
      <c r="D46" s="9" t="str">
        <f t="shared" si="1"/>
        <v xml:space="preserve">[]  / </v>
      </c>
      <c r="E46" s="10"/>
      <c r="F46" s="10"/>
      <c r="G46" s="70">
        <f t="shared" si="0"/>
        <v>0</v>
      </c>
    </row>
    <row r="47" spans="1:7" x14ac:dyDescent="0.25">
      <c r="A47" s="9"/>
      <c r="B47" s="9"/>
      <c r="C47" s="9"/>
      <c r="D47" s="9" t="str">
        <f t="shared" si="1"/>
        <v xml:space="preserve">[]  / </v>
      </c>
      <c r="E47" s="10"/>
      <c r="F47" s="10"/>
      <c r="G47" s="70">
        <f t="shared" si="0"/>
        <v>0</v>
      </c>
    </row>
    <row r="48" spans="1:7" x14ac:dyDescent="0.25">
      <c r="A48" s="9"/>
      <c r="B48" s="9"/>
      <c r="C48" s="9"/>
      <c r="D48" s="9" t="str">
        <f t="shared" si="1"/>
        <v xml:space="preserve">[]  / </v>
      </c>
      <c r="E48" s="10"/>
      <c r="F48" s="10"/>
      <c r="G48" s="70">
        <f t="shared" si="0"/>
        <v>0</v>
      </c>
    </row>
    <row r="49" spans="1:7" x14ac:dyDescent="0.25">
      <c r="A49" s="9"/>
      <c r="B49" s="9"/>
      <c r="C49" s="9"/>
      <c r="D49" s="9" t="str">
        <f t="shared" si="1"/>
        <v xml:space="preserve">[]  / </v>
      </c>
      <c r="E49" s="10"/>
      <c r="F49" s="10"/>
      <c r="G49" s="70">
        <f t="shared" si="0"/>
        <v>0</v>
      </c>
    </row>
    <row r="50" spans="1:7" x14ac:dyDescent="0.25">
      <c r="A50" s="9"/>
      <c r="B50" s="9"/>
      <c r="C50" s="9"/>
      <c r="D50" s="9" t="str">
        <f t="shared" si="1"/>
        <v xml:space="preserve">[]  / </v>
      </c>
      <c r="E50" s="10"/>
      <c r="F50" s="10"/>
      <c r="G50" s="70">
        <f t="shared" si="0"/>
        <v>0</v>
      </c>
    </row>
    <row r="51" spans="1:7" x14ac:dyDescent="0.25">
      <c r="A51" s="9"/>
      <c r="B51" s="9"/>
      <c r="C51" s="9"/>
      <c r="D51" s="9" t="str">
        <f t="shared" si="1"/>
        <v xml:space="preserve">[]  / </v>
      </c>
      <c r="E51" s="10"/>
      <c r="F51" s="10"/>
      <c r="G51" s="70">
        <f t="shared" si="0"/>
        <v>0</v>
      </c>
    </row>
    <row r="52" spans="1:7" x14ac:dyDescent="0.25">
      <c r="A52" s="9"/>
      <c r="B52" s="9"/>
      <c r="C52" s="9"/>
      <c r="D52" s="9" t="str">
        <f t="shared" si="1"/>
        <v xml:space="preserve">[]  / </v>
      </c>
      <c r="E52" s="10"/>
      <c r="F52" s="10"/>
      <c r="G52" s="70">
        <f t="shared" si="0"/>
        <v>0</v>
      </c>
    </row>
    <row r="53" spans="1:7" x14ac:dyDescent="0.25">
      <c r="A53" s="9"/>
      <c r="B53" s="9"/>
      <c r="C53" s="9"/>
      <c r="D53" s="9" t="str">
        <f t="shared" si="1"/>
        <v xml:space="preserve">[]  / </v>
      </c>
      <c r="E53" s="10"/>
      <c r="F53" s="10"/>
      <c r="G53" s="70">
        <f t="shared" si="0"/>
        <v>0</v>
      </c>
    </row>
    <row r="54" spans="1:7" x14ac:dyDescent="0.25">
      <c r="A54" s="9"/>
      <c r="B54" s="9"/>
      <c r="C54" s="9"/>
      <c r="D54" s="9" t="str">
        <f t="shared" si="1"/>
        <v xml:space="preserve">[]  / </v>
      </c>
      <c r="E54" s="10"/>
      <c r="F54" s="10"/>
      <c r="G54" s="70">
        <f t="shared" si="0"/>
        <v>0</v>
      </c>
    </row>
    <row r="55" spans="1:7" x14ac:dyDescent="0.25">
      <c r="A55" s="9"/>
      <c r="B55" s="9"/>
      <c r="C55" s="9"/>
      <c r="D55" s="9" t="str">
        <f t="shared" si="1"/>
        <v xml:space="preserve">[]  / </v>
      </c>
      <c r="E55" s="10"/>
      <c r="F55" s="10"/>
      <c r="G55" s="70">
        <f t="shared" si="0"/>
        <v>0</v>
      </c>
    </row>
    <row r="56" spans="1:7" x14ac:dyDescent="0.25">
      <c r="A56" s="9"/>
      <c r="B56" s="9"/>
      <c r="C56" s="9"/>
      <c r="D56" s="9" t="str">
        <f t="shared" si="1"/>
        <v xml:space="preserve">[]  / </v>
      </c>
      <c r="E56" s="10"/>
      <c r="F56" s="10"/>
      <c r="G56" s="70">
        <f t="shared" si="0"/>
        <v>0</v>
      </c>
    </row>
    <row r="57" spans="1:7" x14ac:dyDescent="0.25">
      <c r="A57" s="9"/>
      <c r="B57" s="9"/>
      <c r="C57" s="9"/>
      <c r="D57" s="9" t="str">
        <f t="shared" si="1"/>
        <v xml:space="preserve">[]  / </v>
      </c>
      <c r="E57" s="10"/>
      <c r="F57" s="10"/>
      <c r="G57" s="70">
        <f t="shared" si="0"/>
        <v>0</v>
      </c>
    </row>
    <row r="58" spans="1:7" x14ac:dyDescent="0.25">
      <c r="A58" s="9"/>
      <c r="B58" s="9"/>
      <c r="C58" s="9"/>
      <c r="D58" s="9" t="str">
        <f t="shared" si="1"/>
        <v xml:space="preserve">[]  / </v>
      </c>
      <c r="E58" s="10"/>
      <c r="F58" s="10"/>
      <c r="G58" s="70">
        <f t="shared" si="0"/>
        <v>0</v>
      </c>
    </row>
  </sheetData>
  <sortState ref="A4:F10">
    <sortCondition ref="C4"/>
  </sortState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9"/>
  </sheetPr>
  <dimension ref="A1:K51"/>
  <sheetViews>
    <sheetView topLeftCell="A10" workbookViewId="0">
      <selection activeCell="Y41" sqref="Y41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414</v>
      </c>
      <c r="B1" s="4"/>
      <c r="C1" s="4" t="s">
        <v>3</v>
      </c>
      <c r="D1" s="14" t="s">
        <v>415</v>
      </c>
      <c r="E1" s="14" t="s">
        <v>416</v>
      </c>
      <c r="F1" s="14" t="s">
        <v>417</v>
      </c>
      <c r="G1" s="14" t="s">
        <v>19</v>
      </c>
      <c r="H1" s="14" t="s">
        <v>418</v>
      </c>
      <c r="I1" s="14" t="s">
        <v>419</v>
      </c>
      <c r="J1" s="14" t="s">
        <v>420</v>
      </c>
      <c r="K1" s="14" t="s">
        <v>15</v>
      </c>
    </row>
    <row r="2" spans="1:11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4</v>
      </c>
      <c r="E35" s="22">
        <v>2</v>
      </c>
      <c r="F35" s="22">
        <v>9</v>
      </c>
      <c r="G35" s="22">
        <v>18</v>
      </c>
      <c r="H35" s="22">
        <v>1</v>
      </c>
      <c r="I35" s="22">
        <v>0</v>
      </c>
      <c r="J35" s="22">
        <v>0</v>
      </c>
      <c r="K35" s="22">
        <v>10</v>
      </c>
    </row>
    <row r="36" spans="1:11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4</v>
      </c>
      <c r="E36" s="22">
        <v>2</v>
      </c>
      <c r="F36" s="22">
        <v>9</v>
      </c>
      <c r="G36" s="22">
        <v>18</v>
      </c>
      <c r="H36" s="22">
        <v>1</v>
      </c>
      <c r="I36" s="22">
        <v>0</v>
      </c>
      <c r="J36" s="22">
        <v>0</v>
      </c>
      <c r="K36" s="22">
        <v>10</v>
      </c>
    </row>
    <row r="37" spans="1:11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4</v>
      </c>
      <c r="E37" s="22">
        <v>2</v>
      </c>
      <c r="F37" s="22">
        <v>9</v>
      </c>
      <c r="G37" s="22">
        <v>18</v>
      </c>
      <c r="H37" s="22">
        <v>1</v>
      </c>
      <c r="I37" s="22">
        <v>0</v>
      </c>
      <c r="J37" s="22">
        <v>0</v>
      </c>
      <c r="K37" s="22">
        <v>10</v>
      </c>
    </row>
    <row r="38" spans="1:11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4</v>
      </c>
      <c r="E38" s="22">
        <v>2</v>
      </c>
      <c r="F38" s="22">
        <v>9</v>
      </c>
      <c r="G38" s="22">
        <v>19</v>
      </c>
      <c r="H38" s="22">
        <v>1</v>
      </c>
      <c r="I38" s="22">
        <v>0</v>
      </c>
      <c r="J38" s="22">
        <v>0</v>
      </c>
      <c r="K38" s="22">
        <v>9</v>
      </c>
    </row>
    <row r="39" spans="1:11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4</v>
      </c>
      <c r="E39" s="22">
        <v>2</v>
      </c>
      <c r="F39" s="22">
        <v>9</v>
      </c>
      <c r="G39" s="22">
        <v>19</v>
      </c>
      <c r="H39" s="22">
        <v>1</v>
      </c>
      <c r="I39" s="22">
        <v>0</v>
      </c>
      <c r="J39" s="22">
        <v>0</v>
      </c>
      <c r="K39" s="22">
        <v>9</v>
      </c>
    </row>
    <row r="40" spans="1:11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4</v>
      </c>
      <c r="E40" s="22">
        <v>2</v>
      </c>
      <c r="F40" s="22">
        <v>9</v>
      </c>
      <c r="G40" s="22">
        <v>19</v>
      </c>
      <c r="H40" s="22">
        <v>1</v>
      </c>
      <c r="I40" s="22">
        <v>0</v>
      </c>
      <c r="J40" s="22">
        <v>0</v>
      </c>
      <c r="K40" s="22">
        <v>9</v>
      </c>
    </row>
    <row r="41" spans="1:11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4</v>
      </c>
      <c r="E41" s="22">
        <v>2</v>
      </c>
      <c r="F41" s="22">
        <v>9</v>
      </c>
      <c r="G41" s="22">
        <v>19</v>
      </c>
      <c r="H41" s="22">
        <v>1</v>
      </c>
      <c r="I41" s="22">
        <v>0</v>
      </c>
      <c r="J41" s="22">
        <v>0</v>
      </c>
      <c r="K41" s="22">
        <v>9</v>
      </c>
    </row>
    <row r="42" spans="1:11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4</v>
      </c>
      <c r="E42" s="22">
        <v>2</v>
      </c>
      <c r="F42" s="22">
        <v>9</v>
      </c>
      <c r="G42" s="22">
        <v>19</v>
      </c>
      <c r="H42" s="22">
        <v>1</v>
      </c>
      <c r="I42" s="22">
        <v>0</v>
      </c>
      <c r="J42" s="22">
        <v>0</v>
      </c>
      <c r="K42" s="22">
        <v>9</v>
      </c>
    </row>
    <row r="43" spans="1:11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4</v>
      </c>
      <c r="E43" s="22">
        <v>2</v>
      </c>
      <c r="F43" s="22">
        <v>9</v>
      </c>
      <c r="G43" s="22">
        <v>19</v>
      </c>
      <c r="H43" s="22">
        <v>1</v>
      </c>
      <c r="I43" s="22">
        <v>0</v>
      </c>
      <c r="J43" s="22">
        <v>0</v>
      </c>
      <c r="K43" s="22">
        <v>9</v>
      </c>
    </row>
    <row r="44" spans="1:11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4</v>
      </c>
      <c r="E44" s="22">
        <v>2</v>
      </c>
      <c r="F44" s="22">
        <v>9</v>
      </c>
      <c r="G44" s="22">
        <v>19</v>
      </c>
      <c r="H44" s="22">
        <v>1</v>
      </c>
      <c r="I44" s="22">
        <v>0</v>
      </c>
      <c r="J44" s="22">
        <v>0</v>
      </c>
      <c r="K44" s="22">
        <v>9</v>
      </c>
    </row>
    <row r="45" spans="1:11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4</v>
      </c>
      <c r="E45" s="22">
        <v>2</v>
      </c>
      <c r="F45" s="22">
        <v>9</v>
      </c>
      <c r="G45" s="22">
        <v>19</v>
      </c>
      <c r="H45" s="22">
        <v>1</v>
      </c>
      <c r="I45" s="22">
        <v>0</v>
      </c>
      <c r="J45" s="22">
        <v>0</v>
      </c>
      <c r="K45" s="22">
        <v>9</v>
      </c>
    </row>
    <row r="46" spans="1:11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4</v>
      </c>
      <c r="E46" s="22">
        <v>2</v>
      </c>
      <c r="F46" s="22">
        <v>9</v>
      </c>
      <c r="G46" s="22">
        <v>19</v>
      </c>
      <c r="H46" s="22">
        <v>1</v>
      </c>
      <c r="I46" s="22">
        <v>0</v>
      </c>
      <c r="J46" s="22">
        <v>0</v>
      </c>
      <c r="K46" s="22">
        <v>9</v>
      </c>
    </row>
    <row r="47" spans="1:11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4</v>
      </c>
      <c r="E47" s="22">
        <v>2</v>
      </c>
      <c r="F47" s="22">
        <v>9</v>
      </c>
      <c r="G47" s="22">
        <v>19</v>
      </c>
      <c r="H47" s="22">
        <v>1</v>
      </c>
      <c r="I47" s="22">
        <v>0</v>
      </c>
      <c r="J47" s="22">
        <v>0</v>
      </c>
      <c r="K47" s="22">
        <v>9</v>
      </c>
    </row>
    <row r="48" spans="1:11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4</v>
      </c>
      <c r="E48" s="22">
        <v>2</v>
      </c>
      <c r="F48" s="22">
        <v>9</v>
      </c>
      <c r="G48" s="22">
        <v>19</v>
      </c>
      <c r="H48" s="22">
        <v>1</v>
      </c>
      <c r="I48" s="22">
        <v>0</v>
      </c>
      <c r="J48" s="22">
        <v>0</v>
      </c>
      <c r="K48" s="22">
        <v>9</v>
      </c>
    </row>
    <row r="49" spans="1:11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4</v>
      </c>
      <c r="E49" s="22">
        <v>2</v>
      </c>
      <c r="F49" s="22">
        <v>9</v>
      </c>
      <c r="G49" s="22">
        <v>19</v>
      </c>
      <c r="H49" s="22">
        <v>1</v>
      </c>
      <c r="I49" s="22">
        <v>0</v>
      </c>
      <c r="J49" s="22">
        <v>0</v>
      </c>
      <c r="K49" s="22">
        <v>9</v>
      </c>
    </row>
    <row r="50" spans="1:11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4</v>
      </c>
      <c r="E50" s="22">
        <v>2</v>
      </c>
      <c r="F50" s="22">
        <v>9</v>
      </c>
      <c r="G50" s="22">
        <v>19</v>
      </c>
      <c r="H50" s="22">
        <v>1</v>
      </c>
      <c r="I50" s="22">
        <v>0</v>
      </c>
      <c r="J50" s="22">
        <v>0</v>
      </c>
      <c r="K50" s="22">
        <v>9</v>
      </c>
    </row>
    <row r="51" spans="1:11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4</v>
      </c>
      <c r="E51" s="22">
        <v>2</v>
      </c>
      <c r="F51" s="22">
        <v>9</v>
      </c>
      <c r="G51" s="22">
        <v>19</v>
      </c>
      <c r="H51" s="22">
        <v>1</v>
      </c>
      <c r="I51" s="22">
        <v>0</v>
      </c>
      <c r="J51" s="22">
        <v>0</v>
      </c>
      <c r="K51" s="22">
        <v>9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/>
  </sheetPr>
  <dimension ref="A1:K51"/>
  <sheetViews>
    <sheetView workbookViewId="0">
      <selection activeCell="Y41" sqref="Y41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414</v>
      </c>
      <c r="B1" s="4"/>
      <c r="C1" s="4" t="s">
        <v>3</v>
      </c>
      <c r="D1" s="14" t="s">
        <v>415</v>
      </c>
      <c r="E1" s="14" t="s">
        <v>416</v>
      </c>
      <c r="F1" s="14" t="s">
        <v>417</v>
      </c>
      <c r="G1" s="14" t="s">
        <v>19</v>
      </c>
      <c r="H1" s="14" t="s">
        <v>418</v>
      </c>
      <c r="I1" s="14" t="s">
        <v>419</v>
      </c>
      <c r="J1" s="14" t="s">
        <v>420</v>
      </c>
      <c r="K1" s="14" t="s">
        <v>15</v>
      </c>
    </row>
    <row r="2" spans="1:11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2</v>
      </c>
      <c r="G37" s="22">
        <v>4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0</v>
      </c>
      <c r="E38" s="22">
        <v>0</v>
      </c>
      <c r="F38" s="22">
        <v>2</v>
      </c>
      <c r="G38" s="22">
        <v>4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0</v>
      </c>
      <c r="E39" s="22">
        <v>0</v>
      </c>
      <c r="F39" s="22">
        <v>2</v>
      </c>
      <c r="G39" s="22">
        <v>4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0</v>
      </c>
      <c r="E40" s="22">
        <v>0</v>
      </c>
      <c r="F40" s="22">
        <v>2</v>
      </c>
      <c r="G40" s="22">
        <v>4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0</v>
      </c>
      <c r="E41" s="22">
        <v>0</v>
      </c>
      <c r="F41" s="22">
        <v>2</v>
      </c>
      <c r="G41" s="22">
        <v>4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0</v>
      </c>
      <c r="E42" s="22">
        <v>0</v>
      </c>
      <c r="F42" s="22">
        <v>2</v>
      </c>
      <c r="G42" s="22">
        <v>4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0</v>
      </c>
      <c r="E43" s="22">
        <v>0</v>
      </c>
      <c r="F43" s="22">
        <v>2</v>
      </c>
      <c r="G43" s="22">
        <v>4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0</v>
      </c>
      <c r="E44" s="22">
        <v>0</v>
      </c>
      <c r="F44" s="22">
        <v>2</v>
      </c>
      <c r="G44" s="22">
        <v>4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0</v>
      </c>
      <c r="E45" s="22">
        <v>0</v>
      </c>
      <c r="F45" s="22">
        <v>2</v>
      </c>
      <c r="G45" s="22">
        <v>4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0</v>
      </c>
      <c r="E46" s="22">
        <v>0</v>
      </c>
      <c r="F46" s="22">
        <v>2</v>
      </c>
      <c r="G46" s="22">
        <v>4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0</v>
      </c>
      <c r="E47" s="22">
        <v>0</v>
      </c>
      <c r="F47" s="22">
        <v>2</v>
      </c>
      <c r="G47" s="22">
        <v>4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0</v>
      </c>
      <c r="E48" s="22">
        <v>0</v>
      </c>
      <c r="F48" s="22">
        <v>2</v>
      </c>
      <c r="G48" s="22">
        <v>4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0</v>
      </c>
      <c r="E49" s="22">
        <v>0</v>
      </c>
      <c r="F49" s="22">
        <v>2</v>
      </c>
      <c r="G49" s="22">
        <v>4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0</v>
      </c>
      <c r="E50" s="22">
        <v>0</v>
      </c>
      <c r="F50" s="22">
        <v>2</v>
      </c>
      <c r="G50" s="22">
        <v>4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0</v>
      </c>
      <c r="E51" s="22">
        <v>0</v>
      </c>
      <c r="F51" s="22">
        <v>2</v>
      </c>
      <c r="G51" s="22">
        <v>4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/>
  </sheetPr>
  <dimension ref="A1:H51"/>
  <sheetViews>
    <sheetView topLeftCell="A10" workbookViewId="0">
      <selection activeCell="Y41" sqref="Y41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8" width="3" style="3" customWidth="1"/>
    <col min="9" max="16384" width="8.875" style="3"/>
  </cols>
  <sheetData>
    <row r="1" spans="1:8" ht="67.5" thickBot="1" x14ac:dyDescent="0.35">
      <c r="A1" s="4" t="s">
        <v>414</v>
      </c>
      <c r="B1" s="4"/>
      <c r="C1" s="4" t="s">
        <v>3</v>
      </c>
      <c r="D1" s="14" t="s">
        <v>13</v>
      </c>
      <c r="E1" s="14" t="s">
        <v>14</v>
      </c>
      <c r="F1" s="14" t="s">
        <v>16</v>
      </c>
      <c r="G1" s="14" t="s">
        <v>635</v>
      </c>
      <c r="H1" s="14" t="s">
        <v>15</v>
      </c>
    </row>
    <row r="2" spans="1:8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</row>
    <row r="3" spans="1:8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</row>
    <row r="4" spans="1:8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</row>
    <row r="5" spans="1:8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</row>
    <row r="6" spans="1:8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</row>
    <row r="7" spans="1:8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</row>
    <row r="8" spans="1:8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</row>
    <row r="9" spans="1:8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8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</row>
    <row r="11" spans="1:8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</row>
    <row r="12" spans="1:8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</row>
    <row r="13" spans="1:8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</row>
    <row r="14" spans="1:8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</row>
    <row r="15" spans="1:8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</row>
    <row r="16" spans="1:8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</row>
    <row r="17" spans="1:8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</row>
    <row r="18" spans="1:8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</row>
    <row r="19" spans="1:8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</row>
    <row r="20" spans="1:8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</row>
    <row r="21" spans="1:8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</row>
    <row r="22" spans="1:8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</row>
    <row r="23" spans="1:8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</row>
    <row r="24" spans="1:8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</row>
    <row r="25" spans="1:8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</row>
    <row r="26" spans="1:8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</row>
    <row r="27" spans="1:8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</row>
    <row r="28" spans="1:8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</row>
    <row r="29" spans="1:8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</row>
    <row r="30" spans="1:8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</row>
    <row r="31" spans="1:8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</row>
    <row r="32" spans="1:8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</row>
    <row r="33" spans="1:8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</row>
    <row r="34" spans="1:8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</row>
    <row r="35" spans="1:8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</row>
    <row r="36" spans="1:8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</row>
    <row r="37" spans="1:8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3</v>
      </c>
      <c r="E37" s="22">
        <v>7</v>
      </c>
      <c r="F37" s="22">
        <v>4</v>
      </c>
      <c r="G37" s="22">
        <v>26</v>
      </c>
      <c r="H37" s="22">
        <v>79</v>
      </c>
    </row>
    <row r="38" spans="1:8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47</v>
      </c>
      <c r="E38" s="22">
        <v>20</v>
      </c>
      <c r="F38" s="22">
        <v>8</v>
      </c>
      <c r="G38" s="22">
        <v>27</v>
      </c>
      <c r="H38" s="22">
        <v>82</v>
      </c>
    </row>
    <row r="39" spans="1:8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47</v>
      </c>
      <c r="E39" s="22">
        <v>20</v>
      </c>
      <c r="F39" s="22">
        <v>8</v>
      </c>
      <c r="G39" s="22">
        <v>27</v>
      </c>
      <c r="H39" s="22">
        <v>82</v>
      </c>
    </row>
    <row r="40" spans="1:8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47</v>
      </c>
      <c r="E40" s="22">
        <v>20</v>
      </c>
      <c r="F40" s="22">
        <v>8</v>
      </c>
      <c r="G40" s="22">
        <v>27</v>
      </c>
      <c r="H40" s="22">
        <v>82</v>
      </c>
    </row>
    <row r="41" spans="1:8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47</v>
      </c>
      <c r="E41" s="22">
        <v>20</v>
      </c>
      <c r="F41" s="22">
        <v>8</v>
      </c>
      <c r="G41" s="22">
        <v>27</v>
      </c>
      <c r="H41" s="22">
        <v>82</v>
      </c>
    </row>
    <row r="42" spans="1:8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47</v>
      </c>
      <c r="E42" s="22">
        <v>20</v>
      </c>
      <c r="F42" s="22">
        <v>8</v>
      </c>
      <c r="G42" s="22">
        <v>27</v>
      </c>
      <c r="H42" s="22">
        <v>82</v>
      </c>
    </row>
    <row r="43" spans="1:8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47</v>
      </c>
      <c r="E43" s="22">
        <v>20</v>
      </c>
      <c r="F43" s="22">
        <v>8</v>
      </c>
      <c r="G43" s="22">
        <v>27</v>
      </c>
      <c r="H43" s="22">
        <v>82</v>
      </c>
    </row>
    <row r="44" spans="1:8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47</v>
      </c>
      <c r="E44" s="22">
        <v>20</v>
      </c>
      <c r="F44" s="22">
        <v>8</v>
      </c>
      <c r="G44" s="22">
        <v>27</v>
      </c>
      <c r="H44" s="22">
        <v>82</v>
      </c>
    </row>
    <row r="45" spans="1:8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47</v>
      </c>
      <c r="E45" s="22">
        <v>20</v>
      </c>
      <c r="F45" s="22">
        <v>8</v>
      </c>
      <c r="G45" s="22">
        <v>27</v>
      </c>
      <c r="H45" s="22">
        <v>82</v>
      </c>
    </row>
    <row r="46" spans="1:8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47</v>
      </c>
      <c r="E46" s="22">
        <v>20</v>
      </c>
      <c r="F46" s="22">
        <v>8</v>
      </c>
      <c r="G46" s="22">
        <v>27</v>
      </c>
      <c r="H46" s="22">
        <v>82</v>
      </c>
    </row>
    <row r="47" spans="1:8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47</v>
      </c>
      <c r="E47" s="22">
        <v>20</v>
      </c>
      <c r="F47" s="22">
        <v>8</v>
      </c>
      <c r="G47" s="22">
        <v>27</v>
      </c>
      <c r="H47" s="22">
        <v>82</v>
      </c>
    </row>
    <row r="48" spans="1:8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47</v>
      </c>
      <c r="E48" s="22">
        <v>20</v>
      </c>
      <c r="F48" s="22">
        <v>8</v>
      </c>
      <c r="G48" s="22">
        <v>27</v>
      </c>
      <c r="H48" s="22">
        <v>82</v>
      </c>
    </row>
    <row r="49" spans="1:8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47</v>
      </c>
      <c r="E49" s="22">
        <v>20</v>
      </c>
      <c r="F49" s="22">
        <v>8</v>
      </c>
      <c r="G49" s="22">
        <v>27</v>
      </c>
      <c r="H49" s="22">
        <v>82</v>
      </c>
    </row>
    <row r="50" spans="1:8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47</v>
      </c>
      <c r="E50" s="22">
        <v>20</v>
      </c>
      <c r="F50" s="22">
        <v>8</v>
      </c>
      <c r="G50" s="22">
        <v>27</v>
      </c>
      <c r="H50" s="22">
        <v>82</v>
      </c>
    </row>
    <row r="51" spans="1:8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47</v>
      </c>
      <c r="E51" s="22">
        <v>20</v>
      </c>
      <c r="F51" s="22">
        <v>8</v>
      </c>
      <c r="G51" s="22">
        <v>27</v>
      </c>
      <c r="H51" s="22">
        <v>82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K51"/>
  <sheetViews>
    <sheetView workbookViewId="0">
      <selection activeCell="Y41" sqref="Y41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414</v>
      </c>
      <c r="B1" s="4"/>
      <c r="C1" s="4" t="s">
        <v>3</v>
      </c>
      <c r="D1" s="14" t="s">
        <v>415</v>
      </c>
      <c r="E1" s="14" t="s">
        <v>416</v>
      </c>
      <c r="F1" s="14" t="s">
        <v>417</v>
      </c>
      <c r="G1" s="14" t="s">
        <v>19</v>
      </c>
      <c r="H1" s="14" t="s">
        <v>418</v>
      </c>
      <c r="I1" s="14" t="s">
        <v>419</v>
      </c>
      <c r="J1" s="14" t="s">
        <v>420</v>
      </c>
      <c r="K1" s="14" t="s">
        <v>15</v>
      </c>
    </row>
    <row r="2" spans="1:11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4</v>
      </c>
      <c r="E35" s="22">
        <v>2</v>
      </c>
      <c r="F35" s="22">
        <v>9</v>
      </c>
      <c r="G35" s="22">
        <v>18</v>
      </c>
      <c r="H35" s="22">
        <v>1</v>
      </c>
      <c r="I35" s="22">
        <v>0</v>
      </c>
      <c r="J35" s="22">
        <v>0</v>
      </c>
      <c r="K35" s="22">
        <v>10</v>
      </c>
    </row>
    <row r="36" spans="1:11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4</v>
      </c>
      <c r="E36" s="22">
        <v>2</v>
      </c>
      <c r="F36" s="22">
        <v>9</v>
      </c>
      <c r="G36" s="22">
        <v>18</v>
      </c>
      <c r="H36" s="22">
        <v>1</v>
      </c>
      <c r="I36" s="22">
        <v>0</v>
      </c>
      <c r="J36" s="22">
        <v>0</v>
      </c>
      <c r="K36" s="22">
        <v>10</v>
      </c>
    </row>
    <row r="37" spans="1:11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2</v>
      </c>
      <c r="E37" s="22">
        <v>2</v>
      </c>
      <c r="F37" s="22">
        <v>0</v>
      </c>
      <c r="G37" s="22">
        <v>29</v>
      </c>
      <c r="H37" s="22">
        <v>1</v>
      </c>
      <c r="I37" s="22">
        <v>0</v>
      </c>
      <c r="J37" s="22">
        <v>0</v>
      </c>
      <c r="K37" s="22">
        <v>5</v>
      </c>
    </row>
    <row r="38" spans="1:11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5</v>
      </c>
      <c r="E38" s="22">
        <v>3</v>
      </c>
      <c r="F38" s="22">
        <v>12</v>
      </c>
      <c r="G38" s="22">
        <v>49</v>
      </c>
      <c r="H38" s="22">
        <v>2</v>
      </c>
      <c r="I38" s="22">
        <v>0</v>
      </c>
      <c r="J38" s="22">
        <v>0</v>
      </c>
      <c r="K38" s="22">
        <v>11</v>
      </c>
    </row>
    <row r="39" spans="1:11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5</v>
      </c>
      <c r="E39" s="22">
        <v>3</v>
      </c>
      <c r="F39" s="22">
        <v>12</v>
      </c>
      <c r="G39" s="22">
        <v>49</v>
      </c>
      <c r="H39" s="22">
        <v>2</v>
      </c>
      <c r="I39" s="22">
        <v>0</v>
      </c>
      <c r="J39" s="22">
        <v>0</v>
      </c>
      <c r="K39" s="22">
        <v>11</v>
      </c>
    </row>
    <row r="40" spans="1:11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5</v>
      </c>
      <c r="E40" s="22">
        <v>3</v>
      </c>
      <c r="F40" s="22">
        <v>12</v>
      </c>
      <c r="G40" s="22">
        <v>49</v>
      </c>
      <c r="H40" s="22">
        <v>2</v>
      </c>
      <c r="I40" s="22">
        <v>0</v>
      </c>
      <c r="J40" s="22">
        <v>0</v>
      </c>
      <c r="K40" s="22">
        <v>11</v>
      </c>
    </row>
    <row r="41" spans="1:11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5</v>
      </c>
      <c r="E41" s="22">
        <v>3</v>
      </c>
      <c r="F41" s="22">
        <v>12</v>
      </c>
      <c r="G41" s="22">
        <v>49</v>
      </c>
      <c r="H41" s="22">
        <v>2</v>
      </c>
      <c r="I41" s="22">
        <v>0</v>
      </c>
      <c r="J41" s="22">
        <v>0</v>
      </c>
      <c r="K41" s="22">
        <v>11</v>
      </c>
    </row>
    <row r="42" spans="1:11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5</v>
      </c>
      <c r="E42" s="22">
        <v>3</v>
      </c>
      <c r="F42" s="22">
        <v>12</v>
      </c>
      <c r="G42" s="22">
        <v>49</v>
      </c>
      <c r="H42" s="22">
        <v>2</v>
      </c>
      <c r="I42" s="22">
        <v>0</v>
      </c>
      <c r="J42" s="22">
        <v>0</v>
      </c>
      <c r="K42" s="22">
        <v>11</v>
      </c>
    </row>
    <row r="43" spans="1:11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5</v>
      </c>
      <c r="E43" s="22">
        <v>3</v>
      </c>
      <c r="F43" s="22">
        <v>12</v>
      </c>
      <c r="G43" s="22">
        <v>49</v>
      </c>
      <c r="H43" s="22">
        <v>2</v>
      </c>
      <c r="I43" s="22">
        <v>0</v>
      </c>
      <c r="J43" s="22">
        <v>0</v>
      </c>
      <c r="K43" s="22">
        <v>11</v>
      </c>
    </row>
    <row r="44" spans="1:11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5</v>
      </c>
      <c r="E44" s="22">
        <v>3</v>
      </c>
      <c r="F44" s="22">
        <v>12</v>
      </c>
      <c r="G44" s="22">
        <v>49</v>
      </c>
      <c r="H44" s="22">
        <v>2</v>
      </c>
      <c r="I44" s="22">
        <v>0</v>
      </c>
      <c r="J44" s="22">
        <v>0</v>
      </c>
      <c r="K44" s="22">
        <v>11</v>
      </c>
    </row>
    <row r="45" spans="1:11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5</v>
      </c>
      <c r="E45" s="22">
        <v>3</v>
      </c>
      <c r="F45" s="22">
        <v>12</v>
      </c>
      <c r="G45" s="22">
        <v>49</v>
      </c>
      <c r="H45" s="22">
        <v>2</v>
      </c>
      <c r="I45" s="22">
        <v>0</v>
      </c>
      <c r="J45" s="22">
        <v>0</v>
      </c>
      <c r="K45" s="22">
        <v>11</v>
      </c>
    </row>
    <row r="46" spans="1:11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5</v>
      </c>
      <c r="E46" s="22">
        <v>3</v>
      </c>
      <c r="F46" s="22">
        <v>12</v>
      </c>
      <c r="G46" s="22">
        <v>49</v>
      </c>
      <c r="H46" s="22">
        <v>2</v>
      </c>
      <c r="I46" s="22">
        <v>0</v>
      </c>
      <c r="J46" s="22">
        <v>0</v>
      </c>
      <c r="K46" s="22">
        <v>11</v>
      </c>
    </row>
    <row r="47" spans="1:11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5</v>
      </c>
      <c r="E47" s="22">
        <v>3</v>
      </c>
      <c r="F47" s="22">
        <v>12</v>
      </c>
      <c r="G47" s="22">
        <v>49</v>
      </c>
      <c r="H47" s="22">
        <v>2</v>
      </c>
      <c r="I47" s="22">
        <v>0</v>
      </c>
      <c r="J47" s="22">
        <v>0</v>
      </c>
      <c r="K47" s="22">
        <v>11</v>
      </c>
    </row>
    <row r="48" spans="1:11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5</v>
      </c>
      <c r="E48" s="22">
        <v>3</v>
      </c>
      <c r="F48" s="22">
        <v>12</v>
      </c>
      <c r="G48" s="22">
        <v>49</v>
      </c>
      <c r="H48" s="22">
        <v>2</v>
      </c>
      <c r="I48" s="22">
        <v>0</v>
      </c>
      <c r="J48" s="22">
        <v>0</v>
      </c>
      <c r="K48" s="22">
        <v>11</v>
      </c>
    </row>
    <row r="49" spans="1:11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5</v>
      </c>
      <c r="E49" s="22">
        <v>3</v>
      </c>
      <c r="F49" s="22">
        <v>12</v>
      </c>
      <c r="G49" s="22">
        <v>49</v>
      </c>
      <c r="H49" s="22">
        <v>2</v>
      </c>
      <c r="I49" s="22">
        <v>0</v>
      </c>
      <c r="J49" s="22">
        <v>0</v>
      </c>
      <c r="K49" s="22">
        <v>11</v>
      </c>
    </row>
    <row r="50" spans="1:11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5</v>
      </c>
      <c r="E50" s="22">
        <v>3</v>
      </c>
      <c r="F50" s="22">
        <v>12</v>
      </c>
      <c r="G50" s="22">
        <v>49</v>
      </c>
      <c r="H50" s="22">
        <v>2</v>
      </c>
      <c r="I50" s="22">
        <v>0</v>
      </c>
      <c r="J50" s="22">
        <v>0</v>
      </c>
      <c r="K50" s="22">
        <v>11</v>
      </c>
    </row>
    <row r="51" spans="1:11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5</v>
      </c>
      <c r="E51" s="22">
        <v>3</v>
      </c>
      <c r="F51" s="22">
        <v>12</v>
      </c>
      <c r="G51" s="22">
        <v>49</v>
      </c>
      <c r="H51" s="22">
        <v>2</v>
      </c>
      <c r="I51" s="22">
        <v>0</v>
      </c>
      <c r="J51" s="22">
        <v>0</v>
      </c>
      <c r="K51" s="22">
        <v>11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/>
  </sheetPr>
  <dimension ref="A1:K51"/>
  <sheetViews>
    <sheetView topLeftCell="A7" workbookViewId="0">
      <selection activeCell="Y41" sqref="Y41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414</v>
      </c>
      <c r="B1" s="4"/>
      <c r="C1" s="4" t="s">
        <v>3</v>
      </c>
      <c r="D1" s="14" t="s">
        <v>415</v>
      </c>
      <c r="E1" s="14" t="s">
        <v>416</v>
      </c>
      <c r="F1" s="14" t="s">
        <v>417</v>
      </c>
      <c r="G1" s="14" t="s">
        <v>19</v>
      </c>
      <c r="H1" s="14" t="s">
        <v>418</v>
      </c>
      <c r="I1" s="14" t="s">
        <v>419</v>
      </c>
      <c r="J1" s="14" t="s">
        <v>420</v>
      </c>
      <c r="K1" s="14" t="s">
        <v>15</v>
      </c>
    </row>
    <row r="2" spans="1:11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4</v>
      </c>
      <c r="E35" s="22">
        <v>2</v>
      </c>
      <c r="F35" s="22">
        <v>9</v>
      </c>
      <c r="G35" s="22">
        <v>18</v>
      </c>
      <c r="H35" s="22">
        <v>1</v>
      </c>
      <c r="I35" s="22">
        <v>0</v>
      </c>
      <c r="J35" s="22">
        <v>0</v>
      </c>
      <c r="K35" s="22">
        <v>10</v>
      </c>
    </row>
    <row r="36" spans="1:11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4</v>
      </c>
      <c r="E36" s="22">
        <v>2</v>
      </c>
      <c r="F36" s="22">
        <v>9</v>
      </c>
      <c r="G36" s="22">
        <v>18</v>
      </c>
      <c r="H36" s="22">
        <v>1</v>
      </c>
      <c r="I36" s="22">
        <v>0</v>
      </c>
      <c r="J36" s="22">
        <v>0</v>
      </c>
      <c r="K36" s="22">
        <v>10</v>
      </c>
    </row>
    <row r="37" spans="1:11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1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0</v>
      </c>
      <c r="E38" s="22">
        <v>0</v>
      </c>
      <c r="F38" s="22">
        <v>2</v>
      </c>
      <c r="G38" s="22">
        <v>5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0</v>
      </c>
      <c r="E39" s="22">
        <v>0</v>
      </c>
      <c r="F39" s="22">
        <v>2</v>
      </c>
      <c r="G39" s="22">
        <v>5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0</v>
      </c>
      <c r="E40" s="22">
        <v>0</v>
      </c>
      <c r="F40" s="22">
        <v>2</v>
      </c>
      <c r="G40" s="22">
        <v>5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0</v>
      </c>
      <c r="E41" s="22">
        <v>0</v>
      </c>
      <c r="F41" s="22">
        <v>2</v>
      </c>
      <c r="G41" s="22">
        <v>5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0</v>
      </c>
      <c r="E42" s="22">
        <v>0</v>
      </c>
      <c r="F42" s="22">
        <v>2</v>
      </c>
      <c r="G42" s="22">
        <v>5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0</v>
      </c>
      <c r="E43" s="22">
        <v>0</v>
      </c>
      <c r="F43" s="22">
        <v>2</v>
      </c>
      <c r="G43" s="22">
        <v>5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0</v>
      </c>
      <c r="E44" s="22">
        <v>0</v>
      </c>
      <c r="F44" s="22">
        <v>2</v>
      </c>
      <c r="G44" s="22">
        <v>5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0</v>
      </c>
      <c r="E45" s="22">
        <v>0</v>
      </c>
      <c r="F45" s="22">
        <v>2</v>
      </c>
      <c r="G45" s="22">
        <v>5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0</v>
      </c>
      <c r="E46" s="22">
        <v>0</v>
      </c>
      <c r="F46" s="22">
        <v>2</v>
      </c>
      <c r="G46" s="22">
        <v>5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0</v>
      </c>
      <c r="E47" s="22">
        <v>0</v>
      </c>
      <c r="F47" s="22">
        <v>2</v>
      </c>
      <c r="G47" s="22">
        <v>5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0</v>
      </c>
      <c r="E48" s="22">
        <v>0</v>
      </c>
      <c r="F48" s="22">
        <v>2</v>
      </c>
      <c r="G48" s="22">
        <v>5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0</v>
      </c>
      <c r="E49" s="22">
        <v>0</v>
      </c>
      <c r="F49" s="22">
        <v>2</v>
      </c>
      <c r="G49" s="22">
        <v>5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0</v>
      </c>
      <c r="E50" s="22">
        <v>0</v>
      </c>
      <c r="F50" s="22">
        <v>2</v>
      </c>
      <c r="G50" s="22">
        <v>5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0</v>
      </c>
      <c r="E51" s="22">
        <v>0</v>
      </c>
      <c r="F51" s="22">
        <v>2</v>
      </c>
      <c r="G51" s="22">
        <v>5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/>
  </sheetPr>
  <dimension ref="A1:H51"/>
  <sheetViews>
    <sheetView topLeftCell="A10" workbookViewId="0">
      <selection activeCell="Y41" sqref="Y41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4" width="3.875" style="3" customWidth="1"/>
    <col min="5" max="7" width="3" style="3" customWidth="1"/>
    <col min="8" max="8" width="5.125" style="3" customWidth="1"/>
    <col min="9" max="16384" width="8.875" style="3"/>
  </cols>
  <sheetData>
    <row r="1" spans="1:8" ht="67.5" thickBot="1" x14ac:dyDescent="0.35">
      <c r="A1" s="4" t="s">
        <v>414</v>
      </c>
      <c r="B1" s="4"/>
      <c r="C1" s="4" t="s">
        <v>3</v>
      </c>
      <c r="D1" s="14" t="s">
        <v>13</v>
      </c>
      <c r="E1" s="14" t="s">
        <v>14</v>
      </c>
      <c r="F1" s="14" t="s">
        <v>16</v>
      </c>
      <c r="G1" s="14" t="s">
        <v>635</v>
      </c>
      <c r="H1" s="14" t="s">
        <v>15</v>
      </c>
    </row>
    <row r="2" spans="1:8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</row>
    <row r="3" spans="1:8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</row>
    <row r="4" spans="1:8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</row>
    <row r="5" spans="1:8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</row>
    <row r="6" spans="1:8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</row>
    <row r="7" spans="1:8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</row>
    <row r="8" spans="1:8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</row>
    <row r="9" spans="1:8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8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</row>
    <row r="11" spans="1:8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</row>
    <row r="12" spans="1:8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</row>
    <row r="13" spans="1:8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</row>
    <row r="14" spans="1:8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</row>
    <row r="15" spans="1:8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</row>
    <row r="16" spans="1:8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</row>
    <row r="17" spans="1:8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</row>
    <row r="18" spans="1:8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</row>
    <row r="19" spans="1:8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</row>
    <row r="20" spans="1:8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</row>
    <row r="21" spans="1:8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</row>
    <row r="22" spans="1:8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</row>
    <row r="23" spans="1:8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</row>
    <row r="24" spans="1:8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</row>
    <row r="25" spans="1:8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</row>
    <row r="26" spans="1:8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</row>
    <row r="27" spans="1:8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</row>
    <row r="28" spans="1:8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</row>
    <row r="29" spans="1:8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</row>
    <row r="30" spans="1:8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</row>
    <row r="31" spans="1:8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</row>
    <row r="32" spans="1:8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</row>
    <row r="33" spans="1:8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</row>
    <row r="34" spans="1:8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</row>
    <row r="35" spans="1:8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</row>
    <row r="36" spans="1:8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</row>
    <row r="37" spans="1:8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65</v>
      </c>
      <c r="F37" s="22">
        <v>23</v>
      </c>
      <c r="G37" s="22">
        <v>99</v>
      </c>
      <c r="H37" s="22">
        <v>185</v>
      </c>
    </row>
    <row r="38" spans="1:8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195</v>
      </c>
      <c r="E38" s="22">
        <v>130</v>
      </c>
      <c r="F38" s="22">
        <v>60</v>
      </c>
      <c r="G38" s="22">
        <v>120</v>
      </c>
      <c r="H38" s="22">
        <v>311</v>
      </c>
    </row>
    <row r="39" spans="1:8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195</v>
      </c>
      <c r="E39" s="22">
        <v>130</v>
      </c>
      <c r="F39" s="22">
        <v>60</v>
      </c>
      <c r="G39" s="22">
        <v>120</v>
      </c>
      <c r="H39" s="22">
        <v>311</v>
      </c>
    </row>
    <row r="40" spans="1:8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195</v>
      </c>
      <c r="E40" s="22">
        <v>130</v>
      </c>
      <c r="F40" s="22">
        <v>60</v>
      </c>
      <c r="G40" s="22">
        <v>120</v>
      </c>
      <c r="H40" s="22">
        <v>311</v>
      </c>
    </row>
    <row r="41" spans="1:8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195</v>
      </c>
      <c r="E41" s="22">
        <v>130</v>
      </c>
      <c r="F41" s="22">
        <v>60</v>
      </c>
      <c r="G41" s="22">
        <v>120</v>
      </c>
      <c r="H41" s="22">
        <v>311</v>
      </c>
    </row>
    <row r="42" spans="1:8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195</v>
      </c>
      <c r="E42" s="22">
        <v>130</v>
      </c>
      <c r="F42" s="22">
        <v>60</v>
      </c>
      <c r="G42" s="22">
        <v>120</v>
      </c>
      <c r="H42" s="22">
        <v>311</v>
      </c>
    </row>
    <row r="43" spans="1:8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195</v>
      </c>
      <c r="E43" s="22">
        <v>130</v>
      </c>
      <c r="F43" s="22">
        <v>60</v>
      </c>
      <c r="G43" s="22">
        <v>120</v>
      </c>
      <c r="H43" s="22">
        <v>311</v>
      </c>
    </row>
    <row r="44" spans="1:8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195</v>
      </c>
      <c r="E44" s="22">
        <v>130</v>
      </c>
      <c r="F44" s="22">
        <v>60</v>
      </c>
      <c r="G44" s="22">
        <v>120</v>
      </c>
      <c r="H44" s="22">
        <v>311</v>
      </c>
    </row>
    <row r="45" spans="1:8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195</v>
      </c>
      <c r="E45" s="22">
        <v>130</v>
      </c>
      <c r="F45" s="22">
        <v>60</v>
      </c>
      <c r="G45" s="22">
        <v>120</v>
      </c>
      <c r="H45" s="22">
        <v>311</v>
      </c>
    </row>
    <row r="46" spans="1:8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195</v>
      </c>
      <c r="E46" s="22">
        <v>130</v>
      </c>
      <c r="F46" s="22">
        <v>60</v>
      </c>
      <c r="G46" s="22">
        <v>120</v>
      </c>
      <c r="H46" s="22">
        <v>311</v>
      </c>
    </row>
    <row r="47" spans="1:8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195</v>
      </c>
      <c r="E47" s="22">
        <v>130</v>
      </c>
      <c r="F47" s="22">
        <v>60</v>
      </c>
      <c r="G47" s="22">
        <v>120</v>
      </c>
      <c r="H47" s="22">
        <v>311</v>
      </c>
    </row>
    <row r="48" spans="1:8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195</v>
      </c>
      <c r="E48" s="22">
        <v>130</v>
      </c>
      <c r="F48" s="22">
        <v>60</v>
      </c>
      <c r="G48" s="22">
        <v>120</v>
      </c>
      <c r="H48" s="22">
        <v>311</v>
      </c>
    </row>
    <row r="49" spans="1:8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195</v>
      </c>
      <c r="E49" s="22">
        <v>130</v>
      </c>
      <c r="F49" s="22">
        <v>60</v>
      </c>
      <c r="G49" s="22">
        <v>120</v>
      </c>
      <c r="H49" s="22">
        <v>311</v>
      </c>
    </row>
    <row r="50" spans="1:8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195</v>
      </c>
      <c r="E50" s="22">
        <v>130</v>
      </c>
      <c r="F50" s="22">
        <v>60</v>
      </c>
      <c r="G50" s="22">
        <v>120</v>
      </c>
      <c r="H50" s="22">
        <v>311</v>
      </c>
    </row>
    <row r="51" spans="1:8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195</v>
      </c>
      <c r="E51" s="22">
        <v>130</v>
      </c>
      <c r="F51" s="22">
        <v>60</v>
      </c>
      <c r="G51" s="22">
        <v>120</v>
      </c>
      <c r="H51" s="22">
        <v>311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</sheetPr>
  <dimension ref="A1:Q53"/>
  <sheetViews>
    <sheetView topLeftCell="B1" workbookViewId="0">
      <selection activeCell="Y41" sqref="Y41"/>
    </sheetView>
  </sheetViews>
  <sheetFormatPr defaultColWidth="7.75" defaultRowHeight="12.75" x14ac:dyDescent="0.2"/>
  <cols>
    <col min="1" max="2" width="7.75" style="26"/>
    <col min="3" max="3" width="11.625" style="26" customWidth="1"/>
    <col min="4" max="4" width="7.625" style="26" hidden="1" customWidth="1"/>
    <col min="5" max="5" width="11.625" style="26" customWidth="1"/>
    <col min="6" max="6" width="14.25" style="26" customWidth="1"/>
    <col min="7" max="259" width="7.75" style="26"/>
    <col min="260" max="262" width="11.625" style="26" customWidth="1"/>
    <col min="263" max="515" width="7.75" style="26"/>
    <col min="516" max="518" width="11.625" style="26" customWidth="1"/>
    <col min="519" max="771" width="7.75" style="26"/>
    <col min="772" max="774" width="11.625" style="26" customWidth="1"/>
    <col min="775" max="1027" width="7.75" style="26"/>
    <col min="1028" max="1030" width="11.625" style="26" customWidth="1"/>
    <col min="1031" max="1283" width="7.75" style="26"/>
    <col min="1284" max="1286" width="11.625" style="26" customWidth="1"/>
    <col min="1287" max="1539" width="7.75" style="26"/>
    <col min="1540" max="1542" width="11.625" style="26" customWidth="1"/>
    <col min="1543" max="1795" width="7.75" style="26"/>
    <col min="1796" max="1798" width="11.625" style="26" customWidth="1"/>
    <col min="1799" max="2051" width="7.75" style="26"/>
    <col min="2052" max="2054" width="11.625" style="26" customWidth="1"/>
    <col min="2055" max="2307" width="7.75" style="26"/>
    <col min="2308" max="2310" width="11.625" style="26" customWidth="1"/>
    <col min="2311" max="2563" width="7.75" style="26"/>
    <col min="2564" max="2566" width="11.625" style="26" customWidth="1"/>
    <col min="2567" max="2819" width="7.75" style="26"/>
    <col min="2820" max="2822" width="11.625" style="26" customWidth="1"/>
    <col min="2823" max="3075" width="7.75" style="26"/>
    <col min="3076" max="3078" width="11.625" style="26" customWidth="1"/>
    <col min="3079" max="3331" width="7.75" style="26"/>
    <col min="3332" max="3334" width="11.625" style="26" customWidth="1"/>
    <col min="3335" max="3587" width="7.75" style="26"/>
    <col min="3588" max="3590" width="11.625" style="26" customWidth="1"/>
    <col min="3591" max="3843" width="7.75" style="26"/>
    <col min="3844" max="3846" width="11.625" style="26" customWidth="1"/>
    <col min="3847" max="4099" width="7.75" style="26"/>
    <col min="4100" max="4102" width="11.625" style="26" customWidth="1"/>
    <col min="4103" max="4355" width="7.75" style="26"/>
    <col min="4356" max="4358" width="11.625" style="26" customWidth="1"/>
    <col min="4359" max="4611" width="7.75" style="26"/>
    <col min="4612" max="4614" width="11.625" style="26" customWidth="1"/>
    <col min="4615" max="4867" width="7.75" style="26"/>
    <col min="4868" max="4870" width="11.625" style="26" customWidth="1"/>
    <col min="4871" max="5123" width="7.75" style="26"/>
    <col min="5124" max="5126" width="11.625" style="26" customWidth="1"/>
    <col min="5127" max="5379" width="7.75" style="26"/>
    <col min="5380" max="5382" width="11.625" style="26" customWidth="1"/>
    <col min="5383" max="5635" width="7.75" style="26"/>
    <col min="5636" max="5638" width="11.625" style="26" customWidth="1"/>
    <col min="5639" max="5891" width="7.75" style="26"/>
    <col min="5892" max="5894" width="11.625" style="26" customWidth="1"/>
    <col min="5895" max="6147" width="7.75" style="26"/>
    <col min="6148" max="6150" width="11.625" style="26" customWidth="1"/>
    <col min="6151" max="6403" width="7.75" style="26"/>
    <col min="6404" max="6406" width="11.625" style="26" customWidth="1"/>
    <col min="6407" max="6659" width="7.75" style="26"/>
    <col min="6660" max="6662" width="11.625" style="26" customWidth="1"/>
    <col min="6663" max="6915" width="7.75" style="26"/>
    <col min="6916" max="6918" width="11.625" style="26" customWidth="1"/>
    <col min="6919" max="7171" width="7.75" style="26"/>
    <col min="7172" max="7174" width="11.625" style="26" customWidth="1"/>
    <col min="7175" max="7427" width="7.75" style="26"/>
    <col min="7428" max="7430" width="11.625" style="26" customWidth="1"/>
    <col min="7431" max="7683" width="7.75" style="26"/>
    <col min="7684" max="7686" width="11.625" style="26" customWidth="1"/>
    <col min="7687" max="7939" width="7.75" style="26"/>
    <col min="7940" max="7942" width="11.625" style="26" customWidth="1"/>
    <col min="7943" max="8195" width="7.75" style="26"/>
    <col min="8196" max="8198" width="11.625" style="26" customWidth="1"/>
    <col min="8199" max="8451" width="7.75" style="26"/>
    <col min="8452" max="8454" width="11.625" style="26" customWidth="1"/>
    <col min="8455" max="8707" width="7.75" style="26"/>
    <col min="8708" max="8710" width="11.625" style="26" customWidth="1"/>
    <col min="8711" max="8963" width="7.75" style="26"/>
    <col min="8964" max="8966" width="11.625" style="26" customWidth="1"/>
    <col min="8967" max="9219" width="7.75" style="26"/>
    <col min="9220" max="9222" width="11.625" style="26" customWidth="1"/>
    <col min="9223" max="9475" width="7.75" style="26"/>
    <col min="9476" max="9478" width="11.625" style="26" customWidth="1"/>
    <col min="9479" max="9731" width="7.75" style="26"/>
    <col min="9732" max="9734" width="11.625" style="26" customWidth="1"/>
    <col min="9735" max="9987" width="7.75" style="26"/>
    <col min="9988" max="9990" width="11.625" style="26" customWidth="1"/>
    <col min="9991" max="10243" width="7.75" style="26"/>
    <col min="10244" max="10246" width="11.625" style="26" customWidth="1"/>
    <col min="10247" max="10499" width="7.75" style="26"/>
    <col min="10500" max="10502" width="11.625" style="26" customWidth="1"/>
    <col min="10503" max="10755" width="7.75" style="26"/>
    <col min="10756" max="10758" width="11.625" style="26" customWidth="1"/>
    <col min="10759" max="11011" width="7.75" style="26"/>
    <col min="11012" max="11014" width="11.625" style="26" customWidth="1"/>
    <col min="11015" max="11267" width="7.75" style="26"/>
    <col min="11268" max="11270" width="11.625" style="26" customWidth="1"/>
    <col min="11271" max="11523" width="7.75" style="26"/>
    <col min="11524" max="11526" width="11.625" style="26" customWidth="1"/>
    <col min="11527" max="11779" width="7.75" style="26"/>
    <col min="11780" max="11782" width="11.625" style="26" customWidth="1"/>
    <col min="11783" max="12035" width="7.75" style="26"/>
    <col min="12036" max="12038" width="11.625" style="26" customWidth="1"/>
    <col min="12039" max="12291" width="7.75" style="26"/>
    <col min="12292" max="12294" width="11.625" style="26" customWidth="1"/>
    <col min="12295" max="12547" width="7.75" style="26"/>
    <col min="12548" max="12550" width="11.625" style="26" customWidth="1"/>
    <col min="12551" max="12803" width="7.75" style="26"/>
    <col min="12804" max="12806" width="11.625" style="26" customWidth="1"/>
    <col min="12807" max="13059" width="7.75" style="26"/>
    <col min="13060" max="13062" width="11.625" style="26" customWidth="1"/>
    <col min="13063" max="13315" width="7.75" style="26"/>
    <col min="13316" max="13318" width="11.625" style="26" customWidth="1"/>
    <col min="13319" max="13571" width="7.75" style="26"/>
    <col min="13572" max="13574" width="11.625" style="26" customWidth="1"/>
    <col min="13575" max="13827" width="7.75" style="26"/>
    <col min="13828" max="13830" width="11.625" style="26" customWidth="1"/>
    <col min="13831" max="14083" width="7.75" style="26"/>
    <col min="14084" max="14086" width="11.625" style="26" customWidth="1"/>
    <col min="14087" max="14339" width="7.75" style="26"/>
    <col min="14340" max="14342" width="11.625" style="26" customWidth="1"/>
    <col min="14343" max="14595" width="7.75" style="26"/>
    <col min="14596" max="14598" width="11.625" style="26" customWidth="1"/>
    <col min="14599" max="14851" width="7.75" style="26"/>
    <col min="14852" max="14854" width="11.625" style="26" customWidth="1"/>
    <col min="14855" max="15107" width="7.75" style="26"/>
    <col min="15108" max="15110" width="11.625" style="26" customWidth="1"/>
    <col min="15111" max="15363" width="7.75" style="26"/>
    <col min="15364" max="15366" width="11.625" style="26" customWidth="1"/>
    <col min="15367" max="15619" width="7.75" style="26"/>
    <col min="15620" max="15622" width="11.625" style="26" customWidth="1"/>
    <col min="15623" max="15875" width="7.75" style="26"/>
    <col min="15876" max="15878" width="11.625" style="26" customWidth="1"/>
    <col min="15879" max="16131" width="7.75" style="26"/>
    <col min="16132" max="16134" width="11.625" style="26" customWidth="1"/>
    <col min="16135" max="16384" width="7.75" style="26"/>
  </cols>
  <sheetData>
    <row r="1" spans="1:17" s="25" customFormat="1" ht="18" thickBot="1" x14ac:dyDescent="0.35">
      <c r="A1" s="4" t="s">
        <v>414</v>
      </c>
      <c r="B1" s="4"/>
      <c r="C1" s="4" t="s">
        <v>3</v>
      </c>
      <c r="D1" s="4" t="s">
        <v>791</v>
      </c>
      <c r="E1" s="4" t="s">
        <v>427</v>
      </c>
      <c r="F1" s="4" t="s">
        <v>790</v>
      </c>
      <c r="G1" s="27"/>
      <c r="H1"/>
      <c r="I1"/>
      <c r="J1"/>
      <c r="K1" t="str">
        <f>IF(ISNUMBER(J1),IF(J1&lt;J2,"",(((COLUMN()-1)*'[1]Sprint Information'!#REF!)+'[1]Sprint Information'!#REF!)),"")</f>
        <v/>
      </c>
      <c r="L1" t="str">
        <f>IF(ISNUMBER(K1),IF(K1&lt;K2,"",(((COLUMN()-1)*'[1]Sprint Information'!#REF!)+'[1]Sprint Information'!#REF!)),"")</f>
        <v/>
      </c>
      <c r="M1" t="str">
        <f>IF(ISNUMBER(L1),IF(L1&lt;L2,"",(((COLUMN()-1)*'[1]Sprint Information'!#REF!)+'[1]Sprint Information'!#REF!)),"")</f>
        <v/>
      </c>
      <c r="N1" t="str">
        <f>IF(ISNUMBER(M1),IF(M1&lt;M2,"",(((COLUMN()-1)*'[1]Sprint Information'!#REF!)+'[1]Sprint Information'!#REF!)),"")</f>
        <v/>
      </c>
      <c r="O1" t="str">
        <f>IF(ISNUMBER(N1),IF(N1&lt;N2,"",(((COLUMN()-1)*'[1]Sprint Information'!#REF!)+'[1]Sprint Information'!#REF!)),"")</f>
        <v/>
      </c>
      <c r="P1" t="str">
        <f>IF(ISNUMBER(O1),IF(O1&lt;O2,"",(((COLUMN()-1)*'[1]Sprint Information'!#REF!)+'[1]Sprint Information'!#REF!)),"")</f>
        <v/>
      </c>
      <c r="Q1" t="str">
        <f>IF(ISNUMBER(P1),IF(P1&lt;P2,"",(((COLUMN()-1)*'[1]Sprint Information'!#REF!)+'[1]Sprint Information'!#REF!)),"")</f>
        <v/>
      </c>
    </row>
    <row r="2" spans="1:17" ht="16.5" thickTop="1" x14ac:dyDescent="0.25">
      <c r="A2" s="3">
        <v>1</v>
      </c>
      <c r="B2" s="15" t="s">
        <v>421</v>
      </c>
      <c r="C2" s="16">
        <v>43388</v>
      </c>
      <c r="D2" s="28">
        <f>E2</f>
        <v>0</v>
      </c>
      <c r="E2" s="26">
        <v>0</v>
      </c>
      <c r="F2" s="26">
        <f t="shared" ref="F2:F53" si="0">IF(ISNUMBER($C2),0,"")</f>
        <v>0</v>
      </c>
      <c r="H2"/>
      <c r="I2"/>
      <c r="J2"/>
      <c r="K2" t="str">
        <f>IF(ISNUMBER(K1),(((COLUMN()-1)*'[1]Sprint Information'!#REF!)+'[1]Sprint Information'!#REF!),"")</f>
        <v/>
      </c>
      <c r="L2" t="str">
        <f>IF(ISNUMBER(L1),(((COLUMN()-1)*'[1]Sprint Information'!#REF!)+'[1]Sprint Information'!#REF!),"")</f>
        <v/>
      </c>
      <c r="M2" t="str">
        <f>IF(ISNUMBER(M1),(((COLUMN()-1)*'[1]Sprint Information'!#REF!)+'[1]Sprint Information'!#REF!),"")</f>
        <v/>
      </c>
      <c r="N2" t="str">
        <f>IF(ISNUMBER(N1),(((COLUMN()-1)*'[1]Sprint Information'!#REF!)+'[1]Sprint Information'!#REF!),"")</f>
        <v/>
      </c>
      <c r="O2" t="str">
        <f>IF(ISNUMBER(O1),(((COLUMN()-1)*'[1]Sprint Information'!#REF!)+'[1]Sprint Information'!#REF!),"")</f>
        <v/>
      </c>
      <c r="P2" t="str">
        <f>IF(ISNUMBER(P1),(((COLUMN()-1)*'[1]Sprint Information'!#REF!)+'[1]Sprint Information'!#REF!),"")</f>
        <v/>
      </c>
      <c r="Q2" t="str">
        <f>IF(ISNUMBER(Q1),(((COLUMN()-1)*'[1]Sprint Information'!#REF!)+'[1]Sprint Information'!#REF!),"")</f>
        <v/>
      </c>
    </row>
    <row r="3" spans="1:17" ht="15" x14ac:dyDescent="0.25">
      <c r="A3" s="3">
        <f>A2+1</f>
        <v>2</v>
      </c>
      <c r="B3" s="15" t="s">
        <v>422</v>
      </c>
      <c r="C3" s="16">
        <f>C2+1</f>
        <v>43389</v>
      </c>
      <c r="D3" s="29">
        <f>D2-($D$2/50)</f>
        <v>0</v>
      </c>
      <c r="E3" s="26">
        <v>0</v>
      </c>
      <c r="F3" s="26">
        <v>0</v>
      </c>
    </row>
    <row r="4" spans="1:17" ht="15" x14ac:dyDescent="0.25">
      <c r="A4" s="3">
        <f t="shared" ref="A4:A51" si="1">A3+1</f>
        <v>3</v>
      </c>
      <c r="B4" s="15" t="s">
        <v>423</v>
      </c>
      <c r="C4" s="16">
        <f t="shared" ref="C4:C51" si="2">C3+1</f>
        <v>43390</v>
      </c>
      <c r="D4" s="29">
        <f t="shared" ref="D4:D51" si="3">D3-($D$2/50)</f>
        <v>0</v>
      </c>
      <c r="E4" s="26">
        <v>0</v>
      </c>
      <c r="F4" s="26">
        <v>0</v>
      </c>
    </row>
    <row r="5" spans="1:17" ht="15" x14ac:dyDescent="0.25">
      <c r="A5" s="3">
        <f t="shared" si="1"/>
        <v>4</v>
      </c>
      <c r="B5" s="15" t="s">
        <v>424</v>
      </c>
      <c r="C5" s="16">
        <f t="shared" si="2"/>
        <v>43391</v>
      </c>
      <c r="D5" s="29">
        <f t="shared" si="3"/>
        <v>0</v>
      </c>
      <c r="E5" s="26">
        <v>0</v>
      </c>
      <c r="F5" s="26">
        <v>0</v>
      </c>
    </row>
    <row r="6" spans="1:17" ht="15" x14ac:dyDescent="0.25">
      <c r="A6" s="3">
        <f t="shared" si="1"/>
        <v>5</v>
      </c>
      <c r="B6" s="15" t="s">
        <v>425</v>
      </c>
      <c r="C6" s="16">
        <f t="shared" si="2"/>
        <v>43392</v>
      </c>
      <c r="D6" s="29">
        <f t="shared" si="3"/>
        <v>0</v>
      </c>
      <c r="E6" s="26">
        <v>0</v>
      </c>
      <c r="F6" s="26">
        <f t="shared" si="0"/>
        <v>0</v>
      </c>
    </row>
    <row r="7" spans="1:17" ht="15" x14ac:dyDescent="0.25">
      <c r="A7" s="3">
        <f t="shared" si="1"/>
        <v>6</v>
      </c>
      <c r="B7" s="15" t="s">
        <v>421</v>
      </c>
      <c r="C7" s="16">
        <f>C2+7</f>
        <v>43395</v>
      </c>
      <c r="D7" s="29">
        <f t="shared" si="3"/>
        <v>0</v>
      </c>
      <c r="E7" s="26">
        <v>0</v>
      </c>
      <c r="F7" s="26">
        <f t="shared" si="0"/>
        <v>0</v>
      </c>
    </row>
    <row r="8" spans="1:17" ht="15" x14ac:dyDescent="0.25">
      <c r="A8" s="3">
        <f t="shared" si="1"/>
        <v>7</v>
      </c>
      <c r="B8" s="15" t="s">
        <v>422</v>
      </c>
      <c r="C8" s="16">
        <f t="shared" si="2"/>
        <v>43396</v>
      </c>
      <c r="D8" s="29">
        <f t="shared" si="3"/>
        <v>0</v>
      </c>
      <c r="E8" s="26">
        <v>0</v>
      </c>
      <c r="F8" s="26">
        <f t="shared" si="0"/>
        <v>0</v>
      </c>
    </row>
    <row r="9" spans="1:17" ht="15" x14ac:dyDescent="0.25">
      <c r="A9" s="3">
        <f t="shared" si="1"/>
        <v>8</v>
      </c>
      <c r="B9" s="15" t="s">
        <v>423</v>
      </c>
      <c r="C9" s="16">
        <f t="shared" si="2"/>
        <v>43397</v>
      </c>
      <c r="D9" s="29">
        <f t="shared" si="3"/>
        <v>0</v>
      </c>
      <c r="E9" s="26">
        <v>0</v>
      </c>
      <c r="F9" s="26">
        <f t="shared" si="0"/>
        <v>0</v>
      </c>
    </row>
    <row r="10" spans="1:17" ht="15" x14ac:dyDescent="0.25">
      <c r="A10" s="3">
        <f t="shared" si="1"/>
        <v>9</v>
      </c>
      <c r="B10" s="15" t="s">
        <v>424</v>
      </c>
      <c r="C10" s="16">
        <f t="shared" si="2"/>
        <v>43398</v>
      </c>
      <c r="D10" s="29">
        <f t="shared" si="3"/>
        <v>0</v>
      </c>
      <c r="E10" s="26">
        <v>0</v>
      </c>
      <c r="F10" s="26">
        <f t="shared" si="0"/>
        <v>0</v>
      </c>
    </row>
    <row r="11" spans="1:17" ht="15" x14ac:dyDescent="0.25">
      <c r="A11" s="3">
        <f t="shared" si="1"/>
        <v>10</v>
      </c>
      <c r="B11" s="15" t="s">
        <v>425</v>
      </c>
      <c r="C11" s="16">
        <f t="shared" si="2"/>
        <v>43399</v>
      </c>
      <c r="D11" s="29">
        <f t="shared" si="3"/>
        <v>0</v>
      </c>
      <c r="E11" s="26">
        <v>0</v>
      </c>
      <c r="F11" s="26">
        <f t="shared" si="0"/>
        <v>0</v>
      </c>
    </row>
    <row r="12" spans="1:17" ht="15" x14ac:dyDescent="0.25">
      <c r="A12" s="3">
        <f t="shared" si="1"/>
        <v>11</v>
      </c>
      <c r="B12" s="15" t="s">
        <v>421</v>
      </c>
      <c r="C12" s="16">
        <f>C7+7</f>
        <v>43402</v>
      </c>
      <c r="D12" s="29">
        <f t="shared" si="3"/>
        <v>0</v>
      </c>
      <c r="E12" s="26">
        <v>0</v>
      </c>
      <c r="F12" s="26">
        <f t="shared" si="0"/>
        <v>0</v>
      </c>
    </row>
    <row r="13" spans="1:17" ht="15" x14ac:dyDescent="0.25">
      <c r="A13" s="3">
        <f t="shared" si="1"/>
        <v>12</v>
      </c>
      <c r="B13" s="15" t="s">
        <v>422</v>
      </c>
      <c r="C13" s="16">
        <f t="shared" si="2"/>
        <v>43403</v>
      </c>
      <c r="D13" s="29">
        <f t="shared" si="3"/>
        <v>0</v>
      </c>
      <c r="E13" s="26">
        <v>0</v>
      </c>
      <c r="F13" s="26">
        <f t="shared" si="0"/>
        <v>0</v>
      </c>
    </row>
    <row r="14" spans="1:17" ht="15" x14ac:dyDescent="0.25">
      <c r="A14" s="3">
        <f t="shared" si="1"/>
        <v>13</v>
      </c>
      <c r="B14" s="15" t="s">
        <v>423</v>
      </c>
      <c r="C14" s="16">
        <f t="shared" si="2"/>
        <v>43404</v>
      </c>
      <c r="D14" s="29">
        <f t="shared" si="3"/>
        <v>0</v>
      </c>
      <c r="E14" s="26">
        <v>0</v>
      </c>
      <c r="F14" s="26">
        <f t="shared" si="0"/>
        <v>0</v>
      </c>
    </row>
    <row r="15" spans="1:17" ht="15" x14ac:dyDescent="0.25">
      <c r="A15" s="3">
        <f t="shared" si="1"/>
        <v>14</v>
      </c>
      <c r="B15" s="15" t="s">
        <v>424</v>
      </c>
      <c r="C15" s="16">
        <f t="shared" si="2"/>
        <v>43405</v>
      </c>
      <c r="D15" s="29">
        <f t="shared" si="3"/>
        <v>0</v>
      </c>
      <c r="E15" s="26">
        <v>0</v>
      </c>
      <c r="F15" s="26">
        <f t="shared" si="0"/>
        <v>0</v>
      </c>
    </row>
    <row r="16" spans="1:17" ht="15" x14ac:dyDescent="0.25">
      <c r="A16" s="3">
        <f t="shared" si="1"/>
        <v>15</v>
      </c>
      <c r="B16" s="15" t="s">
        <v>425</v>
      </c>
      <c r="C16" s="16">
        <f t="shared" si="2"/>
        <v>43406</v>
      </c>
      <c r="D16" s="29">
        <f t="shared" si="3"/>
        <v>0</v>
      </c>
      <c r="E16" s="26">
        <v>0</v>
      </c>
      <c r="F16" s="26">
        <f t="shared" si="0"/>
        <v>0</v>
      </c>
    </row>
    <row r="17" spans="1:6" ht="15" x14ac:dyDescent="0.25">
      <c r="A17" s="3">
        <f t="shared" si="1"/>
        <v>16</v>
      </c>
      <c r="B17" s="15" t="s">
        <v>421</v>
      </c>
      <c r="C17" s="16">
        <f>C12+7</f>
        <v>43409</v>
      </c>
      <c r="D17" s="29">
        <f t="shared" si="3"/>
        <v>0</v>
      </c>
      <c r="E17" s="26">
        <v>0</v>
      </c>
      <c r="F17" s="26">
        <f t="shared" si="0"/>
        <v>0</v>
      </c>
    </row>
    <row r="18" spans="1:6" ht="15" x14ac:dyDescent="0.25">
      <c r="A18" s="3">
        <f t="shared" si="1"/>
        <v>17</v>
      </c>
      <c r="B18" s="15" t="s">
        <v>422</v>
      </c>
      <c r="C18" s="16">
        <f t="shared" si="2"/>
        <v>43410</v>
      </c>
      <c r="D18" s="29">
        <f t="shared" si="3"/>
        <v>0</v>
      </c>
      <c r="E18" s="26">
        <v>0</v>
      </c>
      <c r="F18" s="26">
        <f t="shared" si="0"/>
        <v>0</v>
      </c>
    </row>
    <row r="19" spans="1:6" ht="15" x14ac:dyDescent="0.25">
      <c r="A19" s="3">
        <f t="shared" si="1"/>
        <v>18</v>
      </c>
      <c r="B19" s="15" t="s">
        <v>423</v>
      </c>
      <c r="C19" s="16">
        <f t="shared" si="2"/>
        <v>43411</v>
      </c>
      <c r="D19" s="29">
        <f t="shared" si="3"/>
        <v>0</v>
      </c>
      <c r="E19" s="26">
        <v>0</v>
      </c>
      <c r="F19" s="26">
        <f t="shared" si="0"/>
        <v>0</v>
      </c>
    </row>
    <row r="20" spans="1:6" ht="15" x14ac:dyDescent="0.25">
      <c r="A20" s="3">
        <f t="shared" si="1"/>
        <v>19</v>
      </c>
      <c r="B20" s="15" t="s">
        <v>424</v>
      </c>
      <c r="C20" s="16">
        <f t="shared" si="2"/>
        <v>43412</v>
      </c>
      <c r="D20" s="29">
        <f t="shared" si="3"/>
        <v>0</v>
      </c>
      <c r="E20" s="26">
        <v>0</v>
      </c>
      <c r="F20" s="26">
        <f t="shared" si="0"/>
        <v>0</v>
      </c>
    </row>
    <row r="21" spans="1:6" ht="15" x14ac:dyDescent="0.25">
      <c r="A21" s="3">
        <f t="shared" si="1"/>
        <v>20</v>
      </c>
      <c r="B21" s="15" t="s">
        <v>425</v>
      </c>
      <c r="C21" s="16">
        <f t="shared" si="2"/>
        <v>43413</v>
      </c>
      <c r="D21" s="29">
        <f t="shared" si="3"/>
        <v>0</v>
      </c>
      <c r="E21" s="26">
        <v>0</v>
      </c>
      <c r="F21" s="26">
        <f t="shared" si="0"/>
        <v>0</v>
      </c>
    </row>
    <row r="22" spans="1:6" ht="15" x14ac:dyDescent="0.25">
      <c r="A22" s="3">
        <f t="shared" si="1"/>
        <v>21</v>
      </c>
      <c r="B22" s="15" t="s">
        <v>421</v>
      </c>
      <c r="C22" s="16">
        <f>C17+7</f>
        <v>43416</v>
      </c>
      <c r="D22" s="29">
        <f t="shared" si="3"/>
        <v>0</v>
      </c>
      <c r="E22" s="26">
        <v>0</v>
      </c>
      <c r="F22" s="26">
        <f t="shared" si="0"/>
        <v>0</v>
      </c>
    </row>
    <row r="23" spans="1:6" ht="15" x14ac:dyDescent="0.25">
      <c r="A23" s="3">
        <f t="shared" si="1"/>
        <v>22</v>
      </c>
      <c r="B23" s="15" t="s">
        <v>422</v>
      </c>
      <c r="C23" s="16">
        <f t="shared" si="2"/>
        <v>43417</v>
      </c>
      <c r="D23" s="29">
        <f t="shared" si="3"/>
        <v>0</v>
      </c>
      <c r="E23" s="26">
        <v>0</v>
      </c>
      <c r="F23" s="26">
        <f t="shared" si="0"/>
        <v>0</v>
      </c>
    </row>
    <row r="24" spans="1:6" ht="15" x14ac:dyDescent="0.25">
      <c r="A24" s="3">
        <f t="shared" si="1"/>
        <v>23</v>
      </c>
      <c r="B24" s="15" t="s">
        <v>423</v>
      </c>
      <c r="C24" s="16">
        <f t="shared" si="2"/>
        <v>43418</v>
      </c>
      <c r="D24" s="29">
        <f t="shared" si="3"/>
        <v>0</v>
      </c>
      <c r="E24" s="26">
        <v>0</v>
      </c>
      <c r="F24" s="26">
        <f t="shared" si="0"/>
        <v>0</v>
      </c>
    </row>
    <row r="25" spans="1:6" ht="15" x14ac:dyDescent="0.25">
      <c r="A25" s="3">
        <f t="shared" si="1"/>
        <v>24</v>
      </c>
      <c r="B25" s="15" t="s">
        <v>424</v>
      </c>
      <c r="C25" s="16">
        <f t="shared" si="2"/>
        <v>43419</v>
      </c>
      <c r="D25" s="29">
        <f t="shared" si="3"/>
        <v>0</v>
      </c>
      <c r="E25" s="26">
        <v>0</v>
      </c>
      <c r="F25" s="26">
        <f t="shared" si="0"/>
        <v>0</v>
      </c>
    </row>
    <row r="26" spans="1:6" ht="15" x14ac:dyDescent="0.25">
      <c r="A26" s="3">
        <f t="shared" si="1"/>
        <v>25</v>
      </c>
      <c r="B26" s="15" t="s">
        <v>425</v>
      </c>
      <c r="C26" s="16">
        <f t="shared" si="2"/>
        <v>43420</v>
      </c>
      <c r="D26" s="29">
        <f t="shared" si="3"/>
        <v>0</v>
      </c>
      <c r="E26" s="26">
        <v>0</v>
      </c>
      <c r="F26" s="26">
        <f t="shared" si="0"/>
        <v>0</v>
      </c>
    </row>
    <row r="27" spans="1:6" ht="15" x14ac:dyDescent="0.25">
      <c r="A27" s="3">
        <f t="shared" si="1"/>
        <v>26</v>
      </c>
      <c r="B27" s="15" t="s">
        <v>421</v>
      </c>
      <c r="C27" s="16">
        <f>C22+7</f>
        <v>43423</v>
      </c>
      <c r="D27" s="29">
        <f t="shared" si="3"/>
        <v>0</v>
      </c>
      <c r="E27" s="26">
        <v>0</v>
      </c>
      <c r="F27" s="26">
        <f t="shared" si="0"/>
        <v>0</v>
      </c>
    </row>
    <row r="28" spans="1:6" ht="15" x14ac:dyDescent="0.25">
      <c r="A28" s="3">
        <f t="shared" si="1"/>
        <v>27</v>
      </c>
      <c r="B28" s="15" t="s">
        <v>422</v>
      </c>
      <c r="C28" s="16">
        <f t="shared" si="2"/>
        <v>43424</v>
      </c>
      <c r="D28" s="29">
        <f t="shared" si="3"/>
        <v>0</v>
      </c>
      <c r="E28" s="26">
        <v>0</v>
      </c>
      <c r="F28" s="26">
        <f t="shared" si="0"/>
        <v>0</v>
      </c>
    </row>
    <row r="29" spans="1:6" ht="15" x14ac:dyDescent="0.25">
      <c r="A29" s="3">
        <f t="shared" si="1"/>
        <v>28</v>
      </c>
      <c r="B29" s="15" t="s">
        <v>423</v>
      </c>
      <c r="C29" s="16">
        <f t="shared" si="2"/>
        <v>43425</v>
      </c>
      <c r="D29" s="29">
        <f t="shared" si="3"/>
        <v>0</v>
      </c>
      <c r="E29" s="26">
        <v>0</v>
      </c>
      <c r="F29" s="26">
        <f t="shared" si="0"/>
        <v>0</v>
      </c>
    </row>
    <row r="30" spans="1:6" ht="15" x14ac:dyDescent="0.25">
      <c r="A30" s="3">
        <f t="shared" si="1"/>
        <v>29</v>
      </c>
      <c r="B30" s="15" t="s">
        <v>424</v>
      </c>
      <c r="C30" s="16">
        <f t="shared" si="2"/>
        <v>43426</v>
      </c>
      <c r="D30" s="29">
        <f t="shared" si="3"/>
        <v>0</v>
      </c>
      <c r="E30" s="26">
        <v>0</v>
      </c>
      <c r="F30" s="26">
        <f t="shared" si="0"/>
        <v>0</v>
      </c>
    </row>
    <row r="31" spans="1:6" ht="15" x14ac:dyDescent="0.25">
      <c r="A31" s="3">
        <f t="shared" si="1"/>
        <v>30</v>
      </c>
      <c r="B31" s="15" t="s">
        <v>425</v>
      </c>
      <c r="C31" s="16">
        <f t="shared" si="2"/>
        <v>43427</v>
      </c>
      <c r="D31" s="29">
        <f t="shared" si="3"/>
        <v>0</v>
      </c>
      <c r="E31" s="26">
        <v>0</v>
      </c>
      <c r="F31" s="26">
        <f t="shared" si="0"/>
        <v>0</v>
      </c>
    </row>
    <row r="32" spans="1:6" ht="15" x14ac:dyDescent="0.25">
      <c r="A32" s="3">
        <f t="shared" si="1"/>
        <v>31</v>
      </c>
      <c r="B32" s="15" t="s">
        <v>421</v>
      </c>
      <c r="C32" s="16">
        <f>C27+7</f>
        <v>43430</v>
      </c>
      <c r="D32" s="29">
        <f t="shared" si="3"/>
        <v>0</v>
      </c>
      <c r="E32" s="26">
        <v>0</v>
      </c>
      <c r="F32" s="26">
        <f t="shared" si="0"/>
        <v>0</v>
      </c>
    </row>
    <row r="33" spans="1:6" ht="15" x14ac:dyDescent="0.25">
      <c r="A33" s="3">
        <f t="shared" si="1"/>
        <v>32</v>
      </c>
      <c r="B33" s="15" t="s">
        <v>422</v>
      </c>
      <c r="C33" s="16">
        <f t="shared" si="2"/>
        <v>43431</v>
      </c>
      <c r="D33" s="29">
        <f t="shared" si="3"/>
        <v>0</v>
      </c>
      <c r="E33" s="26">
        <v>0</v>
      </c>
      <c r="F33" s="26">
        <f t="shared" si="0"/>
        <v>0</v>
      </c>
    </row>
    <row r="34" spans="1:6" ht="15" x14ac:dyDescent="0.25">
      <c r="A34" s="3">
        <f t="shared" si="1"/>
        <v>33</v>
      </c>
      <c r="B34" s="15" t="s">
        <v>423</v>
      </c>
      <c r="C34" s="16">
        <f t="shared" si="2"/>
        <v>43432</v>
      </c>
      <c r="D34" s="29">
        <f t="shared" si="3"/>
        <v>0</v>
      </c>
      <c r="E34" s="26">
        <v>0</v>
      </c>
      <c r="F34" s="26">
        <f t="shared" si="0"/>
        <v>0</v>
      </c>
    </row>
    <row r="35" spans="1:6" ht="15" x14ac:dyDescent="0.25">
      <c r="A35" s="3">
        <f t="shared" si="1"/>
        <v>34</v>
      </c>
      <c r="B35" s="15" t="s">
        <v>424</v>
      </c>
      <c r="C35" s="16">
        <f t="shared" si="2"/>
        <v>43433</v>
      </c>
      <c r="D35" s="29">
        <f t="shared" si="3"/>
        <v>0</v>
      </c>
      <c r="E35" s="26">
        <v>0</v>
      </c>
      <c r="F35" s="26">
        <f t="shared" si="0"/>
        <v>0</v>
      </c>
    </row>
    <row r="36" spans="1:6" ht="15" x14ac:dyDescent="0.25">
      <c r="A36" s="3">
        <f t="shared" si="1"/>
        <v>35</v>
      </c>
      <c r="B36" s="15" t="s">
        <v>425</v>
      </c>
      <c r="C36" s="16">
        <f t="shared" si="2"/>
        <v>43434</v>
      </c>
      <c r="D36" s="29">
        <f t="shared" si="3"/>
        <v>0</v>
      </c>
      <c r="E36" s="26">
        <v>0</v>
      </c>
      <c r="F36" s="26">
        <f t="shared" si="0"/>
        <v>0</v>
      </c>
    </row>
    <row r="37" spans="1:6" ht="15" x14ac:dyDescent="0.25">
      <c r="A37" s="3">
        <f t="shared" si="1"/>
        <v>36</v>
      </c>
      <c r="B37" s="15" t="s">
        <v>421</v>
      </c>
      <c r="C37" s="16">
        <f>C32+7</f>
        <v>43437</v>
      </c>
      <c r="D37" s="29">
        <f t="shared" si="3"/>
        <v>0</v>
      </c>
      <c r="E37" s="26">
        <v>273</v>
      </c>
      <c r="F37" s="26">
        <f t="shared" si="0"/>
        <v>0</v>
      </c>
    </row>
    <row r="38" spans="1:6" ht="15" x14ac:dyDescent="0.25">
      <c r="A38" s="3">
        <f t="shared" si="1"/>
        <v>37</v>
      </c>
      <c r="B38" s="15" t="s">
        <v>422</v>
      </c>
      <c r="C38" s="16">
        <f t="shared" si="2"/>
        <v>43438</v>
      </c>
      <c r="D38" s="29">
        <f t="shared" si="3"/>
        <v>0</v>
      </c>
      <c r="E38" s="26">
        <v>696</v>
      </c>
      <c r="F38" s="26">
        <f t="shared" si="0"/>
        <v>0</v>
      </c>
    </row>
    <row r="39" spans="1:6" ht="15" x14ac:dyDescent="0.25">
      <c r="A39" s="3">
        <f t="shared" si="1"/>
        <v>38</v>
      </c>
      <c r="B39" s="15" t="s">
        <v>423</v>
      </c>
      <c r="C39" s="16">
        <f t="shared" si="2"/>
        <v>43439</v>
      </c>
      <c r="D39" s="29">
        <f t="shared" si="3"/>
        <v>0</v>
      </c>
      <c r="E39" s="26">
        <v>696</v>
      </c>
      <c r="F39" s="26">
        <f t="shared" si="0"/>
        <v>0</v>
      </c>
    </row>
    <row r="40" spans="1:6" ht="15" x14ac:dyDescent="0.25">
      <c r="A40" s="3">
        <f t="shared" si="1"/>
        <v>39</v>
      </c>
      <c r="B40" s="15" t="s">
        <v>424</v>
      </c>
      <c r="C40" s="16">
        <f t="shared" si="2"/>
        <v>43440</v>
      </c>
      <c r="D40" s="29">
        <f t="shared" si="3"/>
        <v>0</v>
      </c>
      <c r="E40" s="26">
        <v>696</v>
      </c>
      <c r="F40" s="26">
        <f t="shared" si="0"/>
        <v>0</v>
      </c>
    </row>
    <row r="41" spans="1:6" ht="15" x14ac:dyDescent="0.25">
      <c r="A41" s="3">
        <f t="shared" si="1"/>
        <v>40</v>
      </c>
      <c r="B41" s="15" t="s">
        <v>425</v>
      </c>
      <c r="C41" s="16">
        <f t="shared" si="2"/>
        <v>43441</v>
      </c>
      <c r="D41" s="29">
        <f t="shared" si="3"/>
        <v>0</v>
      </c>
      <c r="E41" s="26">
        <v>696</v>
      </c>
      <c r="F41" s="26">
        <f t="shared" si="0"/>
        <v>0</v>
      </c>
    </row>
    <row r="42" spans="1:6" ht="15" x14ac:dyDescent="0.25">
      <c r="A42" s="3">
        <f t="shared" si="1"/>
        <v>41</v>
      </c>
      <c r="B42" s="15" t="s">
        <v>421</v>
      </c>
      <c r="C42" s="16">
        <f>C37+7</f>
        <v>43444</v>
      </c>
      <c r="D42" s="29">
        <f t="shared" si="3"/>
        <v>0</v>
      </c>
      <c r="E42" s="26">
        <v>696</v>
      </c>
      <c r="F42" s="26">
        <f t="shared" si="0"/>
        <v>0</v>
      </c>
    </row>
    <row r="43" spans="1:6" ht="15" x14ac:dyDescent="0.25">
      <c r="A43" s="3">
        <f t="shared" si="1"/>
        <v>42</v>
      </c>
      <c r="B43" s="15" t="s">
        <v>422</v>
      </c>
      <c r="C43" s="16">
        <f t="shared" si="2"/>
        <v>43445</v>
      </c>
      <c r="D43" s="29">
        <f t="shared" si="3"/>
        <v>0</v>
      </c>
      <c r="E43" s="26">
        <v>696</v>
      </c>
      <c r="F43" s="26">
        <f t="shared" si="0"/>
        <v>0</v>
      </c>
    </row>
    <row r="44" spans="1:6" ht="15" x14ac:dyDescent="0.25">
      <c r="A44" s="3">
        <f t="shared" si="1"/>
        <v>43</v>
      </c>
      <c r="B44" s="15" t="s">
        <v>423</v>
      </c>
      <c r="C44" s="16">
        <f t="shared" si="2"/>
        <v>43446</v>
      </c>
      <c r="D44" s="29">
        <f t="shared" si="3"/>
        <v>0</v>
      </c>
      <c r="E44" s="26">
        <v>696</v>
      </c>
      <c r="F44" s="26">
        <f t="shared" si="0"/>
        <v>0</v>
      </c>
    </row>
    <row r="45" spans="1:6" ht="15" x14ac:dyDescent="0.25">
      <c r="A45" s="3">
        <f t="shared" si="1"/>
        <v>44</v>
      </c>
      <c r="B45" s="15" t="s">
        <v>424</v>
      </c>
      <c r="C45" s="16">
        <f t="shared" si="2"/>
        <v>43447</v>
      </c>
      <c r="D45" s="29">
        <f t="shared" si="3"/>
        <v>0</v>
      </c>
      <c r="E45" s="26">
        <v>696</v>
      </c>
      <c r="F45" s="26">
        <f t="shared" si="0"/>
        <v>0</v>
      </c>
    </row>
    <row r="46" spans="1:6" ht="15" x14ac:dyDescent="0.25">
      <c r="A46" s="3">
        <f t="shared" si="1"/>
        <v>45</v>
      </c>
      <c r="B46" s="15" t="s">
        <v>425</v>
      </c>
      <c r="C46" s="16">
        <f t="shared" si="2"/>
        <v>43448</v>
      </c>
      <c r="D46" s="29">
        <f t="shared" si="3"/>
        <v>0</v>
      </c>
      <c r="E46" s="26">
        <v>696</v>
      </c>
      <c r="F46" s="26">
        <f t="shared" si="0"/>
        <v>0</v>
      </c>
    </row>
    <row r="47" spans="1:6" ht="15" x14ac:dyDescent="0.25">
      <c r="A47" s="3">
        <f t="shared" si="1"/>
        <v>46</v>
      </c>
      <c r="B47" s="15" t="s">
        <v>421</v>
      </c>
      <c r="C47" s="16">
        <f>C42+7</f>
        <v>43451</v>
      </c>
      <c r="D47" s="29">
        <f t="shared" si="3"/>
        <v>0</v>
      </c>
      <c r="E47" s="26">
        <v>696</v>
      </c>
      <c r="F47" s="26">
        <f t="shared" si="0"/>
        <v>0</v>
      </c>
    </row>
    <row r="48" spans="1:6" ht="15" x14ac:dyDescent="0.25">
      <c r="A48" s="3">
        <f t="shared" si="1"/>
        <v>47</v>
      </c>
      <c r="B48" s="15" t="s">
        <v>422</v>
      </c>
      <c r="C48" s="16">
        <f t="shared" si="2"/>
        <v>43452</v>
      </c>
      <c r="D48" s="29">
        <f t="shared" si="3"/>
        <v>0</v>
      </c>
      <c r="E48" s="26">
        <v>696</v>
      </c>
      <c r="F48" s="26">
        <f t="shared" si="0"/>
        <v>0</v>
      </c>
    </row>
    <row r="49" spans="1:6" ht="15" x14ac:dyDescent="0.25">
      <c r="A49" s="3">
        <f t="shared" si="1"/>
        <v>48</v>
      </c>
      <c r="B49" s="15" t="s">
        <v>423</v>
      </c>
      <c r="C49" s="16">
        <f t="shared" si="2"/>
        <v>43453</v>
      </c>
      <c r="D49" s="29">
        <f t="shared" si="3"/>
        <v>0</v>
      </c>
      <c r="E49" s="26">
        <v>696</v>
      </c>
      <c r="F49" s="26">
        <f t="shared" si="0"/>
        <v>0</v>
      </c>
    </row>
    <row r="50" spans="1:6" ht="15" x14ac:dyDescent="0.25">
      <c r="A50" s="3">
        <f t="shared" si="1"/>
        <v>49</v>
      </c>
      <c r="B50" s="15" t="s">
        <v>424</v>
      </c>
      <c r="C50" s="16">
        <f t="shared" si="2"/>
        <v>43454</v>
      </c>
      <c r="D50" s="29">
        <f t="shared" si="3"/>
        <v>0</v>
      </c>
      <c r="E50" s="26">
        <v>696</v>
      </c>
      <c r="F50" s="26">
        <f t="shared" si="0"/>
        <v>0</v>
      </c>
    </row>
    <row r="51" spans="1:6" ht="15" x14ac:dyDescent="0.25">
      <c r="A51" s="3">
        <f t="shared" si="1"/>
        <v>50</v>
      </c>
      <c r="B51" s="15" t="s">
        <v>425</v>
      </c>
      <c r="C51" s="16">
        <f t="shared" si="2"/>
        <v>43455</v>
      </c>
      <c r="D51" s="29">
        <f t="shared" si="3"/>
        <v>0</v>
      </c>
      <c r="E51" s="26">
        <v>696</v>
      </c>
      <c r="F51" s="26">
        <f t="shared" si="0"/>
        <v>0</v>
      </c>
    </row>
    <row r="52" spans="1:6" x14ac:dyDescent="0.2">
      <c r="C52" s="26" t="str">
        <f t="shared" ref="C52:C53" si="4">IF(LEN($E52)=0,"",ROW()-1)</f>
        <v/>
      </c>
      <c r="F52" s="26" t="str">
        <f t="shared" si="0"/>
        <v/>
      </c>
    </row>
    <row r="53" spans="1:6" x14ac:dyDescent="0.2">
      <c r="C53" s="26" t="str">
        <f t="shared" si="4"/>
        <v/>
      </c>
      <c r="F53" s="26" t="str">
        <f t="shared" si="0"/>
        <v/>
      </c>
    </row>
  </sheetData>
  <pageMargins left="0.75" right="0.75" top="1" bottom="1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C000"/>
    <pageSetUpPr fitToPage="1"/>
  </sheetPr>
  <dimension ref="A2:AD69"/>
  <sheetViews>
    <sheetView topLeftCell="K34" zoomScale="68" zoomScaleNormal="68" zoomScaleSheetLayoutView="50" workbookViewId="0">
      <selection activeCell="AC31" sqref="AC31"/>
    </sheetView>
  </sheetViews>
  <sheetFormatPr defaultRowHeight="15.75" x14ac:dyDescent="0.25"/>
  <cols>
    <col min="3" max="3" width="9" customWidth="1"/>
    <col min="15" max="15" width="2.75" customWidth="1"/>
    <col min="29" max="29" width="3.125" customWidth="1"/>
  </cols>
  <sheetData>
    <row r="2" spans="1:30" ht="21" x14ac:dyDescent="0.35">
      <c r="B2" s="24" t="s">
        <v>784</v>
      </c>
      <c r="P2" s="24" t="s">
        <v>785</v>
      </c>
      <c r="AD2" t="s">
        <v>786</v>
      </c>
    </row>
    <row r="3" spans="1:30" ht="15.75" customHeight="1" x14ac:dyDescent="0.25">
      <c r="A3" s="68" t="s">
        <v>789</v>
      </c>
    </row>
    <row r="4" spans="1:30" x14ac:dyDescent="0.25">
      <c r="A4" s="68"/>
    </row>
    <row r="5" spans="1:30" x14ac:dyDescent="0.25">
      <c r="A5" s="68"/>
    </row>
    <row r="6" spans="1:30" x14ac:dyDescent="0.25">
      <c r="A6" s="68"/>
    </row>
    <row r="7" spans="1:30" x14ac:dyDescent="0.25">
      <c r="A7" s="68"/>
    </row>
    <row r="8" spans="1:30" x14ac:dyDescent="0.25">
      <c r="A8" s="68"/>
    </row>
    <row r="9" spans="1:30" x14ac:dyDescent="0.25">
      <c r="A9" s="68"/>
    </row>
    <row r="10" spans="1:30" x14ac:dyDescent="0.25">
      <c r="A10" s="68"/>
    </row>
    <row r="11" spans="1:30" x14ac:dyDescent="0.25">
      <c r="A11" s="68"/>
    </row>
    <row r="12" spans="1:30" x14ac:dyDescent="0.25">
      <c r="A12" s="68"/>
    </row>
    <row r="13" spans="1:30" x14ac:dyDescent="0.25">
      <c r="A13" s="68"/>
    </row>
    <row r="14" spans="1:30" x14ac:dyDescent="0.25">
      <c r="A14" s="68"/>
    </row>
    <row r="15" spans="1:30" x14ac:dyDescent="0.25">
      <c r="A15" s="68"/>
    </row>
    <row r="16" spans="1:30" x14ac:dyDescent="0.25">
      <c r="A16" s="68"/>
    </row>
    <row r="17" spans="1:1" x14ac:dyDescent="0.25">
      <c r="A17" s="68"/>
    </row>
    <row r="18" spans="1:1" x14ac:dyDescent="0.25">
      <c r="A18" s="68"/>
    </row>
    <row r="19" spans="1:1" x14ac:dyDescent="0.25">
      <c r="A19" s="68"/>
    </row>
    <row r="20" spans="1:1" x14ac:dyDescent="0.25">
      <c r="A20" s="68"/>
    </row>
    <row r="21" spans="1:1" x14ac:dyDescent="0.25">
      <c r="A21" s="68"/>
    </row>
    <row r="22" spans="1:1" x14ac:dyDescent="0.25">
      <c r="A22" s="68"/>
    </row>
    <row r="23" spans="1:1" x14ac:dyDescent="0.25">
      <c r="A23" s="68"/>
    </row>
    <row r="24" spans="1:1" x14ac:dyDescent="0.25">
      <c r="A24" s="68"/>
    </row>
    <row r="25" spans="1:1" x14ac:dyDescent="0.25">
      <c r="A25" s="68"/>
    </row>
    <row r="26" spans="1:1" x14ac:dyDescent="0.25">
      <c r="A26" s="68"/>
    </row>
    <row r="27" spans="1:1" x14ac:dyDescent="0.25">
      <c r="A27" s="68"/>
    </row>
    <row r="28" spans="1:1" x14ac:dyDescent="0.25">
      <c r="A28" s="68"/>
    </row>
    <row r="29" spans="1:1" x14ac:dyDescent="0.25">
      <c r="A29" s="68"/>
    </row>
    <row r="30" spans="1:1" x14ac:dyDescent="0.25">
      <c r="A30" s="68"/>
    </row>
    <row r="31" spans="1:1" x14ac:dyDescent="0.25">
      <c r="A31" s="68"/>
    </row>
    <row r="32" spans="1:1" x14ac:dyDescent="0.25">
      <c r="A32" s="68"/>
    </row>
    <row r="33" spans="1:1" x14ac:dyDescent="0.25">
      <c r="A33" s="68"/>
    </row>
    <row r="34" spans="1:1" x14ac:dyDescent="0.25">
      <c r="A34" s="68"/>
    </row>
    <row r="35" spans="1:1" x14ac:dyDescent="0.25">
      <c r="A35" s="68"/>
    </row>
    <row r="38" spans="1:1" x14ac:dyDescent="0.25">
      <c r="A38" s="68" t="s">
        <v>787</v>
      </c>
    </row>
    <row r="39" spans="1:1" x14ac:dyDescent="0.25">
      <c r="A39" s="68"/>
    </row>
    <row r="40" spans="1:1" x14ac:dyDescent="0.25">
      <c r="A40" s="68"/>
    </row>
    <row r="41" spans="1:1" x14ac:dyDescent="0.25">
      <c r="A41" s="68"/>
    </row>
    <row r="42" spans="1:1" x14ac:dyDescent="0.25">
      <c r="A42" s="68"/>
    </row>
    <row r="43" spans="1:1" x14ac:dyDescent="0.25">
      <c r="A43" s="68"/>
    </row>
    <row r="44" spans="1:1" x14ac:dyDescent="0.25">
      <c r="A44" s="68"/>
    </row>
    <row r="45" spans="1:1" x14ac:dyDescent="0.25">
      <c r="A45" s="68"/>
    </row>
    <row r="46" spans="1:1" x14ac:dyDescent="0.25">
      <c r="A46" s="68"/>
    </row>
    <row r="47" spans="1:1" x14ac:dyDescent="0.25">
      <c r="A47" s="68"/>
    </row>
    <row r="48" spans="1:1" x14ac:dyDescent="0.25">
      <c r="A48" s="68"/>
    </row>
    <row r="49" spans="1:1" x14ac:dyDescent="0.25">
      <c r="A49" s="68"/>
    </row>
    <row r="50" spans="1:1" x14ac:dyDescent="0.25">
      <c r="A50" s="68"/>
    </row>
    <row r="51" spans="1:1" x14ac:dyDescent="0.25">
      <c r="A51" s="68"/>
    </row>
    <row r="52" spans="1:1" x14ac:dyDescent="0.25">
      <c r="A52" s="68"/>
    </row>
    <row r="55" spans="1:1" x14ac:dyDescent="0.25">
      <c r="A55" s="68" t="s">
        <v>788</v>
      </c>
    </row>
    <row r="56" spans="1:1" x14ac:dyDescent="0.25">
      <c r="A56" s="68"/>
    </row>
    <row r="57" spans="1:1" x14ac:dyDescent="0.25">
      <c r="A57" s="68"/>
    </row>
    <row r="58" spans="1:1" x14ac:dyDescent="0.25">
      <c r="A58" s="68"/>
    </row>
    <row r="59" spans="1:1" x14ac:dyDescent="0.25">
      <c r="A59" s="68"/>
    </row>
    <row r="60" spans="1:1" x14ac:dyDescent="0.25">
      <c r="A60" s="68"/>
    </row>
    <row r="61" spans="1:1" x14ac:dyDescent="0.25">
      <c r="A61" s="68"/>
    </row>
    <row r="62" spans="1:1" x14ac:dyDescent="0.25">
      <c r="A62" s="68"/>
    </row>
    <row r="63" spans="1:1" x14ac:dyDescent="0.25">
      <c r="A63" s="68"/>
    </row>
    <row r="64" spans="1:1" x14ac:dyDescent="0.25">
      <c r="A64" s="68"/>
    </row>
    <row r="65" spans="1:1" x14ac:dyDescent="0.25">
      <c r="A65" s="68"/>
    </row>
    <row r="66" spans="1:1" x14ac:dyDescent="0.25">
      <c r="A66" s="68"/>
    </row>
    <row r="67" spans="1:1" x14ac:dyDescent="0.25">
      <c r="A67" s="68"/>
    </row>
    <row r="68" spans="1:1" x14ac:dyDescent="0.25">
      <c r="A68" s="68"/>
    </row>
    <row r="69" spans="1:1" x14ac:dyDescent="0.25">
      <c r="A69" s="68"/>
    </row>
  </sheetData>
  <mergeCells count="3">
    <mergeCell ref="A3:A35"/>
    <mergeCell ref="A38:A52"/>
    <mergeCell ref="A55:A69"/>
  </mergeCells>
  <pageMargins left="0.7" right="0.7" top="0.75" bottom="0.75" header="0.3" footer="0.3"/>
  <pageSetup paperSize="9" scale="32" fitToHeight="0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000"/>
  </sheetPr>
  <dimension ref="A2:F58"/>
  <sheetViews>
    <sheetView topLeftCell="D1" zoomScale="90" zoomScaleNormal="90" zoomScalePageLayoutView="90" workbookViewId="0">
      <selection activeCell="F3" sqref="F3"/>
    </sheetView>
  </sheetViews>
  <sheetFormatPr defaultColWidth="11" defaultRowHeight="15.75" x14ac:dyDescent="0.25"/>
  <cols>
    <col min="1" max="1" width="16.625" hidden="1" customWidth="1"/>
    <col min="2" max="2" width="39.375" hidden="1" customWidth="1"/>
    <col min="3" max="3" width="13.625" hidden="1" customWidth="1"/>
    <col min="4" max="4" width="70.125" customWidth="1"/>
    <col min="5" max="5" width="14.5" customWidth="1"/>
    <col min="6" max="6" width="17.625" customWidth="1"/>
  </cols>
  <sheetData>
    <row r="2" spans="1:6" x14ac:dyDescent="0.25">
      <c r="E2">
        <f>SUM(E4:E58)</f>
        <v>8</v>
      </c>
      <c r="F2">
        <f>SUM(F4:F58)</f>
        <v>107</v>
      </c>
    </row>
    <row r="3" spans="1:6" ht="42" x14ac:dyDescent="0.35">
      <c r="D3" s="1" t="s">
        <v>0</v>
      </c>
      <c r="E3" s="2" t="s">
        <v>2</v>
      </c>
      <c r="F3" s="2" t="s">
        <v>1</v>
      </c>
    </row>
    <row r="4" spans="1:6" ht="42" customHeight="1" x14ac:dyDescent="0.25">
      <c r="A4" s="12" t="s">
        <v>110</v>
      </c>
      <c r="B4" s="12" t="s">
        <v>115</v>
      </c>
      <c r="C4" s="12" t="s">
        <v>398</v>
      </c>
      <c r="D4" s="13" t="str">
        <f>CONCATENATE(IF(LEN(CONCATENATE("[",A4,"] ",B4))&lt;=60,CONCATENATE("[",A4,"] ",B4),CONCATENATE("[",A4,"] ",LEFT(B4,30)," … ",RIGHT(B4,30))), " / ", C4)</f>
        <v>[PROCESS-44] Filter processes based on user …  on user portfolio assignments / Busy Bees</v>
      </c>
      <c r="E4" s="10">
        <v>0</v>
      </c>
      <c r="F4" s="10">
        <v>3</v>
      </c>
    </row>
    <row r="5" spans="1:6" ht="42" customHeight="1" x14ac:dyDescent="0.25">
      <c r="A5" s="12" t="s">
        <v>118</v>
      </c>
      <c r="B5" s="12" t="s">
        <v>117</v>
      </c>
      <c r="C5" s="12" t="s">
        <v>398</v>
      </c>
      <c r="D5" s="13" t="str">
        <f>CONCATENATE(IF(LEN(CONCATENATE("[",A5,"] ",B5))&lt;=60,CONCATENATE("[",A5,"] ",B5),CONCATENATE("[",A5,"] ",LEFT(B5,30)," … ",RIGHT(B5,30))), " / ", C5)</f>
        <v>[PROCESS-92] Improve search performance (elastic search) / Busy Bees</v>
      </c>
      <c r="E5" s="10">
        <v>0</v>
      </c>
      <c r="F5" s="10">
        <v>13</v>
      </c>
    </row>
    <row r="6" spans="1:6" x14ac:dyDescent="0.25">
      <c r="A6" s="12" t="s">
        <v>121</v>
      </c>
      <c r="B6" s="12" t="s">
        <v>120</v>
      </c>
      <c r="C6" s="12" t="s">
        <v>398</v>
      </c>
      <c r="D6" s="13" t="str">
        <f>CONCATENATE(IF(LEN(CONCATENATE("[",A6,"] ",B6))&lt;=60,CONCATENATE("[",A6,"] ",B6),CONCATENATE("[",A6,"] ",LEFT(B6,30)," … ",RIGHT(B6,30))), " / ", C6)</f>
        <v>[PROCESS-75] Support specific attributes based on taxonomy / Busy Bees</v>
      </c>
      <c r="E6" s="10">
        <v>0</v>
      </c>
      <c r="F6" s="10">
        <v>8</v>
      </c>
    </row>
    <row r="7" spans="1:6" x14ac:dyDescent="0.25">
      <c r="A7" s="12" t="s">
        <v>315</v>
      </c>
      <c r="B7" s="12" t="s">
        <v>353</v>
      </c>
      <c r="C7" s="12" t="s">
        <v>398</v>
      </c>
      <c r="D7" s="13" t="str">
        <f>CONCATENATE(IF(LEN(CONCATENATE("[",A7,"] ",B7))&lt;=60,CONCATENATE("[",A7,"] ",B7),CONCATENATE("[",A7,"] ",LEFT(B7,30)," … ",RIGHT(B7,30))), " / ", C7)</f>
        <v>[PROCESS-98] Filter process by "my" active tasks / Busy Bees</v>
      </c>
      <c r="E7" s="10">
        <v>0</v>
      </c>
      <c r="F7" s="10">
        <v>7</v>
      </c>
    </row>
    <row r="8" spans="1:6" x14ac:dyDescent="0.25">
      <c r="A8" s="12" t="s">
        <v>149</v>
      </c>
      <c r="B8" s="12" t="s">
        <v>355</v>
      </c>
      <c r="C8" s="12" t="s">
        <v>398</v>
      </c>
      <c r="D8" s="13" t="str">
        <f>CONCATENATE(IF(LEN(CONCATENATE("[",A8,"] ",B8))&lt;=60,CONCATENATE("[",A8,"] ",B8),CONCATENATE("[",A8,"] ",LEFT(B8,30)," … ",RIGHT(B8,30))), " / ", C8)</f>
        <v>[PFM-125] Foundation stabilization / Busy Bees</v>
      </c>
      <c r="E8" s="10">
        <v>0</v>
      </c>
      <c r="F8" s="10">
        <v>10</v>
      </c>
    </row>
    <row r="9" spans="1:6" x14ac:dyDescent="0.25">
      <c r="A9" s="12" t="s">
        <v>133</v>
      </c>
      <c r="B9" s="12" t="s">
        <v>355</v>
      </c>
      <c r="C9" s="12" t="s">
        <v>398</v>
      </c>
      <c r="D9" s="13" t="str">
        <f>CONCATENATE(IF(LEN(CONCATENATE("[",A9,"] ",B9))&lt;=60,CONCATENATE("[",A9,"] ",B9),CONCATENATE("[",A9,"] ",LEFT(B9,30)," … ",RIGHT(B9,30))), " / ", C9)</f>
        <v>[PROCESS-95] Foundation stabilization / Busy Bees</v>
      </c>
      <c r="E9" s="10">
        <v>0</v>
      </c>
      <c r="F9" s="10">
        <v>18</v>
      </c>
    </row>
    <row r="10" spans="1:6" x14ac:dyDescent="0.25">
      <c r="A10" s="12" t="s">
        <v>129</v>
      </c>
      <c r="B10" s="12" t="s">
        <v>358</v>
      </c>
      <c r="C10" s="12" t="s">
        <v>398</v>
      </c>
      <c r="D10" s="13" t="str">
        <f>CONCATENATE(IF(LEN(CONCATENATE("[",A10,"] ",B10))&lt;=60,CONCATENATE("[",A10,"] ",B10),CONCATENATE("[",A10,"] ",LEFT(B10,30)," … ",RIGHT(B10,30))), " / ", C10)</f>
        <v>[PROCESS-33] Harmonization of User Experience / Busy Bees</v>
      </c>
      <c r="E10" s="10">
        <v>0</v>
      </c>
      <c r="F10" s="10">
        <v>22</v>
      </c>
    </row>
    <row r="11" spans="1:6" x14ac:dyDescent="0.25">
      <c r="A11" s="12" t="s">
        <v>376</v>
      </c>
      <c r="B11" s="12" t="s">
        <v>375</v>
      </c>
      <c r="C11" s="12" t="s">
        <v>398</v>
      </c>
      <c r="D11" s="13" t="str">
        <f>CONCATENATE(IF(LEN(CONCATENATE("[",A11,"] ",B11))&lt;=60,CONCATENATE("[",A11,"] ",B11),CONCATENATE("[",A11,"] ",LEFT(B11,30)," … ",RIGHT(B11,30))), " / ", C11)</f>
        <v>[PROCESS-125] Secure Process Centre by filte … esses according to logged user / Busy Bees</v>
      </c>
      <c r="E11" s="10">
        <v>0</v>
      </c>
      <c r="F11" s="10">
        <v>5</v>
      </c>
    </row>
    <row r="12" spans="1:6" x14ac:dyDescent="0.25">
      <c r="A12" s="12" t="s">
        <v>159</v>
      </c>
      <c r="B12" s="12" t="s">
        <v>387</v>
      </c>
      <c r="C12" s="12" t="s">
        <v>398</v>
      </c>
      <c r="D12" s="13" t="str">
        <f>CONCATENATE(IF(LEN(CONCATENATE("[",A12,"] ",B12))&lt;=60,CONCATENATE("[",A12,"] ",B12),CONCATENATE("[",A12,"] ",LEFT(B12,30)," … ",RIGHT(B12,30))), " / ", C12)</f>
        <v>[PFM-131] UX harmonisation / Busy Bees</v>
      </c>
      <c r="E12" s="10">
        <v>5</v>
      </c>
      <c r="F12" s="10">
        <v>18</v>
      </c>
    </row>
    <row r="13" spans="1:6" x14ac:dyDescent="0.25">
      <c r="A13" s="12" t="s">
        <v>155</v>
      </c>
      <c r="B13" s="12" t="s">
        <v>392</v>
      </c>
      <c r="C13" s="12" t="s">
        <v>398</v>
      </c>
      <c r="D13" s="13" t="str">
        <f>CONCATENATE(IF(LEN(CONCATENATE("[",A13,"] ",B13))&lt;=60,CONCATENATE("[",A13,"] ",B13),CONCATENATE("[",A13,"] ",LEFT(B13,30)," … ",RIGHT(B13,30))), " / ", C13)</f>
        <v>[PFM-126] User Impersonation / Busy Bees</v>
      </c>
      <c r="E13" s="10">
        <v>3</v>
      </c>
      <c r="F13" s="10">
        <v>3</v>
      </c>
    </row>
    <row r="14" spans="1:6" x14ac:dyDescent="0.25">
      <c r="A14" s="12"/>
      <c r="B14" s="12"/>
      <c r="C14" s="12"/>
      <c r="D14" s="13" t="str">
        <f>CONCATENATE(IF(LEN(CONCATENATE("[",A14,"] ",B14))&lt;=60,CONCATENATE("[",A14,"] ",B14),CONCATENATE("[",A14,"] ",LEFT(B14,30)," … ",RIGHT(B14,30))), " / ", C14)</f>
        <v xml:space="preserve">[]  / </v>
      </c>
      <c r="E14" s="10"/>
      <c r="F14" s="10"/>
    </row>
    <row r="15" spans="1:6" x14ac:dyDescent="0.25">
      <c r="A15" s="12"/>
      <c r="B15" s="12"/>
      <c r="C15" s="12"/>
      <c r="D15" s="13" t="str">
        <f t="shared" ref="D4:D15" si="0">CONCATENATE(IF(LEN(CONCATENATE("[",A15,"] ",B15))&lt;=60,CONCATENATE("[",A15,"] ",B15),CONCATENATE("[",A15,"] ",LEFT(B15,30)," … ",RIGHT(B15,30))), " / ", C15)</f>
        <v xml:space="preserve">[]  / </v>
      </c>
      <c r="E15" s="10"/>
      <c r="F15" s="10"/>
    </row>
    <row r="16" spans="1:6" x14ac:dyDescent="0.25">
      <c r="A16" s="12"/>
      <c r="B16" s="12"/>
      <c r="C16" s="12"/>
      <c r="D16" s="13" t="str">
        <f t="shared" ref="D16:D58" si="1">CONCATENATE(IF(LEN(CONCATENATE("[",A16,"] ",B16))&lt;=60,CONCATENATE("[",A16,"] ",B16),CONCATENATE("[",A16,"] ",LEFT(B16,30)," … ",RIGHT(B16,30))), " / ", C16)</f>
        <v xml:space="preserve">[]  / </v>
      </c>
      <c r="E16" s="10"/>
      <c r="F16" s="10"/>
    </row>
    <row r="17" spans="1:6" x14ac:dyDescent="0.25">
      <c r="A17" s="12"/>
      <c r="B17" s="12"/>
      <c r="C17" s="12"/>
      <c r="D17" s="13" t="str">
        <f t="shared" si="1"/>
        <v xml:space="preserve">[]  / </v>
      </c>
      <c r="E17" s="10"/>
      <c r="F17" s="10"/>
    </row>
    <row r="18" spans="1:6" x14ac:dyDescent="0.25">
      <c r="A18" s="12"/>
      <c r="B18" s="12"/>
      <c r="C18" s="12"/>
      <c r="D18" s="13" t="str">
        <f t="shared" si="1"/>
        <v xml:space="preserve">[]  / </v>
      </c>
      <c r="E18" s="10"/>
      <c r="F18" s="10"/>
    </row>
    <row r="19" spans="1:6" x14ac:dyDescent="0.25">
      <c r="A19" s="12"/>
      <c r="B19" s="12"/>
      <c r="C19" s="12"/>
      <c r="D19" s="13" t="str">
        <f t="shared" si="1"/>
        <v xml:space="preserve">[]  / </v>
      </c>
      <c r="E19" s="10"/>
      <c r="F19" s="10"/>
    </row>
    <row r="20" spans="1:6" x14ac:dyDescent="0.25">
      <c r="A20" s="12"/>
      <c r="B20" s="12"/>
      <c r="C20" s="12"/>
      <c r="D20" s="13" t="str">
        <f t="shared" si="1"/>
        <v xml:space="preserve">[]  / </v>
      </c>
      <c r="E20" s="10"/>
      <c r="F20" s="10"/>
    </row>
    <row r="21" spans="1:6" x14ac:dyDescent="0.25">
      <c r="A21" s="12"/>
      <c r="B21" s="12"/>
      <c r="C21" s="12"/>
      <c r="D21" s="13" t="str">
        <f t="shared" si="1"/>
        <v xml:space="preserve">[]  / </v>
      </c>
      <c r="E21" s="10"/>
      <c r="F21" s="10"/>
    </row>
    <row r="22" spans="1:6" x14ac:dyDescent="0.25">
      <c r="A22" s="12"/>
      <c r="B22" s="12"/>
      <c r="C22" s="12"/>
      <c r="D22" s="13" t="str">
        <f t="shared" si="1"/>
        <v xml:space="preserve">[]  / </v>
      </c>
      <c r="E22" s="10"/>
      <c r="F22" s="10"/>
    </row>
    <row r="23" spans="1:6" x14ac:dyDescent="0.25">
      <c r="A23" s="12"/>
      <c r="B23" s="12"/>
      <c r="C23" s="12"/>
      <c r="D23" s="13" t="str">
        <f t="shared" si="1"/>
        <v xml:space="preserve">[]  / </v>
      </c>
      <c r="E23" s="10"/>
      <c r="F23" s="10"/>
    </row>
    <row r="24" spans="1:6" x14ac:dyDescent="0.25">
      <c r="A24" s="12"/>
      <c r="B24" s="12"/>
      <c r="C24" s="12"/>
      <c r="D24" s="13" t="str">
        <f t="shared" si="1"/>
        <v xml:space="preserve">[]  / </v>
      </c>
      <c r="E24" s="10"/>
      <c r="F24" s="10"/>
    </row>
    <row r="25" spans="1:6" x14ac:dyDescent="0.25">
      <c r="A25" s="12"/>
      <c r="B25" s="12"/>
      <c r="C25" s="12"/>
      <c r="D25" s="13" t="str">
        <f t="shared" si="1"/>
        <v xml:space="preserve">[]  / </v>
      </c>
      <c r="E25" s="10"/>
      <c r="F25" s="10"/>
    </row>
    <row r="26" spans="1:6" x14ac:dyDescent="0.25">
      <c r="A26" s="12"/>
      <c r="B26" s="12"/>
      <c r="C26" s="12"/>
      <c r="D26" s="13" t="str">
        <f t="shared" si="1"/>
        <v xml:space="preserve">[]  / </v>
      </c>
      <c r="E26" s="10"/>
      <c r="F26" s="10"/>
    </row>
    <row r="27" spans="1:6" x14ac:dyDescent="0.25">
      <c r="A27" s="12"/>
      <c r="B27" s="12"/>
      <c r="C27" s="12"/>
      <c r="D27" s="13" t="str">
        <f t="shared" si="1"/>
        <v xml:space="preserve">[]  / </v>
      </c>
      <c r="E27" s="10"/>
      <c r="F27" s="10"/>
    </row>
    <row r="28" spans="1:6" x14ac:dyDescent="0.25">
      <c r="A28" s="12"/>
      <c r="B28" s="12"/>
      <c r="C28" s="12"/>
      <c r="D28" s="13" t="str">
        <f t="shared" si="1"/>
        <v xml:space="preserve">[]  / </v>
      </c>
      <c r="E28" s="10"/>
      <c r="F28" s="10"/>
    </row>
    <row r="29" spans="1:6" x14ac:dyDescent="0.25">
      <c r="A29" s="12"/>
      <c r="B29" s="12"/>
      <c r="C29" s="12"/>
      <c r="D29" s="13" t="str">
        <f t="shared" si="1"/>
        <v xml:space="preserve">[]  / </v>
      </c>
      <c r="E29" s="10"/>
      <c r="F29" s="10"/>
    </row>
    <row r="30" spans="1:6" x14ac:dyDescent="0.25">
      <c r="A30" s="12"/>
      <c r="B30" s="12"/>
      <c r="C30" s="12"/>
      <c r="D30" s="13" t="str">
        <f t="shared" si="1"/>
        <v xml:space="preserve">[]  / </v>
      </c>
      <c r="E30" s="10"/>
      <c r="F30" s="10"/>
    </row>
    <row r="31" spans="1:6" x14ac:dyDescent="0.25">
      <c r="A31" s="12"/>
      <c r="B31" s="12"/>
      <c r="C31" s="12"/>
      <c r="D31" s="13" t="str">
        <f t="shared" si="1"/>
        <v xml:space="preserve">[]  / </v>
      </c>
      <c r="E31" s="10"/>
      <c r="F31" s="10"/>
    </row>
    <row r="32" spans="1:6" x14ac:dyDescent="0.25">
      <c r="A32" s="12"/>
      <c r="B32" s="12"/>
      <c r="C32" s="12"/>
      <c r="D32" s="13" t="str">
        <f t="shared" si="1"/>
        <v xml:space="preserve">[]  / </v>
      </c>
      <c r="E32" s="10"/>
      <c r="F32" s="10"/>
    </row>
    <row r="33" spans="1:6" x14ac:dyDescent="0.25">
      <c r="A33" s="12"/>
      <c r="B33" s="12"/>
      <c r="C33" s="12"/>
      <c r="D33" s="13" t="str">
        <f t="shared" si="1"/>
        <v xml:space="preserve">[]  / </v>
      </c>
      <c r="E33" s="10"/>
      <c r="F33" s="10"/>
    </row>
    <row r="34" spans="1:6" x14ac:dyDescent="0.25">
      <c r="A34" s="12"/>
      <c r="B34" s="12"/>
      <c r="C34" s="12"/>
      <c r="D34" s="13" t="str">
        <f t="shared" si="1"/>
        <v xml:space="preserve">[]  / </v>
      </c>
      <c r="E34" s="10"/>
      <c r="F34" s="10"/>
    </row>
    <row r="35" spans="1:6" x14ac:dyDescent="0.25">
      <c r="A35" s="12"/>
      <c r="B35" s="12"/>
      <c r="C35" s="12"/>
      <c r="D35" s="13" t="str">
        <f t="shared" si="1"/>
        <v xml:space="preserve">[]  / </v>
      </c>
      <c r="E35" s="10"/>
      <c r="F35" s="10"/>
    </row>
    <row r="36" spans="1:6" x14ac:dyDescent="0.25">
      <c r="A36" s="12"/>
      <c r="B36" s="12"/>
      <c r="C36" s="12"/>
      <c r="D36" s="13" t="str">
        <f t="shared" si="1"/>
        <v xml:space="preserve">[]  / </v>
      </c>
      <c r="E36" s="10"/>
      <c r="F36" s="10"/>
    </row>
    <row r="37" spans="1:6" x14ac:dyDescent="0.25">
      <c r="A37" s="12"/>
      <c r="B37" s="12"/>
      <c r="C37" s="12"/>
      <c r="D37" s="13" t="str">
        <f t="shared" si="1"/>
        <v xml:space="preserve">[]  / </v>
      </c>
      <c r="E37" s="10"/>
      <c r="F37" s="10"/>
    </row>
    <row r="38" spans="1:6" x14ac:dyDescent="0.25">
      <c r="A38" s="12"/>
      <c r="B38" s="12"/>
      <c r="C38" s="12"/>
      <c r="D38" s="13" t="str">
        <f t="shared" si="1"/>
        <v xml:space="preserve">[]  / </v>
      </c>
      <c r="E38" s="10"/>
      <c r="F38" s="10"/>
    </row>
    <row r="39" spans="1:6" x14ac:dyDescent="0.25">
      <c r="A39" s="12"/>
      <c r="B39" s="12"/>
      <c r="C39" s="12"/>
      <c r="D39" s="13" t="str">
        <f t="shared" si="1"/>
        <v xml:space="preserve">[]  / </v>
      </c>
      <c r="E39" s="10"/>
      <c r="F39" s="10"/>
    </row>
    <row r="40" spans="1:6" x14ac:dyDescent="0.25">
      <c r="A40" s="12"/>
      <c r="B40" s="12"/>
      <c r="C40" s="12"/>
      <c r="D40" s="13" t="str">
        <f t="shared" si="1"/>
        <v xml:space="preserve">[]  / </v>
      </c>
      <c r="E40" s="10"/>
      <c r="F40" s="10"/>
    </row>
    <row r="41" spans="1:6" x14ac:dyDescent="0.25">
      <c r="A41" s="12"/>
      <c r="B41" s="12"/>
      <c r="C41" s="12"/>
      <c r="D41" s="13" t="str">
        <f t="shared" si="1"/>
        <v xml:space="preserve">[]  / </v>
      </c>
      <c r="E41" s="10"/>
      <c r="F41" s="10"/>
    </row>
    <row r="42" spans="1:6" x14ac:dyDescent="0.25">
      <c r="A42" s="12"/>
      <c r="B42" s="12"/>
      <c r="C42" s="12"/>
      <c r="D42" s="13" t="str">
        <f t="shared" si="1"/>
        <v xml:space="preserve">[]  / </v>
      </c>
      <c r="E42" s="10"/>
      <c r="F42" s="10"/>
    </row>
    <row r="43" spans="1:6" x14ac:dyDescent="0.25">
      <c r="A43" s="12"/>
      <c r="B43" s="12"/>
      <c r="C43" s="12"/>
      <c r="D43" s="13" t="str">
        <f t="shared" si="1"/>
        <v xml:space="preserve">[]  / </v>
      </c>
      <c r="E43" s="10"/>
      <c r="F43" s="10"/>
    </row>
    <row r="44" spans="1:6" x14ac:dyDescent="0.25">
      <c r="A44" s="12"/>
      <c r="B44" s="12"/>
      <c r="C44" s="12"/>
      <c r="D44" s="13" t="str">
        <f t="shared" si="1"/>
        <v xml:space="preserve">[]  / </v>
      </c>
      <c r="E44" s="10"/>
      <c r="F44" s="10"/>
    </row>
    <row r="45" spans="1:6" x14ac:dyDescent="0.25">
      <c r="A45" s="12"/>
      <c r="B45" s="12"/>
      <c r="C45" s="12"/>
      <c r="D45" s="13" t="str">
        <f t="shared" si="1"/>
        <v xml:space="preserve">[]  / </v>
      </c>
      <c r="E45" s="10"/>
      <c r="F45" s="10"/>
    </row>
    <row r="46" spans="1:6" x14ac:dyDescent="0.25">
      <c r="A46" s="12"/>
      <c r="B46" s="12"/>
      <c r="C46" s="12"/>
      <c r="D46" s="13" t="str">
        <f t="shared" si="1"/>
        <v xml:space="preserve">[]  / </v>
      </c>
      <c r="E46" s="10"/>
      <c r="F46" s="10"/>
    </row>
    <row r="47" spans="1:6" x14ac:dyDescent="0.25">
      <c r="A47" s="12"/>
      <c r="B47" s="12"/>
      <c r="C47" s="12"/>
      <c r="D47" s="13" t="str">
        <f t="shared" si="1"/>
        <v xml:space="preserve">[]  / </v>
      </c>
      <c r="E47" s="10"/>
      <c r="F47" s="10"/>
    </row>
    <row r="48" spans="1:6" x14ac:dyDescent="0.25">
      <c r="A48" s="12"/>
      <c r="B48" s="12"/>
      <c r="C48" s="12"/>
      <c r="D48" s="13" t="str">
        <f t="shared" si="1"/>
        <v xml:space="preserve">[]  / </v>
      </c>
      <c r="E48" s="10"/>
      <c r="F48" s="10"/>
    </row>
    <row r="49" spans="1:6" x14ac:dyDescent="0.25">
      <c r="A49" s="12"/>
      <c r="B49" s="9"/>
      <c r="C49" s="9"/>
      <c r="D49" s="13" t="str">
        <f t="shared" si="1"/>
        <v xml:space="preserve">[]  / </v>
      </c>
      <c r="E49" s="10"/>
      <c r="F49" s="10"/>
    </row>
    <row r="50" spans="1:6" x14ac:dyDescent="0.25">
      <c r="A50" s="12"/>
      <c r="B50" s="9"/>
      <c r="C50" s="9"/>
      <c r="D50" s="13" t="str">
        <f t="shared" si="1"/>
        <v xml:space="preserve">[]  / </v>
      </c>
      <c r="E50" s="10"/>
      <c r="F50" s="10"/>
    </row>
    <row r="51" spans="1:6" x14ac:dyDescent="0.25">
      <c r="A51" s="12"/>
      <c r="B51" s="9"/>
      <c r="C51" s="9"/>
      <c r="D51" s="13" t="str">
        <f t="shared" si="1"/>
        <v xml:space="preserve">[]  / </v>
      </c>
      <c r="E51" s="10"/>
      <c r="F51" s="10"/>
    </row>
    <row r="52" spans="1:6" x14ac:dyDescent="0.25">
      <c r="A52" s="12"/>
      <c r="B52" s="9"/>
      <c r="C52" s="9"/>
      <c r="D52" s="13" t="str">
        <f t="shared" si="1"/>
        <v xml:space="preserve">[]  / </v>
      </c>
      <c r="E52" s="10"/>
      <c r="F52" s="10"/>
    </row>
    <row r="53" spans="1:6" x14ac:dyDescent="0.25">
      <c r="A53" s="12"/>
      <c r="B53" s="9"/>
      <c r="C53" s="9"/>
      <c r="D53" s="13" t="str">
        <f t="shared" si="1"/>
        <v xml:space="preserve">[]  / </v>
      </c>
      <c r="E53" s="10"/>
      <c r="F53" s="10"/>
    </row>
    <row r="54" spans="1:6" x14ac:dyDescent="0.25">
      <c r="A54" s="12"/>
      <c r="B54" s="9"/>
      <c r="C54" s="9"/>
      <c r="D54" s="13" t="str">
        <f t="shared" si="1"/>
        <v xml:space="preserve">[]  / </v>
      </c>
      <c r="E54" s="10"/>
      <c r="F54" s="10"/>
    </row>
    <row r="55" spans="1:6" x14ac:dyDescent="0.25">
      <c r="A55" s="12"/>
      <c r="B55" s="9"/>
      <c r="C55" s="9"/>
      <c r="D55" s="13" t="str">
        <f t="shared" si="1"/>
        <v xml:space="preserve">[]  / </v>
      </c>
      <c r="E55" s="10"/>
      <c r="F55" s="10"/>
    </row>
    <row r="56" spans="1:6" x14ac:dyDescent="0.25">
      <c r="A56" s="12"/>
      <c r="B56" s="9"/>
      <c r="C56" s="9"/>
      <c r="D56" s="13" t="str">
        <f t="shared" si="1"/>
        <v xml:space="preserve">[]  / </v>
      </c>
      <c r="E56" s="10"/>
      <c r="F56" s="10"/>
    </row>
    <row r="57" spans="1:6" x14ac:dyDescent="0.25">
      <c r="A57" s="12"/>
      <c r="B57" s="9"/>
      <c r="C57" s="9"/>
      <c r="D57" s="13" t="str">
        <f t="shared" si="1"/>
        <v xml:space="preserve">[]  / </v>
      </c>
      <c r="E57" s="10"/>
      <c r="F57" s="10"/>
    </row>
    <row r="58" spans="1:6" x14ac:dyDescent="0.25">
      <c r="A58" s="12"/>
      <c r="B58" s="9"/>
      <c r="C58" s="9"/>
      <c r="D58" s="13" t="str">
        <f t="shared" si="1"/>
        <v xml:space="preserve">[]  / </v>
      </c>
      <c r="E58" s="10"/>
      <c r="F58" s="10"/>
    </row>
  </sheetData>
  <sortState ref="A4:F14">
    <sortCondition ref="C4"/>
  </sortState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C000"/>
  </sheetPr>
  <dimension ref="A2:F58"/>
  <sheetViews>
    <sheetView zoomScale="50" zoomScaleNormal="50" zoomScalePageLayoutView="90" workbookViewId="0">
      <selection activeCell="H47" sqref="H47"/>
    </sheetView>
  </sheetViews>
  <sheetFormatPr defaultColWidth="11" defaultRowHeight="15.75" x14ac:dyDescent="0.25"/>
  <cols>
    <col min="2" max="2" width="64.125" customWidth="1"/>
    <col min="3" max="3" width="47.125" customWidth="1"/>
    <col min="4" max="4" width="64.125" customWidth="1"/>
    <col min="5" max="5" width="14.5" customWidth="1"/>
    <col min="6" max="6" width="17.625" customWidth="1"/>
  </cols>
  <sheetData>
    <row r="2" spans="1:6" x14ac:dyDescent="0.25">
      <c r="E2">
        <f>SUM(E4:E58)</f>
        <v>0</v>
      </c>
      <c r="F2">
        <f>SUM(F4:F58)</f>
        <v>0</v>
      </c>
    </row>
    <row r="3" spans="1:6" ht="42" x14ac:dyDescent="0.35">
      <c r="A3" s="1" t="s">
        <v>27</v>
      </c>
      <c r="B3" s="1" t="s">
        <v>0</v>
      </c>
      <c r="C3" s="1" t="s">
        <v>28</v>
      </c>
      <c r="D3" s="1" t="s">
        <v>0</v>
      </c>
      <c r="E3" s="2" t="s">
        <v>2</v>
      </c>
      <c r="F3" s="2" t="s">
        <v>1</v>
      </c>
    </row>
    <row r="4" spans="1:6" ht="42" customHeight="1" x14ac:dyDescent="0.25">
      <c r="A4" s="9" t="s">
        <v>1557</v>
      </c>
      <c r="B4" s="9" t="s">
        <v>1558</v>
      </c>
      <c r="C4" s="9" t="s">
        <v>1557</v>
      </c>
      <c r="D4" s="9" t="str">
        <f t="shared" ref="D4:D10" si="0">CONCATENATE(IF(LEN(CONCATENATE("[",A4,"] ",B4))&lt;=60,CONCATENATE("[",A4,"] ",B4),CONCATENATE("[",A4,"] ",LEFT(B4,30)," … ",RIGHT(B4,30))), " / ", C4)</f>
        <v>[n/a] No feature(s) / n/a</v>
      </c>
      <c r="E4" s="10">
        <v>0</v>
      </c>
      <c r="F4" s="10">
        <v>0</v>
      </c>
    </row>
    <row r="5" spans="1:6" x14ac:dyDescent="0.25">
      <c r="A5" s="9"/>
      <c r="B5" s="9"/>
      <c r="C5" s="9"/>
      <c r="D5" s="9" t="str">
        <f t="shared" si="0"/>
        <v xml:space="preserve">[]  / </v>
      </c>
      <c r="E5" s="10"/>
      <c r="F5" s="10"/>
    </row>
    <row r="6" spans="1:6" x14ac:dyDescent="0.25">
      <c r="A6" s="9"/>
      <c r="B6" s="9"/>
      <c r="C6" s="9"/>
      <c r="D6" s="9" t="str">
        <f t="shared" si="0"/>
        <v xml:space="preserve">[]  / </v>
      </c>
      <c r="E6" s="10"/>
      <c r="F6" s="10"/>
    </row>
    <row r="7" spans="1:6" x14ac:dyDescent="0.25">
      <c r="A7" s="9"/>
      <c r="B7" s="9"/>
      <c r="C7" s="9"/>
      <c r="D7" s="9" t="str">
        <f t="shared" si="0"/>
        <v xml:space="preserve">[]  / </v>
      </c>
      <c r="E7" s="10"/>
      <c r="F7" s="10"/>
    </row>
    <row r="8" spans="1:6" x14ac:dyDescent="0.25">
      <c r="A8" s="9"/>
      <c r="B8" s="9"/>
      <c r="C8" s="9"/>
      <c r="D8" s="9" t="str">
        <f t="shared" si="0"/>
        <v xml:space="preserve">[]  / </v>
      </c>
      <c r="E8" s="10"/>
      <c r="F8" s="10"/>
    </row>
    <row r="9" spans="1:6" x14ac:dyDescent="0.25">
      <c r="A9" s="9"/>
      <c r="B9" s="9"/>
      <c r="C9" s="9"/>
      <c r="D9" s="9" t="str">
        <f t="shared" si="0"/>
        <v xml:space="preserve">[]  / </v>
      </c>
      <c r="E9" s="10"/>
      <c r="F9" s="10"/>
    </row>
    <row r="10" spans="1:6" x14ac:dyDescent="0.25">
      <c r="A10" s="9"/>
      <c r="B10" s="9"/>
      <c r="C10" s="9"/>
      <c r="D10" s="9" t="str">
        <f t="shared" si="0"/>
        <v xml:space="preserve">[]  / </v>
      </c>
      <c r="E10" s="10"/>
      <c r="F10" s="10"/>
    </row>
    <row r="11" spans="1:6" x14ac:dyDescent="0.25">
      <c r="A11" s="9"/>
      <c r="B11" s="9"/>
      <c r="C11" s="9"/>
      <c r="D11" s="9" t="str">
        <f t="shared" ref="D11:D58" si="1">CONCATENATE(IF(LEN(CONCATENATE("[",A11,"] ",B11))&lt;=60,CONCATENATE("[",A11,"] ",B11),CONCATENATE("[",A11,"] ",LEFT(B11,30)," … ",RIGHT(B11,30))), " / ", C11)</f>
        <v xml:space="preserve">[]  / </v>
      </c>
      <c r="E11" s="10"/>
      <c r="F11" s="10"/>
    </row>
    <row r="12" spans="1:6" x14ac:dyDescent="0.25">
      <c r="A12" s="9"/>
      <c r="B12" s="9"/>
      <c r="C12" s="9"/>
      <c r="D12" s="9" t="str">
        <f t="shared" si="1"/>
        <v xml:space="preserve">[]  / </v>
      </c>
      <c r="E12" s="10"/>
      <c r="F12" s="10"/>
    </row>
    <row r="13" spans="1:6" x14ac:dyDescent="0.25">
      <c r="A13" s="9"/>
      <c r="B13" s="9"/>
      <c r="C13" s="9"/>
      <c r="D13" s="9" t="str">
        <f t="shared" si="1"/>
        <v xml:space="preserve">[]  / </v>
      </c>
      <c r="E13" s="10"/>
      <c r="F13" s="10"/>
    </row>
    <row r="14" spans="1:6" x14ac:dyDescent="0.25">
      <c r="A14" s="9"/>
      <c r="B14" s="9"/>
      <c r="C14" s="9"/>
      <c r="D14" s="9" t="str">
        <f t="shared" si="1"/>
        <v xml:space="preserve">[]  / </v>
      </c>
      <c r="E14" s="10"/>
      <c r="F14" s="10"/>
    </row>
    <row r="15" spans="1:6" x14ac:dyDescent="0.25">
      <c r="A15" s="9"/>
      <c r="B15" s="9"/>
      <c r="C15" s="9"/>
      <c r="D15" s="9" t="str">
        <f t="shared" si="1"/>
        <v xml:space="preserve">[]  / </v>
      </c>
      <c r="E15" s="10"/>
      <c r="F15" s="10"/>
    </row>
    <row r="16" spans="1:6" x14ac:dyDescent="0.25">
      <c r="A16" s="9"/>
      <c r="B16" s="9"/>
      <c r="C16" s="9"/>
      <c r="D16" s="9" t="str">
        <f t="shared" si="1"/>
        <v xml:space="preserve">[]  / </v>
      </c>
      <c r="E16" s="10"/>
      <c r="F16" s="10"/>
    </row>
    <row r="17" spans="1:6" x14ac:dyDescent="0.25">
      <c r="A17" s="9"/>
      <c r="B17" s="9"/>
      <c r="C17" s="9"/>
      <c r="D17" s="9" t="str">
        <f t="shared" si="1"/>
        <v xml:space="preserve">[]  / </v>
      </c>
      <c r="E17" s="10"/>
      <c r="F17" s="10"/>
    </row>
    <row r="18" spans="1:6" x14ac:dyDescent="0.25">
      <c r="A18" s="9"/>
      <c r="B18" s="9"/>
      <c r="C18" s="9"/>
      <c r="D18" s="9" t="str">
        <f t="shared" si="1"/>
        <v xml:space="preserve">[]  / </v>
      </c>
      <c r="E18" s="10"/>
      <c r="F18" s="10"/>
    </row>
    <row r="19" spans="1:6" x14ac:dyDescent="0.25">
      <c r="A19" s="9"/>
      <c r="B19" s="9"/>
      <c r="C19" s="9"/>
      <c r="D19" s="9" t="str">
        <f t="shared" si="1"/>
        <v xml:space="preserve">[]  / </v>
      </c>
      <c r="E19" s="10"/>
      <c r="F19" s="10"/>
    </row>
    <row r="20" spans="1:6" x14ac:dyDescent="0.25">
      <c r="A20" s="9"/>
      <c r="B20" s="9"/>
      <c r="C20" s="9"/>
      <c r="D20" s="9" t="str">
        <f t="shared" si="1"/>
        <v xml:space="preserve">[]  / </v>
      </c>
      <c r="E20" s="10"/>
      <c r="F20" s="10"/>
    </row>
    <row r="21" spans="1:6" x14ac:dyDescent="0.25">
      <c r="A21" s="9"/>
      <c r="B21" s="9"/>
      <c r="C21" s="9"/>
      <c r="D21" s="9" t="str">
        <f t="shared" si="1"/>
        <v xml:space="preserve">[]  / </v>
      </c>
      <c r="E21" s="10"/>
      <c r="F21" s="10"/>
    </row>
    <row r="22" spans="1:6" x14ac:dyDescent="0.25">
      <c r="A22" s="9"/>
      <c r="B22" s="9"/>
      <c r="C22" s="9"/>
      <c r="D22" s="9" t="str">
        <f t="shared" si="1"/>
        <v xml:space="preserve">[]  / </v>
      </c>
      <c r="E22" s="10"/>
      <c r="F22" s="10"/>
    </row>
    <row r="23" spans="1:6" x14ac:dyDescent="0.25">
      <c r="A23" s="9"/>
      <c r="B23" s="9"/>
      <c r="C23" s="9"/>
      <c r="D23" s="9" t="str">
        <f t="shared" si="1"/>
        <v xml:space="preserve">[]  / </v>
      </c>
      <c r="E23" s="10"/>
      <c r="F23" s="10"/>
    </row>
    <row r="24" spans="1:6" x14ac:dyDescent="0.25">
      <c r="A24" s="9"/>
      <c r="B24" s="9"/>
      <c r="C24" s="9"/>
      <c r="D24" s="9" t="str">
        <f t="shared" si="1"/>
        <v xml:space="preserve">[]  / </v>
      </c>
      <c r="E24" s="10"/>
      <c r="F24" s="10"/>
    </row>
    <row r="25" spans="1:6" x14ac:dyDescent="0.25">
      <c r="A25" s="9"/>
      <c r="B25" s="9"/>
      <c r="C25" s="9"/>
      <c r="D25" s="9" t="str">
        <f t="shared" si="1"/>
        <v xml:space="preserve">[]  / </v>
      </c>
      <c r="E25" s="10"/>
      <c r="F25" s="10"/>
    </row>
    <row r="26" spans="1:6" x14ac:dyDescent="0.25">
      <c r="A26" s="9"/>
      <c r="B26" s="9"/>
      <c r="C26" s="9"/>
      <c r="D26" s="9" t="str">
        <f t="shared" si="1"/>
        <v xml:space="preserve">[]  / </v>
      </c>
      <c r="E26" s="10"/>
      <c r="F26" s="10"/>
    </row>
    <row r="27" spans="1:6" x14ac:dyDescent="0.25">
      <c r="A27" s="9"/>
      <c r="B27" s="9"/>
      <c r="C27" s="9"/>
      <c r="D27" s="9" t="str">
        <f t="shared" si="1"/>
        <v xml:space="preserve">[]  / </v>
      </c>
      <c r="E27" s="10"/>
      <c r="F27" s="10"/>
    </row>
    <row r="28" spans="1:6" x14ac:dyDescent="0.25">
      <c r="A28" s="9"/>
      <c r="B28" s="9"/>
      <c r="C28" s="9"/>
      <c r="D28" s="9" t="str">
        <f t="shared" si="1"/>
        <v xml:space="preserve">[]  / </v>
      </c>
      <c r="E28" s="10"/>
      <c r="F28" s="10"/>
    </row>
    <row r="29" spans="1:6" x14ac:dyDescent="0.25">
      <c r="A29" s="9"/>
      <c r="B29" s="9"/>
      <c r="C29" s="9"/>
      <c r="D29" s="9" t="str">
        <f t="shared" si="1"/>
        <v xml:space="preserve">[]  / </v>
      </c>
      <c r="E29" s="10"/>
      <c r="F29" s="10"/>
    </row>
    <row r="30" spans="1:6" x14ac:dyDescent="0.25">
      <c r="A30" s="9"/>
      <c r="B30" s="9"/>
      <c r="C30" s="9"/>
      <c r="D30" s="9" t="str">
        <f t="shared" si="1"/>
        <v xml:space="preserve">[]  / </v>
      </c>
      <c r="E30" s="10"/>
      <c r="F30" s="10"/>
    </row>
    <row r="31" spans="1:6" x14ac:dyDescent="0.25">
      <c r="A31" s="9"/>
      <c r="B31" s="9"/>
      <c r="C31" s="9"/>
      <c r="D31" s="9" t="str">
        <f t="shared" si="1"/>
        <v xml:space="preserve">[]  / </v>
      </c>
      <c r="E31" s="10"/>
      <c r="F31" s="10"/>
    </row>
    <row r="32" spans="1:6" x14ac:dyDescent="0.25">
      <c r="A32" s="9"/>
      <c r="B32" s="9"/>
      <c r="C32" s="9"/>
      <c r="D32" s="9" t="str">
        <f t="shared" si="1"/>
        <v xml:space="preserve">[]  / </v>
      </c>
      <c r="E32" s="10"/>
      <c r="F32" s="10"/>
    </row>
    <row r="33" spans="1:6" x14ac:dyDescent="0.25">
      <c r="A33" s="9"/>
      <c r="B33" s="9"/>
      <c r="C33" s="9"/>
      <c r="D33" s="9" t="str">
        <f t="shared" si="1"/>
        <v xml:space="preserve">[]  / </v>
      </c>
      <c r="E33" s="10"/>
      <c r="F33" s="10"/>
    </row>
    <row r="34" spans="1:6" x14ac:dyDescent="0.25">
      <c r="A34" s="9"/>
      <c r="B34" s="9"/>
      <c r="C34" s="9"/>
      <c r="D34" s="9" t="str">
        <f t="shared" si="1"/>
        <v xml:space="preserve">[]  / </v>
      </c>
      <c r="E34" s="10"/>
      <c r="F34" s="10"/>
    </row>
    <row r="35" spans="1:6" x14ac:dyDescent="0.25">
      <c r="A35" s="9"/>
      <c r="B35" s="9"/>
      <c r="C35" s="9"/>
      <c r="D35" s="9" t="str">
        <f t="shared" si="1"/>
        <v xml:space="preserve">[]  / </v>
      </c>
      <c r="E35" s="10"/>
      <c r="F35" s="10"/>
    </row>
    <row r="36" spans="1:6" x14ac:dyDescent="0.25">
      <c r="A36" s="9"/>
      <c r="B36" s="9"/>
      <c r="C36" s="9"/>
      <c r="D36" s="9" t="str">
        <f t="shared" si="1"/>
        <v xml:space="preserve">[]  / </v>
      </c>
      <c r="E36" s="10"/>
      <c r="F36" s="10"/>
    </row>
    <row r="37" spans="1:6" x14ac:dyDescent="0.25">
      <c r="A37" s="9"/>
      <c r="B37" s="9"/>
      <c r="C37" s="9"/>
      <c r="D37" s="9" t="str">
        <f t="shared" si="1"/>
        <v xml:space="preserve">[]  / </v>
      </c>
      <c r="E37" s="10"/>
      <c r="F37" s="10"/>
    </row>
    <row r="38" spans="1:6" x14ac:dyDescent="0.25">
      <c r="A38" s="9"/>
      <c r="B38" s="9"/>
      <c r="C38" s="9"/>
      <c r="D38" s="9" t="str">
        <f t="shared" si="1"/>
        <v xml:space="preserve">[]  / </v>
      </c>
      <c r="E38" s="10"/>
      <c r="F38" s="10"/>
    </row>
    <row r="39" spans="1:6" x14ac:dyDescent="0.25">
      <c r="A39" s="9"/>
      <c r="B39" s="9"/>
      <c r="C39" s="9"/>
      <c r="D39" s="9" t="str">
        <f t="shared" si="1"/>
        <v xml:space="preserve">[]  / </v>
      </c>
      <c r="E39" s="10"/>
      <c r="F39" s="10"/>
    </row>
    <row r="40" spans="1:6" x14ac:dyDescent="0.25">
      <c r="A40" s="9"/>
      <c r="B40" s="9"/>
      <c r="C40" s="9"/>
      <c r="D40" s="9" t="str">
        <f t="shared" si="1"/>
        <v xml:space="preserve">[]  / </v>
      </c>
      <c r="E40" s="10"/>
      <c r="F40" s="10"/>
    </row>
    <row r="41" spans="1:6" x14ac:dyDescent="0.25">
      <c r="A41" s="9"/>
      <c r="B41" s="9"/>
      <c r="C41" s="9"/>
      <c r="D41" s="9" t="str">
        <f t="shared" si="1"/>
        <v xml:space="preserve">[]  / </v>
      </c>
      <c r="E41" s="10"/>
      <c r="F41" s="10"/>
    </row>
    <row r="42" spans="1:6" x14ac:dyDescent="0.25">
      <c r="A42" s="9"/>
      <c r="B42" s="9"/>
      <c r="C42" s="9"/>
      <c r="D42" s="9" t="str">
        <f t="shared" si="1"/>
        <v xml:space="preserve">[]  / </v>
      </c>
      <c r="E42" s="10"/>
      <c r="F42" s="10"/>
    </row>
    <row r="43" spans="1:6" x14ac:dyDescent="0.25">
      <c r="A43" s="9"/>
      <c r="B43" s="9"/>
      <c r="C43" s="9"/>
      <c r="D43" s="9" t="str">
        <f t="shared" si="1"/>
        <v xml:space="preserve">[]  / </v>
      </c>
      <c r="E43" s="10"/>
      <c r="F43" s="10"/>
    </row>
    <row r="44" spans="1:6" x14ac:dyDescent="0.25">
      <c r="A44" s="9"/>
      <c r="B44" s="9"/>
      <c r="C44" s="9"/>
      <c r="D44" s="9" t="str">
        <f t="shared" si="1"/>
        <v xml:space="preserve">[]  / </v>
      </c>
      <c r="E44" s="10"/>
      <c r="F44" s="10"/>
    </row>
    <row r="45" spans="1:6" x14ac:dyDescent="0.25">
      <c r="A45" s="9"/>
      <c r="B45" s="9"/>
      <c r="C45" s="9"/>
      <c r="D45" s="9" t="str">
        <f t="shared" si="1"/>
        <v xml:space="preserve">[]  / </v>
      </c>
      <c r="E45" s="10"/>
      <c r="F45" s="10"/>
    </row>
    <row r="46" spans="1:6" x14ac:dyDescent="0.25">
      <c r="A46" s="9"/>
      <c r="B46" s="9"/>
      <c r="C46" s="9"/>
      <c r="D46" s="9" t="str">
        <f t="shared" si="1"/>
        <v xml:space="preserve">[]  / </v>
      </c>
      <c r="E46" s="10"/>
      <c r="F46" s="10"/>
    </row>
    <row r="47" spans="1:6" x14ac:dyDescent="0.25">
      <c r="A47" s="9"/>
      <c r="B47" s="9"/>
      <c r="C47" s="9"/>
      <c r="D47" s="9" t="str">
        <f t="shared" si="1"/>
        <v xml:space="preserve">[]  / </v>
      </c>
      <c r="E47" s="10"/>
      <c r="F47" s="10"/>
    </row>
    <row r="48" spans="1:6" x14ac:dyDescent="0.25">
      <c r="A48" s="9"/>
      <c r="B48" s="9"/>
      <c r="C48" s="9"/>
      <c r="D48" s="9" t="str">
        <f t="shared" si="1"/>
        <v xml:space="preserve">[]  / </v>
      </c>
      <c r="E48" s="10"/>
      <c r="F48" s="10"/>
    </row>
    <row r="49" spans="1:6" x14ac:dyDescent="0.25">
      <c r="A49" s="9"/>
      <c r="B49" s="9"/>
      <c r="C49" s="9"/>
      <c r="D49" s="9" t="str">
        <f t="shared" si="1"/>
        <v xml:space="preserve">[]  / </v>
      </c>
      <c r="E49" s="10"/>
      <c r="F49" s="10"/>
    </row>
    <row r="50" spans="1:6" x14ac:dyDescent="0.25">
      <c r="A50" s="9"/>
      <c r="B50" s="9"/>
      <c r="C50" s="9"/>
      <c r="D50" s="9" t="str">
        <f t="shared" si="1"/>
        <v xml:space="preserve">[]  / </v>
      </c>
      <c r="E50" s="10"/>
      <c r="F50" s="10"/>
    </row>
    <row r="51" spans="1:6" x14ac:dyDescent="0.25">
      <c r="A51" s="9"/>
      <c r="B51" s="9"/>
      <c r="C51" s="9"/>
      <c r="D51" s="9" t="str">
        <f t="shared" si="1"/>
        <v xml:space="preserve">[]  / </v>
      </c>
      <c r="E51" s="10"/>
      <c r="F51" s="10"/>
    </row>
    <row r="52" spans="1:6" x14ac:dyDescent="0.25">
      <c r="A52" s="9"/>
      <c r="B52" s="9"/>
      <c r="C52" s="9"/>
      <c r="D52" s="9" t="str">
        <f t="shared" si="1"/>
        <v xml:space="preserve">[]  / </v>
      </c>
      <c r="E52" s="10"/>
      <c r="F52" s="10"/>
    </row>
    <row r="53" spans="1:6" x14ac:dyDescent="0.25">
      <c r="A53" s="9"/>
      <c r="B53" s="9"/>
      <c r="C53" s="9"/>
      <c r="D53" s="9" t="str">
        <f t="shared" si="1"/>
        <v xml:space="preserve">[]  / </v>
      </c>
      <c r="E53" s="10"/>
      <c r="F53" s="10"/>
    </row>
    <row r="54" spans="1:6" x14ac:dyDescent="0.25">
      <c r="A54" s="9"/>
      <c r="B54" s="9"/>
      <c r="C54" s="9"/>
      <c r="D54" s="9" t="str">
        <f t="shared" si="1"/>
        <v xml:space="preserve">[]  / </v>
      </c>
      <c r="E54" s="10"/>
      <c r="F54" s="10"/>
    </row>
    <row r="55" spans="1:6" x14ac:dyDescent="0.25">
      <c r="A55" s="9"/>
      <c r="B55" s="9"/>
      <c r="C55" s="9"/>
      <c r="D55" s="9" t="str">
        <f t="shared" si="1"/>
        <v xml:space="preserve">[]  / </v>
      </c>
      <c r="E55" s="10"/>
      <c r="F55" s="10"/>
    </row>
    <row r="56" spans="1:6" x14ac:dyDescent="0.25">
      <c r="A56" s="9"/>
      <c r="B56" s="9"/>
      <c r="C56" s="9"/>
      <c r="D56" s="9" t="str">
        <f t="shared" si="1"/>
        <v xml:space="preserve">[]  / </v>
      </c>
      <c r="E56" s="10"/>
      <c r="F56" s="10"/>
    </row>
    <row r="57" spans="1:6" x14ac:dyDescent="0.25">
      <c r="A57" s="9"/>
      <c r="B57" s="9"/>
      <c r="C57" s="9"/>
      <c r="D57" s="9" t="str">
        <f t="shared" si="1"/>
        <v xml:space="preserve">[]  / </v>
      </c>
      <c r="E57" s="10"/>
      <c r="F57" s="10"/>
    </row>
    <row r="58" spans="1:6" x14ac:dyDescent="0.25">
      <c r="A58" s="9"/>
      <c r="B58" s="9"/>
      <c r="C58" s="9"/>
      <c r="D58" s="9" t="str">
        <f t="shared" si="1"/>
        <v xml:space="preserve">[]  / </v>
      </c>
      <c r="E58" s="10"/>
      <c r="F58" s="10"/>
    </row>
  </sheetData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C000"/>
  </sheetPr>
  <dimension ref="A1:K51"/>
  <sheetViews>
    <sheetView workbookViewId="0">
      <selection activeCell="AE20" sqref="AE20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414</v>
      </c>
      <c r="B1" s="4"/>
      <c r="C1" s="4" t="s">
        <v>3</v>
      </c>
      <c r="D1" s="14" t="s">
        <v>415</v>
      </c>
      <c r="E1" s="14" t="s">
        <v>416</v>
      </c>
      <c r="F1" s="14" t="s">
        <v>417</v>
      </c>
      <c r="G1" s="14" t="s">
        <v>19</v>
      </c>
      <c r="H1" s="14" t="s">
        <v>418</v>
      </c>
      <c r="I1" s="14" t="s">
        <v>419</v>
      </c>
      <c r="J1" s="14" t="s">
        <v>420</v>
      </c>
      <c r="K1" s="14" t="s">
        <v>15</v>
      </c>
    </row>
    <row r="2" spans="1:11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0</v>
      </c>
      <c r="E38" s="22">
        <v>0</v>
      </c>
      <c r="F38" s="22">
        <v>4</v>
      </c>
      <c r="G38" s="22">
        <v>6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0</v>
      </c>
      <c r="E39" s="22">
        <v>0</v>
      </c>
      <c r="F39" s="22">
        <v>4</v>
      </c>
      <c r="G39" s="22">
        <v>6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0</v>
      </c>
      <c r="E40" s="22">
        <v>0</v>
      </c>
      <c r="F40" s="22">
        <v>4</v>
      </c>
      <c r="G40" s="22">
        <v>6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0</v>
      </c>
      <c r="E41" s="22">
        <v>0</v>
      </c>
      <c r="F41" s="22">
        <v>4</v>
      </c>
      <c r="G41" s="22">
        <v>6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0</v>
      </c>
      <c r="E42" s="22">
        <v>0</v>
      </c>
      <c r="F42" s="22">
        <v>4</v>
      </c>
      <c r="G42" s="22">
        <v>6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0</v>
      </c>
      <c r="E43" s="22">
        <v>0</v>
      </c>
      <c r="F43" s="22">
        <v>4</v>
      </c>
      <c r="G43" s="22">
        <v>6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0</v>
      </c>
      <c r="E44" s="22">
        <v>0</v>
      </c>
      <c r="F44" s="22">
        <v>4</v>
      </c>
      <c r="G44" s="22">
        <v>6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0</v>
      </c>
      <c r="E45" s="22">
        <v>0</v>
      </c>
      <c r="F45" s="22">
        <v>4</v>
      </c>
      <c r="G45" s="22">
        <v>6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0</v>
      </c>
      <c r="E46" s="22">
        <v>0</v>
      </c>
      <c r="F46" s="22">
        <v>4</v>
      </c>
      <c r="G46" s="22">
        <v>6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0</v>
      </c>
      <c r="E47" s="22">
        <v>0</v>
      </c>
      <c r="F47" s="22">
        <v>4</v>
      </c>
      <c r="G47" s="22">
        <v>6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0</v>
      </c>
      <c r="E48" s="22">
        <v>0</v>
      </c>
      <c r="F48" s="22">
        <v>4</v>
      </c>
      <c r="G48" s="22">
        <v>6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0</v>
      </c>
      <c r="E49" s="22">
        <v>0</v>
      </c>
      <c r="F49" s="22">
        <v>4</v>
      </c>
      <c r="G49" s="22">
        <v>6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0</v>
      </c>
      <c r="E50" s="22">
        <v>0</v>
      </c>
      <c r="F50" s="22">
        <v>4</v>
      </c>
      <c r="G50" s="22">
        <v>6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0</v>
      </c>
      <c r="E51" s="22">
        <v>0</v>
      </c>
      <c r="F51" s="22">
        <v>4</v>
      </c>
      <c r="G51" s="22">
        <v>6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C000"/>
  </sheetPr>
  <dimension ref="A1:K51"/>
  <sheetViews>
    <sheetView topLeftCell="A10" workbookViewId="0">
      <selection activeCell="AE20" sqref="AE20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414</v>
      </c>
      <c r="B1" s="4"/>
      <c r="C1" s="4" t="s">
        <v>3</v>
      </c>
      <c r="D1" s="14" t="s">
        <v>415</v>
      </c>
      <c r="E1" s="14" t="s">
        <v>416</v>
      </c>
      <c r="F1" s="14" t="s">
        <v>417</v>
      </c>
      <c r="G1" s="14" t="s">
        <v>19</v>
      </c>
      <c r="H1" s="14" t="s">
        <v>418</v>
      </c>
      <c r="I1" s="14" t="s">
        <v>419</v>
      </c>
      <c r="J1" s="14" t="s">
        <v>420</v>
      </c>
      <c r="K1" s="14" t="s">
        <v>15</v>
      </c>
    </row>
    <row r="2" spans="1:11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2</v>
      </c>
      <c r="G37" s="22">
        <v>4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C000"/>
  </sheetPr>
  <dimension ref="A1:H51"/>
  <sheetViews>
    <sheetView topLeftCell="A10" workbookViewId="0">
      <selection activeCell="AE20" sqref="AE20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8" width="3" style="3" customWidth="1"/>
    <col min="9" max="16384" width="8.875" style="3"/>
  </cols>
  <sheetData>
    <row r="1" spans="1:8" ht="67.5" thickBot="1" x14ac:dyDescent="0.35">
      <c r="A1" s="4" t="s">
        <v>414</v>
      </c>
      <c r="B1" s="4"/>
      <c r="C1" s="4" t="s">
        <v>3</v>
      </c>
      <c r="D1" s="14" t="s">
        <v>13</v>
      </c>
      <c r="E1" s="14" t="s">
        <v>14</v>
      </c>
      <c r="F1" s="14" t="s">
        <v>16</v>
      </c>
      <c r="G1" s="14" t="s">
        <v>635</v>
      </c>
      <c r="H1" s="14" t="s">
        <v>15</v>
      </c>
    </row>
    <row r="2" spans="1:8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</row>
    <row r="3" spans="1:8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</row>
    <row r="4" spans="1:8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</row>
    <row r="5" spans="1:8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</row>
    <row r="6" spans="1:8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</row>
    <row r="7" spans="1:8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</row>
    <row r="8" spans="1:8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</row>
    <row r="9" spans="1:8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8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</row>
    <row r="11" spans="1:8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</row>
    <row r="12" spans="1:8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</row>
    <row r="13" spans="1:8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</row>
    <row r="14" spans="1:8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</row>
    <row r="15" spans="1:8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</row>
    <row r="16" spans="1:8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</row>
    <row r="17" spans="1:8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</row>
    <row r="18" spans="1:8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</row>
    <row r="19" spans="1:8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</row>
    <row r="20" spans="1:8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</row>
    <row r="21" spans="1:8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</row>
    <row r="22" spans="1:8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</row>
    <row r="23" spans="1:8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</row>
    <row r="24" spans="1:8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</row>
    <row r="25" spans="1:8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</row>
    <row r="26" spans="1:8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</row>
    <row r="27" spans="1:8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</row>
    <row r="28" spans="1:8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</row>
    <row r="29" spans="1:8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</row>
    <row r="30" spans="1:8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</row>
    <row r="31" spans="1:8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</row>
    <row r="32" spans="1:8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</row>
    <row r="33" spans="1:8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</row>
    <row r="34" spans="1:8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</row>
    <row r="35" spans="1:8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</row>
    <row r="36" spans="1:8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</row>
    <row r="37" spans="1:8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</row>
    <row r="38" spans="1:8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22</v>
      </c>
      <c r="E38" s="22">
        <v>2</v>
      </c>
      <c r="F38" s="22">
        <v>0</v>
      </c>
      <c r="G38" s="22">
        <v>20</v>
      </c>
      <c r="H38" s="22">
        <v>15</v>
      </c>
    </row>
    <row r="39" spans="1:8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22</v>
      </c>
      <c r="E39" s="22">
        <v>2</v>
      </c>
      <c r="F39" s="22">
        <v>0</v>
      </c>
      <c r="G39" s="22">
        <v>20</v>
      </c>
      <c r="H39" s="22">
        <v>15</v>
      </c>
    </row>
    <row r="40" spans="1:8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22</v>
      </c>
      <c r="E40" s="22">
        <v>2</v>
      </c>
      <c r="F40" s="22">
        <v>0</v>
      </c>
      <c r="G40" s="22">
        <v>20</v>
      </c>
      <c r="H40" s="22">
        <v>15</v>
      </c>
    </row>
    <row r="41" spans="1:8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22</v>
      </c>
      <c r="E41" s="22">
        <v>2</v>
      </c>
      <c r="F41" s="22">
        <v>0</v>
      </c>
      <c r="G41" s="22">
        <v>20</v>
      </c>
      <c r="H41" s="22">
        <v>15</v>
      </c>
    </row>
    <row r="42" spans="1:8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22</v>
      </c>
      <c r="E42" s="22">
        <v>2</v>
      </c>
      <c r="F42" s="22">
        <v>0</v>
      </c>
      <c r="G42" s="22">
        <v>20</v>
      </c>
      <c r="H42" s="22">
        <v>15</v>
      </c>
    </row>
    <row r="43" spans="1:8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22</v>
      </c>
      <c r="E43" s="22">
        <v>2</v>
      </c>
      <c r="F43" s="22">
        <v>0</v>
      </c>
      <c r="G43" s="22">
        <v>20</v>
      </c>
      <c r="H43" s="22">
        <v>15</v>
      </c>
    </row>
    <row r="44" spans="1:8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22</v>
      </c>
      <c r="E44" s="22">
        <v>2</v>
      </c>
      <c r="F44" s="22">
        <v>0</v>
      </c>
      <c r="G44" s="22">
        <v>20</v>
      </c>
      <c r="H44" s="22">
        <v>15</v>
      </c>
    </row>
    <row r="45" spans="1:8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22</v>
      </c>
      <c r="E45" s="22">
        <v>2</v>
      </c>
      <c r="F45" s="22">
        <v>0</v>
      </c>
      <c r="G45" s="22">
        <v>20</v>
      </c>
      <c r="H45" s="22">
        <v>15</v>
      </c>
    </row>
    <row r="46" spans="1:8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22</v>
      </c>
      <c r="E46" s="22">
        <v>2</v>
      </c>
      <c r="F46" s="22">
        <v>0</v>
      </c>
      <c r="G46" s="22">
        <v>20</v>
      </c>
      <c r="H46" s="22">
        <v>15</v>
      </c>
    </row>
    <row r="47" spans="1:8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22</v>
      </c>
      <c r="E47" s="22">
        <v>2</v>
      </c>
      <c r="F47" s="22">
        <v>0</v>
      </c>
      <c r="G47" s="22">
        <v>20</v>
      </c>
      <c r="H47" s="22">
        <v>15</v>
      </c>
    </row>
    <row r="48" spans="1:8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22</v>
      </c>
      <c r="E48" s="22">
        <v>2</v>
      </c>
      <c r="F48" s="22">
        <v>0</v>
      </c>
      <c r="G48" s="22">
        <v>20</v>
      </c>
      <c r="H48" s="22">
        <v>15</v>
      </c>
    </row>
    <row r="49" spans="1:8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22</v>
      </c>
      <c r="E49" s="22">
        <v>2</v>
      </c>
      <c r="F49" s="22">
        <v>0</v>
      </c>
      <c r="G49" s="22">
        <v>20</v>
      </c>
      <c r="H49" s="22">
        <v>15</v>
      </c>
    </row>
    <row r="50" spans="1:8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22</v>
      </c>
      <c r="E50" s="22">
        <v>2</v>
      </c>
      <c r="F50" s="22">
        <v>0</v>
      </c>
      <c r="G50" s="22">
        <v>20</v>
      </c>
      <c r="H50" s="22">
        <v>15</v>
      </c>
    </row>
    <row r="51" spans="1:8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22</v>
      </c>
      <c r="E51" s="22">
        <v>2</v>
      </c>
      <c r="F51" s="22">
        <v>0</v>
      </c>
      <c r="G51" s="22">
        <v>20</v>
      </c>
      <c r="H51" s="22">
        <v>15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C000"/>
  </sheetPr>
  <dimension ref="A1:K51"/>
  <sheetViews>
    <sheetView topLeftCell="A10" workbookViewId="0">
      <selection activeCell="AE20" sqref="AE20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414</v>
      </c>
      <c r="B1" s="4"/>
      <c r="C1" s="4" t="s">
        <v>3</v>
      </c>
      <c r="D1" s="14" t="s">
        <v>415</v>
      </c>
      <c r="E1" s="14" t="s">
        <v>416</v>
      </c>
      <c r="F1" s="14" t="s">
        <v>417</v>
      </c>
      <c r="G1" s="14" t="s">
        <v>19</v>
      </c>
      <c r="H1" s="14" t="s">
        <v>418</v>
      </c>
      <c r="I1" s="14" t="s">
        <v>419</v>
      </c>
      <c r="J1" s="14" t="s">
        <v>420</v>
      </c>
      <c r="K1" s="14" t="s">
        <v>15</v>
      </c>
    </row>
    <row r="2" spans="1:11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0</v>
      </c>
      <c r="E38" s="22">
        <v>0</v>
      </c>
      <c r="F38" s="22">
        <v>9</v>
      </c>
      <c r="G38" s="22">
        <v>15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0</v>
      </c>
      <c r="E39" s="22">
        <v>0</v>
      </c>
      <c r="F39" s="22">
        <v>9</v>
      </c>
      <c r="G39" s="22">
        <v>15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0</v>
      </c>
      <c r="E40" s="22">
        <v>0</v>
      </c>
      <c r="F40" s="22">
        <v>9</v>
      </c>
      <c r="G40" s="22">
        <v>15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0</v>
      </c>
      <c r="E41" s="22">
        <v>0</v>
      </c>
      <c r="F41" s="22">
        <v>9</v>
      </c>
      <c r="G41" s="22">
        <v>15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0</v>
      </c>
      <c r="E42" s="22">
        <v>0</v>
      </c>
      <c r="F42" s="22">
        <v>9</v>
      </c>
      <c r="G42" s="22">
        <v>15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0</v>
      </c>
      <c r="E43" s="22">
        <v>0</v>
      </c>
      <c r="F43" s="22">
        <v>9</v>
      </c>
      <c r="G43" s="22">
        <v>15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0</v>
      </c>
      <c r="E44" s="22">
        <v>0</v>
      </c>
      <c r="F44" s="22">
        <v>9</v>
      </c>
      <c r="G44" s="22">
        <v>15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0</v>
      </c>
      <c r="E45" s="22">
        <v>0</v>
      </c>
      <c r="F45" s="22">
        <v>9</v>
      </c>
      <c r="G45" s="22">
        <v>15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0</v>
      </c>
      <c r="E46" s="22">
        <v>0</v>
      </c>
      <c r="F46" s="22">
        <v>9</v>
      </c>
      <c r="G46" s="22">
        <v>15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0</v>
      </c>
      <c r="E47" s="22">
        <v>0</v>
      </c>
      <c r="F47" s="22">
        <v>9</v>
      </c>
      <c r="G47" s="22">
        <v>15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0</v>
      </c>
      <c r="E48" s="22">
        <v>0</v>
      </c>
      <c r="F48" s="22">
        <v>9</v>
      </c>
      <c r="G48" s="22">
        <v>15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0</v>
      </c>
      <c r="E49" s="22">
        <v>0</v>
      </c>
      <c r="F49" s="22">
        <v>9</v>
      </c>
      <c r="G49" s="22">
        <v>15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0</v>
      </c>
      <c r="E50" s="22">
        <v>0</v>
      </c>
      <c r="F50" s="22">
        <v>9</v>
      </c>
      <c r="G50" s="22">
        <v>15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0</v>
      </c>
      <c r="E51" s="22">
        <v>0</v>
      </c>
      <c r="F51" s="22">
        <v>9</v>
      </c>
      <c r="G51" s="22">
        <v>15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C000"/>
  </sheetPr>
  <dimension ref="A1:K51"/>
  <sheetViews>
    <sheetView topLeftCell="A7" workbookViewId="0">
      <selection activeCell="AE20" sqref="AE20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414</v>
      </c>
      <c r="B1" s="4"/>
      <c r="C1" s="4" t="s">
        <v>3</v>
      </c>
      <c r="D1" s="14" t="s">
        <v>415</v>
      </c>
      <c r="E1" s="14" t="s">
        <v>416</v>
      </c>
      <c r="F1" s="14" t="s">
        <v>417</v>
      </c>
      <c r="G1" s="14" t="s">
        <v>19</v>
      </c>
      <c r="H1" s="14" t="s">
        <v>418</v>
      </c>
      <c r="I1" s="14" t="s">
        <v>419</v>
      </c>
      <c r="J1" s="14" t="s">
        <v>420</v>
      </c>
      <c r="K1" s="14" t="s">
        <v>15</v>
      </c>
    </row>
    <row r="2" spans="1:11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1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C000"/>
  </sheetPr>
  <dimension ref="A1:H51"/>
  <sheetViews>
    <sheetView topLeftCell="A10" workbookViewId="0">
      <selection activeCell="AE20" sqref="AE20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4" width="3.875" style="3" customWidth="1"/>
    <col min="5" max="7" width="3" style="3" customWidth="1"/>
    <col min="8" max="8" width="5.125" style="3" customWidth="1"/>
    <col min="9" max="16384" width="8.875" style="3"/>
  </cols>
  <sheetData>
    <row r="1" spans="1:8" ht="67.5" thickBot="1" x14ac:dyDescent="0.35">
      <c r="A1" s="4" t="s">
        <v>414</v>
      </c>
      <c r="B1" s="4"/>
      <c r="C1" s="4" t="s">
        <v>3</v>
      </c>
      <c r="D1" s="14" t="s">
        <v>13</v>
      </c>
      <c r="E1" s="14" t="s">
        <v>14</v>
      </c>
      <c r="F1" s="14" t="s">
        <v>16</v>
      </c>
      <c r="G1" s="14" t="s">
        <v>635</v>
      </c>
      <c r="H1" s="14" t="s">
        <v>15</v>
      </c>
    </row>
    <row r="2" spans="1:8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</row>
    <row r="3" spans="1:8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</row>
    <row r="4" spans="1:8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</row>
    <row r="5" spans="1:8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</row>
    <row r="6" spans="1:8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</row>
    <row r="7" spans="1:8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</row>
    <row r="8" spans="1:8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</row>
    <row r="9" spans="1:8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8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</row>
    <row r="11" spans="1:8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</row>
    <row r="12" spans="1:8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</row>
    <row r="13" spans="1:8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</row>
    <row r="14" spans="1:8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</row>
    <row r="15" spans="1:8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</row>
    <row r="16" spans="1:8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</row>
    <row r="17" spans="1:8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</row>
    <row r="18" spans="1:8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</row>
    <row r="19" spans="1:8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</row>
    <row r="20" spans="1:8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</row>
    <row r="21" spans="1:8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</row>
    <row r="22" spans="1:8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</row>
    <row r="23" spans="1:8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</row>
    <row r="24" spans="1:8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</row>
    <row r="25" spans="1:8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</row>
    <row r="26" spans="1:8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</row>
    <row r="27" spans="1:8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</row>
    <row r="28" spans="1:8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</row>
    <row r="29" spans="1:8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</row>
    <row r="30" spans="1:8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</row>
    <row r="31" spans="1:8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</row>
    <row r="32" spans="1:8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</row>
    <row r="33" spans="1:8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</row>
    <row r="34" spans="1:8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</row>
    <row r="35" spans="1:8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</row>
    <row r="36" spans="1:8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</row>
    <row r="37" spans="1:8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185</v>
      </c>
    </row>
    <row r="38" spans="1:8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104</v>
      </c>
      <c r="E38" s="22">
        <v>10</v>
      </c>
      <c r="F38" s="22">
        <v>0</v>
      </c>
      <c r="G38" s="22">
        <v>69</v>
      </c>
      <c r="H38" s="22">
        <v>38</v>
      </c>
    </row>
    <row r="39" spans="1:8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104</v>
      </c>
      <c r="E39" s="22">
        <v>10</v>
      </c>
      <c r="F39" s="22">
        <v>0</v>
      </c>
      <c r="G39" s="22">
        <v>69</v>
      </c>
      <c r="H39" s="22">
        <v>38</v>
      </c>
    </row>
    <row r="40" spans="1:8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104</v>
      </c>
      <c r="E40" s="22">
        <v>10</v>
      </c>
      <c r="F40" s="22">
        <v>0</v>
      </c>
      <c r="G40" s="22">
        <v>69</v>
      </c>
      <c r="H40" s="22">
        <v>38</v>
      </c>
    </row>
    <row r="41" spans="1:8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104</v>
      </c>
      <c r="E41" s="22">
        <v>10</v>
      </c>
      <c r="F41" s="22">
        <v>0</v>
      </c>
      <c r="G41" s="22">
        <v>69</v>
      </c>
      <c r="H41" s="22">
        <v>38</v>
      </c>
    </row>
    <row r="42" spans="1:8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104</v>
      </c>
      <c r="E42" s="22">
        <v>10</v>
      </c>
      <c r="F42" s="22">
        <v>0</v>
      </c>
      <c r="G42" s="22">
        <v>69</v>
      </c>
      <c r="H42" s="22">
        <v>38</v>
      </c>
    </row>
    <row r="43" spans="1:8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104</v>
      </c>
      <c r="E43" s="22">
        <v>10</v>
      </c>
      <c r="F43" s="22">
        <v>0</v>
      </c>
      <c r="G43" s="22">
        <v>69</v>
      </c>
      <c r="H43" s="22">
        <v>38</v>
      </c>
    </row>
    <row r="44" spans="1:8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104</v>
      </c>
      <c r="E44" s="22">
        <v>10</v>
      </c>
      <c r="F44" s="22">
        <v>0</v>
      </c>
      <c r="G44" s="22">
        <v>69</v>
      </c>
      <c r="H44" s="22">
        <v>38</v>
      </c>
    </row>
    <row r="45" spans="1:8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104</v>
      </c>
      <c r="E45" s="22">
        <v>10</v>
      </c>
      <c r="F45" s="22">
        <v>0</v>
      </c>
      <c r="G45" s="22">
        <v>69</v>
      </c>
      <c r="H45" s="22">
        <v>38</v>
      </c>
    </row>
    <row r="46" spans="1:8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104</v>
      </c>
      <c r="E46" s="22">
        <v>10</v>
      </c>
      <c r="F46" s="22">
        <v>0</v>
      </c>
      <c r="G46" s="22">
        <v>69</v>
      </c>
      <c r="H46" s="22">
        <v>38</v>
      </c>
    </row>
    <row r="47" spans="1:8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104</v>
      </c>
      <c r="E47" s="22">
        <v>10</v>
      </c>
      <c r="F47" s="22">
        <v>0</v>
      </c>
      <c r="G47" s="22">
        <v>69</v>
      </c>
      <c r="H47" s="22">
        <v>38</v>
      </c>
    </row>
    <row r="48" spans="1:8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104</v>
      </c>
      <c r="E48" s="22">
        <v>10</v>
      </c>
      <c r="F48" s="22">
        <v>0</v>
      </c>
      <c r="G48" s="22">
        <v>69</v>
      </c>
      <c r="H48" s="22">
        <v>38</v>
      </c>
    </row>
    <row r="49" spans="1:8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104</v>
      </c>
      <c r="E49" s="22">
        <v>10</v>
      </c>
      <c r="F49" s="22">
        <v>0</v>
      </c>
      <c r="G49" s="22">
        <v>69</v>
      </c>
      <c r="H49" s="22">
        <v>38</v>
      </c>
    </row>
    <row r="50" spans="1:8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104</v>
      </c>
      <c r="E50" s="22">
        <v>10</v>
      </c>
      <c r="F50" s="22">
        <v>0</v>
      </c>
      <c r="G50" s="22">
        <v>69</v>
      </c>
      <c r="H50" s="22">
        <v>38</v>
      </c>
    </row>
    <row r="51" spans="1:8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104</v>
      </c>
      <c r="E51" s="22">
        <v>10</v>
      </c>
      <c r="F51" s="22">
        <v>0</v>
      </c>
      <c r="G51" s="22">
        <v>69</v>
      </c>
      <c r="H51" s="22">
        <v>38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C000"/>
  </sheetPr>
  <dimension ref="A1:Q53"/>
  <sheetViews>
    <sheetView topLeftCell="B4" workbookViewId="0">
      <selection activeCell="AE20" sqref="AE20"/>
    </sheetView>
  </sheetViews>
  <sheetFormatPr defaultColWidth="7.75" defaultRowHeight="12.75" x14ac:dyDescent="0.2"/>
  <cols>
    <col min="1" max="2" width="7.75" style="26"/>
    <col min="3" max="3" width="11.625" style="26" customWidth="1"/>
    <col min="4" max="4" width="7.625" style="26" hidden="1" customWidth="1"/>
    <col min="5" max="5" width="11.625" style="26" customWidth="1"/>
    <col min="6" max="6" width="14.25" style="26" customWidth="1"/>
    <col min="7" max="259" width="7.75" style="26"/>
    <col min="260" max="262" width="11.625" style="26" customWidth="1"/>
    <col min="263" max="515" width="7.75" style="26"/>
    <col min="516" max="518" width="11.625" style="26" customWidth="1"/>
    <col min="519" max="771" width="7.75" style="26"/>
    <col min="772" max="774" width="11.625" style="26" customWidth="1"/>
    <col min="775" max="1027" width="7.75" style="26"/>
    <col min="1028" max="1030" width="11.625" style="26" customWidth="1"/>
    <col min="1031" max="1283" width="7.75" style="26"/>
    <col min="1284" max="1286" width="11.625" style="26" customWidth="1"/>
    <col min="1287" max="1539" width="7.75" style="26"/>
    <col min="1540" max="1542" width="11.625" style="26" customWidth="1"/>
    <col min="1543" max="1795" width="7.75" style="26"/>
    <col min="1796" max="1798" width="11.625" style="26" customWidth="1"/>
    <col min="1799" max="2051" width="7.75" style="26"/>
    <col min="2052" max="2054" width="11.625" style="26" customWidth="1"/>
    <col min="2055" max="2307" width="7.75" style="26"/>
    <col min="2308" max="2310" width="11.625" style="26" customWidth="1"/>
    <col min="2311" max="2563" width="7.75" style="26"/>
    <col min="2564" max="2566" width="11.625" style="26" customWidth="1"/>
    <col min="2567" max="2819" width="7.75" style="26"/>
    <col min="2820" max="2822" width="11.625" style="26" customWidth="1"/>
    <col min="2823" max="3075" width="7.75" style="26"/>
    <col min="3076" max="3078" width="11.625" style="26" customWidth="1"/>
    <col min="3079" max="3331" width="7.75" style="26"/>
    <col min="3332" max="3334" width="11.625" style="26" customWidth="1"/>
    <col min="3335" max="3587" width="7.75" style="26"/>
    <col min="3588" max="3590" width="11.625" style="26" customWidth="1"/>
    <col min="3591" max="3843" width="7.75" style="26"/>
    <col min="3844" max="3846" width="11.625" style="26" customWidth="1"/>
    <col min="3847" max="4099" width="7.75" style="26"/>
    <col min="4100" max="4102" width="11.625" style="26" customWidth="1"/>
    <col min="4103" max="4355" width="7.75" style="26"/>
    <col min="4356" max="4358" width="11.625" style="26" customWidth="1"/>
    <col min="4359" max="4611" width="7.75" style="26"/>
    <col min="4612" max="4614" width="11.625" style="26" customWidth="1"/>
    <col min="4615" max="4867" width="7.75" style="26"/>
    <col min="4868" max="4870" width="11.625" style="26" customWidth="1"/>
    <col min="4871" max="5123" width="7.75" style="26"/>
    <col min="5124" max="5126" width="11.625" style="26" customWidth="1"/>
    <col min="5127" max="5379" width="7.75" style="26"/>
    <col min="5380" max="5382" width="11.625" style="26" customWidth="1"/>
    <col min="5383" max="5635" width="7.75" style="26"/>
    <col min="5636" max="5638" width="11.625" style="26" customWidth="1"/>
    <col min="5639" max="5891" width="7.75" style="26"/>
    <col min="5892" max="5894" width="11.625" style="26" customWidth="1"/>
    <col min="5895" max="6147" width="7.75" style="26"/>
    <col min="6148" max="6150" width="11.625" style="26" customWidth="1"/>
    <col min="6151" max="6403" width="7.75" style="26"/>
    <col min="6404" max="6406" width="11.625" style="26" customWidth="1"/>
    <col min="6407" max="6659" width="7.75" style="26"/>
    <col min="6660" max="6662" width="11.625" style="26" customWidth="1"/>
    <col min="6663" max="6915" width="7.75" style="26"/>
    <col min="6916" max="6918" width="11.625" style="26" customWidth="1"/>
    <col min="6919" max="7171" width="7.75" style="26"/>
    <col min="7172" max="7174" width="11.625" style="26" customWidth="1"/>
    <col min="7175" max="7427" width="7.75" style="26"/>
    <col min="7428" max="7430" width="11.625" style="26" customWidth="1"/>
    <col min="7431" max="7683" width="7.75" style="26"/>
    <col min="7684" max="7686" width="11.625" style="26" customWidth="1"/>
    <col min="7687" max="7939" width="7.75" style="26"/>
    <col min="7940" max="7942" width="11.625" style="26" customWidth="1"/>
    <col min="7943" max="8195" width="7.75" style="26"/>
    <col min="8196" max="8198" width="11.625" style="26" customWidth="1"/>
    <col min="8199" max="8451" width="7.75" style="26"/>
    <col min="8452" max="8454" width="11.625" style="26" customWidth="1"/>
    <col min="8455" max="8707" width="7.75" style="26"/>
    <col min="8708" max="8710" width="11.625" style="26" customWidth="1"/>
    <col min="8711" max="8963" width="7.75" style="26"/>
    <col min="8964" max="8966" width="11.625" style="26" customWidth="1"/>
    <col min="8967" max="9219" width="7.75" style="26"/>
    <col min="9220" max="9222" width="11.625" style="26" customWidth="1"/>
    <col min="9223" max="9475" width="7.75" style="26"/>
    <col min="9476" max="9478" width="11.625" style="26" customWidth="1"/>
    <col min="9479" max="9731" width="7.75" style="26"/>
    <col min="9732" max="9734" width="11.625" style="26" customWidth="1"/>
    <col min="9735" max="9987" width="7.75" style="26"/>
    <col min="9988" max="9990" width="11.625" style="26" customWidth="1"/>
    <col min="9991" max="10243" width="7.75" style="26"/>
    <col min="10244" max="10246" width="11.625" style="26" customWidth="1"/>
    <col min="10247" max="10499" width="7.75" style="26"/>
    <col min="10500" max="10502" width="11.625" style="26" customWidth="1"/>
    <col min="10503" max="10755" width="7.75" style="26"/>
    <col min="10756" max="10758" width="11.625" style="26" customWidth="1"/>
    <col min="10759" max="11011" width="7.75" style="26"/>
    <col min="11012" max="11014" width="11.625" style="26" customWidth="1"/>
    <col min="11015" max="11267" width="7.75" style="26"/>
    <col min="11268" max="11270" width="11.625" style="26" customWidth="1"/>
    <col min="11271" max="11523" width="7.75" style="26"/>
    <col min="11524" max="11526" width="11.625" style="26" customWidth="1"/>
    <col min="11527" max="11779" width="7.75" style="26"/>
    <col min="11780" max="11782" width="11.625" style="26" customWidth="1"/>
    <col min="11783" max="12035" width="7.75" style="26"/>
    <col min="12036" max="12038" width="11.625" style="26" customWidth="1"/>
    <col min="12039" max="12291" width="7.75" style="26"/>
    <col min="12292" max="12294" width="11.625" style="26" customWidth="1"/>
    <col min="12295" max="12547" width="7.75" style="26"/>
    <col min="12548" max="12550" width="11.625" style="26" customWidth="1"/>
    <col min="12551" max="12803" width="7.75" style="26"/>
    <col min="12804" max="12806" width="11.625" style="26" customWidth="1"/>
    <col min="12807" max="13059" width="7.75" style="26"/>
    <col min="13060" max="13062" width="11.625" style="26" customWidth="1"/>
    <col min="13063" max="13315" width="7.75" style="26"/>
    <col min="13316" max="13318" width="11.625" style="26" customWidth="1"/>
    <col min="13319" max="13571" width="7.75" style="26"/>
    <col min="13572" max="13574" width="11.625" style="26" customWidth="1"/>
    <col min="13575" max="13827" width="7.75" style="26"/>
    <col min="13828" max="13830" width="11.625" style="26" customWidth="1"/>
    <col min="13831" max="14083" width="7.75" style="26"/>
    <col min="14084" max="14086" width="11.625" style="26" customWidth="1"/>
    <col min="14087" max="14339" width="7.75" style="26"/>
    <col min="14340" max="14342" width="11.625" style="26" customWidth="1"/>
    <col min="14343" max="14595" width="7.75" style="26"/>
    <col min="14596" max="14598" width="11.625" style="26" customWidth="1"/>
    <col min="14599" max="14851" width="7.75" style="26"/>
    <col min="14852" max="14854" width="11.625" style="26" customWidth="1"/>
    <col min="14855" max="15107" width="7.75" style="26"/>
    <col min="15108" max="15110" width="11.625" style="26" customWidth="1"/>
    <col min="15111" max="15363" width="7.75" style="26"/>
    <col min="15364" max="15366" width="11.625" style="26" customWidth="1"/>
    <col min="15367" max="15619" width="7.75" style="26"/>
    <col min="15620" max="15622" width="11.625" style="26" customWidth="1"/>
    <col min="15623" max="15875" width="7.75" style="26"/>
    <col min="15876" max="15878" width="11.625" style="26" customWidth="1"/>
    <col min="15879" max="16131" width="7.75" style="26"/>
    <col min="16132" max="16134" width="11.625" style="26" customWidth="1"/>
    <col min="16135" max="16384" width="7.75" style="26"/>
  </cols>
  <sheetData>
    <row r="1" spans="1:17" s="25" customFormat="1" ht="18" thickBot="1" x14ac:dyDescent="0.35">
      <c r="A1" s="4" t="s">
        <v>414</v>
      </c>
      <c r="B1" s="4"/>
      <c r="C1" s="4" t="s">
        <v>3</v>
      </c>
      <c r="D1" s="4" t="s">
        <v>791</v>
      </c>
      <c r="E1" s="4" t="s">
        <v>427</v>
      </c>
      <c r="F1" s="4" t="s">
        <v>790</v>
      </c>
      <c r="G1" s="27"/>
      <c r="H1"/>
      <c r="I1"/>
      <c r="J1"/>
      <c r="K1" t="str">
        <f>IF(ISNUMBER(J1),IF(J1&lt;J2,"",(((COLUMN()-1)*'[1]Sprint Information'!#REF!)+'[1]Sprint Information'!#REF!)),"")</f>
        <v/>
      </c>
      <c r="L1" t="str">
        <f>IF(ISNUMBER(K1),IF(K1&lt;K2,"",(((COLUMN()-1)*'[1]Sprint Information'!#REF!)+'[1]Sprint Information'!#REF!)),"")</f>
        <v/>
      </c>
      <c r="M1" t="str">
        <f>IF(ISNUMBER(L1),IF(L1&lt;L2,"",(((COLUMN()-1)*'[1]Sprint Information'!#REF!)+'[1]Sprint Information'!#REF!)),"")</f>
        <v/>
      </c>
      <c r="N1" t="str">
        <f>IF(ISNUMBER(M1),IF(M1&lt;M2,"",(((COLUMN()-1)*'[1]Sprint Information'!#REF!)+'[1]Sprint Information'!#REF!)),"")</f>
        <v/>
      </c>
      <c r="O1" t="str">
        <f>IF(ISNUMBER(N1),IF(N1&lt;N2,"",(((COLUMN()-1)*'[1]Sprint Information'!#REF!)+'[1]Sprint Information'!#REF!)),"")</f>
        <v/>
      </c>
      <c r="P1" t="str">
        <f>IF(ISNUMBER(O1),IF(O1&lt;O2,"",(((COLUMN()-1)*'[1]Sprint Information'!#REF!)+'[1]Sprint Information'!#REF!)),"")</f>
        <v/>
      </c>
      <c r="Q1" t="str">
        <f>IF(ISNUMBER(P1),IF(P1&lt;P2,"",(((COLUMN()-1)*'[1]Sprint Information'!#REF!)+'[1]Sprint Information'!#REF!)),"")</f>
        <v/>
      </c>
    </row>
    <row r="2" spans="1:17" ht="16.5" thickTop="1" x14ac:dyDescent="0.25">
      <c r="A2" s="3">
        <v>1</v>
      </c>
      <c r="B2" s="15" t="s">
        <v>421</v>
      </c>
      <c r="C2" s="16">
        <v>43388</v>
      </c>
      <c r="D2" s="28">
        <f>E2</f>
        <v>0</v>
      </c>
      <c r="E2" s="26">
        <v>0</v>
      </c>
      <c r="F2" s="26">
        <f t="shared" ref="F2:F53" si="0">IF(ISNUMBER($C2),0,"")</f>
        <v>0</v>
      </c>
      <c r="H2"/>
      <c r="I2"/>
      <c r="J2"/>
      <c r="K2" t="str">
        <f>IF(ISNUMBER(K1),(((COLUMN()-1)*'[1]Sprint Information'!#REF!)+'[1]Sprint Information'!#REF!),"")</f>
        <v/>
      </c>
      <c r="L2" t="str">
        <f>IF(ISNUMBER(L1),(((COLUMN()-1)*'[1]Sprint Information'!#REF!)+'[1]Sprint Information'!#REF!),"")</f>
        <v/>
      </c>
      <c r="M2" t="str">
        <f>IF(ISNUMBER(M1),(((COLUMN()-1)*'[1]Sprint Information'!#REF!)+'[1]Sprint Information'!#REF!),"")</f>
        <v/>
      </c>
      <c r="N2" t="str">
        <f>IF(ISNUMBER(N1),(((COLUMN()-1)*'[1]Sprint Information'!#REF!)+'[1]Sprint Information'!#REF!),"")</f>
        <v/>
      </c>
      <c r="O2" t="str">
        <f>IF(ISNUMBER(O1),(((COLUMN()-1)*'[1]Sprint Information'!#REF!)+'[1]Sprint Information'!#REF!),"")</f>
        <v/>
      </c>
      <c r="P2" t="str">
        <f>IF(ISNUMBER(P1),(((COLUMN()-1)*'[1]Sprint Information'!#REF!)+'[1]Sprint Information'!#REF!),"")</f>
        <v/>
      </c>
      <c r="Q2" t="str">
        <f>IF(ISNUMBER(Q1),(((COLUMN()-1)*'[1]Sprint Information'!#REF!)+'[1]Sprint Information'!#REF!),"")</f>
        <v/>
      </c>
    </row>
    <row r="3" spans="1:17" ht="15" x14ac:dyDescent="0.25">
      <c r="A3" s="3">
        <f>A2+1</f>
        <v>2</v>
      </c>
      <c r="B3" s="15" t="s">
        <v>422</v>
      </c>
      <c r="C3" s="16">
        <f>C2+1</f>
        <v>43389</v>
      </c>
      <c r="D3" s="29">
        <f>D2-($D$2/50)</f>
        <v>0</v>
      </c>
      <c r="E3" s="26">
        <v>0</v>
      </c>
      <c r="F3" s="26">
        <v>0</v>
      </c>
    </row>
    <row r="4" spans="1:17" ht="15" x14ac:dyDescent="0.25">
      <c r="A4" s="3">
        <f t="shared" ref="A4:A51" si="1">A3+1</f>
        <v>3</v>
      </c>
      <c r="B4" s="15" t="s">
        <v>423</v>
      </c>
      <c r="C4" s="16">
        <f t="shared" ref="C4:C51" si="2">C3+1</f>
        <v>43390</v>
      </c>
      <c r="D4" s="29">
        <f t="shared" ref="D4:D51" si="3">D3-($D$2/50)</f>
        <v>0</v>
      </c>
      <c r="E4" s="26">
        <v>0</v>
      </c>
      <c r="F4" s="26">
        <v>0</v>
      </c>
    </row>
    <row r="5" spans="1:17" ht="15" x14ac:dyDescent="0.25">
      <c r="A5" s="3">
        <f t="shared" si="1"/>
        <v>4</v>
      </c>
      <c r="B5" s="15" t="s">
        <v>424</v>
      </c>
      <c r="C5" s="16">
        <f t="shared" si="2"/>
        <v>43391</v>
      </c>
      <c r="D5" s="29">
        <f t="shared" si="3"/>
        <v>0</v>
      </c>
      <c r="E5" s="26">
        <v>0</v>
      </c>
      <c r="F5" s="26">
        <v>0</v>
      </c>
    </row>
    <row r="6" spans="1:17" ht="15" x14ac:dyDescent="0.25">
      <c r="A6" s="3">
        <f t="shared" si="1"/>
        <v>5</v>
      </c>
      <c r="B6" s="15" t="s">
        <v>425</v>
      </c>
      <c r="C6" s="16">
        <f t="shared" si="2"/>
        <v>43392</v>
      </c>
      <c r="D6" s="29">
        <f t="shared" si="3"/>
        <v>0</v>
      </c>
      <c r="E6" s="26">
        <v>0</v>
      </c>
      <c r="F6" s="26">
        <f t="shared" si="0"/>
        <v>0</v>
      </c>
    </row>
    <row r="7" spans="1:17" ht="15" x14ac:dyDescent="0.25">
      <c r="A7" s="3">
        <f t="shared" si="1"/>
        <v>6</v>
      </c>
      <c r="B7" s="15" t="s">
        <v>421</v>
      </c>
      <c r="C7" s="16">
        <f>C2+7</f>
        <v>43395</v>
      </c>
      <c r="D7" s="29">
        <f t="shared" si="3"/>
        <v>0</v>
      </c>
      <c r="E7" s="26">
        <v>0</v>
      </c>
      <c r="F7" s="26">
        <f t="shared" si="0"/>
        <v>0</v>
      </c>
    </row>
    <row r="8" spans="1:17" ht="15" x14ac:dyDescent="0.25">
      <c r="A8" s="3">
        <f t="shared" si="1"/>
        <v>7</v>
      </c>
      <c r="B8" s="15" t="s">
        <v>422</v>
      </c>
      <c r="C8" s="16">
        <f t="shared" si="2"/>
        <v>43396</v>
      </c>
      <c r="D8" s="29">
        <f t="shared" si="3"/>
        <v>0</v>
      </c>
      <c r="E8" s="26">
        <v>0</v>
      </c>
      <c r="F8" s="26">
        <f t="shared" si="0"/>
        <v>0</v>
      </c>
    </row>
    <row r="9" spans="1:17" ht="15" x14ac:dyDescent="0.25">
      <c r="A9" s="3">
        <f t="shared" si="1"/>
        <v>8</v>
      </c>
      <c r="B9" s="15" t="s">
        <v>423</v>
      </c>
      <c r="C9" s="16">
        <f t="shared" si="2"/>
        <v>43397</v>
      </c>
      <c r="D9" s="29">
        <f t="shared" si="3"/>
        <v>0</v>
      </c>
      <c r="E9" s="26">
        <v>0</v>
      </c>
      <c r="F9" s="26">
        <f t="shared" si="0"/>
        <v>0</v>
      </c>
    </row>
    <row r="10" spans="1:17" ht="15" x14ac:dyDescent="0.25">
      <c r="A10" s="3">
        <f t="shared" si="1"/>
        <v>9</v>
      </c>
      <c r="B10" s="15" t="s">
        <v>424</v>
      </c>
      <c r="C10" s="16">
        <f t="shared" si="2"/>
        <v>43398</v>
      </c>
      <c r="D10" s="29">
        <f t="shared" si="3"/>
        <v>0</v>
      </c>
      <c r="E10" s="26">
        <v>0</v>
      </c>
      <c r="F10" s="26">
        <f t="shared" si="0"/>
        <v>0</v>
      </c>
    </row>
    <row r="11" spans="1:17" ht="15" x14ac:dyDescent="0.25">
      <c r="A11" s="3">
        <f t="shared" si="1"/>
        <v>10</v>
      </c>
      <c r="B11" s="15" t="s">
        <v>425</v>
      </c>
      <c r="C11" s="16">
        <f t="shared" si="2"/>
        <v>43399</v>
      </c>
      <c r="D11" s="29">
        <f t="shared" si="3"/>
        <v>0</v>
      </c>
      <c r="E11" s="26">
        <v>0</v>
      </c>
      <c r="F11" s="26">
        <f t="shared" si="0"/>
        <v>0</v>
      </c>
    </row>
    <row r="12" spans="1:17" ht="15" x14ac:dyDescent="0.25">
      <c r="A12" s="3">
        <f t="shared" si="1"/>
        <v>11</v>
      </c>
      <c r="B12" s="15" t="s">
        <v>421</v>
      </c>
      <c r="C12" s="16">
        <f>C7+7</f>
        <v>43402</v>
      </c>
      <c r="D12" s="29">
        <f t="shared" si="3"/>
        <v>0</v>
      </c>
      <c r="E12" s="26">
        <v>0</v>
      </c>
      <c r="F12" s="26">
        <f t="shared" si="0"/>
        <v>0</v>
      </c>
    </row>
    <row r="13" spans="1:17" ht="15" x14ac:dyDescent="0.25">
      <c r="A13" s="3">
        <f t="shared" si="1"/>
        <v>12</v>
      </c>
      <c r="B13" s="15" t="s">
        <v>422</v>
      </c>
      <c r="C13" s="16">
        <f t="shared" si="2"/>
        <v>43403</v>
      </c>
      <c r="D13" s="29">
        <f t="shared" si="3"/>
        <v>0</v>
      </c>
      <c r="E13" s="26">
        <v>0</v>
      </c>
      <c r="F13" s="26">
        <f t="shared" si="0"/>
        <v>0</v>
      </c>
    </row>
    <row r="14" spans="1:17" ht="15" x14ac:dyDescent="0.25">
      <c r="A14" s="3">
        <f t="shared" si="1"/>
        <v>13</v>
      </c>
      <c r="B14" s="15" t="s">
        <v>423</v>
      </c>
      <c r="C14" s="16">
        <f t="shared" si="2"/>
        <v>43404</v>
      </c>
      <c r="D14" s="29">
        <f t="shared" si="3"/>
        <v>0</v>
      </c>
      <c r="E14" s="26">
        <v>0</v>
      </c>
      <c r="F14" s="26">
        <f t="shared" si="0"/>
        <v>0</v>
      </c>
    </row>
    <row r="15" spans="1:17" ht="15" x14ac:dyDescent="0.25">
      <c r="A15" s="3">
        <f t="shared" si="1"/>
        <v>14</v>
      </c>
      <c r="B15" s="15" t="s">
        <v>424</v>
      </c>
      <c r="C15" s="16">
        <f t="shared" si="2"/>
        <v>43405</v>
      </c>
      <c r="D15" s="29">
        <f t="shared" si="3"/>
        <v>0</v>
      </c>
      <c r="E15" s="26">
        <v>0</v>
      </c>
      <c r="F15" s="26">
        <f t="shared" si="0"/>
        <v>0</v>
      </c>
    </row>
    <row r="16" spans="1:17" ht="15" x14ac:dyDescent="0.25">
      <c r="A16" s="3">
        <f t="shared" si="1"/>
        <v>15</v>
      </c>
      <c r="B16" s="15" t="s">
        <v>425</v>
      </c>
      <c r="C16" s="16">
        <f t="shared" si="2"/>
        <v>43406</v>
      </c>
      <c r="D16" s="29">
        <f t="shared" si="3"/>
        <v>0</v>
      </c>
      <c r="E16" s="26">
        <v>0</v>
      </c>
      <c r="F16" s="26">
        <f t="shared" si="0"/>
        <v>0</v>
      </c>
    </row>
    <row r="17" spans="1:6" ht="15" x14ac:dyDescent="0.25">
      <c r="A17" s="3">
        <f t="shared" si="1"/>
        <v>16</v>
      </c>
      <c r="B17" s="15" t="s">
        <v>421</v>
      </c>
      <c r="C17" s="16">
        <f>C12+7</f>
        <v>43409</v>
      </c>
      <c r="D17" s="29">
        <f t="shared" si="3"/>
        <v>0</v>
      </c>
      <c r="E17" s="26">
        <v>0</v>
      </c>
      <c r="F17" s="26">
        <f t="shared" si="0"/>
        <v>0</v>
      </c>
    </row>
    <row r="18" spans="1:6" ht="15" x14ac:dyDescent="0.25">
      <c r="A18" s="3">
        <f t="shared" si="1"/>
        <v>17</v>
      </c>
      <c r="B18" s="15" t="s">
        <v>422</v>
      </c>
      <c r="C18" s="16">
        <f t="shared" si="2"/>
        <v>43410</v>
      </c>
      <c r="D18" s="29">
        <f t="shared" si="3"/>
        <v>0</v>
      </c>
      <c r="E18" s="26">
        <v>0</v>
      </c>
      <c r="F18" s="26">
        <f t="shared" si="0"/>
        <v>0</v>
      </c>
    </row>
    <row r="19" spans="1:6" ht="15" x14ac:dyDescent="0.25">
      <c r="A19" s="3">
        <f t="shared" si="1"/>
        <v>18</v>
      </c>
      <c r="B19" s="15" t="s">
        <v>423</v>
      </c>
      <c r="C19" s="16">
        <f t="shared" si="2"/>
        <v>43411</v>
      </c>
      <c r="D19" s="29">
        <f t="shared" si="3"/>
        <v>0</v>
      </c>
      <c r="E19" s="26">
        <v>0</v>
      </c>
      <c r="F19" s="26">
        <f t="shared" si="0"/>
        <v>0</v>
      </c>
    </row>
    <row r="20" spans="1:6" ht="15" x14ac:dyDescent="0.25">
      <c r="A20" s="3">
        <f t="shared" si="1"/>
        <v>19</v>
      </c>
      <c r="B20" s="15" t="s">
        <v>424</v>
      </c>
      <c r="C20" s="16">
        <f t="shared" si="2"/>
        <v>43412</v>
      </c>
      <c r="D20" s="29">
        <f t="shared" si="3"/>
        <v>0</v>
      </c>
      <c r="E20" s="26">
        <v>0</v>
      </c>
      <c r="F20" s="26">
        <f t="shared" si="0"/>
        <v>0</v>
      </c>
    </row>
    <row r="21" spans="1:6" ht="15" x14ac:dyDescent="0.25">
      <c r="A21" s="3">
        <f t="shared" si="1"/>
        <v>20</v>
      </c>
      <c r="B21" s="15" t="s">
        <v>425</v>
      </c>
      <c r="C21" s="16">
        <f t="shared" si="2"/>
        <v>43413</v>
      </c>
      <c r="D21" s="29">
        <f t="shared" si="3"/>
        <v>0</v>
      </c>
      <c r="E21" s="26">
        <v>0</v>
      </c>
      <c r="F21" s="26">
        <f t="shared" si="0"/>
        <v>0</v>
      </c>
    </row>
    <row r="22" spans="1:6" ht="15" x14ac:dyDescent="0.25">
      <c r="A22" s="3">
        <f t="shared" si="1"/>
        <v>21</v>
      </c>
      <c r="B22" s="15" t="s">
        <v>421</v>
      </c>
      <c r="C22" s="16">
        <f>C17+7</f>
        <v>43416</v>
      </c>
      <c r="D22" s="29">
        <f t="shared" si="3"/>
        <v>0</v>
      </c>
      <c r="E22" s="26">
        <v>0</v>
      </c>
      <c r="F22" s="26">
        <f t="shared" si="0"/>
        <v>0</v>
      </c>
    </row>
    <row r="23" spans="1:6" ht="15" x14ac:dyDescent="0.25">
      <c r="A23" s="3">
        <f t="shared" si="1"/>
        <v>22</v>
      </c>
      <c r="B23" s="15" t="s">
        <v>422</v>
      </c>
      <c r="C23" s="16">
        <f t="shared" si="2"/>
        <v>43417</v>
      </c>
      <c r="D23" s="29">
        <f t="shared" si="3"/>
        <v>0</v>
      </c>
      <c r="E23" s="26">
        <v>0</v>
      </c>
      <c r="F23" s="26">
        <f t="shared" si="0"/>
        <v>0</v>
      </c>
    </row>
    <row r="24" spans="1:6" ht="15" x14ac:dyDescent="0.25">
      <c r="A24" s="3">
        <f t="shared" si="1"/>
        <v>23</v>
      </c>
      <c r="B24" s="15" t="s">
        <v>423</v>
      </c>
      <c r="C24" s="16">
        <f t="shared" si="2"/>
        <v>43418</v>
      </c>
      <c r="D24" s="29">
        <f t="shared" si="3"/>
        <v>0</v>
      </c>
      <c r="E24" s="26">
        <v>0</v>
      </c>
      <c r="F24" s="26">
        <f t="shared" si="0"/>
        <v>0</v>
      </c>
    </row>
    <row r="25" spans="1:6" ht="15" x14ac:dyDescent="0.25">
      <c r="A25" s="3">
        <f t="shared" si="1"/>
        <v>24</v>
      </c>
      <c r="B25" s="15" t="s">
        <v>424</v>
      </c>
      <c r="C25" s="16">
        <f t="shared" si="2"/>
        <v>43419</v>
      </c>
      <c r="D25" s="29">
        <f t="shared" si="3"/>
        <v>0</v>
      </c>
      <c r="E25" s="26">
        <v>0</v>
      </c>
      <c r="F25" s="26">
        <f t="shared" si="0"/>
        <v>0</v>
      </c>
    </row>
    <row r="26" spans="1:6" ht="15" x14ac:dyDescent="0.25">
      <c r="A26" s="3">
        <f t="shared" si="1"/>
        <v>25</v>
      </c>
      <c r="B26" s="15" t="s">
        <v>425</v>
      </c>
      <c r="C26" s="16">
        <f t="shared" si="2"/>
        <v>43420</v>
      </c>
      <c r="D26" s="29">
        <f t="shared" si="3"/>
        <v>0</v>
      </c>
      <c r="E26" s="26">
        <v>0</v>
      </c>
      <c r="F26" s="26">
        <f t="shared" si="0"/>
        <v>0</v>
      </c>
    </row>
    <row r="27" spans="1:6" ht="15" x14ac:dyDescent="0.25">
      <c r="A27" s="3">
        <f t="shared" si="1"/>
        <v>26</v>
      </c>
      <c r="B27" s="15" t="s">
        <v>421</v>
      </c>
      <c r="C27" s="16">
        <f>C22+7</f>
        <v>43423</v>
      </c>
      <c r="D27" s="29">
        <f t="shared" si="3"/>
        <v>0</v>
      </c>
      <c r="E27" s="26">
        <v>0</v>
      </c>
      <c r="F27" s="26">
        <f t="shared" si="0"/>
        <v>0</v>
      </c>
    </row>
    <row r="28" spans="1:6" ht="15" x14ac:dyDescent="0.25">
      <c r="A28" s="3">
        <f t="shared" si="1"/>
        <v>27</v>
      </c>
      <c r="B28" s="15" t="s">
        <v>422</v>
      </c>
      <c r="C28" s="16">
        <f t="shared" si="2"/>
        <v>43424</v>
      </c>
      <c r="D28" s="29">
        <f t="shared" si="3"/>
        <v>0</v>
      </c>
      <c r="E28" s="26">
        <v>0</v>
      </c>
      <c r="F28" s="26">
        <f t="shared" si="0"/>
        <v>0</v>
      </c>
    </row>
    <row r="29" spans="1:6" ht="15" x14ac:dyDescent="0.25">
      <c r="A29" s="3">
        <f t="shared" si="1"/>
        <v>28</v>
      </c>
      <c r="B29" s="15" t="s">
        <v>423</v>
      </c>
      <c r="C29" s="16">
        <f t="shared" si="2"/>
        <v>43425</v>
      </c>
      <c r="D29" s="29">
        <f t="shared" si="3"/>
        <v>0</v>
      </c>
      <c r="E29" s="26">
        <v>0</v>
      </c>
      <c r="F29" s="26">
        <f t="shared" si="0"/>
        <v>0</v>
      </c>
    </row>
    <row r="30" spans="1:6" ht="15" x14ac:dyDescent="0.25">
      <c r="A30" s="3">
        <f t="shared" si="1"/>
        <v>29</v>
      </c>
      <c r="B30" s="15" t="s">
        <v>424</v>
      </c>
      <c r="C30" s="16">
        <f t="shared" si="2"/>
        <v>43426</v>
      </c>
      <c r="D30" s="29">
        <f t="shared" si="3"/>
        <v>0</v>
      </c>
      <c r="E30" s="26">
        <v>0</v>
      </c>
      <c r="F30" s="26">
        <f t="shared" si="0"/>
        <v>0</v>
      </c>
    </row>
    <row r="31" spans="1:6" ht="15" x14ac:dyDescent="0.25">
      <c r="A31" s="3">
        <f t="shared" si="1"/>
        <v>30</v>
      </c>
      <c r="B31" s="15" t="s">
        <v>425</v>
      </c>
      <c r="C31" s="16">
        <f t="shared" si="2"/>
        <v>43427</v>
      </c>
      <c r="D31" s="29">
        <f t="shared" si="3"/>
        <v>0</v>
      </c>
      <c r="E31" s="26">
        <v>0</v>
      </c>
      <c r="F31" s="26">
        <f t="shared" si="0"/>
        <v>0</v>
      </c>
    </row>
    <row r="32" spans="1:6" ht="15" x14ac:dyDescent="0.25">
      <c r="A32" s="3">
        <f t="shared" si="1"/>
        <v>31</v>
      </c>
      <c r="B32" s="15" t="s">
        <v>421</v>
      </c>
      <c r="C32" s="16">
        <f>C27+7</f>
        <v>43430</v>
      </c>
      <c r="D32" s="29">
        <f t="shared" si="3"/>
        <v>0</v>
      </c>
      <c r="E32" s="26">
        <v>0</v>
      </c>
      <c r="F32" s="26">
        <f t="shared" si="0"/>
        <v>0</v>
      </c>
    </row>
    <row r="33" spans="1:6" ht="15" x14ac:dyDescent="0.25">
      <c r="A33" s="3">
        <f t="shared" si="1"/>
        <v>32</v>
      </c>
      <c r="B33" s="15" t="s">
        <v>422</v>
      </c>
      <c r="C33" s="16">
        <f t="shared" si="2"/>
        <v>43431</v>
      </c>
      <c r="D33" s="29">
        <f t="shared" si="3"/>
        <v>0</v>
      </c>
      <c r="E33" s="26">
        <v>0</v>
      </c>
      <c r="F33" s="26">
        <f t="shared" si="0"/>
        <v>0</v>
      </c>
    </row>
    <row r="34" spans="1:6" ht="15" x14ac:dyDescent="0.25">
      <c r="A34" s="3">
        <f t="shared" si="1"/>
        <v>33</v>
      </c>
      <c r="B34" s="15" t="s">
        <v>423</v>
      </c>
      <c r="C34" s="16">
        <f t="shared" si="2"/>
        <v>43432</v>
      </c>
      <c r="D34" s="29">
        <f t="shared" si="3"/>
        <v>0</v>
      </c>
      <c r="E34" s="26">
        <v>0</v>
      </c>
      <c r="F34" s="26">
        <f t="shared" si="0"/>
        <v>0</v>
      </c>
    </row>
    <row r="35" spans="1:6" ht="15" x14ac:dyDescent="0.25">
      <c r="A35" s="3">
        <f t="shared" si="1"/>
        <v>34</v>
      </c>
      <c r="B35" s="15" t="s">
        <v>424</v>
      </c>
      <c r="C35" s="16">
        <f t="shared" si="2"/>
        <v>43433</v>
      </c>
      <c r="D35" s="29">
        <f t="shared" si="3"/>
        <v>0</v>
      </c>
      <c r="E35" s="26">
        <v>0</v>
      </c>
      <c r="F35" s="26">
        <f t="shared" si="0"/>
        <v>0</v>
      </c>
    </row>
    <row r="36" spans="1:6" ht="15" x14ac:dyDescent="0.25">
      <c r="A36" s="3">
        <f t="shared" si="1"/>
        <v>35</v>
      </c>
      <c r="B36" s="15" t="s">
        <v>425</v>
      </c>
      <c r="C36" s="16">
        <f t="shared" si="2"/>
        <v>43434</v>
      </c>
      <c r="D36" s="29">
        <f t="shared" si="3"/>
        <v>0</v>
      </c>
      <c r="E36" s="26">
        <v>0</v>
      </c>
      <c r="F36" s="26">
        <f t="shared" si="0"/>
        <v>0</v>
      </c>
    </row>
    <row r="37" spans="1:6" ht="15" x14ac:dyDescent="0.25">
      <c r="A37" s="3">
        <f t="shared" si="1"/>
        <v>36</v>
      </c>
      <c r="B37" s="15" t="s">
        <v>421</v>
      </c>
      <c r="C37" s="16">
        <f>C32+7</f>
        <v>43437</v>
      </c>
      <c r="D37" s="29">
        <f t="shared" si="3"/>
        <v>0</v>
      </c>
      <c r="E37" s="26">
        <v>0</v>
      </c>
      <c r="F37" s="26">
        <f t="shared" si="0"/>
        <v>0</v>
      </c>
    </row>
    <row r="38" spans="1:6" ht="15" x14ac:dyDescent="0.25">
      <c r="A38" s="3">
        <f t="shared" si="1"/>
        <v>37</v>
      </c>
      <c r="B38" s="15" t="s">
        <v>422</v>
      </c>
      <c r="C38" s="16">
        <f t="shared" si="2"/>
        <v>43438</v>
      </c>
      <c r="D38" s="29">
        <f t="shared" si="3"/>
        <v>0</v>
      </c>
      <c r="E38" s="26">
        <v>152</v>
      </c>
      <c r="F38" s="26">
        <f t="shared" si="0"/>
        <v>0</v>
      </c>
    </row>
    <row r="39" spans="1:6" ht="15" x14ac:dyDescent="0.25">
      <c r="A39" s="3">
        <f t="shared" si="1"/>
        <v>38</v>
      </c>
      <c r="B39" s="15" t="s">
        <v>423</v>
      </c>
      <c r="C39" s="16">
        <f t="shared" si="2"/>
        <v>43439</v>
      </c>
      <c r="D39" s="29">
        <f t="shared" si="3"/>
        <v>0</v>
      </c>
      <c r="E39" s="26">
        <v>152</v>
      </c>
      <c r="F39" s="26">
        <f t="shared" si="0"/>
        <v>0</v>
      </c>
    </row>
    <row r="40" spans="1:6" ht="15" x14ac:dyDescent="0.25">
      <c r="A40" s="3">
        <f t="shared" si="1"/>
        <v>39</v>
      </c>
      <c r="B40" s="15" t="s">
        <v>424</v>
      </c>
      <c r="C40" s="16">
        <f t="shared" si="2"/>
        <v>43440</v>
      </c>
      <c r="D40" s="29">
        <f t="shared" si="3"/>
        <v>0</v>
      </c>
      <c r="E40" s="26">
        <v>152</v>
      </c>
      <c r="F40" s="26">
        <f t="shared" si="0"/>
        <v>0</v>
      </c>
    </row>
    <row r="41" spans="1:6" ht="15" x14ac:dyDescent="0.25">
      <c r="A41" s="3">
        <f t="shared" si="1"/>
        <v>40</v>
      </c>
      <c r="B41" s="15" t="s">
        <v>425</v>
      </c>
      <c r="C41" s="16">
        <f t="shared" si="2"/>
        <v>43441</v>
      </c>
      <c r="D41" s="29">
        <f t="shared" si="3"/>
        <v>0</v>
      </c>
      <c r="E41" s="26">
        <v>152</v>
      </c>
      <c r="F41" s="26">
        <f t="shared" si="0"/>
        <v>0</v>
      </c>
    </row>
    <row r="42" spans="1:6" ht="15" x14ac:dyDescent="0.25">
      <c r="A42" s="3">
        <f t="shared" si="1"/>
        <v>41</v>
      </c>
      <c r="B42" s="15" t="s">
        <v>421</v>
      </c>
      <c r="C42" s="16">
        <f>C37+7</f>
        <v>43444</v>
      </c>
      <c r="D42" s="29">
        <f t="shared" si="3"/>
        <v>0</v>
      </c>
      <c r="E42" s="26">
        <v>152</v>
      </c>
      <c r="F42" s="26">
        <f t="shared" si="0"/>
        <v>0</v>
      </c>
    </row>
    <row r="43" spans="1:6" ht="15" x14ac:dyDescent="0.25">
      <c r="A43" s="3">
        <f t="shared" si="1"/>
        <v>42</v>
      </c>
      <c r="B43" s="15" t="s">
        <v>422</v>
      </c>
      <c r="C43" s="16">
        <f t="shared" si="2"/>
        <v>43445</v>
      </c>
      <c r="D43" s="29">
        <f t="shared" si="3"/>
        <v>0</v>
      </c>
      <c r="E43" s="26">
        <v>152</v>
      </c>
      <c r="F43" s="26">
        <f t="shared" si="0"/>
        <v>0</v>
      </c>
    </row>
    <row r="44" spans="1:6" ht="15" x14ac:dyDescent="0.25">
      <c r="A44" s="3">
        <f t="shared" si="1"/>
        <v>43</v>
      </c>
      <c r="B44" s="15" t="s">
        <v>423</v>
      </c>
      <c r="C44" s="16">
        <f t="shared" si="2"/>
        <v>43446</v>
      </c>
      <c r="D44" s="29">
        <f t="shared" si="3"/>
        <v>0</v>
      </c>
      <c r="E44" s="26">
        <v>152</v>
      </c>
      <c r="F44" s="26">
        <f t="shared" si="0"/>
        <v>0</v>
      </c>
    </row>
    <row r="45" spans="1:6" ht="15" x14ac:dyDescent="0.25">
      <c r="A45" s="3">
        <f t="shared" si="1"/>
        <v>44</v>
      </c>
      <c r="B45" s="15" t="s">
        <v>424</v>
      </c>
      <c r="C45" s="16">
        <f t="shared" si="2"/>
        <v>43447</v>
      </c>
      <c r="D45" s="29">
        <f t="shared" si="3"/>
        <v>0</v>
      </c>
      <c r="E45" s="26">
        <v>152</v>
      </c>
      <c r="F45" s="26">
        <f t="shared" si="0"/>
        <v>0</v>
      </c>
    </row>
    <row r="46" spans="1:6" ht="15" x14ac:dyDescent="0.25">
      <c r="A46" s="3">
        <f t="shared" si="1"/>
        <v>45</v>
      </c>
      <c r="B46" s="15" t="s">
        <v>425</v>
      </c>
      <c r="C46" s="16">
        <f t="shared" si="2"/>
        <v>43448</v>
      </c>
      <c r="D46" s="29">
        <f t="shared" si="3"/>
        <v>0</v>
      </c>
      <c r="E46" s="26">
        <v>152</v>
      </c>
      <c r="F46" s="26">
        <f t="shared" si="0"/>
        <v>0</v>
      </c>
    </row>
    <row r="47" spans="1:6" ht="15" x14ac:dyDescent="0.25">
      <c r="A47" s="3">
        <f t="shared" si="1"/>
        <v>46</v>
      </c>
      <c r="B47" s="15" t="s">
        <v>421</v>
      </c>
      <c r="C47" s="16">
        <f>C42+7</f>
        <v>43451</v>
      </c>
      <c r="D47" s="29">
        <f t="shared" si="3"/>
        <v>0</v>
      </c>
      <c r="E47" s="26">
        <v>152</v>
      </c>
      <c r="F47" s="26">
        <f t="shared" si="0"/>
        <v>0</v>
      </c>
    </row>
    <row r="48" spans="1:6" ht="15" x14ac:dyDescent="0.25">
      <c r="A48" s="3">
        <f t="shared" si="1"/>
        <v>47</v>
      </c>
      <c r="B48" s="15" t="s">
        <v>422</v>
      </c>
      <c r="C48" s="16">
        <f t="shared" si="2"/>
        <v>43452</v>
      </c>
      <c r="D48" s="29">
        <f t="shared" si="3"/>
        <v>0</v>
      </c>
      <c r="E48" s="26">
        <v>152</v>
      </c>
      <c r="F48" s="26">
        <f t="shared" si="0"/>
        <v>0</v>
      </c>
    </row>
    <row r="49" spans="1:6" ht="15" x14ac:dyDescent="0.25">
      <c r="A49" s="3">
        <f t="shared" si="1"/>
        <v>48</v>
      </c>
      <c r="B49" s="15" t="s">
        <v>423</v>
      </c>
      <c r="C49" s="16">
        <f t="shared" si="2"/>
        <v>43453</v>
      </c>
      <c r="D49" s="29">
        <f t="shared" si="3"/>
        <v>0</v>
      </c>
      <c r="E49" s="26">
        <v>152</v>
      </c>
      <c r="F49" s="26">
        <f t="shared" si="0"/>
        <v>0</v>
      </c>
    </row>
    <row r="50" spans="1:6" ht="15" x14ac:dyDescent="0.25">
      <c r="A50" s="3">
        <f t="shared" si="1"/>
        <v>49</v>
      </c>
      <c r="B50" s="15" t="s">
        <v>424</v>
      </c>
      <c r="C50" s="16">
        <f t="shared" si="2"/>
        <v>43454</v>
      </c>
      <c r="D50" s="29">
        <f t="shared" si="3"/>
        <v>0</v>
      </c>
      <c r="E50" s="26">
        <v>152</v>
      </c>
      <c r="F50" s="26">
        <f t="shared" si="0"/>
        <v>0</v>
      </c>
    </row>
    <row r="51" spans="1:6" ht="15" x14ac:dyDescent="0.25">
      <c r="A51" s="3">
        <f t="shared" si="1"/>
        <v>50</v>
      </c>
      <c r="B51" s="15" t="s">
        <v>425</v>
      </c>
      <c r="C51" s="16">
        <f t="shared" si="2"/>
        <v>43455</v>
      </c>
      <c r="D51" s="29">
        <f t="shared" si="3"/>
        <v>0</v>
      </c>
      <c r="E51" s="26">
        <v>152</v>
      </c>
      <c r="F51" s="26">
        <f t="shared" si="0"/>
        <v>0</v>
      </c>
    </row>
    <row r="52" spans="1:6" x14ac:dyDescent="0.2">
      <c r="C52" s="26" t="str">
        <f t="shared" ref="C52:C53" si="4">IF(LEN($E52)=0,"",ROW()-1)</f>
        <v/>
      </c>
      <c r="F52" s="26" t="str">
        <f t="shared" si="0"/>
        <v/>
      </c>
    </row>
    <row r="53" spans="1:6" x14ac:dyDescent="0.2">
      <c r="C53" s="26" t="str">
        <f t="shared" si="4"/>
        <v/>
      </c>
      <c r="F53" s="26" t="str">
        <f t="shared" si="0"/>
        <v/>
      </c>
    </row>
  </sheetData>
  <pageMargins left="0.75" right="0.75" top="1" bottom="1" header="0.3" footer="0.3"/>
  <pageSetup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8" tint="-0.249977111117893"/>
    <pageSetUpPr fitToPage="1"/>
  </sheetPr>
  <dimension ref="A2:AD69"/>
  <sheetViews>
    <sheetView topLeftCell="A7" zoomScale="68" zoomScaleNormal="68" zoomScaleSheetLayoutView="50" workbookViewId="0">
      <selection activeCell="AA32" sqref="AA32"/>
    </sheetView>
  </sheetViews>
  <sheetFormatPr defaultRowHeight="15.75" x14ac:dyDescent="0.25"/>
  <cols>
    <col min="3" max="3" width="9" customWidth="1"/>
    <col min="15" max="15" width="2.75" customWidth="1"/>
    <col min="29" max="29" width="3.125" customWidth="1"/>
  </cols>
  <sheetData>
    <row r="2" spans="1:30" ht="21" x14ac:dyDescent="0.35">
      <c r="B2" s="24" t="s">
        <v>784</v>
      </c>
      <c r="P2" s="24" t="s">
        <v>785</v>
      </c>
      <c r="AD2" t="s">
        <v>786</v>
      </c>
    </row>
    <row r="3" spans="1:30" ht="15.75" customHeight="1" x14ac:dyDescent="0.25">
      <c r="A3" s="68" t="s">
        <v>789</v>
      </c>
    </row>
    <row r="4" spans="1:30" x14ac:dyDescent="0.25">
      <c r="A4" s="68"/>
    </row>
    <row r="5" spans="1:30" x14ac:dyDescent="0.25">
      <c r="A5" s="68"/>
    </row>
    <row r="6" spans="1:30" x14ac:dyDescent="0.25">
      <c r="A6" s="68"/>
    </row>
    <row r="7" spans="1:30" x14ac:dyDescent="0.25">
      <c r="A7" s="68"/>
    </row>
    <row r="8" spans="1:30" x14ac:dyDescent="0.25">
      <c r="A8" s="68"/>
    </row>
    <row r="9" spans="1:30" x14ac:dyDescent="0.25">
      <c r="A9" s="68"/>
    </row>
    <row r="10" spans="1:30" x14ac:dyDescent="0.25">
      <c r="A10" s="68"/>
    </row>
    <row r="11" spans="1:30" x14ac:dyDescent="0.25">
      <c r="A11" s="68"/>
    </row>
    <row r="12" spans="1:30" x14ac:dyDescent="0.25">
      <c r="A12" s="68"/>
    </row>
    <row r="13" spans="1:30" x14ac:dyDescent="0.25">
      <c r="A13" s="68"/>
    </row>
    <row r="14" spans="1:30" x14ac:dyDescent="0.25">
      <c r="A14" s="68"/>
    </row>
    <row r="15" spans="1:30" x14ac:dyDescent="0.25">
      <c r="A15" s="68"/>
    </row>
    <row r="16" spans="1:30" x14ac:dyDescent="0.25">
      <c r="A16" s="68"/>
    </row>
    <row r="17" spans="1:1" x14ac:dyDescent="0.25">
      <c r="A17" s="68"/>
    </row>
    <row r="18" spans="1:1" x14ac:dyDescent="0.25">
      <c r="A18" s="68"/>
    </row>
    <row r="19" spans="1:1" x14ac:dyDescent="0.25">
      <c r="A19" s="68"/>
    </row>
    <row r="20" spans="1:1" x14ac:dyDescent="0.25">
      <c r="A20" s="68"/>
    </row>
    <row r="21" spans="1:1" x14ac:dyDescent="0.25">
      <c r="A21" s="68"/>
    </row>
    <row r="22" spans="1:1" x14ac:dyDescent="0.25">
      <c r="A22" s="68"/>
    </row>
    <row r="23" spans="1:1" x14ac:dyDescent="0.25">
      <c r="A23" s="68"/>
    </row>
    <row r="24" spans="1:1" x14ac:dyDescent="0.25">
      <c r="A24" s="68"/>
    </row>
    <row r="25" spans="1:1" x14ac:dyDescent="0.25">
      <c r="A25" s="68"/>
    </row>
    <row r="26" spans="1:1" x14ac:dyDescent="0.25">
      <c r="A26" s="68"/>
    </row>
    <row r="27" spans="1:1" x14ac:dyDescent="0.25">
      <c r="A27" s="68"/>
    </row>
    <row r="28" spans="1:1" x14ac:dyDescent="0.25">
      <c r="A28" s="68"/>
    </row>
    <row r="29" spans="1:1" x14ac:dyDescent="0.25">
      <c r="A29" s="68"/>
    </row>
    <row r="30" spans="1:1" x14ac:dyDescent="0.25">
      <c r="A30" s="68"/>
    </row>
    <row r="31" spans="1:1" x14ac:dyDescent="0.25">
      <c r="A31" s="68"/>
    </row>
    <row r="32" spans="1:1" x14ac:dyDescent="0.25">
      <c r="A32" s="68"/>
    </row>
    <row r="33" spans="1:1" x14ac:dyDescent="0.25">
      <c r="A33" s="68"/>
    </row>
    <row r="34" spans="1:1" x14ac:dyDescent="0.25">
      <c r="A34" s="68"/>
    </row>
    <row r="35" spans="1:1" x14ac:dyDescent="0.25">
      <c r="A35" s="68"/>
    </row>
    <row r="38" spans="1:1" x14ac:dyDescent="0.25">
      <c r="A38" s="68" t="s">
        <v>787</v>
      </c>
    </row>
    <row r="39" spans="1:1" x14ac:dyDescent="0.25">
      <c r="A39" s="68"/>
    </row>
    <row r="40" spans="1:1" x14ac:dyDescent="0.25">
      <c r="A40" s="68"/>
    </row>
    <row r="41" spans="1:1" x14ac:dyDescent="0.25">
      <c r="A41" s="68"/>
    </row>
    <row r="42" spans="1:1" x14ac:dyDescent="0.25">
      <c r="A42" s="68"/>
    </row>
    <row r="43" spans="1:1" x14ac:dyDescent="0.25">
      <c r="A43" s="68"/>
    </row>
    <row r="44" spans="1:1" x14ac:dyDescent="0.25">
      <c r="A44" s="68"/>
    </row>
    <row r="45" spans="1:1" x14ac:dyDescent="0.25">
      <c r="A45" s="68"/>
    </row>
    <row r="46" spans="1:1" x14ac:dyDescent="0.25">
      <c r="A46" s="68"/>
    </row>
    <row r="47" spans="1:1" x14ac:dyDescent="0.25">
      <c r="A47" s="68"/>
    </row>
    <row r="48" spans="1:1" x14ac:dyDescent="0.25">
      <c r="A48" s="68"/>
    </row>
    <row r="49" spans="1:1" x14ac:dyDescent="0.25">
      <c r="A49" s="68"/>
    </row>
    <row r="50" spans="1:1" x14ac:dyDescent="0.25">
      <c r="A50" s="68"/>
    </row>
    <row r="51" spans="1:1" x14ac:dyDescent="0.25">
      <c r="A51" s="68"/>
    </row>
    <row r="52" spans="1:1" x14ac:dyDescent="0.25">
      <c r="A52" s="68"/>
    </row>
    <row r="55" spans="1:1" x14ac:dyDescent="0.25">
      <c r="A55" s="68" t="s">
        <v>788</v>
      </c>
    </row>
    <row r="56" spans="1:1" x14ac:dyDescent="0.25">
      <c r="A56" s="68"/>
    </row>
    <row r="57" spans="1:1" x14ac:dyDescent="0.25">
      <c r="A57" s="68"/>
    </row>
    <row r="58" spans="1:1" x14ac:dyDescent="0.25">
      <c r="A58" s="68"/>
    </row>
    <row r="59" spans="1:1" x14ac:dyDescent="0.25">
      <c r="A59" s="68"/>
    </row>
    <row r="60" spans="1:1" x14ac:dyDescent="0.25">
      <c r="A60" s="68"/>
    </row>
    <row r="61" spans="1:1" x14ac:dyDescent="0.25">
      <c r="A61" s="68"/>
    </row>
    <row r="62" spans="1:1" x14ac:dyDescent="0.25">
      <c r="A62" s="68"/>
    </row>
    <row r="63" spans="1:1" x14ac:dyDescent="0.25">
      <c r="A63" s="68"/>
    </row>
    <row r="64" spans="1:1" x14ac:dyDescent="0.25">
      <c r="A64" s="68"/>
    </row>
    <row r="65" spans="1:1" x14ac:dyDescent="0.25">
      <c r="A65" s="68"/>
    </row>
    <row r="66" spans="1:1" x14ac:dyDescent="0.25">
      <c r="A66" s="68"/>
    </row>
    <row r="67" spans="1:1" x14ac:dyDescent="0.25">
      <c r="A67" s="68"/>
    </row>
    <row r="68" spans="1:1" x14ac:dyDescent="0.25">
      <c r="A68" s="68"/>
    </row>
    <row r="69" spans="1:1" x14ac:dyDescent="0.25">
      <c r="A69" s="68"/>
    </row>
  </sheetData>
  <mergeCells count="3">
    <mergeCell ref="A3:A35"/>
    <mergeCell ref="A38:A52"/>
    <mergeCell ref="A55:A69"/>
  </mergeCells>
  <pageMargins left="0.7" right="0.7" top="0.75" bottom="0.75" header="0.3" footer="0.3"/>
  <pageSetup paperSize="9" scale="32" fitToHeight="0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8" tint="-0.249977111117893"/>
  </sheetPr>
  <dimension ref="A2:F58"/>
  <sheetViews>
    <sheetView topLeftCell="D1" zoomScale="90" zoomScaleNormal="90" zoomScalePageLayoutView="90" workbookViewId="0">
      <selection activeCell="F3" sqref="F3"/>
    </sheetView>
  </sheetViews>
  <sheetFormatPr defaultColWidth="11" defaultRowHeight="15.75" x14ac:dyDescent="0.25"/>
  <cols>
    <col min="1" max="1" width="16.625" hidden="1" customWidth="1"/>
    <col min="2" max="2" width="39.375" hidden="1" customWidth="1"/>
    <col min="3" max="3" width="13.625" hidden="1" customWidth="1"/>
    <col min="4" max="4" width="70.125" customWidth="1"/>
    <col min="5" max="5" width="14.5" customWidth="1"/>
    <col min="6" max="6" width="17.625" customWidth="1"/>
  </cols>
  <sheetData>
    <row r="2" spans="1:6" x14ac:dyDescent="0.25">
      <c r="E2">
        <f>SUM(E4:E58)</f>
        <v>75</v>
      </c>
      <c r="F2">
        <f>SUM(F4:F58)</f>
        <v>264</v>
      </c>
    </row>
    <row r="3" spans="1:6" ht="42" x14ac:dyDescent="0.35">
      <c r="D3" s="1" t="s">
        <v>0</v>
      </c>
      <c r="E3" s="2" t="s">
        <v>2</v>
      </c>
      <c r="F3" s="2" t="s">
        <v>1</v>
      </c>
    </row>
    <row r="4" spans="1:6" ht="42" customHeight="1" x14ac:dyDescent="0.25">
      <c r="A4" s="12" t="s">
        <v>69</v>
      </c>
      <c r="B4" s="12" t="s">
        <v>68</v>
      </c>
      <c r="C4" s="12" t="s">
        <v>399</v>
      </c>
      <c r="D4" s="13" t="str">
        <f>CONCATENATE(IF(LEN(CONCATENATE("[",A4,"] ",B4))&lt;=60,CONCATENATE("[",A4,"] ",B4),CONCATENATE("[",A4,"] ",LEFT(B4,30)," … ",RIGHT(B4,30))), " / ", C4)</f>
        <v>[TSKACTION-217] Action: Session Management / RTD</v>
      </c>
      <c r="E4" s="10">
        <v>5</v>
      </c>
      <c r="F4" s="10">
        <v>34</v>
      </c>
    </row>
    <row r="5" spans="1:6" ht="42" customHeight="1" x14ac:dyDescent="0.25">
      <c r="A5" s="12" t="s">
        <v>82</v>
      </c>
      <c r="B5" s="12" t="s">
        <v>81</v>
      </c>
      <c r="C5" s="12" t="s">
        <v>399</v>
      </c>
      <c r="D5" s="13" t="str">
        <f>CONCATENATE(IF(LEN(CONCATENATE("[",A5,"] ",B5))&lt;=60,CONCATENATE("[",A5,"] ",B5),CONCATENATE("[",A5,"] ",LEFT(B5,30)," … ",RIGHT(B5,30))), " / ", C5)</f>
        <v>[CCDOCLIST-165] Provide pre/post operation cal … peration callbacks to business / RTD</v>
      </c>
      <c r="E5" s="10">
        <v>13</v>
      </c>
      <c r="F5" s="10">
        <v>13</v>
      </c>
    </row>
    <row r="6" spans="1:6" x14ac:dyDescent="0.25">
      <c r="A6" s="12" t="s">
        <v>218</v>
      </c>
      <c r="B6" s="12" t="s">
        <v>217</v>
      </c>
      <c r="C6" s="12" t="s">
        <v>399</v>
      </c>
      <c r="D6" s="13" t="str">
        <f>CONCATENATE(IF(LEN(CONCATENATE("[",A6,"] ",B6))&lt;=60,CONCATENATE("[",A6,"] ",B6),CONCATENATE("[",A6,"] ",LEFT(B6,30)," … ",RIGHT(B6,30))), " / ", C6)</f>
        <v>[CCTASK-533] Adoption of OpenID security model / RTD</v>
      </c>
      <c r="E6" s="10">
        <v>0</v>
      </c>
      <c r="F6" s="10">
        <v>8</v>
      </c>
    </row>
    <row r="7" spans="1:6" x14ac:dyDescent="0.25">
      <c r="A7" s="12" t="s">
        <v>222</v>
      </c>
      <c r="B7" s="12" t="s">
        <v>221</v>
      </c>
      <c r="C7" s="12" t="s">
        <v>399</v>
      </c>
      <c r="D7" s="13" t="str">
        <f>CONCATENATE(IF(LEN(CONCATENATE("[",A7,"] ",B7))&lt;=60,CONCATENATE("[",A7,"] ",B7),CONCATENATE("[",A7,"] ",LEFT(B7,30)," … ",RIGHT(B7,30))), " / ", C7)</f>
        <v>[CCDOCLIST-156] Configuration of presentation - compact view / RTD</v>
      </c>
      <c r="E7" s="10">
        <v>8</v>
      </c>
      <c r="F7" s="10">
        <v>8</v>
      </c>
    </row>
    <row r="8" spans="1:6" x14ac:dyDescent="0.25">
      <c r="A8" s="12" t="s">
        <v>225</v>
      </c>
      <c r="B8" s="12" t="s">
        <v>224</v>
      </c>
      <c r="C8" s="12" t="s">
        <v>399</v>
      </c>
      <c r="D8" s="13" t="str">
        <f>CONCATENATE(IF(LEN(CONCATENATE("[",A8,"] ",B8))&lt;=60,CONCATENATE("[",A8,"] ",B8),CONCATENATE("[",A8,"] ",LEFT(B8,30)," … ",RIGHT(B8,30))), " / ", C8)</f>
        <v>[CCDOCLIST-19] Document list read-only mode / RTD</v>
      </c>
      <c r="E8" s="10">
        <v>13</v>
      </c>
      <c r="F8" s="10">
        <v>21</v>
      </c>
    </row>
    <row r="9" spans="1:6" x14ac:dyDescent="0.25">
      <c r="A9" s="12" t="s">
        <v>228</v>
      </c>
      <c r="B9" s="12" t="s">
        <v>227</v>
      </c>
      <c r="C9" s="12" t="s">
        <v>399</v>
      </c>
      <c r="D9" s="13" t="str">
        <f>CONCATENATE(IF(LEN(CONCATENATE("[",A9,"] ",B9))&lt;=60,CONCATENATE("[",A9,"] ",B9),CONCATENATE("[",A9,"] ",LEFT(B9,30)," … ",RIGHT(B9,30))), " / ", C9)</f>
        <v>[CCDOCLIST-157] Filter the Document List at ru … ment List at runtime (backend) / RTD</v>
      </c>
      <c r="E9" s="10">
        <v>8</v>
      </c>
      <c r="F9" s="10">
        <v>8</v>
      </c>
    </row>
    <row r="10" spans="1:6" x14ac:dyDescent="0.25">
      <c r="A10" s="12" t="s">
        <v>272</v>
      </c>
      <c r="B10" s="12" t="s">
        <v>271</v>
      </c>
      <c r="C10" s="12" t="s">
        <v>399</v>
      </c>
      <c r="D10" s="13" t="str">
        <f>CONCATENATE(IF(LEN(CONCATENATE("[",A10,"] ",B10))&lt;=60,CONCATENATE("[",A10,"] ",B10),CONCATENATE("[",A10,"] ",LEFT(B10,30)," … ",RIGHT(B10,30))), " / ", C10)</f>
        <v>[CCTASK-534] Readiness for translation service / RTD</v>
      </c>
      <c r="E10" s="10">
        <v>0</v>
      </c>
      <c r="F10" s="10">
        <v>0</v>
      </c>
    </row>
    <row r="11" spans="1:6" x14ac:dyDescent="0.25">
      <c r="A11" s="12" t="s">
        <v>276</v>
      </c>
      <c r="B11" s="12" t="s">
        <v>275</v>
      </c>
      <c r="C11" s="12" t="s">
        <v>399</v>
      </c>
      <c r="D11" s="13" t="str">
        <f>CONCATENATE(IF(LEN(CONCATENATE("[",A11,"] ",B11))&lt;=60,CONCATENATE("[",A11,"] ",B11),CONCATENATE("[",A11,"] ",LEFT(B11,30)," … ",RIGHT(B11,30))), " / ", C11)</f>
        <v>[CCDOCLIST-17] Configuration management / RTD</v>
      </c>
      <c r="E11" s="10">
        <v>0</v>
      </c>
      <c r="F11" s="10">
        <v>0</v>
      </c>
    </row>
    <row r="12" spans="1:6" x14ac:dyDescent="0.25">
      <c r="A12" s="12" t="s">
        <v>280</v>
      </c>
      <c r="B12" s="12" t="s">
        <v>279</v>
      </c>
      <c r="C12" s="12" t="s">
        <v>399</v>
      </c>
      <c r="D12" s="13" t="str">
        <f>CONCATENATE(IF(LEN(CONCATENATE("[",A12,"] ",B12))&lt;=60,CONCATENATE("[",A12,"] ",B12),CONCATENATE("[",A12,"] ",LEFT(B12,30)," … ",RIGHT(B12,30))), " / ", C12)</f>
        <v>[CCDOCLIST-27] Configuration override / RTD</v>
      </c>
      <c r="E12" s="10">
        <v>7</v>
      </c>
      <c r="F12" s="10">
        <v>7</v>
      </c>
    </row>
    <row r="13" spans="1:6" x14ac:dyDescent="0.25">
      <c r="A13" s="12" t="s">
        <v>283</v>
      </c>
      <c r="B13" s="12" t="s">
        <v>282</v>
      </c>
      <c r="C13" s="12" t="s">
        <v>399</v>
      </c>
      <c r="D13" s="13" t="str">
        <f>CONCATENATE(IF(LEN(CONCATENATE("[",A13,"] ",B13))&lt;=60,CONCATENATE("[",A13,"] ",B13),CONCATENATE("[",A13,"] ",LEFT(B13,30)," … ",RIGHT(B13,30))), " / ", C13)</f>
        <v>[CCDOCLIST-25] Manage document encryption / RTD</v>
      </c>
      <c r="E13" s="10">
        <v>0</v>
      </c>
      <c r="F13" s="10">
        <v>8</v>
      </c>
    </row>
    <row r="14" spans="1:6" x14ac:dyDescent="0.25">
      <c r="A14" s="12" t="s">
        <v>290</v>
      </c>
      <c r="B14" s="12" t="s">
        <v>289</v>
      </c>
      <c r="C14" s="12" t="s">
        <v>399</v>
      </c>
      <c r="D14" s="13" t="str">
        <f>CONCATENATE(IF(LEN(CONCATENATE("[",A14,"] ",B14))&lt;=60,CONCATENATE("[",A14,"] ",B14),CONCATENATE("[",A14,"] ",LEFT(B14,30)," … ",RIGHT(B14,30))), " / ", C14)</f>
        <v>[TSKACTION-245] Action: Parallel Actors / Support task / RTD</v>
      </c>
      <c r="E14" s="10">
        <v>0</v>
      </c>
      <c r="F14" s="10">
        <v>0</v>
      </c>
    </row>
    <row r="15" spans="1:6" x14ac:dyDescent="0.25">
      <c r="A15" s="12" t="s">
        <v>296</v>
      </c>
      <c r="B15" s="12" t="s">
        <v>293</v>
      </c>
      <c r="C15" s="12" t="s">
        <v>399</v>
      </c>
      <c r="D15" s="13" t="str">
        <f>CONCATENATE(IF(LEN(CONCATENATE("[",A15,"] ",B15))&lt;=60,CONCATENATE("[",A15,"] ",B15),CONCATENATE("[",A15,"] ",LEFT(B15,30)," … ",RIGHT(B15,30))), " / ", C15)</f>
        <v>[CCTASK-579] Integration with Config Admin / RTD</v>
      </c>
      <c r="E15" s="10">
        <v>13</v>
      </c>
      <c r="F15" s="10">
        <v>18</v>
      </c>
    </row>
    <row r="16" spans="1:6" x14ac:dyDescent="0.25">
      <c r="A16" s="12" t="s">
        <v>294</v>
      </c>
      <c r="B16" s="12" t="s">
        <v>293</v>
      </c>
      <c r="C16" s="12" t="s">
        <v>399</v>
      </c>
      <c r="D16" s="13" t="str">
        <f>CONCATENATE(IF(LEN(CONCATENATE("[",A16,"] ",B16))&lt;=60,CONCATENATE("[",A16,"] ",B16),CONCATENATE("[",A16,"] ",LEFT(B16,30)," … ",RIGHT(B16,30))), " / ", C16)</f>
        <v>[CCDOCLIST-181] Integration with Config Admin / RTD</v>
      </c>
      <c r="E16" s="10">
        <v>0</v>
      </c>
      <c r="F16" s="10">
        <v>5</v>
      </c>
    </row>
    <row r="17" spans="1:6" x14ac:dyDescent="0.25">
      <c r="A17" s="12" t="s">
        <v>302</v>
      </c>
      <c r="B17" s="12" t="s">
        <v>301</v>
      </c>
      <c r="C17" s="12" t="s">
        <v>399</v>
      </c>
      <c r="D17" s="13" t="str">
        <f>CONCATENATE(IF(LEN(CONCATENATE("[",A17,"] ",B17))&lt;=60,CONCATENATE("[",A17,"] ",B17),CONCATENATE("[",A17,"] ",LEFT(B17,30)," … ",RIGHT(B17,30))), " / ", C17)</f>
        <v>[CCTASK-272] Signature on Outcome / RTD</v>
      </c>
      <c r="E17" s="10">
        <v>0</v>
      </c>
      <c r="F17" s="10">
        <v>65</v>
      </c>
    </row>
    <row r="18" spans="1:6" x14ac:dyDescent="0.25">
      <c r="A18" s="12" t="s">
        <v>234</v>
      </c>
      <c r="B18" s="12" t="s">
        <v>304</v>
      </c>
      <c r="C18" s="12" t="s">
        <v>399</v>
      </c>
      <c r="D18" s="13" t="str">
        <f>CONCATENATE(IF(LEN(CONCATENATE("[",A18,"] ",B18))&lt;=60,CONCATENATE("[",A18,"] ",B18),CONCATENATE("[",A18,"] ",LEFT(B18,30)," … ",RIGHT(B18,30))), " / ", C18)</f>
        <v>[CCTASK-519] Taxonomy multiple references a … and events (for ProcessCentre) / RTD</v>
      </c>
      <c r="E18" s="10">
        <v>0</v>
      </c>
      <c r="F18" s="10">
        <v>34</v>
      </c>
    </row>
    <row r="19" spans="1:6" x14ac:dyDescent="0.25">
      <c r="A19" s="12" t="s">
        <v>307</v>
      </c>
      <c r="B19" s="12" t="s">
        <v>306</v>
      </c>
      <c r="C19" s="12" t="s">
        <v>399</v>
      </c>
      <c r="D19" s="13" t="str">
        <f>CONCATENATE(IF(LEN(CONCATENATE("[",A19,"] ",B19))&lt;=60,CONCATENATE("[",A19,"] ",B19),CONCATENATE("[",A19,"] ",LEFT(B19,30)," … ",RIGHT(B19,30))), " / ", C19)</f>
        <v>[CCDOCLIST-174] The client should be able to r … en a business variable changes / RTD</v>
      </c>
      <c r="E19" s="10">
        <v>3</v>
      </c>
      <c r="F19" s="10">
        <v>8</v>
      </c>
    </row>
    <row r="20" spans="1:6" x14ac:dyDescent="0.25">
      <c r="A20" s="12" t="s">
        <v>310</v>
      </c>
      <c r="B20" s="12" t="s">
        <v>309</v>
      </c>
      <c r="C20" s="12" t="s">
        <v>399</v>
      </c>
      <c r="D20" s="13" t="str">
        <f>CONCATENATE(IF(LEN(CONCATENATE("[",A20,"] ",B20))&lt;=60,CONCATENATE("[",A20,"] ",B20),CONCATENATE("[",A20,"] ",LEFT(B20,30)," … ",RIGHT(B20,30))), " / ", C20)</f>
        <v>[CCTASK-476] UX - Post Checks (error handli … ror handling on task complete) / RTD</v>
      </c>
      <c r="E20" s="10">
        <v>0</v>
      </c>
      <c r="F20" s="10">
        <v>0</v>
      </c>
    </row>
    <row r="21" spans="1:6" x14ac:dyDescent="0.25">
      <c r="A21" s="12" t="s">
        <v>331</v>
      </c>
      <c r="B21" s="12" t="s">
        <v>330</v>
      </c>
      <c r="C21" s="12" t="s">
        <v>399</v>
      </c>
      <c r="D21" s="13" t="str">
        <f>CONCATENATE(IF(LEN(CONCATENATE("[",A21,"] ",B21))&lt;=60,CONCATENATE("[",A21,"] ",B21),CONCATENATE("[",A21,"] ",LEFT(B21,30)," … ",RIGHT(B21,30))), " / ", C21)</f>
        <v>[TSKACTION-56] Action: Document review/download link / RTD</v>
      </c>
      <c r="E21" s="10">
        <v>0</v>
      </c>
      <c r="F21" s="10">
        <v>0</v>
      </c>
    </row>
    <row r="22" spans="1:6" x14ac:dyDescent="0.25">
      <c r="A22" s="12" t="s">
        <v>362</v>
      </c>
      <c r="B22" s="12" t="s">
        <v>361</v>
      </c>
      <c r="C22" s="12" t="s">
        <v>399</v>
      </c>
      <c r="D22" s="13" t="str">
        <f>CONCATENATE(IF(LEN(CONCATENATE("[",A22,"] ",B22))&lt;=60,CONCATENATE("[",A22,"] ",B22),CONCATENATE("[",A22,"] ",LEFT(B22,30)," … ",RIGHT(B22,30))), " / ", C22)</f>
        <v>[CCTASK-532] Impersonation / RTD</v>
      </c>
      <c r="E22" s="10">
        <v>0</v>
      </c>
      <c r="F22" s="10">
        <v>22</v>
      </c>
    </row>
    <row r="23" spans="1:6" x14ac:dyDescent="0.25">
      <c r="A23" s="12" t="s">
        <v>364</v>
      </c>
      <c r="B23" s="12" t="s">
        <v>363</v>
      </c>
      <c r="C23" s="12" t="s">
        <v>399</v>
      </c>
      <c r="D23" s="13" t="str">
        <f>CONCATENATE(IF(LEN(CONCATENATE("[",A23,"] ",B23))&lt;=60,CONCATENATE("[",A23,"] ",B23),CONCATENATE("[",A23,"] ",LEFT(B23,30)," … ",RIGHT(B23,30))), " / ", C23)</f>
        <v>[CCDOCLIST-116] Mandatory documents / RTD</v>
      </c>
      <c r="E23" s="10">
        <v>0</v>
      </c>
      <c r="F23" s="10">
        <v>0</v>
      </c>
    </row>
    <row r="24" spans="1:6" x14ac:dyDescent="0.25">
      <c r="A24" s="12" t="s">
        <v>385</v>
      </c>
      <c r="B24" s="12" t="s">
        <v>384</v>
      </c>
      <c r="C24" s="12" t="s">
        <v>399</v>
      </c>
      <c r="D24" s="13" t="str">
        <f>CONCATENATE(IF(LEN(CONCATENATE("[",A24,"] ",B24))&lt;=60,CONCATENATE("[",A24,"] ",B24),CONCATENATE("[",A24,"] ",LEFT(B24,30)," … ",RIGHT(B24,30))), " / ", C24)</f>
        <v>[CCTASK-518] Taxonomy link to CCM2 / RTD</v>
      </c>
      <c r="E24" s="10">
        <v>5</v>
      </c>
      <c r="F24" s="10">
        <v>5</v>
      </c>
    </row>
    <row r="25" spans="1:6" x14ac:dyDescent="0.25">
      <c r="A25" s="12"/>
      <c r="B25" s="12"/>
      <c r="C25" s="12"/>
      <c r="D25" s="13" t="str">
        <f>CONCATENATE(IF(LEN(CONCATENATE("[",A25,"] ",B25))&lt;=60,CONCATENATE("[",A25,"] ",B25),CONCATENATE("[",A25,"] ",LEFT(B25,30)," … ",RIGHT(B25,30))), " / ", C25)</f>
        <v xml:space="preserve">[]  / </v>
      </c>
      <c r="E25" s="10"/>
      <c r="F25" s="10"/>
    </row>
    <row r="26" spans="1:6" x14ac:dyDescent="0.25">
      <c r="A26" s="12"/>
      <c r="B26" s="12"/>
      <c r="C26" s="12"/>
      <c r="D26" s="13" t="str">
        <f t="shared" ref="D26:D58" si="0">CONCATENATE(IF(LEN(CONCATENATE("[",A26,"] ",B26))&lt;=60,CONCATENATE("[",A26,"] ",B26),CONCATENATE("[",A26,"] ",LEFT(B26,30)," … ",RIGHT(B26,30))), " / ", C26)</f>
        <v xml:space="preserve">[]  / </v>
      </c>
      <c r="E26" s="10"/>
      <c r="F26" s="10"/>
    </row>
    <row r="27" spans="1:6" x14ac:dyDescent="0.25">
      <c r="A27" s="12"/>
      <c r="B27" s="12"/>
      <c r="C27" s="12"/>
      <c r="D27" s="13" t="str">
        <f t="shared" si="0"/>
        <v xml:space="preserve">[]  / </v>
      </c>
      <c r="E27" s="10"/>
      <c r="F27" s="10"/>
    </row>
    <row r="28" spans="1:6" x14ac:dyDescent="0.25">
      <c r="A28" s="12"/>
      <c r="B28" s="12"/>
      <c r="C28" s="12"/>
      <c r="D28" s="13" t="str">
        <f t="shared" si="0"/>
        <v xml:space="preserve">[]  / </v>
      </c>
      <c r="E28" s="10"/>
      <c r="F28" s="10"/>
    </row>
    <row r="29" spans="1:6" x14ac:dyDescent="0.25">
      <c r="A29" s="12"/>
      <c r="B29" s="12"/>
      <c r="C29" s="12"/>
      <c r="D29" s="13" t="str">
        <f t="shared" si="0"/>
        <v xml:space="preserve">[]  / </v>
      </c>
      <c r="E29" s="10"/>
      <c r="F29" s="10"/>
    </row>
    <row r="30" spans="1:6" x14ac:dyDescent="0.25">
      <c r="A30" s="12"/>
      <c r="B30" s="12"/>
      <c r="C30" s="12"/>
      <c r="D30" s="13" t="str">
        <f t="shared" si="0"/>
        <v xml:space="preserve">[]  / </v>
      </c>
      <c r="E30" s="10"/>
      <c r="F30" s="10"/>
    </row>
    <row r="31" spans="1:6" x14ac:dyDescent="0.25">
      <c r="A31" s="12"/>
      <c r="B31" s="12"/>
      <c r="C31" s="12"/>
      <c r="D31" s="13" t="str">
        <f t="shared" si="0"/>
        <v xml:space="preserve">[]  / </v>
      </c>
      <c r="E31" s="10"/>
      <c r="F31" s="10"/>
    </row>
    <row r="32" spans="1:6" x14ac:dyDescent="0.25">
      <c r="A32" s="12"/>
      <c r="B32" s="12"/>
      <c r="C32" s="12"/>
      <c r="D32" s="13" t="str">
        <f t="shared" si="0"/>
        <v xml:space="preserve">[]  / </v>
      </c>
      <c r="E32" s="10"/>
      <c r="F32" s="10"/>
    </row>
    <row r="33" spans="1:6" x14ac:dyDescent="0.25">
      <c r="A33" s="12"/>
      <c r="B33" s="12"/>
      <c r="C33" s="12"/>
      <c r="D33" s="13" t="str">
        <f t="shared" si="0"/>
        <v xml:space="preserve">[]  / </v>
      </c>
      <c r="E33" s="10"/>
      <c r="F33" s="10"/>
    </row>
    <row r="34" spans="1:6" x14ac:dyDescent="0.25">
      <c r="A34" s="12"/>
      <c r="B34" s="12"/>
      <c r="C34" s="12"/>
      <c r="D34" s="13" t="str">
        <f t="shared" si="0"/>
        <v xml:space="preserve">[]  / </v>
      </c>
      <c r="E34" s="10"/>
      <c r="F34" s="10"/>
    </row>
    <row r="35" spans="1:6" x14ac:dyDescent="0.25">
      <c r="A35" s="12"/>
      <c r="B35" s="12"/>
      <c r="C35" s="12"/>
      <c r="D35" s="13" t="str">
        <f t="shared" si="0"/>
        <v xml:space="preserve">[]  / </v>
      </c>
      <c r="E35" s="10"/>
      <c r="F35" s="10"/>
    </row>
    <row r="36" spans="1:6" x14ac:dyDescent="0.25">
      <c r="A36" s="12"/>
      <c r="B36" s="12"/>
      <c r="C36" s="12"/>
      <c r="D36" s="13" t="str">
        <f t="shared" si="0"/>
        <v xml:space="preserve">[]  / </v>
      </c>
      <c r="E36" s="10"/>
      <c r="F36" s="10"/>
    </row>
    <row r="37" spans="1:6" x14ac:dyDescent="0.25">
      <c r="A37" s="12"/>
      <c r="B37" s="12"/>
      <c r="C37" s="12"/>
      <c r="D37" s="13" t="str">
        <f t="shared" si="0"/>
        <v xml:space="preserve">[]  / </v>
      </c>
      <c r="E37" s="10"/>
      <c r="F37" s="10"/>
    </row>
    <row r="38" spans="1:6" x14ac:dyDescent="0.25">
      <c r="A38" s="12"/>
      <c r="B38" s="12"/>
      <c r="C38" s="12"/>
      <c r="D38" s="13" t="str">
        <f t="shared" si="0"/>
        <v xml:space="preserve">[]  / </v>
      </c>
      <c r="E38" s="10"/>
      <c r="F38" s="10"/>
    </row>
    <row r="39" spans="1:6" x14ac:dyDescent="0.25">
      <c r="A39" s="12"/>
      <c r="B39" s="12"/>
      <c r="C39" s="12"/>
      <c r="D39" s="13" t="str">
        <f t="shared" si="0"/>
        <v xml:space="preserve">[]  / </v>
      </c>
      <c r="E39" s="10"/>
      <c r="F39" s="10"/>
    </row>
    <row r="40" spans="1:6" x14ac:dyDescent="0.25">
      <c r="A40" s="12"/>
      <c r="B40" s="12"/>
      <c r="C40" s="12"/>
      <c r="D40" s="13" t="str">
        <f t="shared" si="0"/>
        <v xml:space="preserve">[]  / </v>
      </c>
      <c r="E40" s="10"/>
      <c r="F40" s="10"/>
    </row>
    <row r="41" spans="1:6" x14ac:dyDescent="0.25">
      <c r="A41" s="12"/>
      <c r="B41" s="12"/>
      <c r="C41" s="12"/>
      <c r="D41" s="13" t="str">
        <f t="shared" si="0"/>
        <v xml:space="preserve">[]  / </v>
      </c>
      <c r="E41" s="10"/>
      <c r="F41" s="10"/>
    </row>
    <row r="42" spans="1:6" x14ac:dyDescent="0.25">
      <c r="A42" s="12"/>
      <c r="B42" s="12"/>
      <c r="C42" s="12"/>
      <c r="D42" s="13" t="str">
        <f t="shared" si="0"/>
        <v xml:space="preserve">[]  / </v>
      </c>
      <c r="E42" s="10"/>
      <c r="F42" s="10"/>
    </row>
    <row r="43" spans="1:6" x14ac:dyDescent="0.25">
      <c r="A43" s="12"/>
      <c r="B43" s="12"/>
      <c r="C43" s="12"/>
      <c r="D43" s="13" t="str">
        <f t="shared" si="0"/>
        <v xml:space="preserve">[]  / </v>
      </c>
      <c r="E43" s="10"/>
      <c r="F43" s="10"/>
    </row>
    <row r="44" spans="1:6" x14ac:dyDescent="0.25">
      <c r="A44" s="12"/>
      <c r="B44" s="12"/>
      <c r="C44" s="12"/>
      <c r="D44" s="13" t="str">
        <f t="shared" si="0"/>
        <v xml:space="preserve">[]  / </v>
      </c>
      <c r="E44" s="10"/>
      <c r="F44" s="10"/>
    </row>
    <row r="45" spans="1:6" x14ac:dyDescent="0.25">
      <c r="A45" s="12"/>
      <c r="B45" s="12"/>
      <c r="C45" s="12"/>
      <c r="D45" s="13" t="str">
        <f t="shared" si="0"/>
        <v xml:space="preserve">[]  / </v>
      </c>
      <c r="E45" s="10"/>
      <c r="F45" s="10"/>
    </row>
    <row r="46" spans="1:6" x14ac:dyDescent="0.25">
      <c r="A46" s="12"/>
      <c r="B46" s="12"/>
      <c r="C46" s="12"/>
      <c r="D46" s="13" t="str">
        <f t="shared" si="0"/>
        <v xml:space="preserve">[]  / </v>
      </c>
      <c r="E46" s="10"/>
      <c r="F46" s="10"/>
    </row>
    <row r="47" spans="1:6" x14ac:dyDescent="0.25">
      <c r="A47" s="12"/>
      <c r="B47" s="12"/>
      <c r="C47" s="12"/>
      <c r="D47" s="13" t="str">
        <f t="shared" si="0"/>
        <v xml:space="preserve">[]  / </v>
      </c>
      <c r="E47" s="10"/>
      <c r="F47" s="10"/>
    </row>
    <row r="48" spans="1:6" x14ac:dyDescent="0.25">
      <c r="A48" s="12"/>
      <c r="B48" s="12"/>
      <c r="C48" s="12"/>
      <c r="D48" s="13" t="str">
        <f t="shared" si="0"/>
        <v xml:space="preserve">[]  / </v>
      </c>
      <c r="E48" s="10"/>
      <c r="F48" s="10"/>
    </row>
    <row r="49" spans="1:6" x14ac:dyDescent="0.25">
      <c r="A49" s="12"/>
      <c r="B49" s="9"/>
      <c r="C49" s="9"/>
      <c r="D49" s="13" t="str">
        <f t="shared" si="0"/>
        <v xml:space="preserve">[]  / </v>
      </c>
      <c r="E49" s="10"/>
      <c r="F49" s="10"/>
    </row>
    <row r="50" spans="1:6" x14ac:dyDescent="0.25">
      <c r="A50" s="12"/>
      <c r="B50" s="9"/>
      <c r="C50" s="9"/>
      <c r="D50" s="13" t="str">
        <f t="shared" si="0"/>
        <v xml:space="preserve">[]  / </v>
      </c>
      <c r="E50" s="10"/>
      <c r="F50" s="10"/>
    </row>
    <row r="51" spans="1:6" x14ac:dyDescent="0.25">
      <c r="A51" s="12"/>
      <c r="B51" s="9"/>
      <c r="C51" s="9"/>
      <c r="D51" s="13" t="str">
        <f t="shared" si="0"/>
        <v xml:space="preserve">[]  / </v>
      </c>
      <c r="E51" s="10"/>
      <c r="F51" s="10"/>
    </row>
    <row r="52" spans="1:6" x14ac:dyDescent="0.25">
      <c r="A52" s="12"/>
      <c r="B52" s="9"/>
      <c r="C52" s="9"/>
      <c r="D52" s="13" t="str">
        <f t="shared" si="0"/>
        <v xml:space="preserve">[]  / </v>
      </c>
      <c r="E52" s="10"/>
      <c r="F52" s="10"/>
    </row>
    <row r="53" spans="1:6" x14ac:dyDescent="0.25">
      <c r="A53" s="12"/>
      <c r="B53" s="9"/>
      <c r="C53" s="9"/>
      <c r="D53" s="13" t="str">
        <f t="shared" si="0"/>
        <v xml:space="preserve">[]  / </v>
      </c>
      <c r="E53" s="10"/>
      <c r="F53" s="10"/>
    </row>
    <row r="54" spans="1:6" x14ac:dyDescent="0.25">
      <c r="A54" s="12"/>
      <c r="B54" s="9"/>
      <c r="C54" s="9"/>
      <c r="D54" s="13" t="str">
        <f t="shared" si="0"/>
        <v xml:space="preserve">[]  / </v>
      </c>
      <c r="E54" s="10"/>
      <c r="F54" s="10"/>
    </row>
    <row r="55" spans="1:6" x14ac:dyDescent="0.25">
      <c r="A55" s="12"/>
      <c r="B55" s="9"/>
      <c r="C55" s="9"/>
      <c r="D55" s="13" t="str">
        <f t="shared" si="0"/>
        <v xml:space="preserve">[]  / </v>
      </c>
      <c r="E55" s="10"/>
      <c r="F55" s="10"/>
    </row>
    <row r="56" spans="1:6" x14ac:dyDescent="0.25">
      <c r="A56" s="12"/>
      <c r="B56" s="9"/>
      <c r="C56" s="9"/>
      <c r="D56" s="13" t="str">
        <f t="shared" si="0"/>
        <v xml:space="preserve">[]  / </v>
      </c>
      <c r="E56" s="10"/>
      <c r="F56" s="10"/>
    </row>
    <row r="57" spans="1:6" x14ac:dyDescent="0.25">
      <c r="A57" s="12"/>
      <c r="B57" s="9"/>
      <c r="C57" s="9"/>
      <c r="D57" s="13" t="str">
        <f t="shared" si="0"/>
        <v xml:space="preserve">[]  / </v>
      </c>
      <c r="E57" s="10"/>
      <c r="F57" s="10"/>
    </row>
    <row r="58" spans="1:6" x14ac:dyDescent="0.25">
      <c r="A58" s="12"/>
      <c r="B58" s="9"/>
      <c r="C58" s="9"/>
      <c r="D58" s="13" t="str">
        <f t="shared" si="0"/>
        <v xml:space="preserve">[]  / </v>
      </c>
      <c r="E58" s="10"/>
      <c r="F58" s="10"/>
    </row>
  </sheetData>
  <sortState ref="A4:F25">
    <sortCondition ref="C4"/>
  </sortState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8" tint="-0.249977111117893"/>
  </sheetPr>
  <dimension ref="A2:F57"/>
  <sheetViews>
    <sheetView zoomScale="50" zoomScaleNormal="50" zoomScalePageLayoutView="90" workbookViewId="0">
      <selection activeCell="F2" sqref="F2"/>
    </sheetView>
  </sheetViews>
  <sheetFormatPr defaultColWidth="11" defaultRowHeight="15.75" x14ac:dyDescent="0.25"/>
  <cols>
    <col min="2" max="2" width="64.125" customWidth="1"/>
    <col min="3" max="3" width="47.125" customWidth="1"/>
    <col min="4" max="4" width="64.125" customWidth="1"/>
    <col min="5" max="5" width="14.5" customWidth="1"/>
    <col min="6" max="6" width="17.625" customWidth="1"/>
  </cols>
  <sheetData>
    <row r="2" spans="1:6" x14ac:dyDescent="0.25">
      <c r="E2">
        <f>SUM(E4:E57)</f>
        <v>0</v>
      </c>
      <c r="F2">
        <f>SUM(F4:F57)</f>
        <v>23</v>
      </c>
    </row>
    <row r="3" spans="1:6" ht="42" customHeight="1" x14ac:dyDescent="0.35">
      <c r="A3" s="1" t="s">
        <v>299</v>
      </c>
      <c r="B3" s="1" t="s">
        <v>298</v>
      </c>
      <c r="C3" s="1" t="s">
        <v>399</v>
      </c>
      <c r="D3" s="1" t="s">
        <v>0</v>
      </c>
      <c r="E3" s="2">
        <v>0</v>
      </c>
      <c r="F3" s="2">
        <v>23</v>
      </c>
    </row>
    <row r="4" spans="1:6" x14ac:dyDescent="0.25">
      <c r="A4" s="9" t="s">
        <v>299</v>
      </c>
      <c r="B4" s="9" t="s">
        <v>298</v>
      </c>
      <c r="C4" s="9" t="s">
        <v>399</v>
      </c>
      <c r="D4" s="9" t="str">
        <f t="shared" ref="D4:D57" si="0">CONCATENATE(IF(LEN(CONCATENATE("[",A4,"] ",B4))&lt;=60,CONCATENATE("[",A4,"] ",B4),CONCATENATE("[",A4,"] ",LEFT(B4,30)," … ",RIGHT(B4,30))), " / ", C4)</f>
        <v>[CCTASK-527] SSE Bridge / RTD</v>
      </c>
      <c r="E4" s="10">
        <v>0</v>
      </c>
      <c r="F4" s="10">
        <v>23</v>
      </c>
    </row>
    <row r="5" spans="1:6" x14ac:dyDescent="0.25">
      <c r="A5" s="9"/>
      <c r="B5" s="9"/>
      <c r="C5" s="9"/>
      <c r="D5" s="9" t="str">
        <f t="shared" si="0"/>
        <v xml:space="preserve">[]  / </v>
      </c>
      <c r="E5" s="10"/>
      <c r="F5" s="10"/>
    </row>
    <row r="6" spans="1:6" x14ac:dyDescent="0.25">
      <c r="A6" s="9"/>
      <c r="B6" s="9"/>
      <c r="C6" s="9"/>
      <c r="D6" s="9" t="str">
        <f t="shared" si="0"/>
        <v xml:space="preserve">[]  / </v>
      </c>
      <c r="E6" s="10"/>
      <c r="F6" s="10"/>
    </row>
    <row r="7" spans="1:6" x14ac:dyDescent="0.25">
      <c r="A7" s="9"/>
      <c r="B7" s="9"/>
      <c r="C7" s="9"/>
      <c r="D7" s="9" t="str">
        <f t="shared" si="0"/>
        <v xml:space="preserve">[]  / </v>
      </c>
      <c r="E7" s="10"/>
      <c r="F7" s="10"/>
    </row>
    <row r="8" spans="1:6" x14ac:dyDescent="0.25">
      <c r="A8" s="9"/>
      <c r="B8" s="9"/>
      <c r="C8" s="9"/>
      <c r="D8" s="9" t="str">
        <f t="shared" si="0"/>
        <v xml:space="preserve">[]  / </v>
      </c>
      <c r="E8" s="10"/>
      <c r="F8" s="10"/>
    </row>
    <row r="9" spans="1:6" x14ac:dyDescent="0.25">
      <c r="A9" s="9"/>
      <c r="B9" s="9"/>
      <c r="C9" s="9"/>
      <c r="D9" s="9" t="str">
        <f t="shared" si="0"/>
        <v xml:space="preserve">[]  / </v>
      </c>
      <c r="E9" s="10"/>
      <c r="F9" s="10"/>
    </row>
    <row r="10" spans="1:6" x14ac:dyDescent="0.25">
      <c r="A10" s="9"/>
      <c r="B10" s="9"/>
      <c r="C10" s="9"/>
      <c r="D10" s="9" t="str">
        <f t="shared" si="0"/>
        <v xml:space="preserve">[]  / </v>
      </c>
      <c r="E10" s="10"/>
      <c r="F10" s="10"/>
    </row>
    <row r="11" spans="1:6" x14ac:dyDescent="0.25">
      <c r="A11" s="9"/>
      <c r="B11" s="9"/>
      <c r="C11" s="9"/>
      <c r="D11" s="9" t="str">
        <f t="shared" si="0"/>
        <v xml:space="preserve">[]  / </v>
      </c>
      <c r="E11" s="10"/>
      <c r="F11" s="10"/>
    </row>
    <row r="12" spans="1:6" x14ac:dyDescent="0.25">
      <c r="A12" s="9"/>
      <c r="B12" s="9"/>
      <c r="C12" s="9"/>
      <c r="D12" s="9" t="str">
        <f t="shared" si="0"/>
        <v xml:space="preserve">[]  / </v>
      </c>
      <c r="E12" s="10"/>
      <c r="F12" s="10"/>
    </row>
    <row r="13" spans="1:6" x14ac:dyDescent="0.25">
      <c r="A13" s="9"/>
      <c r="B13" s="9"/>
      <c r="C13" s="9"/>
      <c r="D13" s="9" t="str">
        <f t="shared" si="0"/>
        <v xml:space="preserve">[]  / </v>
      </c>
      <c r="E13" s="10"/>
      <c r="F13" s="10"/>
    </row>
    <row r="14" spans="1:6" x14ac:dyDescent="0.25">
      <c r="A14" s="9"/>
      <c r="B14" s="9"/>
      <c r="C14" s="9"/>
      <c r="D14" s="9" t="str">
        <f t="shared" si="0"/>
        <v xml:space="preserve">[]  / </v>
      </c>
      <c r="E14" s="10"/>
      <c r="F14" s="10"/>
    </row>
    <row r="15" spans="1:6" x14ac:dyDescent="0.25">
      <c r="A15" s="9"/>
      <c r="B15" s="9"/>
      <c r="C15" s="9"/>
      <c r="D15" s="9" t="str">
        <f t="shared" si="0"/>
        <v xml:space="preserve">[]  / </v>
      </c>
      <c r="E15" s="10"/>
      <c r="F15" s="10"/>
    </row>
    <row r="16" spans="1:6" x14ac:dyDescent="0.25">
      <c r="A16" s="9"/>
      <c r="B16" s="9"/>
      <c r="C16" s="9"/>
      <c r="D16" s="9" t="str">
        <f t="shared" si="0"/>
        <v xml:space="preserve">[]  / </v>
      </c>
      <c r="E16" s="10"/>
      <c r="F16" s="10"/>
    </row>
    <row r="17" spans="1:6" x14ac:dyDescent="0.25">
      <c r="A17" s="9"/>
      <c r="B17" s="9"/>
      <c r="C17" s="9"/>
      <c r="D17" s="9" t="str">
        <f t="shared" si="0"/>
        <v xml:space="preserve">[]  / </v>
      </c>
      <c r="E17" s="10"/>
      <c r="F17" s="10"/>
    </row>
    <row r="18" spans="1:6" x14ac:dyDescent="0.25">
      <c r="A18" s="9"/>
      <c r="B18" s="9"/>
      <c r="C18" s="9"/>
      <c r="D18" s="9" t="str">
        <f t="shared" si="0"/>
        <v xml:space="preserve">[]  / </v>
      </c>
      <c r="E18" s="10"/>
      <c r="F18" s="10"/>
    </row>
    <row r="19" spans="1:6" x14ac:dyDescent="0.25">
      <c r="A19" s="9"/>
      <c r="B19" s="9"/>
      <c r="C19" s="9"/>
      <c r="D19" s="9" t="str">
        <f t="shared" si="0"/>
        <v xml:space="preserve">[]  / </v>
      </c>
      <c r="E19" s="10"/>
      <c r="F19" s="10"/>
    </row>
    <row r="20" spans="1:6" x14ac:dyDescent="0.25">
      <c r="A20" s="9"/>
      <c r="B20" s="9"/>
      <c r="C20" s="9"/>
      <c r="D20" s="9" t="str">
        <f t="shared" si="0"/>
        <v xml:space="preserve">[]  / </v>
      </c>
      <c r="E20" s="10"/>
      <c r="F20" s="10"/>
    </row>
    <row r="21" spans="1:6" x14ac:dyDescent="0.25">
      <c r="A21" s="9"/>
      <c r="B21" s="9"/>
      <c r="C21" s="9"/>
      <c r="D21" s="9" t="str">
        <f t="shared" si="0"/>
        <v xml:space="preserve">[]  / </v>
      </c>
      <c r="E21" s="10"/>
      <c r="F21" s="10"/>
    </row>
    <row r="22" spans="1:6" x14ac:dyDescent="0.25">
      <c r="A22" s="9"/>
      <c r="B22" s="9"/>
      <c r="C22" s="9"/>
      <c r="D22" s="9" t="str">
        <f t="shared" si="0"/>
        <v xml:space="preserve">[]  / </v>
      </c>
      <c r="E22" s="10"/>
      <c r="F22" s="10"/>
    </row>
    <row r="23" spans="1:6" x14ac:dyDescent="0.25">
      <c r="A23" s="9"/>
      <c r="B23" s="9"/>
      <c r="C23" s="9"/>
      <c r="D23" s="9" t="str">
        <f t="shared" si="0"/>
        <v xml:space="preserve">[]  / </v>
      </c>
      <c r="E23" s="10"/>
      <c r="F23" s="10"/>
    </row>
    <row r="24" spans="1:6" x14ac:dyDescent="0.25">
      <c r="A24" s="9"/>
      <c r="B24" s="9"/>
      <c r="C24" s="9"/>
      <c r="D24" s="9" t="str">
        <f t="shared" si="0"/>
        <v xml:space="preserve">[]  / </v>
      </c>
      <c r="E24" s="10"/>
      <c r="F24" s="10"/>
    </row>
    <row r="25" spans="1:6" x14ac:dyDescent="0.25">
      <c r="A25" s="9"/>
      <c r="B25" s="9"/>
      <c r="C25" s="9"/>
      <c r="D25" s="9" t="str">
        <f t="shared" si="0"/>
        <v xml:space="preserve">[]  / </v>
      </c>
      <c r="E25" s="10"/>
      <c r="F25" s="10"/>
    </row>
    <row r="26" spans="1:6" x14ac:dyDescent="0.25">
      <c r="A26" s="9"/>
      <c r="B26" s="9"/>
      <c r="C26" s="9"/>
      <c r="D26" s="9" t="str">
        <f t="shared" si="0"/>
        <v xml:space="preserve">[]  / </v>
      </c>
      <c r="E26" s="10"/>
      <c r="F26" s="10"/>
    </row>
    <row r="27" spans="1:6" x14ac:dyDescent="0.25">
      <c r="A27" s="9"/>
      <c r="B27" s="9"/>
      <c r="C27" s="9"/>
      <c r="D27" s="9" t="str">
        <f t="shared" si="0"/>
        <v xml:space="preserve">[]  / </v>
      </c>
      <c r="E27" s="10"/>
      <c r="F27" s="10"/>
    </row>
    <row r="28" spans="1:6" x14ac:dyDescent="0.25">
      <c r="A28" s="9"/>
      <c r="B28" s="9"/>
      <c r="C28" s="9"/>
      <c r="D28" s="9" t="str">
        <f t="shared" si="0"/>
        <v xml:space="preserve">[]  / </v>
      </c>
      <c r="E28" s="10"/>
      <c r="F28" s="10"/>
    </row>
    <row r="29" spans="1:6" x14ac:dyDescent="0.25">
      <c r="A29" s="9"/>
      <c r="B29" s="9"/>
      <c r="C29" s="9"/>
      <c r="D29" s="9" t="str">
        <f t="shared" si="0"/>
        <v xml:space="preserve">[]  / </v>
      </c>
      <c r="E29" s="10"/>
      <c r="F29" s="10"/>
    </row>
    <row r="30" spans="1:6" x14ac:dyDescent="0.25">
      <c r="A30" s="9"/>
      <c r="B30" s="9"/>
      <c r="C30" s="9"/>
      <c r="D30" s="9" t="str">
        <f t="shared" si="0"/>
        <v xml:space="preserve">[]  / </v>
      </c>
      <c r="E30" s="10"/>
      <c r="F30" s="10"/>
    </row>
    <row r="31" spans="1:6" x14ac:dyDescent="0.25">
      <c r="A31" s="9"/>
      <c r="B31" s="9"/>
      <c r="C31" s="9"/>
      <c r="D31" s="9" t="str">
        <f t="shared" si="0"/>
        <v xml:space="preserve">[]  / </v>
      </c>
      <c r="E31" s="10"/>
      <c r="F31" s="10"/>
    </row>
    <row r="32" spans="1:6" x14ac:dyDescent="0.25">
      <c r="A32" s="9"/>
      <c r="B32" s="9"/>
      <c r="C32" s="9"/>
      <c r="D32" s="9" t="str">
        <f t="shared" si="0"/>
        <v xml:space="preserve">[]  / </v>
      </c>
      <c r="E32" s="10"/>
      <c r="F32" s="10"/>
    </row>
    <row r="33" spans="1:6" x14ac:dyDescent="0.25">
      <c r="A33" s="9"/>
      <c r="B33" s="9"/>
      <c r="C33" s="9"/>
      <c r="D33" s="9" t="str">
        <f t="shared" si="0"/>
        <v xml:space="preserve">[]  / </v>
      </c>
      <c r="E33" s="10"/>
      <c r="F33" s="10"/>
    </row>
    <row r="34" spans="1:6" x14ac:dyDescent="0.25">
      <c r="A34" s="9"/>
      <c r="B34" s="9"/>
      <c r="C34" s="9"/>
      <c r="D34" s="9" t="str">
        <f t="shared" si="0"/>
        <v xml:space="preserve">[]  / </v>
      </c>
      <c r="E34" s="10"/>
      <c r="F34" s="10"/>
    </row>
    <row r="35" spans="1:6" x14ac:dyDescent="0.25">
      <c r="A35" s="9"/>
      <c r="B35" s="9"/>
      <c r="C35" s="9"/>
      <c r="D35" s="9" t="str">
        <f t="shared" si="0"/>
        <v xml:space="preserve">[]  / </v>
      </c>
      <c r="E35" s="10"/>
      <c r="F35" s="10"/>
    </row>
    <row r="36" spans="1:6" x14ac:dyDescent="0.25">
      <c r="A36" s="9"/>
      <c r="B36" s="9"/>
      <c r="C36" s="9"/>
      <c r="D36" s="9" t="str">
        <f t="shared" si="0"/>
        <v xml:space="preserve">[]  / </v>
      </c>
      <c r="E36" s="10"/>
      <c r="F36" s="10"/>
    </row>
    <row r="37" spans="1:6" x14ac:dyDescent="0.25">
      <c r="A37" s="9"/>
      <c r="B37" s="9"/>
      <c r="C37" s="9"/>
      <c r="D37" s="9" t="str">
        <f t="shared" si="0"/>
        <v xml:space="preserve">[]  / </v>
      </c>
      <c r="E37" s="10"/>
      <c r="F37" s="10"/>
    </row>
    <row r="38" spans="1:6" x14ac:dyDescent="0.25">
      <c r="A38" s="9"/>
      <c r="B38" s="9"/>
      <c r="C38" s="9"/>
      <c r="D38" s="9" t="str">
        <f t="shared" si="0"/>
        <v xml:space="preserve">[]  / </v>
      </c>
      <c r="E38" s="10"/>
      <c r="F38" s="10"/>
    </row>
    <row r="39" spans="1:6" x14ac:dyDescent="0.25">
      <c r="A39" s="9"/>
      <c r="B39" s="9"/>
      <c r="C39" s="9"/>
      <c r="D39" s="9" t="str">
        <f t="shared" si="0"/>
        <v xml:space="preserve">[]  / </v>
      </c>
      <c r="E39" s="10"/>
      <c r="F39" s="10"/>
    </row>
    <row r="40" spans="1:6" x14ac:dyDescent="0.25">
      <c r="A40" s="9"/>
      <c r="B40" s="9"/>
      <c r="C40" s="9"/>
      <c r="D40" s="9" t="str">
        <f t="shared" si="0"/>
        <v xml:space="preserve">[]  / </v>
      </c>
      <c r="E40" s="10"/>
      <c r="F40" s="10"/>
    </row>
    <row r="41" spans="1:6" x14ac:dyDescent="0.25">
      <c r="A41" s="9"/>
      <c r="B41" s="9"/>
      <c r="C41" s="9"/>
      <c r="D41" s="9" t="str">
        <f t="shared" si="0"/>
        <v xml:space="preserve">[]  / </v>
      </c>
      <c r="E41" s="10"/>
      <c r="F41" s="10"/>
    </row>
    <row r="42" spans="1:6" x14ac:dyDescent="0.25">
      <c r="A42" s="9"/>
      <c r="B42" s="9"/>
      <c r="C42" s="9"/>
      <c r="D42" s="9" t="str">
        <f t="shared" si="0"/>
        <v xml:space="preserve">[]  / </v>
      </c>
      <c r="E42" s="10"/>
      <c r="F42" s="10"/>
    </row>
    <row r="43" spans="1:6" x14ac:dyDescent="0.25">
      <c r="A43" s="9"/>
      <c r="B43" s="9"/>
      <c r="C43" s="9"/>
      <c r="D43" s="9" t="str">
        <f t="shared" si="0"/>
        <v xml:space="preserve">[]  / </v>
      </c>
      <c r="E43" s="10"/>
      <c r="F43" s="10"/>
    </row>
    <row r="44" spans="1:6" x14ac:dyDescent="0.25">
      <c r="A44" s="9"/>
      <c r="B44" s="9"/>
      <c r="C44" s="9"/>
      <c r="D44" s="9" t="str">
        <f t="shared" si="0"/>
        <v xml:space="preserve">[]  / </v>
      </c>
      <c r="E44" s="10"/>
      <c r="F44" s="10"/>
    </row>
    <row r="45" spans="1:6" x14ac:dyDescent="0.25">
      <c r="A45" s="9"/>
      <c r="B45" s="9"/>
      <c r="C45" s="9"/>
      <c r="D45" s="9" t="str">
        <f t="shared" si="0"/>
        <v xml:space="preserve">[]  / </v>
      </c>
      <c r="E45" s="10"/>
      <c r="F45" s="10"/>
    </row>
    <row r="46" spans="1:6" x14ac:dyDescent="0.25">
      <c r="A46" s="9"/>
      <c r="B46" s="9"/>
      <c r="C46" s="9"/>
      <c r="D46" s="9" t="str">
        <f t="shared" si="0"/>
        <v xml:space="preserve">[]  / </v>
      </c>
      <c r="E46" s="10"/>
      <c r="F46" s="10"/>
    </row>
    <row r="47" spans="1:6" x14ac:dyDescent="0.25">
      <c r="A47" s="9"/>
      <c r="B47" s="9"/>
      <c r="C47" s="9"/>
      <c r="D47" s="9" t="str">
        <f t="shared" si="0"/>
        <v xml:space="preserve">[]  / </v>
      </c>
      <c r="E47" s="10"/>
      <c r="F47" s="10"/>
    </row>
    <row r="48" spans="1:6" x14ac:dyDescent="0.25">
      <c r="A48" s="9"/>
      <c r="B48" s="9"/>
      <c r="C48" s="9"/>
      <c r="D48" s="9" t="str">
        <f t="shared" si="0"/>
        <v xml:space="preserve">[]  / </v>
      </c>
      <c r="E48" s="10"/>
      <c r="F48" s="10"/>
    </row>
    <row r="49" spans="1:6" x14ac:dyDescent="0.25">
      <c r="A49" s="9"/>
      <c r="B49" s="9"/>
      <c r="C49" s="9"/>
      <c r="D49" s="9" t="str">
        <f t="shared" si="0"/>
        <v xml:space="preserve">[]  / </v>
      </c>
      <c r="E49" s="10"/>
      <c r="F49" s="10"/>
    </row>
    <row r="50" spans="1:6" x14ac:dyDescent="0.25">
      <c r="A50" s="9"/>
      <c r="B50" s="9"/>
      <c r="C50" s="9"/>
      <c r="D50" s="9" t="str">
        <f t="shared" si="0"/>
        <v xml:space="preserve">[]  / </v>
      </c>
      <c r="E50" s="10"/>
      <c r="F50" s="10"/>
    </row>
    <row r="51" spans="1:6" x14ac:dyDescent="0.25">
      <c r="A51" s="9"/>
      <c r="B51" s="9"/>
      <c r="C51" s="9"/>
      <c r="D51" s="9" t="str">
        <f t="shared" si="0"/>
        <v xml:space="preserve">[]  / </v>
      </c>
      <c r="E51" s="10"/>
      <c r="F51" s="10"/>
    </row>
    <row r="52" spans="1:6" x14ac:dyDescent="0.25">
      <c r="A52" s="9"/>
      <c r="B52" s="9"/>
      <c r="C52" s="9"/>
      <c r="D52" s="9" t="str">
        <f t="shared" si="0"/>
        <v xml:space="preserve">[]  / </v>
      </c>
      <c r="E52" s="10"/>
      <c r="F52" s="10"/>
    </row>
    <row r="53" spans="1:6" x14ac:dyDescent="0.25">
      <c r="A53" s="9"/>
      <c r="B53" s="9"/>
      <c r="C53" s="9"/>
      <c r="D53" s="9" t="str">
        <f t="shared" si="0"/>
        <v xml:space="preserve">[]  / </v>
      </c>
      <c r="E53" s="10"/>
      <c r="F53" s="10"/>
    </row>
    <row r="54" spans="1:6" x14ac:dyDescent="0.25">
      <c r="A54" s="9"/>
      <c r="B54" s="9"/>
      <c r="C54" s="9"/>
      <c r="D54" s="9" t="str">
        <f t="shared" si="0"/>
        <v xml:space="preserve">[]  / </v>
      </c>
      <c r="E54" s="10"/>
      <c r="F54" s="10"/>
    </row>
    <row r="55" spans="1:6" x14ac:dyDescent="0.25">
      <c r="A55" s="9"/>
      <c r="B55" s="9"/>
      <c r="C55" s="9"/>
      <c r="D55" s="9" t="str">
        <f t="shared" si="0"/>
        <v xml:space="preserve">[]  / </v>
      </c>
      <c r="E55" s="10"/>
      <c r="F55" s="10"/>
    </row>
    <row r="56" spans="1:6" x14ac:dyDescent="0.25">
      <c r="A56" s="9"/>
      <c r="B56" s="9"/>
      <c r="C56" s="9"/>
      <c r="D56" s="9" t="str">
        <f t="shared" si="0"/>
        <v xml:space="preserve">[]  / </v>
      </c>
      <c r="E56" s="10"/>
      <c r="F56" s="10"/>
    </row>
    <row r="57" spans="1:6" x14ac:dyDescent="0.25">
      <c r="A57" s="9"/>
      <c r="B57" s="9"/>
      <c r="C57" s="9"/>
      <c r="D57" s="9" t="str">
        <f t="shared" si="0"/>
        <v xml:space="preserve">[]  / </v>
      </c>
      <c r="E57" s="10"/>
      <c r="F57" s="10"/>
    </row>
  </sheetData>
  <sortState ref="A4:F4">
    <sortCondition ref="C4"/>
  </sortState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8" tint="-0.249977111117893"/>
  </sheetPr>
  <dimension ref="A1:K51"/>
  <sheetViews>
    <sheetView topLeftCell="A13" workbookViewId="0">
      <selection activeCell="R48" sqref="R48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414</v>
      </c>
      <c r="B1" s="4"/>
      <c r="C1" s="4" t="s">
        <v>3</v>
      </c>
      <c r="D1" s="14" t="s">
        <v>415</v>
      </c>
      <c r="E1" s="14" t="s">
        <v>416</v>
      </c>
      <c r="F1" s="14" t="s">
        <v>417</v>
      </c>
      <c r="G1" s="14" t="s">
        <v>19</v>
      </c>
      <c r="H1" s="14" t="s">
        <v>418</v>
      </c>
      <c r="I1" s="14" t="s">
        <v>419</v>
      </c>
      <c r="J1" s="14" t="s">
        <v>420</v>
      </c>
      <c r="K1" s="14" t="s">
        <v>15</v>
      </c>
    </row>
    <row r="2" spans="1:11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2</v>
      </c>
      <c r="E38" s="22">
        <v>2</v>
      </c>
      <c r="F38" s="22">
        <v>4</v>
      </c>
      <c r="G38" s="22">
        <v>5</v>
      </c>
      <c r="H38" s="22">
        <v>1</v>
      </c>
      <c r="I38" s="22">
        <v>0</v>
      </c>
      <c r="J38" s="22">
        <v>0</v>
      </c>
      <c r="K38" s="22">
        <v>6</v>
      </c>
    </row>
    <row r="39" spans="1:11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2</v>
      </c>
      <c r="E39" s="22">
        <v>2</v>
      </c>
      <c r="F39" s="22">
        <v>4</v>
      </c>
      <c r="G39" s="22">
        <v>5</v>
      </c>
      <c r="H39" s="22">
        <v>1</v>
      </c>
      <c r="I39" s="22">
        <v>0</v>
      </c>
      <c r="J39" s="22">
        <v>0</v>
      </c>
      <c r="K39" s="22">
        <v>6</v>
      </c>
    </row>
    <row r="40" spans="1:11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2</v>
      </c>
      <c r="E40" s="22">
        <v>2</v>
      </c>
      <c r="F40" s="22">
        <v>4</v>
      </c>
      <c r="G40" s="22">
        <v>5</v>
      </c>
      <c r="H40" s="22">
        <v>1</v>
      </c>
      <c r="I40" s="22">
        <v>0</v>
      </c>
      <c r="J40" s="22">
        <v>0</v>
      </c>
      <c r="K40" s="22">
        <v>6</v>
      </c>
    </row>
    <row r="41" spans="1:11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2</v>
      </c>
      <c r="E41" s="22">
        <v>2</v>
      </c>
      <c r="F41" s="22">
        <v>4</v>
      </c>
      <c r="G41" s="22">
        <v>5</v>
      </c>
      <c r="H41" s="22">
        <v>1</v>
      </c>
      <c r="I41" s="22">
        <v>0</v>
      </c>
      <c r="J41" s="22">
        <v>0</v>
      </c>
      <c r="K41" s="22">
        <v>6</v>
      </c>
    </row>
    <row r="42" spans="1:11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2</v>
      </c>
      <c r="E42" s="22">
        <v>2</v>
      </c>
      <c r="F42" s="22">
        <v>4</v>
      </c>
      <c r="G42" s="22">
        <v>5</v>
      </c>
      <c r="H42" s="22">
        <v>1</v>
      </c>
      <c r="I42" s="22">
        <v>0</v>
      </c>
      <c r="J42" s="22">
        <v>0</v>
      </c>
      <c r="K42" s="22">
        <v>6</v>
      </c>
    </row>
    <row r="43" spans="1:11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2</v>
      </c>
      <c r="E43" s="22">
        <v>2</v>
      </c>
      <c r="F43" s="22">
        <v>4</v>
      </c>
      <c r="G43" s="22">
        <v>5</v>
      </c>
      <c r="H43" s="22">
        <v>1</v>
      </c>
      <c r="I43" s="22">
        <v>0</v>
      </c>
      <c r="J43" s="22">
        <v>0</v>
      </c>
      <c r="K43" s="22">
        <v>6</v>
      </c>
    </row>
    <row r="44" spans="1:11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2</v>
      </c>
      <c r="E44" s="22">
        <v>2</v>
      </c>
      <c r="F44" s="22">
        <v>4</v>
      </c>
      <c r="G44" s="22">
        <v>5</v>
      </c>
      <c r="H44" s="22">
        <v>1</v>
      </c>
      <c r="I44" s="22">
        <v>0</v>
      </c>
      <c r="J44" s="22">
        <v>0</v>
      </c>
      <c r="K44" s="22">
        <v>6</v>
      </c>
    </row>
    <row r="45" spans="1:11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2</v>
      </c>
      <c r="E45" s="22">
        <v>2</v>
      </c>
      <c r="F45" s="22">
        <v>4</v>
      </c>
      <c r="G45" s="22">
        <v>5</v>
      </c>
      <c r="H45" s="22">
        <v>1</v>
      </c>
      <c r="I45" s="22">
        <v>0</v>
      </c>
      <c r="J45" s="22">
        <v>0</v>
      </c>
      <c r="K45" s="22">
        <v>6</v>
      </c>
    </row>
    <row r="46" spans="1:11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2</v>
      </c>
      <c r="E46" s="22">
        <v>2</v>
      </c>
      <c r="F46" s="22">
        <v>4</v>
      </c>
      <c r="G46" s="22">
        <v>5</v>
      </c>
      <c r="H46" s="22">
        <v>1</v>
      </c>
      <c r="I46" s="22">
        <v>0</v>
      </c>
      <c r="J46" s="22">
        <v>0</v>
      </c>
      <c r="K46" s="22">
        <v>6</v>
      </c>
    </row>
    <row r="47" spans="1:11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2</v>
      </c>
      <c r="E47" s="22">
        <v>2</v>
      </c>
      <c r="F47" s="22">
        <v>4</v>
      </c>
      <c r="G47" s="22">
        <v>5</v>
      </c>
      <c r="H47" s="22">
        <v>1</v>
      </c>
      <c r="I47" s="22">
        <v>0</v>
      </c>
      <c r="J47" s="22">
        <v>0</v>
      </c>
      <c r="K47" s="22">
        <v>6</v>
      </c>
    </row>
    <row r="48" spans="1:11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2</v>
      </c>
      <c r="E48" s="22">
        <v>2</v>
      </c>
      <c r="F48" s="22">
        <v>4</v>
      </c>
      <c r="G48" s="22">
        <v>5</v>
      </c>
      <c r="H48" s="22">
        <v>1</v>
      </c>
      <c r="I48" s="22">
        <v>0</v>
      </c>
      <c r="J48" s="22">
        <v>0</v>
      </c>
      <c r="K48" s="22">
        <v>6</v>
      </c>
    </row>
    <row r="49" spans="1:11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2</v>
      </c>
      <c r="E49" s="22">
        <v>2</v>
      </c>
      <c r="F49" s="22">
        <v>4</v>
      </c>
      <c r="G49" s="22">
        <v>5</v>
      </c>
      <c r="H49" s="22">
        <v>1</v>
      </c>
      <c r="I49" s="22">
        <v>0</v>
      </c>
      <c r="J49" s="22">
        <v>0</v>
      </c>
      <c r="K49" s="22">
        <v>6</v>
      </c>
    </row>
    <row r="50" spans="1:11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2</v>
      </c>
      <c r="E50" s="22">
        <v>2</v>
      </c>
      <c r="F50" s="22">
        <v>4</v>
      </c>
      <c r="G50" s="22">
        <v>5</v>
      </c>
      <c r="H50" s="22">
        <v>1</v>
      </c>
      <c r="I50" s="22">
        <v>0</v>
      </c>
      <c r="J50" s="22">
        <v>0</v>
      </c>
      <c r="K50" s="22">
        <v>6</v>
      </c>
    </row>
    <row r="51" spans="1:11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2</v>
      </c>
      <c r="E51" s="22">
        <v>2</v>
      </c>
      <c r="F51" s="22">
        <v>4</v>
      </c>
      <c r="G51" s="22">
        <v>5</v>
      </c>
      <c r="H51" s="22">
        <v>1</v>
      </c>
      <c r="I51" s="22">
        <v>0</v>
      </c>
      <c r="J51" s="22">
        <v>0</v>
      </c>
      <c r="K51" s="22">
        <v>6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8" tint="-0.249977111117893"/>
  </sheetPr>
  <dimension ref="A1:K51"/>
  <sheetViews>
    <sheetView topLeftCell="A10" workbookViewId="0">
      <selection activeCell="R48" sqref="R48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414</v>
      </c>
      <c r="B1" s="4"/>
      <c r="C1" s="4" t="s">
        <v>3</v>
      </c>
      <c r="D1" s="14" t="s">
        <v>415</v>
      </c>
      <c r="E1" s="14" t="s">
        <v>416</v>
      </c>
      <c r="F1" s="14" t="s">
        <v>417</v>
      </c>
      <c r="G1" s="14" t="s">
        <v>19</v>
      </c>
      <c r="H1" s="14" t="s">
        <v>418</v>
      </c>
      <c r="I1" s="14" t="s">
        <v>419</v>
      </c>
      <c r="J1" s="14" t="s">
        <v>420</v>
      </c>
      <c r="K1" s="14" t="s">
        <v>15</v>
      </c>
    </row>
    <row r="2" spans="1:11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2</v>
      </c>
      <c r="G37" s="22">
        <v>4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0</v>
      </c>
      <c r="E38" s="22">
        <v>0</v>
      </c>
      <c r="F38" s="22">
        <v>0</v>
      </c>
      <c r="G38" s="22">
        <v>1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0</v>
      </c>
      <c r="E39" s="22">
        <v>0</v>
      </c>
      <c r="F39" s="22">
        <v>0</v>
      </c>
      <c r="G39" s="22">
        <v>1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1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1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1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1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1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1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1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1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1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1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1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1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8" tint="-0.249977111117893"/>
  </sheetPr>
  <dimension ref="A1:H51"/>
  <sheetViews>
    <sheetView topLeftCell="A10" workbookViewId="0">
      <selection activeCell="R48" sqref="R48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8" width="3" style="3" customWidth="1"/>
    <col min="9" max="16384" width="8.875" style="3"/>
  </cols>
  <sheetData>
    <row r="1" spans="1:8" ht="67.5" thickBot="1" x14ac:dyDescent="0.35">
      <c r="A1" s="4" t="s">
        <v>414</v>
      </c>
      <c r="B1" s="4"/>
      <c r="C1" s="4" t="s">
        <v>3</v>
      </c>
      <c r="D1" s="14" t="s">
        <v>13</v>
      </c>
      <c r="E1" s="14" t="s">
        <v>14</v>
      </c>
      <c r="F1" s="14" t="s">
        <v>16</v>
      </c>
      <c r="G1" s="14" t="s">
        <v>635</v>
      </c>
      <c r="H1" s="14" t="s">
        <v>15</v>
      </c>
    </row>
    <row r="2" spans="1:8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</row>
    <row r="3" spans="1:8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</row>
    <row r="4" spans="1:8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</row>
    <row r="5" spans="1:8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</row>
    <row r="6" spans="1:8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</row>
    <row r="7" spans="1:8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</row>
    <row r="8" spans="1:8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</row>
    <row r="9" spans="1:8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8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</row>
    <row r="11" spans="1:8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</row>
    <row r="12" spans="1:8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</row>
    <row r="13" spans="1:8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</row>
    <row r="14" spans="1:8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</row>
    <row r="15" spans="1:8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</row>
    <row r="16" spans="1:8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</row>
    <row r="17" spans="1:8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</row>
    <row r="18" spans="1:8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</row>
    <row r="19" spans="1:8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</row>
    <row r="20" spans="1:8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</row>
    <row r="21" spans="1:8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</row>
    <row r="22" spans="1:8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</row>
    <row r="23" spans="1:8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</row>
    <row r="24" spans="1:8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</row>
    <row r="25" spans="1:8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</row>
    <row r="26" spans="1:8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</row>
    <row r="27" spans="1:8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</row>
    <row r="28" spans="1:8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</row>
    <row r="29" spans="1:8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</row>
    <row r="30" spans="1:8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</row>
    <row r="31" spans="1:8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</row>
    <row r="32" spans="1:8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</row>
    <row r="33" spans="1:8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</row>
    <row r="34" spans="1:8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</row>
    <row r="35" spans="1:8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</row>
    <row r="36" spans="1:8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</row>
    <row r="37" spans="1:8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</row>
    <row r="38" spans="1:8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22</v>
      </c>
      <c r="E38" s="22">
        <v>11</v>
      </c>
      <c r="F38" s="22">
        <v>5</v>
      </c>
      <c r="G38" s="22">
        <v>1</v>
      </c>
      <c r="H38" s="22">
        <v>38</v>
      </c>
    </row>
    <row r="39" spans="1:8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22</v>
      </c>
      <c r="E39" s="22">
        <v>11</v>
      </c>
      <c r="F39" s="22">
        <v>5</v>
      </c>
      <c r="G39" s="22">
        <v>1</v>
      </c>
      <c r="H39" s="22">
        <v>38</v>
      </c>
    </row>
    <row r="40" spans="1:8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22</v>
      </c>
      <c r="E40" s="22">
        <v>11</v>
      </c>
      <c r="F40" s="22">
        <v>5</v>
      </c>
      <c r="G40" s="22">
        <v>1</v>
      </c>
      <c r="H40" s="22">
        <v>38</v>
      </c>
    </row>
    <row r="41" spans="1:8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22</v>
      </c>
      <c r="E41" s="22">
        <v>11</v>
      </c>
      <c r="F41" s="22">
        <v>5</v>
      </c>
      <c r="G41" s="22">
        <v>1</v>
      </c>
      <c r="H41" s="22">
        <v>38</v>
      </c>
    </row>
    <row r="42" spans="1:8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22</v>
      </c>
      <c r="E42" s="22">
        <v>11</v>
      </c>
      <c r="F42" s="22">
        <v>5</v>
      </c>
      <c r="G42" s="22">
        <v>1</v>
      </c>
      <c r="H42" s="22">
        <v>38</v>
      </c>
    </row>
    <row r="43" spans="1:8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22</v>
      </c>
      <c r="E43" s="22">
        <v>11</v>
      </c>
      <c r="F43" s="22">
        <v>5</v>
      </c>
      <c r="G43" s="22">
        <v>1</v>
      </c>
      <c r="H43" s="22">
        <v>38</v>
      </c>
    </row>
    <row r="44" spans="1:8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22</v>
      </c>
      <c r="E44" s="22">
        <v>11</v>
      </c>
      <c r="F44" s="22">
        <v>5</v>
      </c>
      <c r="G44" s="22">
        <v>1</v>
      </c>
      <c r="H44" s="22">
        <v>38</v>
      </c>
    </row>
    <row r="45" spans="1:8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22</v>
      </c>
      <c r="E45" s="22">
        <v>11</v>
      </c>
      <c r="F45" s="22">
        <v>5</v>
      </c>
      <c r="G45" s="22">
        <v>1</v>
      </c>
      <c r="H45" s="22">
        <v>38</v>
      </c>
    </row>
    <row r="46" spans="1:8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22</v>
      </c>
      <c r="E46" s="22">
        <v>11</v>
      </c>
      <c r="F46" s="22">
        <v>5</v>
      </c>
      <c r="G46" s="22">
        <v>1</v>
      </c>
      <c r="H46" s="22">
        <v>38</v>
      </c>
    </row>
    <row r="47" spans="1:8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22</v>
      </c>
      <c r="E47" s="22">
        <v>11</v>
      </c>
      <c r="F47" s="22">
        <v>5</v>
      </c>
      <c r="G47" s="22">
        <v>1</v>
      </c>
      <c r="H47" s="22">
        <v>38</v>
      </c>
    </row>
    <row r="48" spans="1:8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22</v>
      </c>
      <c r="E48" s="22">
        <v>11</v>
      </c>
      <c r="F48" s="22">
        <v>5</v>
      </c>
      <c r="G48" s="22">
        <v>1</v>
      </c>
      <c r="H48" s="22">
        <v>38</v>
      </c>
    </row>
    <row r="49" spans="1:8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22</v>
      </c>
      <c r="E49" s="22">
        <v>11</v>
      </c>
      <c r="F49" s="22">
        <v>5</v>
      </c>
      <c r="G49" s="22">
        <v>1</v>
      </c>
      <c r="H49" s="22">
        <v>38</v>
      </c>
    </row>
    <row r="50" spans="1:8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22</v>
      </c>
      <c r="E50" s="22">
        <v>11</v>
      </c>
      <c r="F50" s="22">
        <v>5</v>
      </c>
      <c r="G50" s="22">
        <v>1</v>
      </c>
      <c r="H50" s="22">
        <v>38</v>
      </c>
    </row>
    <row r="51" spans="1:8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22</v>
      </c>
      <c r="E51" s="22">
        <v>11</v>
      </c>
      <c r="F51" s="22">
        <v>5</v>
      </c>
      <c r="G51" s="22">
        <v>1</v>
      </c>
      <c r="H51" s="22">
        <v>38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-0.249977111117893"/>
  </sheetPr>
  <dimension ref="A1:K51"/>
  <sheetViews>
    <sheetView topLeftCell="A10" workbookViewId="0">
      <selection activeCell="R48" sqref="R48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414</v>
      </c>
      <c r="B1" s="4"/>
      <c r="C1" s="4" t="s">
        <v>3</v>
      </c>
      <c r="D1" s="14" t="s">
        <v>415</v>
      </c>
      <c r="E1" s="14" t="s">
        <v>416</v>
      </c>
      <c r="F1" s="14" t="s">
        <v>417</v>
      </c>
      <c r="G1" s="14" t="s">
        <v>19</v>
      </c>
      <c r="H1" s="14" t="s">
        <v>418</v>
      </c>
      <c r="I1" s="14" t="s">
        <v>419</v>
      </c>
      <c r="J1" s="14" t="s">
        <v>420</v>
      </c>
      <c r="K1" s="14" t="s">
        <v>15</v>
      </c>
    </row>
    <row r="2" spans="1:11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3</v>
      </c>
      <c r="E38" s="22">
        <v>3</v>
      </c>
      <c r="F38" s="22">
        <v>3</v>
      </c>
      <c r="G38" s="22">
        <v>13</v>
      </c>
      <c r="H38" s="22">
        <v>2</v>
      </c>
      <c r="I38" s="22">
        <v>0</v>
      </c>
      <c r="J38" s="22">
        <v>0</v>
      </c>
      <c r="K38" s="22">
        <v>8</v>
      </c>
    </row>
    <row r="39" spans="1:11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3</v>
      </c>
      <c r="E39" s="22">
        <v>3</v>
      </c>
      <c r="F39" s="22">
        <v>3</v>
      </c>
      <c r="G39" s="22">
        <v>13</v>
      </c>
      <c r="H39" s="22">
        <v>2</v>
      </c>
      <c r="I39" s="22">
        <v>0</v>
      </c>
      <c r="J39" s="22">
        <v>0</v>
      </c>
      <c r="K39" s="22">
        <v>8</v>
      </c>
    </row>
    <row r="40" spans="1:11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3</v>
      </c>
      <c r="E40" s="22">
        <v>3</v>
      </c>
      <c r="F40" s="22">
        <v>3</v>
      </c>
      <c r="G40" s="22">
        <v>13</v>
      </c>
      <c r="H40" s="22">
        <v>2</v>
      </c>
      <c r="I40" s="22">
        <v>0</v>
      </c>
      <c r="J40" s="22">
        <v>0</v>
      </c>
      <c r="K40" s="22">
        <v>8</v>
      </c>
    </row>
    <row r="41" spans="1:11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3</v>
      </c>
      <c r="E41" s="22">
        <v>3</v>
      </c>
      <c r="F41" s="22">
        <v>3</v>
      </c>
      <c r="G41" s="22">
        <v>13</v>
      </c>
      <c r="H41" s="22">
        <v>2</v>
      </c>
      <c r="I41" s="22">
        <v>0</v>
      </c>
      <c r="J41" s="22">
        <v>0</v>
      </c>
      <c r="K41" s="22">
        <v>8</v>
      </c>
    </row>
    <row r="42" spans="1:11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3</v>
      </c>
      <c r="E42" s="22">
        <v>3</v>
      </c>
      <c r="F42" s="22">
        <v>3</v>
      </c>
      <c r="G42" s="22">
        <v>13</v>
      </c>
      <c r="H42" s="22">
        <v>2</v>
      </c>
      <c r="I42" s="22">
        <v>0</v>
      </c>
      <c r="J42" s="22">
        <v>0</v>
      </c>
      <c r="K42" s="22">
        <v>8</v>
      </c>
    </row>
    <row r="43" spans="1:11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3</v>
      </c>
      <c r="E43" s="22">
        <v>3</v>
      </c>
      <c r="F43" s="22">
        <v>3</v>
      </c>
      <c r="G43" s="22">
        <v>13</v>
      </c>
      <c r="H43" s="22">
        <v>2</v>
      </c>
      <c r="I43" s="22">
        <v>0</v>
      </c>
      <c r="J43" s="22">
        <v>0</v>
      </c>
      <c r="K43" s="22">
        <v>8</v>
      </c>
    </row>
    <row r="44" spans="1:11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3</v>
      </c>
      <c r="E44" s="22">
        <v>3</v>
      </c>
      <c r="F44" s="22">
        <v>3</v>
      </c>
      <c r="G44" s="22">
        <v>13</v>
      </c>
      <c r="H44" s="22">
        <v>2</v>
      </c>
      <c r="I44" s="22">
        <v>0</v>
      </c>
      <c r="J44" s="22">
        <v>0</v>
      </c>
      <c r="K44" s="22">
        <v>8</v>
      </c>
    </row>
    <row r="45" spans="1:11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3</v>
      </c>
      <c r="E45" s="22">
        <v>3</v>
      </c>
      <c r="F45" s="22">
        <v>3</v>
      </c>
      <c r="G45" s="22">
        <v>13</v>
      </c>
      <c r="H45" s="22">
        <v>2</v>
      </c>
      <c r="I45" s="22">
        <v>0</v>
      </c>
      <c r="J45" s="22">
        <v>0</v>
      </c>
      <c r="K45" s="22">
        <v>8</v>
      </c>
    </row>
    <row r="46" spans="1:11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3</v>
      </c>
      <c r="E46" s="22">
        <v>3</v>
      </c>
      <c r="F46" s="22">
        <v>3</v>
      </c>
      <c r="G46" s="22">
        <v>13</v>
      </c>
      <c r="H46" s="22">
        <v>2</v>
      </c>
      <c r="I46" s="22">
        <v>0</v>
      </c>
      <c r="J46" s="22">
        <v>0</v>
      </c>
      <c r="K46" s="22">
        <v>8</v>
      </c>
    </row>
    <row r="47" spans="1:11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3</v>
      </c>
      <c r="E47" s="22">
        <v>3</v>
      </c>
      <c r="F47" s="22">
        <v>3</v>
      </c>
      <c r="G47" s="22">
        <v>13</v>
      </c>
      <c r="H47" s="22">
        <v>2</v>
      </c>
      <c r="I47" s="22">
        <v>0</v>
      </c>
      <c r="J47" s="22">
        <v>0</v>
      </c>
      <c r="K47" s="22">
        <v>8</v>
      </c>
    </row>
    <row r="48" spans="1:11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3</v>
      </c>
      <c r="E48" s="22">
        <v>3</v>
      </c>
      <c r="F48" s="22">
        <v>3</v>
      </c>
      <c r="G48" s="22">
        <v>13</v>
      </c>
      <c r="H48" s="22">
        <v>2</v>
      </c>
      <c r="I48" s="22">
        <v>0</v>
      </c>
      <c r="J48" s="22">
        <v>0</v>
      </c>
      <c r="K48" s="22">
        <v>8</v>
      </c>
    </row>
    <row r="49" spans="1:11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3</v>
      </c>
      <c r="E49" s="22">
        <v>3</v>
      </c>
      <c r="F49" s="22">
        <v>3</v>
      </c>
      <c r="G49" s="22">
        <v>13</v>
      </c>
      <c r="H49" s="22">
        <v>2</v>
      </c>
      <c r="I49" s="22">
        <v>0</v>
      </c>
      <c r="J49" s="22">
        <v>0</v>
      </c>
      <c r="K49" s="22">
        <v>8</v>
      </c>
    </row>
    <row r="50" spans="1:11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3</v>
      </c>
      <c r="E50" s="22">
        <v>3</v>
      </c>
      <c r="F50" s="22">
        <v>3</v>
      </c>
      <c r="G50" s="22">
        <v>13</v>
      </c>
      <c r="H50" s="22">
        <v>2</v>
      </c>
      <c r="I50" s="22">
        <v>0</v>
      </c>
      <c r="J50" s="22">
        <v>0</v>
      </c>
      <c r="K50" s="22">
        <v>8</v>
      </c>
    </row>
    <row r="51" spans="1:11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3</v>
      </c>
      <c r="E51" s="22">
        <v>3</v>
      </c>
      <c r="F51" s="22">
        <v>3</v>
      </c>
      <c r="G51" s="22">
        <v>13</v>
      </c>
      <c r="H51" s="22">
        <v>2</v>
      </c>
      <c r="I51" s="22">
        <v>0</v>
      </c>
      <c r="J51" s="22">
        <v>0</v>
      </c>
      <c r="K51" s="22">
        <v>8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8" tint="-0.249977111117893"/>
  </sheetPr>
  <dimension ref="A1:K51"/>
  <sheetViews>
    <sheetView topLeftCell="A7" workbookViewId="0">
      <selection activeCell="Z47" sqref="Z47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414</v>
      </c>
      <c r="B1" s="4"/>
      <c r="C1" s="4" t="s">
        <v>3</v>
      </c>
      <c r="D1" s="14" t="s">
        <v>415</v>
      </c>
      <c r="E1" s="14" t="s">
        <v>416</v>
      </c>
      <c r="F1" s="14" t="s">
        <v>417</v>
      </c>
      <c r="G1" s="14" t="s">
        <v>19</v>
      </c>
      <c r="H1" s="14" t="s">
        <v>418</v>
      </c>
      <c r="I1" s="14" t="s">
        <v>419</v>
      </c>
      <c r="J1" s="14" t="s">
        <v>420</v>
      </c>
      <c r="K1" s="14" t="s">
        <v>15</v>
      </c>
    </row>
    <row r="2" spans="1:11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1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0</v>
      </c>
      <c r="E38" s="22">
        <v>0</v>
      </c>
      <c r="F38" s="22">
        <v>0</v>
      </c>
      <c r="G38" s="22">
        <v>4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0</v>
      </c>
      <c r="E39" s="22">
        <v>0</v>
      </c>
      <c r="F39" s="22">
        <v>0</v>
      </c>
      <c r="G39" s="22">
        <v>4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4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4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4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4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4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4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4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4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4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4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4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4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8" tint="-0.249977111117893"/>
  </sheetPr>
  <dimension ref="A1:H51"/>
  <sheetViews>
    <sheetView topLeftCell="A10" workbookViewId="0">
      <selection activeCell="U54" sqref="U54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4" width="3.875" style="3" customWidth="1"/>
    <col min="5" max="7" width="3" style="3" customWidth="1"/>
    <col min="8" max="8" width="5.125" style="3" customWidth="1"/>
    <col min="9" max="16384" width="8.875" style="3"/>
  </cols>
  <sheetData>
    <row r="1" spans="1:8" ht="67.5" thickBot="1" x14ac:dyDescent="0.35">
      <c r="A1" s="4" t="s">
        <v>414</v>
      </c>
      <c r="B1" s="4"/>
      <c r="C1" s="4" t="s">
        <v>3</v>
      </c>
      <c r="D1" s="14" t="s">
        <v>13</v>
      </c>
      <c r="E1" s="14" t="s">
        <v>14</v>
      </c>
      <c r="F1" s="14" t="s">
        <v>16</v>
      </c>
      <c r="G1" s="14" t="s">
        <v>635</v>
      </c>
      <c r="H1" s="14" t="s">
        <v>15</v>
      </c>
    </row>
    <row r="2" spans="1:8" ht="15.75" thickTop="1" x14ac:dyDescent="0.25">
      <c r="A2" s="3">
        <v>1</v>
      </c>
      <c r="B2" s="15" t="s">
        <v>421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</row>
    <row r="3" spans="1:8" x14ac:dyDescent="0.25">
      <c r="A3" s="3">
        <f>A2+1</f>
        <v>2</v>
      </c>
      <c r="B3" s="15" t="s">
        <v>422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</row>
    <row r="4" spans="1:8" x14ac:dyDescent="0.25">
      <c r="A4" s="3">
        <f t="shared" ref="A4:A51" si="0">A3+1</f>
        <v>3</v>
      </c>
      <c r="B4" s="15" t="s">
        <v>423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</row>
    <row r="5" spans="1:8" x14ac:dyDescent="0.25">
      <c r="A5" s="3">
        <f t="shared" si="0"/>
        <v>4</v>
      </c>
      <c r="B5" s="15" t="s">
        <v>424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</row>
    <row r="6" spans="1:8" x14ac:dyDescent="0.25">
      <c r="A6" s="3">
        <f t="shared" si="0"/>
        <v>5</v>
      </c>
      <c r="B6" s="15" t="s">
        <v>425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</row>
    <row r="7" spans="1:8" x14ac:dyDescent="0.25">
      <c r="A7" s="3">
        <f t="shared" si="0"/>
        <v>6</v>
      </c>
      <c r="B7" s="15" t="s">
        <v>421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</row>
    <row r="8" spans="1:8" x14ac:dyDescent="0.25">
      <c r="A8" s="3">
        <f t="shared" si="0"/>
        <v>7</v>
      </c>
      <c r="B8" s="15" t="s">
        <v>422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</row>
    <row r="9" spans="1:8" x14ac:dyDescent="0.25">
      <c r="A9" s="3">
        <f t="shared" si="0"/>
        <v>8</v>
      </c>
      <c r="B9" s="15" t="s">
        <v>423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8" x14ac:dyDescent="0.25">
      <c r="A10" s="3">
        <f t="shared" si="0"/>
        <v>9</v>
      </c>
      <c r="B10" s="15" t="s">
        <v>424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</row>
    <row r="11" spans="1:8" x14ac:dyDescent="0.25">
      <c r="A11" s="3">
        <f t="shared" si="0"/>
        <v>10</v>
      </c>
      <c r="B11" s="15" t="s">
        <v>425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</row>
    <row r="12" spans="1:8" x14ac:dyDescent="0.25">
      <c r="A12" s="3">
        <f t="shared" si="0"/>
        <v>11</v>
      </c>
      <c r="B12" s="15" t="s">
        <v>421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</row>
    <row r="13" spans="1:8" x14ac:dyDescent="0.25">
      <c r="A13" s="3">
        <f t="shared" si="0"/>
        <v>12</v>
      </c>
      <c r="B13" s="15" t="s">
        <v>422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</row>
    <row r="14" spans="1:8" x14ac:dyDescent="0.25">
      <c r="A14" s="3">
        <f t="shared" si="0"/>
        <v>13</v>
      </c>
      <c r="B14" s="15" t="s">
        <v>423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</row>
    <row r="15" spans="1:8" x14ac:dyDescent="0.25">
      <c r="A15" s="3">
        <f t="shared" si="0"/>
        <v>14</v>
      </c>
      <c r="B15" s="15" t="s">
        <v>424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</row>
    <row r="16" spans="1:8" x14ac:dyDescent="0.25">
      <c r="A16" s="3">
        <f t="shared" si="0"/>
        <v>15</v>
      </c>
      <c r="B16" s="15" t="s">
        <v>425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</row>
    <row r="17" spans="1:8" x14ac:dyDescent="0.25">
      <c r="A17" s="3">
        <f t="shared" si="0"/>
        <v>16</v>
      </c>
      <c r="B17" s="15" t="s">
        <v>421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</row>
    <row r="18" spans="1:8" x14ac:dyDescent="0.25">
      <c r="A18" s="3">
        <f t="shared" si="0"/>
        <v>17</v>
      </c>
      <c r="B18" s="15" t="s">
        <v>422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</row>
    <row r="19" spans="1:8" x14ac:dyDescent="0.25">
      <c r="A19" s="3">
        <f t="shared" si="0"/>
        <v>18</v>
      </c>
      <c r="B19" s="15" t="s">
        <v>423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</row>
    <row r="20" spans="1:8" x14ac:dyDescent="0.25">
      <c r="A20" s="3">
        <f t="shared" si="0"/>
        <v>19</v>
      </c>
      <c r="B20" s="15" t="s">
        <v>424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</row>
    <row r="21" spans="1:8" x14ac:dyDescent="0.25">
      <c r="A21" s="3">
        <f t="shared" si="0"/>
        <v>20</v>
      </c>
      <c r="B21" s="15" t="s">
        <v>425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</row>
    <row r="22" spans="1:8" x14ac:dyDescent="0.25">
      <c r="A22" s="3">
        <f t="shared" si="0"/>
        <v>21</v>
      </c>
      <c r="B22" s="15" t="s">
        <v>421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</row>
    <row r="23" spans="1:8" x14ac:dyDescent="0.25">
      <c r="A23" s="3">
        <f t="shared" si="0"/>
        <v>22</v>
      </c>
      <c r="B23" s="15" t="s">
        <v>422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</row>
    <row r="24" spans="1:8" x14ac:dyDescent="0.25">
      <c r="A24" s="3">
        <f t="shared" si="0"/>
        <v>23</v>
      </c>
      <c r="B24" s="15" t="s">
        <v>423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</row>
    <row r="25" spans="1:8" x14ac:dyDescent="0.25">
      <c r="A25" s="3">
        <f t="shared" si="0"/>
        <v>24</v>
      </c>
      <c r="B25" s="15" t="s">
        <v>424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</row>
    <row r="26" spans="1:8" x14ac:dyDescent="0.25">
      <c r="A26" s="3">
        <f t="shared" si="0"/>
        <v>25</v>
      </c>
      <c r="B26" s="15" t="s">
        <v>425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</row>
    <row r="27" spans="1:8" x14ac:dyDescent="0.25">
      <c r="A27" s="3">
        <f t="shared" si="0"/>
        <v>26</v>
      </c>
      <c r="B27" s="15" t="s">
        <v>421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</row>
    <row r="28" spans="1:8" x14ac:dyDescent="0.25">
      <c r="A28" s="3">
        <f t="shared" si="0"/>
        <v>27</v>
      </c>
      <c r="B28" s="15" t="s">
        <v>422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</row>
    <row r="29" spans="1:8" x14ac:dyDescent="0.25">
      <c r="A29" s="3">
        <f t="shared" si="0"/>
        <v>28</v>
      </c>
      <c r="B29" s="15" t="s">
        <v>423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</row>
    <row r="30" spans="1:8" x14ac:dyDescent="0.25">
      <c r="A30" s="3">
        <f t="shared" si="0"/>
        <v>29</v>
      </c>
      <c r="B30" s="15" t="s">
        <v>424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</row>
    <row r="31" spans="1:8" x14ac:dyDescent="0.25">
      <c r="A31" s="3">
        <f t="shared" si="0"/>
        <v>30</v>
      </c>
      <c r="B31" s="15" t="s">
        <v>425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</row>
    <row r="32" spans="1:8" x14ac:dyDescent="0.25">
      <c r="A32" s="3">
        <f t="shared" si="0"/>
        <v>31</v>
      </c>
      <c r="B32" s="15" t="s">
        <v>421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</row>
    <row r="33" spans="1:8" x14ac:dyDescent="0.25">
      <c r="A33" s="3">
        <f t="shared" si="0"/>
        <v>32</v>
      </c>
      <c r="B33" s="15" t="s">
        <v>422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</row>
    <row r="34" spans="1:8" x14ac:dyDescent="0.25">
      <c r="A34" s="3">
        <f t="shared" si="0"/>
        <v>33</v>
      </c>
      <c r="B34" s="15" t="s">
        <v>423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</row>
    <row r="35" spans="1:8" x14ac:dyDescent="0.25">
      <c r="A35" s="3">
        <f t="shared" si="0"/>
        <v>34</v>
      </c>
      <c r="B35" s="15" t="s">
        <v>424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</row>
    <row r="36" spans="1:8" x14ac:dyDescent="0.25">
      <c r="A36" s="3">
        <f t="shared" si="0"/>
        <v>35</v>
      </c>
      <c r="B36" s="15" t="s">
        <v>425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</row>
    <row r="37" spans="1:8" x14ac:dyDescent="0.25">
      <c r="A37" s="3">
        <f t="shared" si="0"/>
        <v>36</v>
      </c>
      <c r="B37" s="15" t="s">
        <v>421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185</v>
      </c>
    </row>
    <row r="38" spans="1:8" x14ac:dyDescent="0.25">
      <c r="A38" s="3">
        <f t="shared" si="0"/>
        <v>37</v>
      </c>
      <c r="B38" s="15" t="s">
        <v>422</v>
      </c>
      <c r="C38" s="16">
        <f t="shared" si="1"/>
        <v>43438</v>
      </c>
      <c r="D38" s="22">
        <v>72</v>
      </c>
      <c r="E38" s="22">
        <v>59</v>
      </c>
      <c r="F38" s="22">
        <v>45</v>
      </c>
      <c r="G38" s="22">
        <v>21</v>
      </c>
      <c r="H38" s="22">
        <v>149</v>
      </c>
    </row>
    <row r="39" spans="1:8" x14ac:dyDescent="0.25">
      <c r="A39" s="3">
        <f t="shared" si="0"/>
        <v>38</v>
      </c>
      <c r="B39" s="15" t="s">
        <v>423</v>
      </c>
      <c r="C39" s="16">
        <f t="shared" si="1"/>
        <v>43439</v>
      </c>
      <c r="D39" s="22">
        <v>72</v>
      </c>
      <c r="E39" s="22">
        <v>59</v>
      </c>
      <c r="F39" s="22">
        <v>45</v>
      </c>
      <c r="G39" s="22">
        <v>21</v>
      </c>
      <c r="H39" s="22">
        <v>149</v>
      </c>
    </row>
    <row r="40" spans="1:8" x14ac:dyDescent="0.25">
      <c r="A40" s="3">
        <f t="shared" si="0"/>
        <v>39</v>
      </c>
      <c r="B40" s="15" t="s">
        <v>424</v>
      </c>
      <c r="C40" s="16">
        <f t="shared" si="1"/>
        <v>43440</v>
      </c>
      <c r="D40" s="22">
        <v>72</v>
      </c>
      <c r="E40" s="22">
        <v>59</v>
      </c>
      <c r="F40" s="22">
        <v>45</v>
      </c>
      <c r="G40" s="22">
        <v>21</v>
      </c>
      <c r="H40" s="22">
        <v>149</v>
      </c>
    </row>
    <row r="41" spans="1:8" x14ac:dyDescent="0.25">
      <c r="A41" s="3">
        <f t="shared" si="0"/>
        <v>40</v>
      </c>
      <c r="B41" s="15" t="s">
        <v>425</v>
      </c>
      <c r="C41" s="16">
        <f t="shared" si="1"/>
        <v>43441</v>
      </c>
      <c r="D41" s="22">
        <v>72</v>
      </c>
      <c r="E41" s="22">
        <v>59</v>
      </c>
      <c r="F41" s="22">
        <v>45</v>
      </c>
      <c r="G41" s="22">
        <v>21</v>
      </c>
      <c r="H41" s="22">
        <v>149</v>
      </c>
    </row>
    <row r="42" spans="1:8" x14ac:dyDescent="0.25">
      <c r="A42" s="3">
        <f t="shared" si="0"/>
        <v>41</v>
      </c>
      <c r="B42" s="15" t="s">
        <v>421</v>
      </c>
      <c r="C42" s="16">
        <f>C37+7</f>
        <v>43444</v>
      </c>
      <c r="D42" s="22">
        <v>72</v>
      </c>
      <c r="E42" s="22">
        <v>59</v>
      </c>
      <c r="F42" s="22">
        <v>45</v>
      </c>
      <c r="G42" s="22">
        <v>21</v>
      </c>
      <c r="H42" s="22">
        <v>149</v>
      </c>
    </row>
    <row r="43" spans="1:8" x14ac:dyDescent="0.25">
      <c r="A43" s="3">
        <f t="shared" si="0"/>
        <v>42</v>
      </c>
      <c r="B43" s="15" t="s">
        <v>422</v>
      </c>
      <c r="C43" s="16">
        <f t="shared" si="1"/>
        <v>43445</v>
      </c>
      <c r="D43" s="22">
        <v>72</v>
      </c>
      <c r="E43" s="22">
        <v>59</v>
      </c>
      <c r="F43" s="22">
        <v>45</v>
      </c>
      <c r="G43" s="22">
        <v>21</v>
      </c>
      <c r="H43" s="22">
        <v>149</v>
      </c>
    </row>
    <row r="44" spans="1:8" x14ac:dyDescent="0.25">
      <c r="A44" s="3">
        <f t="shared" si="0"/>
        <v>43</v>
      </c>
      <c r="B44" s="15" t="s">
        <v>423</v>
      </c>
      <c r="C44" s="16">
        <f t="shared" si="1"/>
        <v>43446</v>
      </c>
      <c r="D44" s="22">
        <v>72</v>
      </c>
      <c r="E44" s="22">
        <v>59</v>
      </c>
      <c r="F44" s="22">
        <v>45</v>
      </c>
      <c r="G44" s="22">
        <v>21</v>
      </c>
      <c r="H44" s="22">
        <v>149</v>
      </c>
    </row>
    <row r="45" spans="1:8" x14ac:dyDescent="0.25">
      <c r="A45" s="3">
        <f t="shared" si="0"/>
        <v>44</v>
      </c>
      <c r="B45" s="15" t="s">
        <v>424</v>
      </c>
      <c r="C45" s="16">
        <f t="shared" si="1"/>
        <v>43447</v>
      </c>
      <c r="D45" s="22">
        <v>72</v>
      </c>
      <c r="E45" s="22">
        <v>59</v>
      </c>
      <c r="F45" s="22">
        <v>45</v>
      </c>
      <c r="G45" s="22">
        <v>21</v>
      </c>
      <c r="H45" s="22">
        <v>149</v>
      </c>
    </row>
    <row r="46" spans="1:8" x14ac:dyDescent="0.25">
      <c r="A46" s="3">
        <f t="shared" si="0"/>
        <v>45</v>
      </c>
      <c r="B46" s="15" t="s">
        <v>425</v>
      </c>
      <c r="C46" s="16">
        <f t="shared" si="1"/>
        <v>43448</v>
      </c>
      <c r="D46" s="22">
        <v>72</v>
      </c>
      <c r="E46" s="22">
        <v>59</v>
      </c>
      <c r="F46" s="22">
        <v>45</v>
      </c>
      <c r="G46" s="22">
        <v>21</v>
      </c>
      <c r="H46" s="22">
        <v>149</v>
      </c>
    </row>
    <row r="47" spans="1:8" x14ac:dyDescent="0.25">
      <c r="A47" s="3">
        <f t="shared" si="0"/>
        <v>46</v>
      </c>
      <c r="B47" s="15" t="s">
        <v>421</v>
      </c>
      <c r="C47" s="16">
        <f>C42+7</f>
        <v>43451</v>
      </c>
      <c r="D47" s="22">
        <v>72</v>
      </c>
      <c r="E47" s="22">
        <v>59</v>
      </c>
      <c r="F47" s="22">
        <v>45</v>
      </c>
      <c r="G47" s="22">
        <v>21</v>
      </c>
      <c r="H47" s="22">
        <v>149</v>
      </c>
    </row>
    <row r="48" spans="1:8" x14ac:dyDescent="0.25">
      <c r="A48" s="3">
        <f t="shared" si="0"/>
        <v>47</v>
      </c>
      <c r="B48" s="15" t="s">
        <v>422</v>
      </c>
      <c r="C48" s="16">
        <f t="shared" si="1"/>
        <v>43452</v>
      </c>
      <c r="D48" s="22">
        <v>72</v>
      </c>
      <c r="E48" s="22">
        <v>59</v>
      </c>
      <c r="F48" s="22">
        <v>45</v>
      </c>
      <c r="G48" s="22">
        <v>21</v>
      </c>
      <c r="H48" s="22">
        <v>149</v>
      </c>
    </row>
    <row r="49" spans="1:8" x14ac:dyDescent="0.25">
      <c r="A49" s="3">
        <f t="shared" si="0"/>
        <v>48</v>
      </c>
      <c r="B49" s="15" t="s">
        <v>423</v>
      </c>
      <c r="C49" s="16">
        <f t="shared" si="1"/>
        <v>43453</v>
      </c>
      <c r="D49" s="22">
        <v>72</v>
      </c>
      <c r="E49" s="22">
        <v>59</v>
      </c>
      <c r="F49" s="22">
        <v>45</v>
      </c>
      <c r="G49" s="22">
        <v>21</v>
      </c>
      <c r="H49" s="22">
        <v>149</v>
      </c>
    </row>
    <row r="50" spans="1:8" x14ac:dyDescent="0.25">
      <c r="A50" s="3">
        <f t="shared" si="0"/>
        <v>49</v>
      </c>
      <c r="B50" s="15" t="s">
        <v>424</v>
      </c>
      <c r="C50" s="16">
        <f t="shared" si="1"/>
        <v>43454</v>
      </c>
      <c r="D50" s="22">
        <v>72</v>
      </c>
      <c r="E50" s="22">
        <v>59</v>
      </c>
      <c r="F50" s="22">
        <v>45</v>
      </c>
      <c r="G50" s="22">
        <v>21</v>
      </c>
      <c r="H50" s="22">
        <v>149</v>
      </c>
    </row>
    <row r="51" spans="1:8" x14ac:dyDescent="0.25">
      <c r="A51" s="3">
        <f t="shared" si="0"/>
        <v>50</v>
      </c>
      <c r="B51" s="15" t="s">
        <v>425</v>
      </c>
      <c r="C51" s="16">
        <f t="shared" si="1"/>
        <v>43455</v>
      </c>
      <c r="D51" s="22">
        <v>72</v>
      </c>
      <c r="E51" s="22">
        <v>59</v>
      </c>
      <c r="F51" s="22">
        <v>45</v>
      </c>
      <c r="G51" s="22">
        <v>21</v>
      </c>
      <c r="H51" s="22">
        <v>149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8" tint="-0.249977111117893"/>
  </sheetPr>
  <dimension ref="A1:Q53"/>
  <sheetViews>
    <sheetView topLeftCell="B4" workbookViewId="0">
      <selection activeCell="V46" sqref="V46"/>
    </sheetView>
  </sheetViews>
  <sheetFormatPr defaultColWidth="7.75" defaultRowHeight="12.75" x14ac:dyDescent="0.2"/>
  <cols>
    <col min="1" max="2" width="7.75" style="26"/>
    <col min="3" max="3" width="11.625" style="26" customWidth="1"/>
    <col min="4" max="4" width="7.625" style="26" hidden="1" customWidth="1"/>
    <col min="5" max="5" width="11.625" style="26" customWidth="1"/>
    <col min="6" max="6" width="14.25" style="26" customWidth="1"/>
    <col min="7" max="259" width="7.75" style="26"/>
    <col min="260" max="262" width="11.625" style="26" customWidth="1"/>
    <col min="263" max="515" width="7.75" style="26"/>
    <col min="516" max="518" width="11.625" style="26" customWidth="1"/>
    <col min="519" max="771" width="7.75" style="26"/>
    <col min="772" max="774" width="11.625" style="26" customWidth="1"/>
    <col min="775" max="1027" width="7.75" style="26"/>
    <col min="1028" max="1030" width="11.625" style="26" customWidth="1"/>
    <col min="1031" max="1283" width="7.75" style="26"/>
    <col min="1284" max="1286" width="11.625" style="26" customWidth="1"/>
    <col min="1287" max="1539" width="7.75" style="26"/>
    <col min="1540" max="1542" width="11.625" style="26" customWidth="1"/>
    <col min="1543" max="1795" width="7.75" style="26"/>
    <col min="1796" max="1798" width="11.625" style="26" customWidth="1"/>
    <col min="1799" max="2051" width="7.75" style="26"/>
    <col min="2052" max="2054" width="11.625" style="26" customWidth="1"/>
    <col min="2055" max="2307" width="7.75" style="26"/>
    <col min="2308" max="2310" width="11.625" style="26" customWidth="1"/>
    <col min="2311" max="2563" width="7.75" style="26"/>
    <col min="2564" max="2566" width="11.625" style="26" customWidth="1"/>
    <col min="2567" max="2819" width="7.75" style="26"/>
    <col min="2820" max="2822" width="11.625" style="26" customWidth="1"/>
    <col min="2823" max="3075" width="7.75" style="26"/>
    <col min="3076" max="3078" width="11.625" style="26" customWidth="1"/>
    <col min="3079" max="3331" width="7.75" style="26"/>
    <col min="3332" max="3334" width="11.625" style="26" customWidth="1"/>
    <col min="3335" max="3587" width="7.75" style="26"/>
    <col min="3588" max="3590" width="11.625" style="26" customWidth="1"/>
    <col min="3591" max="3843" width="7.75" style="26"/>
    <col min="3844" max="3846" width="11.625" style="26" customWidth="1"/>
    <col min="3847" max="4099" width="7.75" style="26"/>
    <col min="4100" max="4102" width="11.625" style="26" customWidth="1"/>
    <col min="4103" max="4355" width="7.75" style="26"/>
    <col min="4356" max="4358" width="11.625" style="26" customWidth="1"/>
    <col min="4359" max="4611" width="7.75" style="26"/>
    <col min="4612" max="4614" width="11.625" style="26" customWidth="1"/>
    <col min="4615" max="4867" width="7.75" style="26"/>
    <col min="4868" max="4870" width="11.625" style="26" customWidth="1"/>
    <col min="4871" max="5123" width="7.75" style="26"/>
    <col min="5124" max="5126" width="11.625" style="26" customWidth="1"/>
    <col min="5127" max="5379" width="7.75" style="26"/>
    <col min="5380" max="5382" width="11.625" style="26" customWidth="1"/>
    <col min="5383" max="5635" width="7.75" style="26"/>
    <col min="5636" max="5638" width="11.625" style="26" customWidth="1"/>
    <col min="5639" max="5891" width="7.75" style="26"/>
    <col min="5892" max="5894" width="11.625" style="26" customWidth="1"/>
    <col min="5895" max="6147" width="7.75" style="26"/>
    <col min="6148" max="6150" width="11.625" style="26" customWidth="1"/>
    <col min="6151" max="6403" width="7.75" style="26"/>
    <col min="6404" max="6406" width="11.625" style="26" customWidth="1"/>
    <col min="6407" max="6659" width="7.75" style="26"/>
    <col min="6660" max="6662" width="11.625" style="26" customWidth="1"/>
    <col min="6663" max="6915" width="7.75" style="26"/>
    <col min="6916" max="6918" width="11.625" style="26" customWidth="1"/>
    <col min="6919" max="7171" width="7.75" style="26"/>
    <col min="7172" max="7174" width="11.625" style="26" customWidth="1"/>
    <col min="7175" max="7427" width="7.75" style="26"/>
    <col min="7428" max="7430" width="11.625" style="26" customWidth="1"/>
    <col min="7431" max="7683" width="7.75" style="26"/>
    <col min="7684" max="7686" width="11.625" style="26" customWidth="1"/>
    <col min="7687" max="7939" width="7.75" style="26"/>
    <col min="7940" max="7942" width="11.625" style="26" customWidth="1"/>
    <col min="7943" max="8195" width="7.75" style="26"/>
    <col min="8196" max="8198" width="11.625" style="26" customWidth="1"/>
    <col min="8199" max="8451" width="7.75" style="26"/>
    <col min="8452" max="8454" width="11.625" style="26" customWidth="1"/>
    <col min="8455" max="8707" width="7.75" style="26"/>
    <col min="8708" max="8710" width="11.625" style="26" customWidth="1"/>
    <col min="8711" max="8963" width="7.75" style="26"/>
    <col min="8964" max="8966" width="11.625" style="26" customWidth="1"/>
    <col min="8967" max="9219" width="7.75" style="26"/>
    <col min="9220" max="9222" width="11.625" style="26" customWidth="1"/>
    <col min="9223" max="9475" width="7.75" style="26"/>
    <col min="9476" max="9478" width="11.625" style="26" customWidth="1"/>
    <col min="9479" max="9731" width="7.75" style="26"/>
    <col min="9732" max="9734" width="11.625" style="26" customWidth="1"/>
    <col min="9735" max="9987" width="7.75" style="26"/>
    <col min="9988" max="9990" width="11.625" style="26" customWidth="1"/>
    <col min="9991" max="10243" width="7.75" style="26"/>
    <col min="10244" max="10246" width="11.625" style="26" customWidth="1"/>
    <col min="10247" max="10499" width="7.75" style="26"/>
    <col min="10500" max="10502" width="11.625" style="26" customWidth="1"/>
    <col min="10503" max="10755" width="7.75" style="26"/>
    <col min="10756" max="10758" width="11.625" style="26" customWidth="1"/>
    <col min="10759" max="11011" width="7.75" style="26"/>
    <col min="11012" max="11014" width="11.625" style="26" customWidth="1"/>
    <col min="11015" max="11267" width="7.75" style="26"/>
    <col min="11268" max="11270" width="11.625" style="26" customWidth="1"/>
    <col min="11271" max="11523" width="7.75" style="26"/>
    <col min="11524" max="11526" width="11.625" style="26" customWidth="1"/>
    <col min="11527" max="11779" width="7.75" style="26"/>
    <col min="11780" max="11782" width="11.625" style="26" customWidth="1"/>
    <col min="11783" max="12035" width="7.75" style="26"/>
    <col min="12036" max="12038" width="11.625" style="26" customWidth="1"/>
    <col min="12039" max="12291" width="7.75" style="26"/>
    <col min="12292" max="12294" width="11.625" style="26" customWidth="1"/>
    <col min="12295" max="12547" width="7.75" style="26"/>
    <col min="12548" max="12550" width="11.625" style="26" customWidth="1"/>
    <col min="12551" max="12803" width="7.75" style="26"/>
    <col min="12804" max="12806" width="11.625" style="26" customWidth="1"/>
    <col min="12807" max="13059" width="7.75" style="26"/>
    <col min="13060" max="13062" width="11.625" style="26" customWidth="1"/>
    <col min="13063" max="13315" width="7.75" style="26"/>
    <col min="13316" max="13318" width="11.625" style="26" customWidth="1"/>
    <col min="13319" max="13571" width="7.75" style="26"/>
    <col min="13572" max="13574" width="11.625" style="26" customWidth="1"/>
    <col min="13575" max="13827" width="7.75" style="26"/>
    <col min="13828" max="13830" width="11.625" style="26" customWidth="1"/>
    <col min="13831" max="14083" width="7.75" style="26"/>
    <col min="14084" max="14086" width="11.625" style="26" customWidth="1"/>
    <col min="14087" max="14339" width="7.75" style="26"/>
    <col min="14340" max="14342" width="11.625" style="26" customWidth="1"/>
    <col min="14343" max="14595" width="7.75" style="26"/>
    <col min="14596" max="14598" width="11.625" style="26" customWidth="1"/>
    <col min="14599" max="14851" width="7.75" style="26"/>
    <col min="14852" max="14854" width="11.625" style="26" customWidth="1"/>
    <col min="14855" max="15107" width="7.75" style="26"/>
    <col min="15108" max="15110" width="11.625" style="26" customWidth="1"/>
    <col min="15111" max="15363" width="7.75" style="26"/>
    <col min="15364" max="15366" width="11.625" style="26" customWidth="1"/>
    <col min="15367" max="15619" width="7.75" style="26"/>
    <col min="15620" max="15622" width="11.625" style="26" customWidth="1"/>
    <col min="15623" max="15875" width="7.75" style="26"/>
    <col min="15876" max="15878" width="11.625" style="26" customWidth="1"/>
    <col min="15879" max="16131" width="7.75" style="26"/>
    <col min="16132" max="16134" width="11.625" style="26" customWidth="1"/>
    <col min="16135" max="16384" width="7.75" style="26"/>
  </cols>
  <sheetData>
    <row r="1" spans="1:17" s="25" customFormat="1" ht="18" thickBot="1" x14ac:dyDescent="0.35">
      <c r="A1" s="4" t="s">
        <v>414</v>
      </c>
      <c r="B1" s="4"/>
      <c r="C1" s="4" t="s">
        <v>3</v>
      </c>
      <c r="D1" s="4" t="s">
        <v>791</v>
      </c>
      <c r="E1" s="4" t="s">
        <v>427</v>
      </c>
      <c r="F1" s="4" t="s">
        <v>790</v>
      </c>
      <c r="G1" s="27"/>
      <c r="H1"/>
      <c r="I1"/>
      <c r="J1"/>
      <c r="K1" t="str">
        <f>IF(ISNUMBER(J1),IF(J1&lt;J2,"",(((COLUMN()-1)*'[1]Sprint Information'!#REF!)+'[1]Sprint Information'!#REF!)),"")</f>
        <v/>
      </c>
      <c r="L1" t="str">
        <f>IF(ISNUMBER(K1),IF(K1&lt;K2,"",(((COLUMN()-1)*'[1]Sprint Information'!#REF!)+'[1]Sprint Information'!#REF!)),"")</f>
        <v/>
      </c>
      <c r="M1" t="str">
        <f>IF(ISNUMBER(L1),IF(L1&lt;L2,"",(((COLUMN()-1)*'[1]Sprint Information'!#REF!)+'[1]Sprint Information'!#REF!)),"")</f>
        <v/>
      </c>
      <c r="N1" t="str">
        <f>IF(ISNUMBER(M1),IF(M1&lt;M2,"",(((COLUMN()-1)*'[1]Sprint Information'!#REF!)+'[1]Sprint Information'!#REF!)),"")</f>
        <v/>
      </c>
      <c r="O1" t="str">
        <f>IF(ISNUMBER(N1),IF(N1&lt;N2,"",(((COLUMN()-1)*'[1]Sprint Information'!#REF!)+'[1]Sprint Information'!#REF!)),"")</f>
        <v/>
      </c>
      <c r="P1" t="str">
        <f>IF(ISNUMBER(O1),IF(O1&lt;O2,"",(((COLUMN()-1)*'[1]Sprint Information'!#REF!)+'[1]Sprint Information'!#REF!)),"")</f>
        <v/>
      </c>
      <c r="Q1" t="str">
        <f>IF(ISNUMBER(P1),IF(P1&lt;P2,"",(((COLUMN()-1)*'[1]Sprint Information'!#REF!)+'[1]Sprint Information'!#REF!)),"")</f>
        <v/>
      </c>
    </row>
    <row r="2" spans="1:17" ht="16.5" thickTop="1" x14ac:dyDescent="0.25">
      <c r="A2" s="3">
        <v>1</v>
      </c>
      <c r="B2" s="15" t="s">
        <v>421</v>
      </c>
      <c r="C2" s="16">
        <v>43388</v>
      </c>
      <c r="D2" s="28">
        <f>E2</f>
        <v>0</v>
      </c>
      <c r="E2" s="26">
        <v>0</v>
      </c>
      <c r="F2" s="26">
        <f t="shared" ref="F2:F53" si="0">IF(ISNUMBER($C2),0,"")</f>
        <v>0</v>
      </c>
      <c r="H2"/>
      <c r="I2"/>
      <c r="J2"/>
      <c r="K2" t="str">
        <f>IF(ISNUMBER(K1),(((COLUMN()-1)*'[1]Sprint Information'!#REF!)+'[1]Sprint Information'!#REF!),"")</f>
        <v/>
      </c>
      <c r="L2" t="str">
        <f>IF(ISNUMBER(L1),(((COLUMN()-1)*'[1]Sprint Information'!#REF!)+'[1]Sprint Information'!#REF!),"")</f>
        <v/>
      </c>
      <c r="M2" t="str">
        <f>IF(ISNUMBER(M1),(((COLUMN()-1)*'[1]Sprint Information'!#REF!)+'[1]Sprint Information'!#REF!),"")</f>
        <v/>
      </c>
      <c r="N2" t="str">
        <f>IF(ISNUMBER(N1),(((COLUMN()-1)*'[1]Sprint Information'!#REF!)+'[1]Sprint Information'!#REF!),"")</f>
        <v/>
      </c>
      <c r="O2" t="str">
        <f>IF(ISNUMBER(O1),(((COLUMN()-1)*'[1]Sprint Information'!#REF!)+'[1]Sprint Information'!#REF!),"")</f>
        <v/>
      </c>
      <c r="P2" t="str">
        <f>IF(ISNUMBER(P1),(((COLUMN()-1)*'[1]Sprint Information'!#REF!)+'[1]Sprint Information'!#REF!),"")</f>
        <v/>
      </c>
      <c r="Q2" t="str">
        <f>IF(ISNUMBER(Q1),(((COLUMN()-1)*'[1]Sprint Information'!#REF!)+'[1]Sprint Information'!#REF!),"")</f>
        <v/>
      </c>
    </row>
    <row r="3" spans="1:17" ht="15" x14ac:dyDescent="0.25">
      <c r="A3" s="3">
        <f>A2+1</f>
        <v>2</v>
      </c>
      <c r="B3" s="15" t="s">
        <v>422</v>
      </c>
      <c r="C3" s="16">
        <f>C2+1</f>
        <v>43389</v>
      </c>
      <c r="D3" s="29">
        <f>D2-($D$2/50)</f>
        <v>0</v>
      </c>
      <c r="E3" s="26">
        <v>0</v>
      </c>
      <c r="F3" s="26">
        <v>0</v>
      </c>
    </row>
    <row r="4" spans="1:17" ht="15" x14ac:dyDescent="0.25">
      <c r="A4" s="3">
        <f t="shared" ref="A4:A51" si="1">A3+1</f>
        <v>3</v>
      </c>
      <c r="B4" s="15" t="s">
        <v>423</v>
      </c>
      <c r="C4" s="16">
        <f t="shared" ref="C4:C51" si="2">C3+1</f>
        <v>43390</v>
      </c>
      <c r="D4" s="29">
        <f t="shared" ref="D4:D51" si="3">D3-($D$2/50)</f>
        <v>0</v>
      </c>
      <c r="E4" s="26">
        <v>0</v>
      </c>
      <c r="F4" s="26">
        <v>0</v>
      </c>
    </row>
    <row r="5" spans="1:17" ht="15" x14ac:dyDescent="0.25">
      <c r="A5" s="3">
        <f t="shared" si="1"/>
        <v>4</v>
      </c>
      <c r="B5" s="15" t="s">
        <v>424</v>
      </c>
      <c r="C5" s="16">
        <f t="shared" si="2"/>
        <v>43391</v>
      </c>
      <c r="D5" s="29">
        <f t="shared" si="3"/>
        <v>0</v>
      </c>
      <c r="E5" s="26">
        <v>0</v>
      </c>
      <c r="F5" s="26">
        <v>0</v>
      </c>
    </row>
    <row r="6" spans="1:17" ht="15" x14ac:dyDescent="0.25">
      <c r="A6" s="3">
        <f t="shared" si="1"/>
        <v>5</v>
      </c>
      <c r="B6" s="15" t="s">
        <v>425</v>
      </c>
      <c r="C6" s="16">
        <f t="shared" si="2"/>
        <v>43392</v>
      </c>
      <c r="D6" s="29">
        <f t="shared" si="3"/>
        <v>0</v>
      </c>
      <c r="E6" s="26">
        <v>0</v>
      </c>
      <c r="F6" s="26">
        <f t="shared" si="0"/>
        <v>0</v>
      </c>
    </row>
    <row r="7" spans="1:17" ht="15" x14ac:dyDescent="0.25">
      <c r="A7" s="3">
        <f t="shared" si="1"/>
        <v>6</v>
      </c>
      <c r="B7" s="15" t="s">
        <v>421</v>
      </c>
      <c r="C7" s="16">
        <f>C2+7</f>
        <v>43395</v>
      </c>
      <c r="D7" s="29">
        <f t="shared" si="3"/>
        <v>0</v>
      </c>
      <c r="E7" s="26">
        <v>0</v>
      </c>
      <c r="F7" s="26">
        <f t="shared" si="0"/>
        <v>0</v>
      </c>
    </row>
    <row r="8" spans="1:17" ht="15" x14ac:dyDescent="0.25">
      <c r="A8" s="3">
        <f t="shared" si="1"/>
        <v>7</v>
      </c>
      <c r="B8" s="15" t="s">
        <v>422</v>
      </c>
      <c r="C8" s="16">
        <f t="shared" si="2"/>
        <v>43396</v>
      </c>
      <c r="D8" s="29">
        <f t="shared" si="3"/>
        <v>0</v>
      </c>
      <c r="E8" s="26">
        <v>0</v>
      </c>
      <c r="F8" s="26">
        <f t="shared" si="0"/>
        <v>0</v>
      </c>
    </row>
    <row r="9" spans="1:17" ht="15" x14ac:dyDescent="0.25">
      <c r="A9" s="3">
        <f t="shared" si="1"/>
        <v>8</v>
      </c>
      <c r="B9" s="15" t="s">
        <v>423</v>
      </c>
      <c r="C9" s="16">
        <f t="shared" si="2"/>
        <v>43397</v>
      </c>
      <c r="D9" s="29">
        <f t="shared" si="3"/>
        <v>0</v>
      </c>
      <c r="E9" s="26">
        <v>0</v>
      </c>
      <c r="F9" s="26">
        <f t="shared" si="0"/>
        <v>0</v>
      </c>
    </row>
    <row r="10" spans="1:17" ht="15" x14ac:dyDescent="0.25">
      <c r="A10" s="3">
        <f t="shared" si="1"/>
        <v>9</v>
      </c>
      <c r="B10" s="15" t="s">
        <v>424</v>
      </c>
      <c r="C10" s="16">
        <f t="shared" si="2"/>
        <v>43398</v>
      </c>
      <c r="D10" s="29">
        <f t="shared" si="3"/>
        <v>0</v>
      </c>
      <c r="E10" s="26">
        <v>0</v>
      </c>
      <c r="F10" s="26">
        <f t="shared" si="0"/>
        <v>0</v>
      </c>
    </row>
    <row r="11" spans="1:17" ht="15" x14ac:dyDescent="0.25">
      <c r="A11" s="3">
        <f t="shared" si="1"/>
        <v>10</v>
      </c>
      <c r="B11" s="15" t="s">
        <v>425</v>
      </c>
      <c r="C11" s="16">
        <f t="shared" si="2"/>
        <v>43399</v>
      </c>
      <c r="D11" s="29">
        <f t="shared" si="3"/>
        <v>0</v>
      </c>
      <c r="E11" s="26">
        <v>0</v>
      </c>
      <c r="F11" s="26">
        <f t="shared" si="0"/>
        <v>0</v>
      </c>
    </row>
    <row r="12" spans="1:17" ht="15" x14ac:dyDescent="0.25">
      <c r="A12" s="3">
        <f t="shared" si="1"/>
        <v>11</v>
      </c>
      <c r="B12" s="15" t="s">
        <v>421</v>
      </c>
      <c r="C12" s="16">
        <f>C7+7</f>
        <v>43402</v>
      </c>
      <c r="D12" s="29">
        <f t="shared" si="3"/>
        <v>0</v>
      </c>
      <c r="E12" s="26">
        <v>0</v>
      </c>
      <c r="F12" s="26">
        <f t="shared" si="0"/>
        <v>0</v>
      </c>
    </row>
    <row r="13" spans="1:17" ht="15" x14ac:dyDescent="0.25">
      <c r="A13" s="3">
        <f t="shared" si="1"/>
        <v>12</v>
      </c>
      <c r="B13" s="15" t="s">
        <v>422</v>
      </c>
      <c r="C13" s="16">
        <f t="shared" si="2"/>
        <v>43403</v>
      </c>
      <c r="D13" s="29">
        <f t="shared" si="3"/>
        <v>0</v>
      </c>
      <c r="E13" s="26">
        <v>0</v>
      </c>
      <c r="F13" s="26">
        <f t="shared" si="0"/>
        <v>0</v>
      </c>
    </row>
    <row r="14" spans="1:17" ht="15" x14ac:dyDescent="0.25">
      <c r="A14" s="3">
        <f t="shared" si="1"/>
        <v>13</v>
      </c>
      <c r="B14" s="15" t="s">
        <v>423</v>
      </c>
      <c r="C14" s="16">
        <f t="shared" si="2"/>
        <v>43404</v>
      </c>
      <c r="D14" s="29">
        <f t="shared" si="3"/>
        <v>0</v>
      </c>
      <c r="E14" s="26">
        <v>0</v>
      </c>
      <c r="F14" s="26">
        <f t="shared" si="0"/>
        <v>0</v>
      </c>
    </row>
    <row r="15" spans="1:17" ht="15" x14ac:dyDescent="0.25">
      <c r="A15" s="3">
        <f t="shared" si="1"/>
        <v>14</v>
      </c>
      <c r="B15" s="15" t="s">
        <v>424</v>
      </c>
      <c r="C15" s="16">
        <f t="shared" si="2"/>
        <v>43405</v>
      </c>
      <c r="D15" s="29">
        <f t="shared" si="3"/>
        <v>0</v>
      </c>
      <c r="E15" s="26">
        <v>0</v>
      </c>
      <c r="F15" s="26">
        <f t="shared" si="0"/>
        <v>0</v>
      </c>
    </row>
    <row r="16" spans="1:17" ht="15" x14ac:dyDescent="0.25">
      <c r="A16" s="3">
        <f t="shared" si="1"/>
        <v>15</v>
      </c>
      <c r="B16" s="15" t="s">
        <v>425</v>
      </c>
      <c r="C16" s="16">
        <f t="shared" si="2"/>
        <v>43406</v>
      </c>
      <c r="D16" s="29">
        <f t="shared" si="3"/>
        <v>0</v>
      </c>
      <c r="E16" s="26">
        <v>0</v>
      </c>
      <c r="F16" s="26">
        <f t="shared" si="0"/>
        <v>0</v>
      </c>
    </row>
    <row r="17" spans="1:6" ht="15" x14ac:dyDescent="0.25">
      <c r="A17" s="3">
        <f t="shared" si="1"/>
        <v>16</v>
      </c>
      <c r="B17" s="15" t="s">
        <v>421</v>
      </c>
      <c r="C17" s="16">
        <f>C12+7</f>
        <v>43409</v>
      </c>
      <c r="D17" s="29">
        <f t="shared" si="3"/>
        <v>0</v>
      </c>
      <c r="E17" s="26">
        <v>0</v>
      </c>
      <c r="F17" s="26">
        <f t="shared" si="0"/>
        <v>0</v>
      </c>
    </row>
    <row r="18" spans="1:6" ht="15" x14ac:dyDescent="0.25">
      <c r="A18" s="3">
        <f t="shared" si="1"/>
        <v>17</v>
      </c>
      <c r="B18" s="15" t="s">
        <v>422</v>
      </c>
      <c r="C18" s="16">
        <f t="shared" si="2"/>
        <v>43410</v>
      </c>
      <c r="D18" s="29">
        <f t="shared" si="3"/>
        <v>0</v>
      </c>
      <c r="E18" s="26">
        <v>0</v>
      </c>
      <c r="F18" s="26">
        <f t="shared" si="0"/>
        <v>0</v>
      </c>
    </row>
    <row r="19" spans="1:6" ht="15" x14ac:dyDescent="0.25">
      <c r="A19" s="3">
        <f t="shared" si="1"/>
        <v>18</v>
      </c>
      <c r="B19" s="15" t="s">
        <v>423</v>
      </c>
      <c r="C19" s="16">
        <f t="shared" si="2"/>
        <v>43411</v>
      </c>
      <c r="D19" s="29">
        <f t="shared" si="3"/>
        <v>0</v>
      </c>
      <c r="E19" s="26">
        <v>0</v>
      </c>
      <c r="F19" s="26">
        <f t="shared" si="0"/>
        <v>0</v>
      </c>
    </row>
    <row r="20" spans="1:6" ht="15" x14ac:dyDescent="0.25">
      <c r="A20" s="3">
        <f t="shared" si="1"/>
        <v>19</v>
      </c>
      <c r="B20" s="15" t="s">
        <v>424</v>
      </c>
      <c r="C20" s="16">
        <f t="shared" si="2"/>
        <v>43412</v>
      </c>
      <c r="D20" s="29">
        <f t="shared" si="3"/>
        <v>0</v>
      </c>
      <c r="E20" s="26">
        <v>0</v>
      </c>
      <c r="F20" s="26">
        <f t="shared" si="0"/>
        <v>0</v>
      </c>
    </row>
    <row r="21" spans="1:6" ht="15" x14ac:dyDescent="0.25">
      <c r="A21" s="3">
        <f t="shared" si="1"/>
        <v>20</v>
      </c>
      <c r="B21" s="15" t="s">
        <v>425</v>
      </c>
      <c r="C21" s="16">
        <f t="shared" si="2"/>
        <v>43413</v>
      </c>
      <c r="D21" s="29">
        <f t="shared" si="3"/>
        <v>0</v>
      </c>
      <c r="E21" s="26">
        <v>0</v>
      </c>
      <c r="F21" s="26">
        <f t="shared" si="0"/>
        <v>0</v>
      </c>
    </row>
    <row r="22" spans="1:6" ht="15" x14ac:dyDescent="0.25">
      <c r="A22" s="3">
        <f t="shared" si="1"/>
        <v>21</v>
      </c>
      <c r="B22" s="15" t="s">
        <v>421</v>
      </c>
      <c r="C22" s="16">
        <f>C17+7</f>
        <v>43416</v>
      </c>
      <c r="D22" s="29">
        <f t="shared" si="3"/>
        <v>0</v>
      </c>
      <c r="E22" s="26">
        <v>0</v>
      </c>
      <c r="F22" s="26">
        <f t="shared" si="0"/>
        <v>0</v>
      </c>
    </row>
    <row r="23" spans="1:6" ht="15" x14ac:dyDescent="0.25">
      <c r="A23" s="3">
        <f t="shared" si="1"/>
        <v>22</v>
      </c>
      <c r="B23" s="15" t="s">
        <v>422</v>
      </c>
      <c r="C23" s="16">
        <f t="shared" si="2"/>
        <v>43417</v>
      </c>
      <c r="D23" s="29">
        <f t="shared" si="3"/>
        <v>0</v>
      </c>
      <c r="E23" s="26">
        <v>0</v>
      </c>
      <c r="F23" s="26">
        <f t="shared" si="0"/>
        <v>0</v>
      </c>
    </row>
    <row r="24" spans="1:6" ht="15" x14ac:dyDescent="0.25">
      <c r="A24" s="3">
        <f t="shared" si="1"/>
        <v>23</v>
      </c>
      <c r="B24" s="15" t="s">
        <v>423</v>
      </c>
      <c r="C24" s="16">
        <f t="shared" si="2"/>
        <v>43418</v>
      </c>
      <c r="D24" s="29">
        <f t="shared" si="3"/>
        <v>0</v>
      </c>
      <c r="E24" s="26">
        <v>0</v>
      </c>
      <c r="F24" s="26">
        <f t="shared" si="0"/>
        <v>0</v>
      </c>
    </row>
    <row r="25" spans="1:6" ht="15" x14ac:dyDescent="0.25">
      <c r="A25" s="3">
        <f t="shared" si="1"/>
        <v>24</v>
      </c>
      <c r="B25" s="15" t="s">
        <v>424</v>
      </c>
      <c r="C25" s="16">
        <f t="shared" si="2"/>
        <v>43419</v>
      </c>
      <c r="D25" s="29">
        <f t="shared" si="3"/>
        <v>0</v>
      </c>
      <c r="E25" s="26">
        <v>0</v>
      </c>
      <c r="F25" s="26">
        <f t="shared" si="0"/>
        <v>0</v>
      </c>
    </row>
    <row r="26" spans="1:6" ht="15" x14ac:dyDescent="0.25">
      <c r="A26" s="3">
        <f t="shared" si="1"/>
        <v>25</v>
      </c>
      <c r="B26" s="15" t="s">
        <v>425</v>
      </c>
      <c r="C26" s="16">
        <f t="shared" si="2"/>
        <v>43420</v>
      </c>
      <c r="D26" s="29">
        <f t="shared" si="3"/>
        <v>0</v>
      </c>
      <c r="E26" s="26">
        <v>0</v>
      </c>
      <c r="F26" s="26">
        <f t="shared" si="0"/>
        <v>0</v>
      </c>
    </row>
    <row r="27" spans="1:6" ht="15" x14ac:dyDescent="0.25">
      <c r="A27" s="3">
        <f t="shared" si="1"/>
        <v>26</v>
      </c>
      <c r="B27" s="15" t="s">
        <v>421</v>
      </c>
      <c r="C27" s="16">
        <f>C22+7</f>
        <v>43423</v>
      </c>
      <c r="D27" s="29">
        <f t="shared" si="3"/>
        <v>0</v>
      </c>
      <c r="E27" s="26">
        <v>0</v>
      </c>
      <c r="F27" s="26">
        <f t="shared" si="0"/>
        <v>0</v>
      </c>
    </row>
    <row r="28" spans="1:6" ht="15" x14ac:dyDescent="0.25">
      <c r="A28" s="3">
        <f t="shared" si="1"/>
        <v>27</v>
      </c>
      <c r="B28" s="15" t="s">
        <v>422</v>
      </c>
      <c r="C28" s="16">
        <f t="shared" si="2"/>
        <v>43424</v>
      </c>
      <c r="D28" s="29">
        <f t="shared" si="3"/>
        <v>0</v>
      </c>
      <c r="E28" s="26">
        <v>0</v>
      </c>
      <c r="F28" s="26">
        <f t="shared" si="0"/>
        <v>0</v>
      </c>
    </row>
    <row r="29" spans="1:6" ht="15" x14ac:dyDescent="0.25">
      <c r="A29" s="3">
        <f t="shared" si="1"/>
        <v>28</v>
      </c>
      <c r="B29" s="15" t="s">
        <v>423</v>
      </c>
      <c r="C29" s="16">
        <f t="shared" si="2"/>
        <v>43425</v>
      </c>
      <c r="D29" s="29">
        <f t="shared" si="3"/>
        <v>0</v>
      </c>
      <c r="E29" s="26">
        <v>0</v>
      </c>
      <c r="F29" s="26">
        <f t="shared" si="0"/>
        <v>0</v>
      </c>
    </row>
    <row r="30" spans="1:6" ht="15" x14ac:dyDescent="0.25">
      <c r="A30" s="3">
        <f t="shared" si="1"/>
        <v>29</v>
      </c>
      <c r="B30" s="15" t="s">
        <v>424</v>
      </c>
      <c r="C30" s="16">
        <f t="shared" si="2"/>
        <v>43426</v>
      </c>
      <c r="D30" s="29">
        <f t="shared" si="3"/>
        <v>0</v>
      </c>
      <c r="E30" s="26">
        <v>0</v>
      </c>
      <c r="F30" s="26">
        <f t="shared" si="0"/>
        <v>0</v>
      </c>
    </row>
    <row r="31" spans="1:6" ht="15" x14ac:dyDescent="0.25">
      <c r="A31" s="3">
        <f t="shared" si="1"/>
        <v>30</v>
      </c>
      <c r="B31" s="15" t="s">
        <v>425</v>
      </c>
      <c r="C31" s="16">
        <f t="shared" si="2"/>
        <v>43427</v>
      </c>
      <c r="D31" s="29">
        <f t="shared" si="3"/>
        <v>0</v>
      </c>
      <c r="E31" s="26">
        <v>0</v>
      </c>
      <c r="F31" s="26">
        <f t="shared" si="0"/>
        <v>0</v>
      </c>
    </row>
    <row r="32" spans="1:6" ht="15" x14ac:dyDescent="0.25">
      <c r="A32" s="3">
        <f t="shared" si="1"/>
        <v>31</v>
      </c>
      <c r="B32" s="15" t="s">
        <v>421</v>
      </c>
      <c r="C32" s="16">
        <f>C27+7</f>
        <v>43430</v>
      </c>
      <c r="D32" s="29">
        <f t="shared" si="3"/>
        <v>0</v>
      </c>
      <c r="E32" s="26">
        <v>0</v>
      </c>
      <c r="F32" s="26">
        <f t="shared" si="0"/>
        <v>0</v>
      </c>
    </row>
    <row r="33" spans="1:6" ht="15" x14ac:dyDescent="0.25">
      <c r="A33" s="3">
        <f t="shared" si="1"/>
        <v>32</v>
      </c>
      <c r="B33" s="15" t="s">
        <v>422</v>
      </c>
      <c r="C33" s="16">
        <f t="shared" si="2"/>
        <v>43431</v>
      </c>
      <c r="D33" s="29">
        <f t="shared" si="3"/>
        <v>0</v>
      </c>
      <c r="E33" s="26">
        <v>0</v>
      </c>
      <c r="F33" s="26">
        <f t="shared" si="0"/>
        <v>0</v>
      </c>
    </row>
    <row r="34" spans="1:6" ht="15" x14ac:dyDescent="0.25">
      <c r="A34" s="3">
        <f t="shared" si="1"/>
        <v>33</v>
      </c>
      <c r="B34" s="15" t="s">
        <v>423</v>
      </c>
      <c r="C34" s="16">
        <f t="shared" si="2"/>
        <v>43432</v>
      </c>
      <c r="D34" s="29">
        <f t="shared" si="3"/>
        <v>0</v>
      </c>
      <c r="E34" s="26">
        <v>0</v>
      </c>
      <c r="F34" s="26">
        <f t="shared" si="0"/>
        <v>0</v>
      </c>
    </row>
    <row r="35" spans="1:6" ht="15" x14ac:dyDescent="0.25">
      <c r="A35" s="3">
        <f t="shared" si="1"/>
        <v>34</v>
      </c>
      <c r="B35" s="15" t="s">
        <v>424</v>
      </c>
      <c r="C35" s="16">
        <f t="shared" si="2"/>
        <v>43433</v>
      </c>
      <c r="D35" s="29">
        <f t="shared" si="3"/>
        <v>0</v>
      </c>
      <c r="E35" s="26">
        <v>0</v>
      </c>
      <c r="F35" s="26">
        <f t="shared" si="0"/>
        <v>0</v>
      </c>
    </row>
    <row r="36" spans="1:6" ht="15" x14ac:dyDescent="0.25">
      <c r="A36" s="3">
        <f t="shared" si="1"/>
        <v>35</v>
      </c>
      <c r="B36" s="15" t="s">
        <v>425</v>
      </c>
      <c r="C36" s="16">
        <f t="shared" si="2"/>
        <v>43434</v>
      </c>
      <c r="D36" s="29">
        <f t="shared" si="3"/>
        <v>0</v>
      </c>
      <c r="E36" s="26">
        <v>0</v>
      </c>
      <c r="F36" s="26">
        <f t="shared" si="0"/>
        <v>0</v>
      </c>
    </row>
    <row r="37" spans="1:6" ht="15" x14ac:dyDescent="0.25">
      <c r="A37" s="3">
        <f t="shared" si="1"/>
        <v>36</v>
      </c>
      <c r="B37" s="15" t="s">
        <v>421</v>
      </c>
      <c r="C37" s="16">
        <f>C32+7</f>
        <v>43437</v>
      </c>
      <c r="D37" s="29">
        <f t="shared" si="3"/>
        <v>0</v>
      </c>
      <c r="E37" s="26">
        <v>0</v>
      </c>
      <c r="F37" s="26">
        <f t="shared" si="0"/>
        <v>0</v>
      </c>
    </row>
    <row r="38" spans="1:6" ht="15" x14ac:dyDescent="0.25">
      <c r="A38" s="3">
        <f t="shared" si="1"/>
        <v>37</v>
      </c>
      <c r="B38" s="15" t="s">
        <v>422</v>
      </c>
      <c r="C38" s="16">
        <f t="shared" si="2"/>
        <v>43438</v>
      </c>
      <c r="D38" s="29">
        <f t="shared" si="3"/>
        <v>0</v>
      </c>
      <c r="E38" s="26">
        <v>325</v>
      </c>
      <c r="F38" s="26">
        <f t="shared" si="0"/>
        <v>0</v>
      </c>
    </row>
    <row r="39" spans="1:6" ht="15" x14ac:dyDescent="0.25">
      <c r="A39" s="3">
        <f t="shared" si="1"/>
        <v>38</v>
      </c>
      <c r="B39" s="15" t="s">
        <v>423</v>
      </c>
      <c r="C39" s="16">
        <f t="shared" si="2"/>
        <v>43439</v>
      </c>
      <c r="D39" s="29">
        <f t="shared" si="3"/>
        <v>0</v>
      </c>
      <c r="E39" s="26">
        <v>325</v>
      </c>
      <c r="F39" s="26">
        <f t="shared" si="0"/>
        <v>0</v>
      </c>
    </row>
    <row r="40" spans="1:6" ht="15" x14ac:dyDescent="0.25">
      <c r="A40" s="3">
        <f t="shared" si="1"/>
        <v>39</v>
      </c>
      <c r="B40" s="15" t="s">
        <v>424</v>
      </c>
      <c r="C40" s="16">
        <f t="shared" si="2"/>
        <v>43440</v>
      </c>
      <c r="D40" s="29">
        <f t="shared" si="3"/>
        <v>0</v>
      </c>
      <c r="E40" s="26">
        <v>325</v>
      </c>
      <c r="F40" s="26">
        <f t="shared" si="0"/>
        <v>0</v>
      </c>
    </row>
    <row r="41" spans="1:6" ht="15" x14ac:dyDescent="0.25">
      <c r="A41" s="3">
        <f t="shared" si="1"/>
        <v>40</v>
      </c>
      <c r="B41" s="15" t="s">
        <v>425</v>
      </c>
      <c r="C41" s="16">
        <f t="shared" si="2"/>
        <v>43441</v>
      </c>
      <c r="D41" s="29">
        <f t="shared" si="3"/>
        <v>0</v>
      </c>
      <c r="E41" s="26">
        <v>325</v>
      </c>
      <c r="F41" s="26">
        <f t="shared" si="0"/>
        <v>0</v>
      </c>
    </row>
    <row r="42" spans="1:6" ht="15" x14ac:dyDescent="0.25">
      <c r="A42" s="3">
        <f t="shared" si="1"/>
        <v>41</v>
      </c>
      <c r="B42" s="15" t="s">
        <v>421</v>
      </c>
      <c r="C42" s="16">
        <f>C37+7</f>
        <v>43444</v>
      </c>
      <c r="D42" s="29">
        <f t="shared" si="3"/>
        <v>0</v>
      </c>
      <c r="E42" s="26">
        <v>325</v>
      </c>
      <c r="F42" s="26">
        <f t="shared" si="0"/>
        <v>0</v>
      </c>
    </row>
    <row r="43" spans="1:6" ht="15" x14ac:dyDescent="0.25">
      <c r="A43" s="3">
        <f t="shared" si="1"/>
        <v>42</v>
      </c>
      <c r="B43" s="15" t="s">
        <v>422</v>
      </c>
      <c r="C43" s="16">
        <f t="shared" si="2"/>
        <v>43445</v>
      </c>
      <c r="D43" s="29">
        <f t="shared" si="3"/>
        <v>0</v>
      </c>
      <c r="E43" s="26">
        <v>325</v>
      </c>
      <c r="F43" s="26">
        <f t="shared" si="0"/>
        <v>0</v>
      </c>
    </row>
    <row r="44" spans="1:6" ht="15" x14ac:dyDescent="0.25">
      <c r="A44" s="3">
        <f t="shared" si="1"/>
        <v>43</v>
      </c>
      <c r="B44" s="15" t="s">
        <v>423</v>
      </c>
      <c r="C44" s="16">
        <f t="shared" si="2"/>
        <v>43446</v>
      </c>
      <c r="D44" s="29">
        <f t="shared" si="3"/>
        <v>0</v>
      </c>
      <c r="E44" s="26">
        <v>325</v>
      </c>
      <c r="F44" s="26">
        <f t="shared" si="0"/>
        <v>0</v>
      </c>
    </row>
    <row r="45" spans="1:6" ht="15" x14ac:dyDescent="0.25">
      <c r="A45" s="3">
        <f t="shared" si="1"/>
        <v>44</v>
      </c>
      <c r="B45" s="15" t="s">
        <v>424</v>
      </c>
      <c r="C45" s="16">
        <f t="shared" si="2"/>
        <v>43447</v>
      </c>
      <c r="D45" s="29">
        <f t="shared" si="3"/>
        <v>0</v>
      </c>
      <c r="E45" s="26">
        <v>325</v>
      </c>
      <c r="F45" s="26">
        <f t="shared" si="0"/>
        <v>0</v>
      </c>
    </row>
    <row r="46" spans="1:6" ht="15" x14ac:dyDescent="0.25">
      <c r="A46" s="3">
        <f t="shared" si="1"/>
        <v>45</v>
      </c>
      <c r="B46" s="15" t="s">
        <v>425</v>
      </c>
      <c r="C46" s="16">
        <f t="shared" si="2"/>
        <v>43448</v>
      </c>
      <c r="D46" s="29">
        <f t="shared" si="3"/>
        <v>0</v>
      </c>
      <c r="E46" s="26">
        <v>325</v>
      </c>
      <c r="F46" s="26">
        <f t="shared" si="0"/>
        <v>0</v>
      </c>
    </row>
    <row r="47" spans="1:6" ht="15" x14ac:dyDescent="0.25">
      <c r="A47" s="3">
        <f t="shared" si="1"/>
        <v>46</v>
      </c>
      <c r="B47" s="15" t="s">
        <v>421</v>
      </c>
      <c r="C47" s="16">
        <f>C42+7</f>
        <v>43451</v>
      </c>
      <c r="D47" s="29">
        <f t="shared" si="3"/>
        <v>0</v>
      </c>
      <c r="E47" s="26">
        <v>325</v>
      </c>
      <c r="F47" s="26">
        <f t="shared" si="0"/>
        <v>0</v>
      </c>
    </row>
    <row r="48" spans="1:6" ht="15" x14ac:dyDescent="0.25">
      <c r="A48" s="3">
        <f t="shared" si="1"/>
        <v>47</v>
      </c>
      <c r="B48" s="15" t="s">
        <v>422</v>
      </c>
      <c r="C48" s="16">
        <f t="shared" si="2"/>
        <v>43452</v>
      </c>
      <c r="D48" s="29">
        <f t="shared" si="3"/>
        <v>0</v>
      </c>
      <c r="E48" s="26">
        <v>325</v>
      </c>
      <c r="F48" s="26">
        <f t="shared" si="0"/>
        <v>0</v>
      </c>
    </row>
    <row r="49" spans="1:6" ht="15" x14ac:dyDescent="0.25">
      <c r="A49" s="3">
        <f t="shared" si="1"/>
        <v>48</v>
      </c>
      <c r="B49" s="15" t="s">
        <v>423</v>
      </c>
      <c r="C49" s="16">
        <f t="shared" si="2"/>
        <v>43453</v>
      </c>
      <c r="D49" s="29">
        <f t="shared" si="3"/>
        <v>0</v>
      </c>
      <c r="E49" s="26">
        <v>325</v>
      </c>
      <c r="F49" s="26">
        <f t="shared" si="0"/>
        <v>0</v>
      </c>
    </row>
    <row r="50" spans="1:6" ht="15" x14ac:dyDescent="0.25">
      <c r="A50" s="3">
        <f t="shared" si="1"/>
        <v>49</v>
      </c>
      <c r="B50" s="15" t="s">
        <v>424</v>
      </c>
      <c r="C50" s="16">
        <f t="shared" si="2"/>
        <v>43454</v>
      </c>
      <c r="D50" s="29">
        <f t="shared" si="3"/>
        <v>0</v>
      </c>
      <c r="E50" s="26">
        <v>325</v>
      </c>
      <c r="F50" s="26">
        <f t="shared" si="0"/>
        <v>0</v>
      </c>
    </row>
    <row r="51" spans="1:6" ht="15" x14ac:dyDescent="0.25">
      <c r="A51" s="3">
        <f t="shared" si="1"/>
        <v>50</v>
      </c>
      <c r="B51" s="15" t="s">
        <v>425</v>
      </c>
      <c r="C51" s="16">
        <f t="shared" si="2"/>
        <v>43455</v>
      </c>
      <c r="D51" s="29">
        <f t="shared" si="3"/>
        <v>0</v>
      </c>
      <c r="E51" s="26">
        <v>325</v>
      </c>
      <c r="F51" s="26">
        <f t="shared" si="0"/>
        <v>0</v>
      </c>
    </row>
    <row r="52" spans="1:6" x14ac:dyDescent="0.2">
      <c r="C52" s="26" t="str">
        <f t="shared" ref="C52:C53" si="4">IF(LEN($E52)=0,"",ROW()-1)</f>
        <v/>
      </c>
      <c r="F52" s="26" t="str">
        <f t="shared" si="0"/>
        <v/>
      </c>
    </row>
    <row r="53" spans="1:6" x14ac:dyDescent="0.2">
      <c r="C53" s="26" t="str">
        <f t="shared" si="4"/>
        <v/>
      </c>
      <c r="F53" s="26" t="str">
        <f t="shared" si="0"/>
        <v/>
      </c>
    </row>
  </sheetData>
  <pageMargins left="0.75" right="0.75" top="1" bottom="1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EC Document" ma:contentTypeID="0x010100258AA79CEB83498886A3A0868112325000B815E5D5322DC248B537749FDF4EA55B" ma:contentTypeVersion="3" ma:contentTypeDescription="Create a new document in this library." ma:contentTypeScope="" ma:versionID="6dfd52e8a508f04eab458b183111d719">
  <xsd:schema xmlns:xsd="http://www.w3.org/2001/XMLSchema" xmlns:xs="http://www.w3.org/2001/XMLSchema" xmlns:p="http://schemas.microsoft.com/office/2006/metadata/properties" xmlns:ns2="http://schemas.microsoft.com/sharepoint/v3/fields" xmlns:ns3="01fb76ba-f1d6-4c22-8aad-389d5f9739b1" xmlns:ns4="1ceba764-4fb5-4af4-9e5b-089663bda63a" targetNamespace="http://schemas.microsoft.com/office/2006/metadata/properties" ma:root="true" ma:fieldsID="66f8dc29175755876586b2d25c6562b5" ns2:_="" ns3:_="" ns4:_="">
    <xsd:import namespace="http://schemas.microsoft.com/sharepoint/v3/fields"/>
    <xsd:import namespace="01fb76ba-f1d6-4c22-8aad-389d5f9739b1"/>
    <xsd:import namespace="1ceba764-4fb5-4af4-9e5b-089663bda63a"/>
    <xsd:element name="properties">
      <xsd:complexType>
        <xsd:sequence>
          <xsd:element name="documentManagement">
            <xsd:complexType>
              <xsd:all>
                <xsd:element ref="ns3:EC_Collab_Reference" minOccurs="0"/>
                <xsd:element ref="ns2:_Status" minOccurs="0"/>
                <xsd:element ref="ns3:EC_Collab_DocumentLanguage"/>
                <xsd:element ref="ns3:EC_Collab_Status"/>
                <xsd:element ref="ns4:_dlc_DocId" minOccurs="0"/>
                <xsd:element ref="ns4:_dlc_DocIdUrl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13" nillable="true" ma:displayName="Status" ma:default="Not Started" ma:hidden="true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Scheduled"/>
              <xsd:enumeration value="Published"/>
              <xsd:enumeration value="Final"/>
              <xsd:enumeration value="Expired"/>
            </xsd:restriction>
          </xsd:simpleType>
        </xsd:un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fb76ba-f1d6-4c22-8aad-389d5f9739b1" elementFormDefault="qualified">
    <xsd:import namespace="http://schemas.microsoft.com/office/2006/documentManagement/types"/>
    <xsd:import namespace="http://schemas.microsoft.com/office/infopath/2007/PartnerControls"/>
    <xsd:element name="EC_Collab_Reference" ma:index="12" nillable="true" ma:displayName="Reference" ma:internalName="EC_Collab_Reference">
      <xsd:simpleType>
        <xsd:restriction base="dms:Text"/>
      </xsd:simpleType>
    </xsd:element>
    <xsd:element name="EC_Collab_DocumentLanguage" ma:index="14" ma:displayName="Language" ma:default="EN" ma:internalName="EC_Collab_DocumentLanguage">
      <xsd:simpleType>
        <xsd:restriction base="dms:Choice">
          <xsd:enumeration value="BG"/>
          <xsd:enumeration value="ES"/>
          <xsd:enumeration value="CS"/>
          <xsd:enumeration value="DA"/>
          <xsd:enumeration value="DE"/>
          <xsd:enumeration value="ET"/>
          <xsd:enumeration value="EL"/>
          <xsd:enumeration value="EN"/>
          <xsd:enumeration value="FR"/>
          <xsd:enumeration value="GA"/>
          <xsd:enumeration value="IT"/>
          <xsd:enumeration value="LT"/>
          <xsd:enumeration value="LV"/>
          <xsd:enumeration value="HU"/>
          <xsd:enumeration value="MT"/>
          <xsd:enumeration value="NL"/>
          <xsd:enumeration value="PL"/>
          <xsd:enumeration value="PT"/>
          <xsd:enumeration value="RO"/>
          <xsd:enumeration value="SK"/>
          <xsd:enumeration value="SL"/>
          <xsd:enumeration value="FI"/>
          <xsd:enumeration value="SV"/>
          <xsd:enumeration value="HR"/>
          <xsd:enumeration value="MK"/>
          <xsd:enumeration value="TR"/>
          <xsd:enumeration value="EU"/>
          <xsd:enumeration value="CA"/>
          <xsd:enumeration value="GL"/>
          <xsd:enumeration value="AB"/>
          <xsd:enumeration value="AA"/>
          <xsd:enumeration value="AF"/>
          <xsd:enumeration value="AK"/>
          <xsd:enumeration value="SQ"/>
          <xsd:enumeration value="AM"/>
          <xsd:enumeration value="AR"/>
          <xsd:enumeration value="AN"/>
          <xsd:enumeration value="HY"/>
          <xsd:enumeration value="AS"/>
          <xsd:enumeration value="AV"/>
          <xsd:enumeration value="AE"/>
          <xsd:enumeration value="AY"/>
          <xsd:enumeration value="AZ"/>
          <xsd:enumeration value="BM"/>
          <xsd:enumeration value="BA"/>
          <xsd:enumeration value="BE"/>
          <xsd:enumeration value="BN"/>
          <xsd:enumeration value="BH"/>
          <xsd:enumeration value="BI"/>
          <xsd:enumeration value="NB"/>
          <xsd:enumeration value="BS"/>
          <xsd:enumeration value="BR"/>
          <xsd:enumeration value="MY"/>
          <xsd:enumeration value="KM"/>
          <xsd:enumeration value="CH"/>
          <xsd:enumeration value="CE"/>
          <xsd:enumeration value="NY"/>
          <xsd:enumeration value="ZH"/>
          <xsd:enumeration value="CU"/>
          <xsd:enumeration value="CV"/>
          <xsd:enumeration value="KW"/>
          <xsd:enumeration value="CO"/>
          <xsd:enumeration value="CR"/>
          <xsd:enumeration value="DV"/>
          <xsd:enumeration value="DZ"/>
          <xsd:enumeration value="EO"/>
          <xsd:enumeration value="EE"/>
          <xsd:enumeration value="FO"/>
          <xsd:enumeration value="FJ"/>
          <xsd:enumeration value="FF"/>
          <xsd:enumeration value="GD"/>
          <xsd:enumeration value="LG"/>
          <xsd:enumeration value="KA"/>
          <xsd:enumeration value="GN"/>
          <xsd:enumeration value="GU"/>
          <xsd:enumeration value="HT"/>
          <xsd:enumeration value="HA"/>
          <xsd:enumeration value="HE"/>
          <xsd:enumeration value="HZ"/>
          <xsd:enumeration value="HI"/>
          <xsd:enumeration value="HO"/>
          <xsd:enumeration value="IS"/>
          <xsd:enumeration value="IO"/>
          <xsd:enumeration value="IG"/>
          <xsd:enumeration value="ID"/>
          <xsd:enumeration value="IA"/>
          <xsd:enumeration value="IE"/>
          <xsd:enumeration value="IU"/>
          <xsd:enumeration value="IK"/>
          <xsd:enumeration value="JA"/>
          <xsd:enumeration value="JV"/>
          <xsd:enumeration value="KL"/>
          <xsd:enumeration value="KN"/>
          <xsd:enumeration value="KR"/>
          <xsd:enumeration value="KS"/>
          <xsd:enumeration value="KK"/>
          <xsd:enumeration value="KI"/>
          <xsd:enumeration value="RW"/>
          <xsd:enumeration value="KY"/>
          <xsd:enumeration value="KV"/>
          <xsd:enumeration value="KG"/>
          <xsd:enumeration value="KO"/>
          <xsd:enumeration value="KJ"/>
          <xsd:enumeration value="KU"/>
          <xsd:enumeration value="LO"/>
          <xsd:enumeration value="LA"/>
          <xsd:enumeration value="LI"/>
          <xsd:enumeration value="LN"/>
          <xsd:enumeration value="LU"/>
          <xsd:enumeration value="LB"/>
          <xsd:enumeration value="MG"/>
          <xsd:enumeration value="MS"/>
          <xsd:enumeration value="ML"/>
          <xsd:enumeration value="GV"/>
          <xsd:enumeration value="MI"/>
          <xsd:enumeration value="MR"/>
          <xsd:enumeration value="MH"/>
          <xsd:enumeration value="MN"/>
          <xsd:enumeration value="NA"/>
          <xsd:enumeration value="NV"/>
          <xsd:enumeration value="ND"/>
          <xsd:enumeration value="NR"/>
          <xsd:enumeration value="NG"/>
          <xsd:enumeration value="NE"/>
          <xsd:enumeration value="SE"/>
          <xsd:enumeration value="NO"/>
          <xsd:enumeration value="NN"/>
          <xsd:enumeration value="OC"/>
          <xsd:enumeration value="OJ"/>
          <xsd:enumeration value="OR"/>
          <xsd:enumeration value="OM"/>
          <xsd:enumeration value="OS"/>
          <xsd:enumeration value="PI"/>
          <xsd:enumeration value="PA"/>
          <xsd:enumeration value="FA"/>
          <xsd:enumeration value="PS"/>
          <xsd:enumeration value="QU"/>
          <xsd:enumeration value="RM"/>
          <xsd:enumeration value="RN"/>
          <xsd:enumeration value="RU"/>
          <xsd:enumeration value="SM"/>
          <xsd:enumeration value="SG"/>
          <xsd:enumeration value="SA"/>
          <xsd:enumeration value="SC"/>
          <xsd:enumeration value="SR"/>
          <xsd:enumeration value="SN"/>
          <xsd:enumeration value="II"/>
          <xsd:enumeration value="SD"/>
          <xsd:enumeration value="SI"/>
          <xsd:enumeration value="SO"/>
          <xsd:enumeration value="ST"/>
          <xsd:enumeration value="SU"/>
          <xsd:enumeration value="SW"/>
          <xsd:enumeration value="SS"/>
          <xsd:enumeration value="TL"/>
          <xsd:enumeration value="TY"/>
          <xsd:enumeration value="TG"/>
          <xsd:enumeration value="TA"/>
          <xsd:enumeration value="TT"/>
          <xsd:enumeration value="TE"/>
          <xsd:enumeration value="TH"/>
          <xsd:enumeration value="BO"/>
          <xsd:enumeration value="TI"/>
          <xsd:enumeration value="TO"/>
          <xsd:enumeration value="TS"/>
          <xsd:enumeration value="TN"/>
          <xsd:enumeration value="TK"/>
          <xsd:enumeration value="TW"/>
          <xsd:enumeration value="UG"/>
          <xsd:enumeration value="UK"/>
          <xsd:enumeration value="UR"/>
          <xsd:enumeration value="UZ"/>
          <xsd:enumeration value="VE"/>
          <xsd:enumeration value="VI"/>
          <xsd:enumeration value="VO"/>
          <xsd:enumeration value="WA"/>
          <xsd:enumeration value="CY"/>
          <xsd:enumeration value="FY"/>
          <xsd:enumeration value="WO"/>
          <xsd:enumeration value="XH"/>
          <xsd:enumeration value="YI"/>
          <xsd:enumeration value="YO"/>
          <xsd:enumeration value="ZA"/>
          <xsd:enumeration value="ZU"/>
        </xsd:restriction>
      </xsd:simpleType>
    </xsd:element>
    <xsd:element name="EC_Collab_Status" ma:index="15" ma:displayName="EC Status" ma:default="Not Started" ma:internalName="EC_Collab_Status">
      <xsd:simpleType>
        <xsd:restriction base="dms:Choice">
          <xsd:enumeration value="Not Started"/>
          <xsd:enumeration value="Draft"/>
          <xsd:enumeration value="Reviewed"/>
          <xsd:enumeration value="Scheduled"/>
          <xsd:enumeration value="Published"/>
          <xsd:enumeration value="Final"/>
          <xsd:enumeration value="Expir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eba764-4fb5-4af4-9e5b-089663bda63a" elementFormDefault="qualified">
    <xsd:import namespace="http://schemas.microsoft.com/office/2006/documentManagement/types"/>
    <xsd:import namespace="http://schemas.microsoft.com/office/infopath/2007/PartnerControls"/>
    <xsd:element name="_dlc_DocId" ma:index="16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7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8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9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 ma:index="8" ma:displayName="Subject"/>
        <xsd:element ref="dc:description" minOccurs="0" maxOccurs="1" ma:index="11" ma:displayName="Comments"/>
        <xsd:element name="keywords" minOccurs="0" maxOccurs="1" type="xsd:string" ma:index="10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EC_Collab_DocumentLanguage xmlns="01fb76ba-f1d6-4c22-8aad-389d5f9739b1">EN</EC_Collab_DocumentLanguage>
    <_Status xmlns="http://schemas.microsoft.com/sharepoint/v3/fields">Not Started</_Status>
    <EC_Collab_Reference xmlns="01fb76ba-f1d6-4c22-8aad-389d5f9739b1" xsi:nil="true"/>
    <EC_Collab_Status xmlns="01fb76ba-f1d6-4c22-8aad-389d5f9739b1">Not Started</EC_Collab_Status>
    <_dlc_DocId xmlns="1ceba764-4fb5-4af4-9e5b-089663bda63a">OPSYS-1847287575-1230</_dlc_DocId>
    <_dlc_DocIdUrl xmlns="1ceba764-4fb5-4af4-9e5b-089663bda63a">
      <Url>https://myintracomm-collab.ec.europa.eu/projects/Opsys/_layouts/15/DocIdRedir.aspx?ID=OPSYS-1847287575-1230</Url>
      <Description>OPSYS-1847287575-1230</Description>
    </_dlc_DocIdUrl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8C6877A0-1309-4F2C-B597-EF2DD16689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/fields"/>
    <ds:schemaRef ds:uri="01fb76ba-f1d6-4c22-8aad-389d5f9739b1"/>
    <ds:schemaRef ds:uri="1ceba764-4fb5-4af4-9e5b-089663bda6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AE062EC-6B00-48A9-AC9E-81968ACF345E}">
  <ds:schemaRefs>
    <ds:schemaRef ds:uri="http://schemas.microsoft.com/office/infopath/2007/PartnerControls"/>
    <ds:schemaRef ds:uri="http://schemas.microsoft.com/office/2006/documentManagement/types"/>
    <ds:schemaRef ds:uri="http://purl.org/dc/terms/"/>
    <ds:schemaRef ds:uri="1ceba764-4fb5-4af4-9e5b-089663bda63a"/>
    <ds:schemaRef ds:uri="01fb76ba-f1d6-4c22-8aad-389d5f9739b1"/>
    <ds:schemaRef ds:uri="http://schemas.microsoft.com/sharepoint/v3/field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87CF075-E22A-47A8-BE8C-4B396EFAC1D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00A166A-EF5A-4DA7-8B6E-9829EA5CE791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3</vt:i4>
      </vt:variant>
    </vt:vector>
  </HeadingPairs>
  <TitlesOfParts>
    <vt:vector size="43" baseType="lpstr">
      <vt:lpstr>Settings</vt:lpstr>
      <vt:lpstr>Log</vt:lpstr>
      <vt:lpstr>Infos</vt:lpstr>
      <vt:lpstr>181204 features</vt:lpstr>
      <vt:lpstr>181204 stories</vt:lpstr>
      <vt:lpstr>181203 features</vt:lpstr>
      <vt:lpstr>181203 stories</vt:lpstr>
      <vt:lpstr>181129 stories</vt:lpstr>
      <vt:lpstr>181129 features</vt:lpstr>
      <vt:lpstr>Roadmap</vt:lpstr>
      <vt:lpstr>Program </vt:lpstr>
      <vt:lpstr>Features Progress</vt:lpstr>
      <vt:lpstr>Enablers Progress</vt:lpstr>
      <vt:lpstr>CF (Features #)</vt:lpstr>
      <vt:lpstr>CF (Enablers #)</vt:lpstr>
      <vt:lpstr>CF (Stories #)</vt:lpstr>
      <vt:lpstr>CF (Features SP)</vt:lpstr>
      <vt:lpstr>CF (Enablers SP)</vt:lpstr>
      <vt:lpstr>CF (Stories SP)</vt:lpstr>
      <vt:lpstr>PI Burn Down (SP)</vt:lpstr>
      <vt:lpstr>Team A</vt:lpstr>
      <vt:lpstr>A - Features Progress</vt:lpstr>
      <vt:lpstr>A - Enablers Progress</vt:lpstr>
      <vt:lpstr>A - CF (Features #)</vt:lpstr>
      <vt:lpstr>A - CF (Enablers #)</vt:lpstr>
      <vt:lpstr>A - CF (Stories #)</vt:lpstr>
      <vt:lpstr>A - CF (Features SP)</vt:lpstr>
      <vt:lpstr>A - CF (Enablers SP)</vt:lpstr>
      <vt:lpstr>A - CF (Stories SP)</vt:lpstr>
      <vt:lpstr>A - PI Burn Down (SP)</vt:lpstr>
      <vt:lpstr>Team B</vt:lpstr>
      <vt:lpstr>B - Features Progress</vt:lpstr>
      <vt:lpstr>B - Enablers Progress</vt:lpstr>
      <vt:lpstr>B - CF (Features #)</vt:lpstr>
      <vt:lpstr>B - CF (Enablers #)</vt:lpstr>
      <vt:lpstr>B - CF (Stories #)</vt:lpstr>
      <vt:lpstr>B - CF (Features SP)</vt:lpstr>
      <vt:lpstr>B - CF (Enablers SP)</vt:lpstr>
      <vt:lpstr>B - CF (Stories SP)</vt:lpstr>
      <vt:lpstr>B - PI Burn Down (SP)</vt:lpstr>
      <vt:lpstr>'Program '!Print_Area</vt:lpstr>
      <vt:lpstr>'Team A'!Print_Area</vt:lpstr>
      <vt:lpstr>'Team B'!Print_Area</vt:lpstr>
    </vt:vector>
  </TitlesOfParts>
  <Company>Smartouch-Empulsys III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BEGHAIN Olivier</dc:creator>
  <cp:lastModifiedBy>BEGHAIN Olivier</cp:lastModifiedBy>
  <cp:lastPrinted>2018-12-03T12:41:47Z</cp:lastPrinted>
  <dcterms:created xsi:type="dcterms:W3CDTF">2017-04-15T09:58:00Z</dcterms:created>
  <dcterms:modified xsi:type="dcterms:W3CDTF">2018-12-06T13:23:08Z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0x010100258AA79CEB83498886A3A0868112325000B815E5D5322DC248B537749FDF4EA55B</vt:lpwstr>
  </property>
  <property fmtid="{D5CDD505-2E9C-101B-9397-08002B2CF9AE}" pid="3" name="_dlc_DocIdItemGuid">
    <vt:lpwstr>843756b0-a97f-4e65-ac28-4f18b1ae77d6</vt:lpwstr>
  </property>
</Properties>
</file>