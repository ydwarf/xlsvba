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18.xml" ContentType="application/vnd.openxmlformats-officedocument.drawing+xml"/>
  <Override PartName="/xl/charts/chart9.xml" ContentType="application/vnd.openxmlformats-officedocument.drawingml.chart+xml"/>
  <Override PartName="/xl/drawings/drawing19.xml" ContentType="application/vnd.openxmlformats-officedocument.drawing+xml"/>
  <Override PartName="/xl/charts/chart10.xml" ContentType="application/vnd.openxmlformats-officedocument.drawingml.chart+xml"/>
  <Override PartName="/xl/drawings/drawing20.xml" ContentType="application/vnd.openxmlformats-officedocument.drawing+xml"/>
  <Override PartName="/xl/charts/chart11.xml" ContentType="application/vnd.openxmlformats-officedocument.drawingml.chart+xml"/>
  <Override PartName="/xl/drawings/drawing21.xml" ContentType="application/vnd.openxmlformats-officedocument.drawing+xml"/>
  <Override PartName="/xl/charts/chart12.xml" ContentType="application/vnd.openxmlformats-officedocument.drawingml.chart+xml"/>
  <Override PartName="/xl/drawings/drawing22.xml" ContentType="application/vnd.openxmlformats-officedocument.drawing+xml"/>
  <Override PartName="/xl/charts/chart13.xml" ContentType="application/vnd.openxmlformats-officedocument.drawingml.chart+xml"/>
  <Override PartName="/xl/drawings/drawing23.xml" ContentType="application/vnd.openxmlformats-officedocument.drawing+xml"/>
  <Override PartName="/xl/charts/chart14.xml" ContentType="application/vnd.openxmlformats-officedocument.drawingml.chart+xml"/>
  <Override PartName="/xl/drawings/drawing24.xml" ContentType="application/vnd.openxmlformats-officedocument.drawing+xml"/>
  <Override PartName="/xl/charts/chart15.xml" ContentType="application/vnd.openxmlformats-officedocument.drawingml.chart+xml"/>
  <Override PartName="/xl/drawings/drawing25.xml" ContentType="application/vnd.openxmlformats-officedocument.drawing+xml"/>
  <Override PartName="/xl/charts/chart16.xml" ContentType="application/vnd.openxmlformats-officedocument.drawingml.chart+xml"/>
  <Override PartName="/xl/drawings/drawing26.xml" ContentType="application/vnd.openxmlformats-officedocument.drawing+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drawings/drawing27.xml" ContentType="application/vnd.openxmlformats-officedocument.drawing+xml"/>
  <Override PartName="/xl/charts/chart25.xml" ContentType="application/vnd.openxmlformats-officedocument.drawingml.chart+xml"/>
  <Override PartName="/xl/drawings/drawing28.xml" ContentType="application/vnd.openxmlformats-officedocument.drawing+xml"/>
  <Override PartName="/xl/charts/chart26.xml" ContentType="application/vnd.openxmlformats-officedocument.drawingml.chart+xml"/>
  <Override PartName="/xl/drawings/drawing29.xml" ContentType="application/vnd.openxmlformats-officedocument.drawing+xml"/>
  <Override PartName="/xl/charts/chart27.xml" ContentType="application/vnd.openxmlformats-officedocument.drawingml.chart+xml"/>
  <Override PartName="/xl/drawings/drawing30.xml" ContentType="application/vnd.openxmlformats-officedocument.drawing+xml"/>
  <Override PartName="/xl/charts/chart28.xml" ContentType="application/vnd.openxmlformats-officedocument.drawingml.chart+xml"/>
  <Override PartName="/xl/drawings/drawing31.xml" ContentType="application/vnd.openxmlformats-officedocument.drawing+xml"/>
  <Override PartName="/xl/charts/chart29.xml" ContentType="application/vnd.openxmlformats-officedocument.drawingml.chart+xml"/>
  <Override PartName="/xl/drawings/drawing32.xml" ContentType="application/vnd.openxmlformats-officedocument.drawing+xml"/>
  <Override PartName="/xl/charts/chart30.xml" ContentType="application/vnd.openxmlformats-officedocument.drawingml.chart+xml"/>
  <Override PartName="/xl/drawings/drawing33.xml" ContentType="application/vnd.openxmlformats-officedocument.drawing+xml"/>
  <Override PartName="/xl/charts/chart31.xml" ContentType="application/vnd.openxmlformats-officedocument.drawingml.chart+xml"/>
  <Override PartName="/xl/drawings/drawing34.xml" ContentType="application/vnd.openxmlformats-officedocument.drawing+xml"/>
  <Override PartName="/xl/charts/chart32.xml" ContentType="application/vnd.openxmlformats-officedocument.drawingml.chart+xml"/>
  <Override PartName="/xl/drawings/drawing3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drawings/drawing36.xml" ContentType="application/vnd.openxmlformats-officedocument.drawing+xml"/>
  <Override PartName="/xl/charts/chart41.xml" ContentType="application/vnd.openxmlformats-officedocument.drawingml.chart+xml"/>
  <Override PartName="/xl/drawings/drawing37.xml" ContentType="application/vnd.openxmlformats-officedocument.drawing+xml"/>
  <Override PartName="/xl/charts/chart42.xml" ContentType="application/vnd.openxmlformats-officedocument.drawingml.chart+xml"/>
  <Override PartName="/xl/drawings/drawing38.xml" ContentType="application/vnd.openxmlformats-officedocument.drawing+xml"/>
  <Override PartName="/xl/charts/chart43.xml" ContentType="application/vnd.openxmlformats-officedocument.drawingml.chart+xml"/>
  <Override PartName="/xl/drawings/drawing39.xml" ContentType="application/vnd.openxmlformats-officedocument.drawing+xml"/>
  <Override PartName="/xl/charts/chart44.xml" ContentType="application/vnd.openxmlformats-officedocument.drawingml.chart+xml"/>
  <Override PartName="/xl/drawings/drawing40.xml" ContentType="application/vnd.openxmlformats-officedocument.drawing+xml"/>
  <Override PartName="/xl/charts/chart45.xml" ContentType="application/vnd.openxmlformats-officedocument.drawingml.chart+xml"/>
  <Override PartName="/xl/drawings/drawing41.xml" ContentType="application/vnd.openxmlformats-officedocument.drawing+xml"/>
  <Override PartName="/xl/charts/chart46.xml" ContentType="application/vnd.openxmlformats-officedocument.drawingml.chart+xml"/>
  <Override PartName="/xl/drawings/drawing42.xml" ContentType="application/vnd.openxmlformats-officedocument.drawing+xml"/>
  <Override PartName="/xl/charts/chart47.xml" ContentType="application/vnd.openxmlformats-officedocument.drawingml.chart+xml"/>
  <Override PartName="/xl/drawings/drawing43.xml" ContentType="application/vnd.openxmlformats-officedocument.drawing+xml"/>
  <Override PartName="/xl/charts/chart4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4290" yWindow="30" windowWidth="19440" windowHeight="11040" tabRatio="609" firstSheet="20" activeTab="23"/>
  </bookViews>
  <sheets>
    <sheet name="Infos" sheetId="15" r:id="rId1"/>
    <sheet name="Settings (OPSYS)" sheetId="62" r:id="rId2"/>
    <sheet name="Settings (COMPCORP)" sheetId="11" r:id="rId3"/>
    <sheet name="Log" sheetId="18" r:id="rId4"/>
    <sheet name="PI-9 Features (OPSYS)" sheetId="63" r:id="rId5"/>
    <sheet name="PI-9 Stories (OPSYS)" sheetId="67" r:id="rId6"/>
    <sheet name="PI-8 Stories (OPSYS)" sheetId="65" r:id="rId7"/>
    <sheet name="PI-7 Stories (OPSYS)" sheetId="66" r:id="rId8"/>
    <sheet name="PI-6 Stories (OPSYS)" sheetId="64" r:id="rId9"/>
    <sheet name="181212 Features (COMPCORP)" sheetId="68" r:id="rId10"/>
    <sheet name="181207 features" sheetId="60" r:id="rId11"/>
    <sheet name="181207 stories" sheetId="61" r:id="rId12"/>
    <sheet name="181204 features" sheetId="57" r:id="rId13"/>
    <sheet name="181204 stories" sheetId="56" r:id="rId14"/>
    <sheet name="181203 features" sheetId="35" r:id="rId15"/>
    <sheet name="181203 stories" sheetId="33" r:id="rId16"/>
    <sheet name="181129 stories" sheetId="24" r:id="rId17"/>
    <sheet name="181129 features" sheetId="23" r:id="rId18"/>
    <sheet name="PI-4 Objectives (COMPCORP)" sheetId="71" r:id="rId19"/>
    <sheet name="PI-4 Objectives (Busy Bees)" sheetId="74" r:id="rId20"/>
    <sheet name="PI-4 Objectives (Minions)" sheetId="72" r:id="rId21"/>
    <sheet name="PI-4 Objectives (Pink Panthers)" sheetId="73" r:id="rId22"/>
    <sheet name="PI-4 Objectives (RTD)" sheetId="75" r:id="rId23"/>
    <sheet name="PI-4 Objectives (Scape Goats)" sheetId="76" r:id="rId24"/>
    <sheet name="PI-4 Objectives (Guardians)" sheetId="77" r:id="rId25"/>
    <sheet name="Objectives" sheetId="70" r:id="rId26"/>
    <sheet name="Roadmap" sheetId="59" r:id="rId27"/>
    <sheet name="Program " sheetId="31" r:id="rId28"/>
    <sheet name="Features Progress" sheetId="13" r:id="rId29"/>
    <sheet name="Enablers Progress" sheetId="19" r:id="rId30"/>
    <sheet name="CF (Features #)" sheetId="9" r:id="rId31"/>
    <sheet name="CF (Enablers #)" sheetId="30" r:id="rId32"/>
    <sheet name="CF (Stories #)" sheetId="26" r:id="rId33"/>
    <sheet name="CF (Features SP)" sheetId="27" r:id="rId34"/>
    <sheet name="CF (Enablers SP)" sheetId="29" r:id="rId35"/>
    <sheet name="CF (Stories SP)" sheetId="28" r:id="rId36"/>
    <sheet name="PI Burn Down (SP)" sheetId="32" r:id="rId37"/>
    <sheet name="Team A" sheetId="45" r:id="rId38"/>
    <sheet name="A - Features Progress" sheetId="36" r:id="rId39"/>
    <sheet name="A - Enablers Progress" sheetId="58" r:id="rId40"/>
    <sheet name="A - CF (Features #)" sheetId="38" r:id="rId41"/>
    <sheet name="A - CF (Enablers #)" sheetId="39" r:id="rId42"/>
    <sheet name="A - CF (Stories #)" sheetId="40" r:id="rId43"/>
    <sheet name="A - CF (Features SP)" sheetId="41" r:id="rId44"/>
    <sheet name="A - CF (Enablers SP)" sheetId="42" r:id="rId45"/>
    <sheet name="A - CF (Stories SP)" sheetId="43" r:id="rId46"/>
    <sheet name="A - PI Burn Down (SP)" sheetId="44" r:id="rId47"/>
    <sheet name="Team B" sheetId="46" r:id="rId48"/>
    <sheet name="B - Features Progress" sheetId="47" r:id="rId49"/>
    <sheet name="B - Enablers Progress" sheetId="48" r:id="rId50"/>
    <sheet name="B - CF (Features #)" sheetId="49" r:id="rId51"/>
    <sheet name="B - CF (Enablers #)" sheetId="50" r:id="rId52"/>
    <sheet name="B - CF (Stories #)" sheetId="51" r:id="rId53"/>
    <sheet name="B - CF (Features SP)" sheetId="52" r:id="rId54"/>
    <sheet name="B - CF (Enablers SP)" sheetId="53" r:id="rId55"/>
    <sheet name="B - CF (Stories SP)" sheetId="54" r:id="rId56"/>
    <sheet name="B - PI Burn Down (SP)" sheetId="55" r:id="rId57"/>
  </sheets>
  <functionGroups builtInGroupCount="17"/>
  <externalReferences>
    <externalReference r:id="rId58"/>
  </externalReferences>
  <definedNames>
    <definedName name="Actual_Days_Remaining">IF(COUNT('[1]Resource Allocation'!$C$9:$DA$9),OFFSET('[1]Resource Allocation'!$B$2,COUNTA('[1]Resource Allocation'!$B$3:$B$31987),1,1,COUNT('[1]Resource Allocation'!$C$9:$DA$9)),0)</definedName>
    <definedName name="Commitment">OFFSET('[1]Actual Allocation'!$A$2,1,0,COUNTA('[1]Actual Allocation'!$A$3:$A$32011)-1,3)</definedName>
    <definedName name="Desired_Trend">IF(COUNT('[1]Sprint Information'!$B$51:$CZ$51),OFFSET('[1]Sprint Information'!$B$51,0,0,1,COUNT('[1]Sprint Information'!$B$51:$CZ$51)),0)</definedName>
    <definedName name="Held_Standup">'[1]Sprint Information'!$B$52:$CZ$52</definedName>
    <definedName name="Individual_Base">OFFSET('[1]Sprint Information'!$B$54,0,0,1,COUNT('[1]Sprint Information'!$B$54:$CZ$54))</definedName>
    <definedName name="ListOfTeams" localSheetId="41">#REF!</definedName>
    <definedName name="ListOfTeams" localSheetId="44">#REF!</definedName>
    <definedName name="ListOfTeams" localSheetId="40">#REF!</definedName>
    <definedName name="ListOfTeams" localSheetId="43">#REF!</definedName>
    <definedName name="ListOfTeams" localSheetId="42">#REF!</definedName>
    <definedName name="ListOfTeams" localSheetId="45">#REF!</definedName>
    <definedName name="ListOfTeams" localSheetId="39">#REF!</definedName>
    <definedName name="ListOfTeams" localSheetId="38">#REF!</definedName>
    <definedName name="ListOfTeams" localSheetId="46">#REF!</definedName>
    <definedName name="ListOfTeams" localSheetId="51">#REF!</definedName>
    <definedName name="ListOfTeams" localSheetId="54">#REF!</definedName>
    <definedName name="ListOfTeams" localSheetId="50">#REF!</definedName>
    <definedName name="ListOfTeams" localSheetId="53">#REF!</definedName>
    <definedName name="ListOfTeams" localSheetId="52">#REF!</definedName>
    <definedName name="ListOfTeams" localSheetId="55">#REF!</definedName>
    <definedName name="ListOfTeams" localSheetId="49">#REF!</definedName>
    <definedName name="ListOfTeams" localSheetId="48">#REF!</definedName>
    <definedName name="ListOfTeams" localSheetId="56">#REF!</definedName>
    <definedName name="ListOfTeams" localSheetId="31">#REF!</definedName>
    <definedName name="ListOfTeams" localSheetId="34">#REF!</definedName>
    <definedName name="ListOfTeams" localSheetId="33">#REF!</definedName>
    <definedName name="ListOfTeams" localSheetId="32">#REF!</definedName>
    <definedName name="ListOfTeams" localSheetId="35">#REF!</definedName>
    <definedName name="ListOfTeams" localSheetId="29">#REF!</definedName>
    <definedName name="ListOfTeams" localSheetId="25">#REF!</definedName>
    <definedName name="ListOfTeams" localSheetId="19">#REF!</definedName>
    <definedName name="ListOfTeams" localSheetId="24">#REF!</definedName>
    <definedName name="ListOfTeams" localSheetId="21">#REF!</definedName>
    <definedName name="ListOfTeams" localSheetId="22">#REF!</definedName>
    <definedName name="ListOfTeams" localSheetId="23">#REF!</definedName>
    <definedName name="ListOfTeams" localSheetId="37">#REF!</definedName>
    <definedName name="ListOfTeams" localSheetId="47">#REF!</definedName>
    <definedName name="ListOfTeams">#REF!</definedName>
    <definedName name="Lower_Trend" localSheetId="46">IF(COUNT('A - PI Burn Down (SP)'!Progress)&lt;2,0,OFFSET('[1]Sprint Information'!$B$59,0,0,1,COUNT('[1]Sprint Information'!$59:$59)))</definedName>
    <definedName name="Lower_Trend" localSheetId="56">IF(COUNT('B - PI Burn Down (SP)'!Progress)&lt;2,0,OFFSET('[1]Sprint Information'!$B$59,0,0,1,COUNT('[1]Sprint Information'!$59:$59)))</definedName>
    <definedName name="Lower_Trend" localSheetId="8">IF(COUNT('PI-6 Stories (OPSYS)'!Progress)&lt;2,0,OFFSET('[1]Sprint Information'!$B$59,0,0,1,COUNT('[1]Sprint Information'!$59:$59)))</definedName>
    <definedName name="Lower_Trend" localSheetId="7">IF(COUNT('PI-7 Stories (OPSYS)'!Progress)&lt;2,0,OFFSET('[1]Sprint Information'!$B$59,0,0,1,COUNT('[1]Sprint Information'!$59:$59)))</definedName>
    <definedName name="Lower_Trend" localSheetId="6">IF(COUNT('PI-8 Stories (OPSYS)'!Progress)&lt;2,0,OFFSET('[1]Sprint Information'!$B$59,0,0,1,COUNT('[1]Sprint Information'!$59:$59)))</definedName>
    <definedName name="Lower_Trend" localSheetId="4">IF(COUNT('PI-9 Features (OPSYS)'!Progress)&lt;2,0,OFFSET('[1]Sprint Information'!$B$59,0,0,1,COUNT('[1]Sprint Information'!$59:$59)))</definedName>
    <definedName name="Lower_Trend" localSheetId="5">IF(COUNT('PI-9 Stories (OPSYS)'!Progress)&lt;2,0,OFFSET('[1]Sprint Information'!$B$59,0,0,1,COUNT('[1]Sprint Information'!$59:$59)))</definedName>
    <definedName name="Lower_Trend" localSheetId="1">IF(COUNT('Settings (OPSYS)'!Progress)&lt;2,0,OFFSET('[1]Sprint Information'!$B$59,0,0,1,COUNT('[1]Sprint Information'!$59:$59)))</definedName>
    <definedName name="Lower_Trend">IF(COUNT(Progress)&lt;2,0,OFFSET('[1]Sprint Information'!$B$59,0,0,1,COUNT('[1]Sprint Information'!$59:$59)))</definedName>
    <definedName name="Number_Tasks">'[1]Sprint Information'!$B$50</definedName>
    <definedName name="Postponed" localSheetId="8">OFFSET('[1]Burn Down'!$F$1,2,0,Number_Tasks,1)</definedName>
    <definedName name="Postponed" localSheetId="7">OFFSET('[1]Burn Down'!$F$1,2,0,Number_Tasks,1)</definedName>
    <definedName name="Postponed" localSheetId="6">OFFSET('[1]Burn Down'!$F$1,2,0,Number_Tasks,1)</definedName>
    <definedName name="Postponed" localSheetId="4">OFFSET('[1]Burn Down'!$F$1,2,0,Number_Tasks,1)</definedName>
    <definedName name="Postponed" localSheetId="5">OFFSET('[1]Burn Down'!$F$1,2,0,Number_Tasks,1)</definedName>
    <definedName name="Postponed" localSheetId="1">OFFSET('[1]Burn Down'!$F$1,2,0,Number_Tasks,1)</definedName>
    <definedName name="Postponed">OFFSET('[1]Burn Down'!$F$1,2,0,Number_Tasks,1)</definedName>
    <definedName name="Postponed_Values">'[1]Sprint Information'!$B$53:$C$53</definedName>
    <definedName name="_xlnm.Print_Area" localSheetId="27">'Program '!$A$1:$AQ$70</definedName>
    <definedName name="_xlnm.Print_Area" localSheetId="37">'Team A'!$A$1:$AQ$70</definedName>
    <definedName name="_xlnm.Print_Area" localSheetId="47">'Team B'!$A$1:$AQ$70</definedName>
    <definedName name="Progress" localSheetId="46">IF(COUNT('A - PI Burn Down (SP)'!$E$2:$E$53)&lt;2,0,OFFSET('A - PI Burn Down (SP)'!$E$2,0,0,COUNT('A - PI Burn Down (SP)'!$E$2:$E$53),1))</definedName>
    <definedName name="Progress" localSheetId="56">IF(COUNT('B - PI Burn Down (SP)'!$E$2:$E$53)&lt;2,0,OFFSET('B - PI Burn Down (SP)'!$E$2,0,0,COUNT('B - PI Burn Down (SP)'!$E$2:$E$53),1))</definedName>
    <definedName name="Progress" localSheetId="8">IF(COUNT(#REF!)&lt;2,0,OFFSET(#REF!,0,0,COUNT(#REF!),1))</definedName>
    <definedName name="Progress" localSheetId="7">IF(COUNT(#REF!)&lt;2,0,OFFSET(#REF!,0,0,COUNT(#REF!),1))</definedName>
    <definedName name="Progress" localSheetId="6">IF(COUNT(#REF!)&lt;2,0,OFFSET(#REF!,0,0,COUNT(#REF!),1))</definedName>
    <definedName name="Progress" localSheetId="4">IF(COUNT(#REF!)&lt;2,0,OFFSET(#REF!,0,0,COUNT(#REF!),1))</definedName>
    <definedName name="Progress" localSheetId="5">IF(COUNT(#REF!)&lt;2,0,OFFSET(#REF!,0,0,COUNT(#REF!),1))</definedName>
    <definedName name="Progress" localSheetId="1">IF(COUNT(#REF!)&lt;2,0,OFFSET(#REF!,0,0,COUNT(#REF!),1))</definedName>
    <definedName name="Progress">IF(COUNT('PI Burn Down (SP)'!$E$2:$E$53)&lt;2,0,OFFSET('PI Burn Down (SP)'!$E$2,0,0,COUNT('PI Burn Down (SP)'!$E$2:$E$53),1))</definedName>
    <definedName name="Resource">OFFSET('[1]Resource Allocation'!$B$2,1,0,COUNTA('[1]Resource Allocation'!$B$3:$B$31987)-1,1)</definedName>
    <definedName name="Resource01_Burn">OFFSET('[1]Actual Allocation'!$D$3,0,0,1,COUNT('[1]Actual Allocation'!$D$3:$DB$3))</definedName>
    <definedName name="Resource02_Burn">OFFSET('[1]Actual Allocation'!$D$4,0,0,1,COUNT('[1]Actual Allocation'!$D$4:$DB$4))</definedName>
    <definedName name="Resource03_Burn">OFFSET('[1]Actual Allocation'!$D$5,0,0,1,COUNT('[1]Actual Allocation'!$D$5:$DB$5))</definedName>
    <definedName name="Resource04_Burn">OFFSET('[1]Actual Allocation'!$D$6,0,0,1,COUNT('[1]Actual Allocation'!$D$6:$DB$6))</definedName>
    <definedName name="Resource05_Burn">OFFSET('[1]Actual Allocation'!$D$7,0,0,1,COUNT('[1]Actual Allocation'!$D$7:$DB$7))</definedName>
    <definedName name="Resource06_Burn">OFFSET('[1]Actual Allocation'!$D$8,0,0,1,COUNT('[1]Actual Allocation'!$D$8:$DB$8))</definedName>
    <definedName name="Resource07_Burn">OFFSET('[1]Actual Allocation'!$D$9,0,0,1,COUNT('[1]Actual Allocation'!$D$9:$DB$9))</definedName>
    <definedName name="Resource08_Burn">OFFSET('[1]Actual Allocation'!$D$10,0,0,1,COUNT('[1]Actual Allocation'!$D$10:$DB$10))</definedName>
    <definedName name="Resource09_Burn">OFFSET('[1]Actual Allocation'!$D$11,0,0,1,COUNT('[1]Actual Allocation'!$D$11:$DB$11))</definedName>
    <definedName name="Resource10_Burn">OFFSET('[1]Actual Allocation'!$D$12,0,0,1,COUNT('[1]Actual Allocation'!$D$12:$DB$12))</definedName>
    <definedName name="Resource11_Burn">OFFSET('[1]Actual Allocation'!$D$13,0,0,1,COUNT('[1]Actual Allocation'!$D$13:$DB$13))</definedName>
    <definedName name="Resource12_Burn">OFFSET('[1]Actual Allocation'!$D$14,0,0,1,COUNT('[1]Actual Allocation'!$D$14:$DB$14))</definedName>
    <definedName name="Resource13_Burn">OFFSET('[1]Actual Allocation'!$D$15,0,0,1,COUNT('[1]Actual Allocation'!$D$15:$DB$15))</definedName>
    <definedName name="Resource14_Burn">OFFSET('[1]Actual Allocation'!$D$16,0,0,1,COUNT('[1]Actual Allocation'!$D$16:$DB$16))</definedName>
    <definedName name="Resource15_Burn">OFFSET('[1]Actual Allocation'!$D$17,0,0,1,COUNT('[1]Actual Allocation'!$D$17:$DB$17))</definedName>
    <definedName name="Resource16_Burn">OFFSET('[1]Actual Allocation'!$D$18,0,0,1,COUNT('[1]Actual Allocation'!$D$18:$DB$18))</definedName>
    <definedName name="Resource17_Burn">OFFSET('[1]Actual Allocation'!$D$19,0,0,1,COUNT('[1]Actual Allocation'!$D$19:$DB$19))</definedName>
    <definedName name="Resource18_Burn">OFFSET('[1]Actual Allocation'!$D$20,0,0,1,COUNT('[1]Actual Allocation'!$D$20:$DB$20))</definedName>
    <definedName name="Resource19_Burn">OFFSET('[1]Actual Allocation'!$D$21,0,0,1,COUNT('[1]Actual Allocation'!$D$21:$DB$21))</definedName>
    <definedName name="Resource20_Burn">OFFSET('[1]Actual Allocation'!$D$22,0,0,1,COUNT('[1]Actual Allocation'!$D$22:$DB$22))</definedName>
    <definedName name="Resource21_Burn">OFFSET('[1]Actual Allocation'!$D$23,0,0,1,COUNT('[1]Actual Allocation'!$D$23:$DB$23))</definedName>
    <definedName name="Resource22_Burn">OFFSET('[1]Actual Allocation'!$D$24,0,0,1,COUNT('[1]Actual Allocation'!$D$24:$DB$24))</definedName>
    <definedName name="Resource23_Burn">OFFSET('[1]Actual Allocation'!$D$25,0,0,1,COUNT('[1]Actual Allocation'!$D$26:$DB$26))</definedName>
    <definedName name="Resource24_Burn">OFFSET('[1]Actual Allocation'!$D$26,0,0,1,COUNT('[1]Actual Allocation'!$D$26:$DB$26))</definedName>
    <definedName name="Resource25_Burn">OFFSET('[1]Actual Allocation'!$D$27,0,0,1,COUNT('[1]Actual Allocation'!$D$27:$DB$27))</definedName>
    <definedName name="Resource26_Burn">OFFSET('[1]Actual Allocation'!$D$28,0,0,1,COUNT('[1]Actual Allocation'!$D$3:$DB$28))</definedName>
    <definedName name="Resource27_Burn">OFFSET('[1]Actual Allocation'!$D$29,0,0,1,COUNT('[1]Actual Allocation'!$D$29:$DB$29))</definedName>
    <definedName name="Resource28_Burn">OFFSET('[1]Actual Allocation'!$D$30,0,0,1,COUNT('[1]Actual Allocation'!$D$30:$DB$30))</definedName>
    <definedName name="Resource29_Burn">OFFSET('[1]Actual Allocation'!$D$31,0,0,1,COUNT('[1]Actual Allocation'!$D$31:$DB$31))</definedName>
    <definedName name="Resource30_Burn">OFFSET('[1]Actual Allocation'!$D$32,0,0,1,COUNT('[1]Actual Allocation'!$D$32:$DB$32))</definedName>
    <definedName name="Scope_Change" localSheetId="46">IF(COUNT('A - PI Burn Down (SP)'!Progress)&lt;2,0,ABS(OFFSET('A - PI Burn Down (SP)'!$F$2,0,0,COUNT('A - PI Burn Down (SP)'!$F$2:$F$53),1))*-1)</definedName>
    <definedName name="Scope_Change" localSheetId="56">IF(COUNT('B - PI Burn Down (SP)'!Progress)&lt;2,0,ABS(OFFSET('B - PI Burn Down (SP)'!$F$2,0,0,COUNT('B - PI Burn Down (SP)'!$F$2:$F$53),1))*-1)</definedName>
    <definedName name="Scope_Change" localSheetId="8">IF(COUNT('PI-6 Stories (OPSYS)'!Progress)&lt;2,0,ABS(OFFSET(#REF!,0,0,COUNT(#REF!),1))*-1)</definedName>
    <definedName name="Scope_Change" localSheetId="7">IF(COUNT('PI-7 Stories (OPSYS)'!Progress)&lt;2,0,ABS(OFFSET(#REF!,0,0,COUNT(#REF!),1))*-1)</definedName>
    <definedName name="Scope_Change" localSheetId="6">IF(COUNT('PI-8 Stories (OPSYS)'!Progress)&lt;2,0,ABS(OFFSET(#REF!,0,0,COUNT(#REF!),1))*-1)</definedName>
    <definedName name="Scope_Change" localSheetId="4">IF(COUNT('PI-9 Features (OPSYS)'!Progress)&lt;2,0,ABS(OFFSET(#REF!,0,0,COUNT(#REF!),1))*-1)</definedName>
    <definedName name="Scope_Change" localSheetId="5">IF(COUNT('PI-9 Stories (OPSYS)'!Progress)&lt;2,0,ABS(OFFSET(#REF!,0,0,COUNT(#REF!),1))*-1)</definedName>
    <definedName name="Scope_Change" localSheetId="1">IF(COUNT('Settings (OPSYS)'!Progress)&lt;2,0,ABS(OFFSET(#REF!,0,0,COUNT(#REF!),1))*-1)</definedName>
    <definedName name="Scope_Change">IF(COUNT(Progress)&lt;2,0,ABS(OFFSET('PI Burn Down (SP)'!$F$2,0,0,COUNT('PI Burn Down (SP)'!$F$2:$F$53),1))*-1)</definedName>
    <definedName name="Sprint_Length">'[1]Sprint Information'!$B$1</definedName>
    <definedName name="Task_Owner" localSheetId="8">OFFSET('[1]Burn Down'!$C$2,1,0,Number_Tasks,1)</definedName>
    <definedName name="Task_Owner" localSheetId="7">OFFSET('[1]Burn Down'!$C$2,1,0,Number_Tasks,1)</definedName>
    <definedName name="Task_Owner" localSheetId="6">OFFSET('[1]Burn Down'!$C$2,1,0,Number_Tasks,1)</definedName>
    <definedName name="Task_Owner" localSheetId="4">OFFSET('[1]Burn Down'!$C$2,1,0,Number_Tasks,1)</definedName>
    <definedName name="Task_Owner" localSheetId="5">OFFSET('[1]Burn Down'!$C$2,1,0,Number_Tasks,1)</definedName>
    <definedName name="Task_Owner" localSheetId="1">OFFSET('[1]Burn Down'!$C$2,1,0,Number_Tasks,1)</definedName>
    <definedName name="Task_Owner">OFFSET('[1]Burn Down'!$C$2,1,0,Number_Tasks,1)</definedName>
    <definedName name="Upper_Trend" localSheetId="46">IF(COUNT('A - PI Burn Down (SP)'!Progress)&lt;2,0,OFFSET('[1]Sprint Information'!$B$58,0,0,1,COUNT('[1]Sprint Information'!$58:$58)))</definedName>
    <definedName name="Upper_Trend" localSheetId="56">IF(COUNT('B - PI Burn Down (SP)'!Progress)&lt;2,0,OFFSET('[1]Sprint Information'!$B$58,0,0,1,COUNT('[1]Sprint Information'!$58:$58)))</definedName>
    <definedName name="Upper_Trend" localSheetId="8">IF(COUNT('PI-6 Stories (OPSYS)'!Progress)&lt;2,0,OFFSET('[1]Sprint Information'!$B$58,0,0,1,COUNT('[1]Sprint Information'!$58:$58)))</definedName>
    <definedName name="Upper_Trend" localSheetId="7">IF(COUNT('PI-7 Stories (OPSYS)'!Progress)&lt;2,0,OFFSET('[1]Sprint Information'!$B$58,0,0,1,COUNT('[1]Sprint Information'!$58:$58)))</definedName>
    <definedName name="Upper_Trend" localSheetId="6">IF(COUNT('PI-8 Stories (OPSYS)'!Progress)&lt;2,0,OFFSET('[1]Sprint Information'!$B$58,0,0,1,COUNT('[1]Sprint Information'!$58:$58)))</definedName>
    <definedName name="Upper_Trend" localSheetId="4">IF(COUNT('PI-9 Features (OPSYS)'!Progress)&lt;2,0,OFFSET('[1]Sprint Information'!$B$58,0,0,1,COUNT('[1]Sprint Information'!$58:$58)))</definedName>
    <definedName name="Upper_Trend" localSheetId="5">IF(COUNT('PI-9 Stories (OPSYS)'!Progress)&lt;2,0,OFFSET('[1]Sprint Information'!$B$58,0,0,1,COUNT('[1]Sprint Information'!$58:$58)))</definedName>
    <definedName name="Upper_Trend" localSheetId="1">IF(COUNT('Settings (OPSYS)'!Progress)&lt;2,0,OFFSET('[1]Sprint Information'!$B$58,0,0,1,COUNT('[1]Sprint Information'!$58:$58)))</definedName>
    <definedName name="Upper_Trend">IF(COUNT(Progress)&lt;2,0,OFFSET('[1]Sprint Information'!$B$58,0,0,1,COUNT('[1]Sprint Information'!$58:$58)))</definedName>
    <definedName name="Work_Hours_in_Day">'[1]Sprint Information'!$B$2</definedName>
  </definedNames>
  <calcPr calcId="145621"/>
  <extLs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I23" i="77" l="1"/>
  <c r="H25" i="77" s="1"/>
  <c r="H23" i="77"/>
  <c r="I23" i="76"/>
  <c r="H23" i="76"/>
  <c r="I23" i="75"/>
  <c r="H25" i="75" s="1"/>
  <c r="H23" i="75"/>
  <c r="I23" i="74"/>
  <c r="H25" i="74" s="1"/>
  <c r="H23" i="74"/>
  <c r="H25" i="72"/>
  <c r="I23" i="73"/>
  <c r="H25" i="73" s="1"/>
  <c r="H23" i="73"/>
  <c r="H23" i="72"/>
  <c r="I23" i="72"/>
  <c r="G1" i="70"/>
  <c r="N1" i="70"/>
  <c r="M1" i="70"/>
  <c r="F1" i="70"/>
  <c r="H25" i="76" l="1"/>
  <c r="M1" i="59"/>
  <c r="L1" i="59"/>
  <c r="E1" i="59"/>
  <c r="D1" i="5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4" i="19"/>
  <c r="F2" i="19"/>
  <c r="E2" i="19"/>
  <c r="G58" i="13"/>
  <c r="G57" i="13"/>
  <c r="G56" i="13"/>
  <c r="G55" i="13"/>
  <c r="G54" i="13"/>
  <c r="G53" i="13"/>
  <c r="G52" i="13"/>
  <c r="G51" i="13"/>
  <c r="G50" i="13"/>
  <c r="G49" i="13"/>
  <c r="G48" i="13"/>
  <c r="G47" i="13"/>
  <c r="G46" i="13"/>
  <c r="G45" i="13"/>
  <c r="G44" i="13"/>
  <c r="G43" i="13"/>
  <c r="G42" i="13"/>
  <c r="G41" i="13"/>
  <c r="G40" i="13"/>
  <c r="G39" i="13"/>
  <c r="G38" i="13"/>
  <c r="G37" i="13"/>
  <c r="G36" i="13"/>
  <c r="G35" i="13"/>
  <c r="G34" i="13"/>
  <c r="G33" i="13"/>
  <c r="G32" i="13"/>
  <c r="G31" i="13"/>
  <c r="G30" i="13"/>
  <c r="G29" i="13"/>
  <c r="G28" i="13"/>
  <c r="G27" i="13"/>
  <c r="G26" i="13"/>
  <c r="G25" i="13"/>
  <c r="G24" i="13"/>
  <c r="G23" i="13"/>
  <c r="G22" i="13"/>
  <c r="G21" i="13"/>
  <c r="G20" i="13"/>
  <c r="G19" i="13"/>
  <c r="G18" i="13"/>
  <c r="G17" i="13"/>
  <c r="G16" i="13"/>
  <c r="G15" i="13"/>
  <c r="G14" i="13"/>
  <c r="G13" i="13"/>
  <c r="G12" i="13"/>
  <c r="G11" i="13"/>
  <c r="G10" i="13"/>
  <c r="G9" i="13"/>
  <c r="G8" i="13"/>
  <c r="G7" i="13"/>
  <c r="G6" i="13"/>
  <c r="G5" i="13"/>
  <c r="G4" i="13"/>
  <c r="E2" i="13"/>
  <c r="F2" i="13"/>
  <c r="F2" i="47"/>
  <c r="E2" i="47"/>
  <c r="F2" i="58"/>
  <c r="E2" i="58"/>
  <c r="F2" i="36"/>
  <c r="E2" i="36"/>
  <c r="D58" i="58"/>
  <c r="D57" i="58"/>
  <c r="D56" i="58"/>
  <c r="D55" i="58"/>
  <c r="D54" i="58"/>
  <c r="D53" i="58"/>
  <c r="D52" i="58"/>
  <c r="D51" i="58"/>
  <c r="D50" i="58"/>
  <c r="D49" i="58"/>
  <c r="D48" i="58"/>
  <c r="D47" i="58"/>
  <c r="D46" i="58"/>
  <c r="D45" i="58"/>
  <c r="D44" i="58"/>
  <c r="D43" i="58"/>
  <c r="D42" i="58"/>
  <c r="D41" i="58"/>
  <c r="D40" i="58"/>
  <c r="D39" i="58"/>
  <c r="D38" i="58"/>
  <c r="D37" i="58"/>
  <c r="D36" i="58"/>
  <c r="D35" i="58"/>
  <c r="D34" i="58"/>
  <c r="D33" i="58"/>
  <c r="D32" i="58"/>
  <c r="D31" i="58"/>
  <c r="D30" i="58"/>
  <c r="D29" i="58"/>
  <c r="D28" i="58"/>
  <c r="D27" i="58"/>
  <c r="D26" i="58"/>
  <c r="D25" i="58"/>
  <c r="D24" i="58"/>
  <c r="D23" i="58"/>
  <c r="D22" i="58"/>
  <c r="D21" i="58"/>
  <c r="D20" i="58"/>
  <c r="D19" i="58"/>
  <c r="D18" i="58"/>
  <c r="D17" i="58"/>
  <c r="D16" i="58"/>
  <c r="D15" i="58"/>
  <c r="D14" i="58"/>
  <c r="D13" i="58"/>
  <c r="D12" i="58"/>
  <c r="D11" i="58"/>
  <c r="D10" i="58"/>
  <c r="D9" i="58"/>
  <c r="D8" i="58"/>
  <c r="D7" i="58"/>
  <c r="D6" i="58"/>
  <c r="D5" i="58"/>
  <c r="D4" i="58"/>
  <c r="C53" i="55"/>
  <c r="F53" i="55"/>
  <c r="C52" i="55"/>
  <c r="F52" i="55"/>
  <c r="C7" i="55"/>
  <c r="C12" i="55"/>
  <c r="D2" i="55"/>
  <c r="D3" i="55"/>
  <c r="D4" i="55"/>
  <c r="D5" i="55"/>
  <c r="D6" i="55"/>
  <c r="D7" i="55"/>
  <c r="D8" i="55"/>
  <c r="D9" i="55"/>
  <c r="D10" i="55"/>
  <c r="D11" i="55"/>
  <c r="D12" i="55"/>
  <c r="D13" i="55"/>
  <c r="D14" i="55"/>
  <c r="D15" i="55"/>
  <c r="D16" i="55"/>
  <c r="D17" i="55"/>
  <c r="D18" i="55"/>
  <c r="D19" i="55"/>
  <c r="D20" i="55"/>
  <c r="D21" i="55"/>
  <c r="D22" i="55"/>
  <c r="D23" i="55"/>
  <c r="D24" i="55"/>
  <c r="D25" i="55"/>
  <c r="D26" i="55"/>
  <c r="D27" i="55"/>
  <c r="D28" i="55"/>
  <c r="D29" i="55"/>
  <c r="D30" i="55"/>
  <c r="D31" i="55"/>
  <c r="D32" i="55"/>
  <c r="D33" i="55"/>
  <c r="D34" i="55"/>
  <c r="D35" i="55"/>
  <c r="D36" i="55"/>
  <c r="D37" i="55"/>
  <c r="D38" i="55"/>
  <c r="D39" i="55"/>
  <c r="D40" i="55"/>
  <c r="D41" i="55"/>
  <c r="D42" i="55"/>
  <c r="D43" i="55"/>
  <c r="D44" i="55"/>
  <c r="D45" i="55"/>
  <c r="D46" i="55"/>
  <c r="D47" i="55"/>
  <c r="D48" i="55"/>
  <c r="D49" i="55"/>
  <c r="D50" i="55"/>
  <c r="D51" i="55"/>
  <c r="A3" i="55"/>
  <c r="A4" i="55"/>
  <c r="A5" i="55"/>
  <c r="A6" i="55"/>
  <c r="A7" i="55"/>
  <c r="A8" i="55"/>
  <c r="A9" i="55"/>
  <c r="A10" i="55"/>
  <c r="A11" i="55"/>
  <c r="A12" i="55"/>
  <c r="A13" i="55"/>
  <c r="A14" i="55"/>
  <c r="A15" i="55"/>
  <c r="A16" i="55"/>
  <c r="A17" i="55"/>
  <c r="A18" i="55"/>
  <c r="A19" i="55"/>
  <c r="A20" i="55"/>
  <c r="A21" i="55"/>
  <c r="A22" i="55"/>
  <c r="A23" i="55"/>
  <c r="A24" i="55"/>
  <c r="A25" i="55"/>
  <c r="A26" i="55"/>
  <c r="A27" i="55"/>
  <c r="A28" i="55"/>
  <c r="A29" i="55"/>
  <c r="A30" i="55"/>
  <c r="A31" i="55"/>
  <c r="A32" i="55"/>
  <c r="A33" i="55"/>
  <c r="A34" i="55"/>
  <c r="A35" i="55"/>
  <c r="A36" i="55"/>
  <c r="A37" i="55"/>
  <c r="A38" i="55"/>
  <c r="A39" i="55"/>
  <c r="A40" i="55"/>
  <c r="A41" i="55"/>
  <c r="A42" i="55"/>
  <c r="A43" i="55"/>
  <c r="A44" i="55"/>
  <c r="A45" i="55"/>
  <c r="A46" i="55"/>
  <c r="A47" i="55"/>
  <c r="A48" i="55"/>
  <c r="A49" i="55"/>
  <c r="A50" i="55"/>
  <c r="A51" i="55"/>
  <c r="C8" i="55"/>
  <c r="C9" i="55"/>
  <c r="C10" i="55"/>
  <c r="F10" i="55"/>
  <c r="C11" i="55"/>
  <c r="F11" i="55"/>
  <c r="F8" i="55"/>
  <c r="F7" i="55"/>
  <c r="C3" i="55"/>
  <c r="C4" i="55"/>
  <c r="C5" i="55"/>
  <c r="C6" i="55"/>
  <c r="F6" i="55"/>
  <c r="K1" i="55"/>
  <c r="L1" i="55"/>
  <c r="K2" i="55"/>
  <c r="F2" i="55"/>
  <c r="C7" i="54"/>
  <c r="C12" i="54"/>
  <c r="C17" i="54"/>
  <c r="C22" i="54"/>
  <c r="C27" i="54"/>
  <c r="A3" i="54"/>
  <c r="A4" i="54"/>
  <c r="A5" i="54"/>
  <c r="A6" i="54"/>
  <c r="A7" i="54"/>
  <c r="A8" i="54"/>
  <c r="A9" i="54"/>
  <c r="A10" i="54"/>
  <c r="A11" i="54"/>
  <c r="A12" i="54"/>
  <c r="A13" i="54"/>
  <c r="A14" i="54"/>
  <c r="A15" i="54"/>
  <c r="A16" i="54"/>
  <c r="A17" i="54"/>
  <c r="A18" i="54"/>
  <c r="A19" i="54"/>
  <c r="A20" i="54"/>
  <c r="A21" i="54"/>
  <c r="A22" i="54"/>
  <c r="A23" i="54"/>
  <c r="A24" i="54"/>
  <c r="A25" i="54"/>
  <c r="A26" i="54"/>
  <c r="A27" i="54"/>
  <c r="A28" i="54"/>
  <c r="A29" i="54"/>
  <c r="A30" i="54"/>
  <c r="A31" i="54"/>
  <c r="A32" i="54"/>
  <c r="A33" i="54"/>
  <c r="A34" i="54"/>
  <c r="A35" i="54"/>
  <c r="A36" i="54"/>
  <c r="A37" i="54"/>
  <c r="A38" i="54"/>
  <c r="A39" i="54"/>
  <c r="A40" i="54"/>
  <c r="A41" i="54"/>
  <c r="A42" i="54"/>
  <c r="A43" i="54"/>
  <c r="A44" i="54"/>
  <c r="A45" i="54"/>
  <c r="A46" i="54"/>
  <c r="A47" i="54"/>
  <c r="A48" i="54"/>
  <c r="A49" i="54"/>
  <c r="A50" i="54"/>
  <c r="A51" i="54"/>
  <c r="C23" i="54"/>
  <c r="C24" i="54"/>
  <c r="C25" i="54"/>
  <c r="C26" i="54"/>
  <c r="C18" i="54"/>
  <c r="C19" i="54"/>
  <c r="C20" i="54"/>
  <c r="C21" i="54"/>
  <c r="C13" i="54"/>
  <c r="C14" i="54"/>
  <c r="C15" i="54"/>
  <c r="C16" i="54"/>
  <c r="C8" i="54"/>
  <c r="C9" i="54"/>
  <c r="C10" i="54"/>
  <c r="C11" i="54"/>
  <c r="C3" i="54"/>
  <c r="C4" i="54"/>
  <c r="C5" i="54"/>
  <c r="C6" i="54"/>
  <c r="C7" i="53"/>
  <c r="A3" i="53"/>
  <c r="A4" i="53"/>
  <c r="A5" i="53"/>
  <c r="A6" i="53"/>
  <c r="A7" i="53"/>
  <c r="A8" i="53"/>
  <c r="A9" i="53"/>
  <c r="A10" i="53"/>
  <c r="A11" i="53"/>
  <c r="A12" i="53"/>
  <c r="A13" i="53"/>
  <c r="A14" i="53"/>
  <c r="A15" i="53"/>
  <c r="A16" i="53"/>
  <c r="A17" i="53"/>
  <c r="A18" i="53"/>
  <c r="A19" i="53"/>
  <c r="A20" i="53"/>
  <c r="A21" i="53"/>
  <c r="A22" i="53"/>
  <c r="A23" i="53"/>
  <c r="A24" i="53"/>
  <c r="A25" i="53"/>
  <c r="A26" i="53"/>
  <c r="A27" i="53"/>
  <c r="A28" i="53"/>
  <c r="A29" i="53"/>
  <c r="A30" i="53"/>
  <c r="A31" i="53"/>
  <c r="A32" i="53"/>
  <c r="A33" i="53"/>
  <c r="A34" i="53"/>
  <c r="A35" i="53"/>
  <c r="A36" i="53"/>
  <c r="A37" i="53"/>
  <c r="A38" i="53"/>
  <c r="A39" i="53"/>
  <c r="A40" i="53"/>
  <c r="A41" i="53"/>
  <c r="A42" i="53"/>
  <c r="A43" i="53"/>
  <c r="A44" i="53"/>
  <c r="A45" i="53"/>
  <c r="A46" i="53"/>
  <c r="A47" i="53"/>
  <c r="A48" i="53"/>
  <c r="A49" i="53"/>
  <c r="A50" i="53"/>
  <c r="A51" i="53"/>
  <c r="C3" i="53"/>
  <c r="C4" i="53"/>
  <c r="C5" i="53"/>
  <c r="C6" i="53"/>
  <c r="C7" i="52"/>
  <c r="C12" i="52"/>
  <c r="C17" i="52"/>
  <c r="C22" i="52"/>
  <c r="C27" i="52"/>
  <c r="A3" i="52"/>
  <c r="A4" i="52"/>
  <c r="A5" i="52"/>
  <c r="A6" i="52"/>
  <c r="A7" i="52"/>
  <c r="A8" i="52"/>
  <c r="A9" i="52"/>
  <c r="A10" i="52"/>
  <c r="A11" i="52"/>
  <c r="A12" i="52"/>
  <c r="A13" i="52"/>
  <c r="A14" i="52"/>
  <c r="A15" i="52"/>
  <c r="A16" i="52"/>
  <c r="A17" i="52"/>
  <c r="A18" i="52"/>
  <c r="A19" i="52"/>
  <c r="A20" i="52"/>
  <c r="A21" i="52"/>
  <c r="A22" i="52"/>
  <c r="A23" i="52"/>
  <c r="A24" i="52"/>
  <c r="A25" i="52"/>
  <c r="A26" i="52"/>
  <c r="A27" i="52"/>
  <c r="A28" i="52"/>
  <c r="A29" i="52"/>
  <c r="A30" i="52"/>
  <c r="A31" i="52"/>
  <c r="A32" i="52"/>
  <c r="A33" i="52"/>
  <c r="A34" i="52"/>
  <c r="A35" i="52"/>
  <c r="A36" i="52"/>
  <c r="A37" i="52"/>
  <c r="A38" i="52"/>
  <c r="A39" i="52"/>
  <c r="A40" i="52"/>
  <c r="A41" i="52"/>
  <c r="A42" i="52"/>
  <c r="A43" i="52"/>
  <c r="A44" i="52"/>
  <c r="A45" i="52"/>
  <c r="A46" i="52"/>
  <c r="A47" i="52"/>
  <c r="A48" i="52"/>
  <c r="A49" i="52"/>
  <c r="A50" i="52"/>
  <c r="A51" i="52"/>
  <c r="C23" i="52"/>
  <c r="C24" i="52"/>
  <c r="C25" i="52"/>
  <c r="C26" i="52"/>
  <c r="C18" i="52"/>
  <c r="C19" i="52"/>
  <c r="C20" i="52"/>
  <c r="C21" i="52"/>
  <c r="C13" i="52"/>
  <c r="C14" i="52"/>
  <c r="C15" i="52"/>
  <c r="C16" i="52"/>
  <c r="C8" i="52"/>
  <c r="C9" i="52"/>
  <c r="C10" i="52"/>
  <c r="C11" i="52"/>
  <c r="C3" i="52"/>
  <c r="C4" i="52"/>
  <c r="C5" i="52"/>
  <c r="C6" i="52"/>
  <c r="C7" i="51"/>
  <c r="C12" i="51"/>
  <c r="C17" i="51"/>
  <c r="A3" i="51"/>
  <c r="A4" i="51"/>
  <c r="A5" i="51"/>
  <c r="A6" i="51"/>
  <c r="A7" i="51"/>
  <c r="A8" i="51"/>
  <c r="A9" i="51"/>
  <c r="A10" i="51"/>
  <c r="A11" i="51"/>
  <c r="A12" i="51"/>
  <c r="A13" i="51"/>
  <c r="A14" i="51"/>
  <c r="A15" i="51"/>
  <c r="A16" i="51"/>
  <c r="A17" i="51"/>
  <c r="A18" i="51"/>
  <c r="A19" i="51"/>
  <c r="A20" i="51"/>
  <c r="A21" i="51"/>
  <c r="A22" i="51"/>
  <c r="A23" i="51"/>
  <c r="A24" i="51"/>
  <c r="A25" i="51"/>
  <c r="A26" i="51"/>
  <c r="A27" i="51"/>
  <c r="A28" i="51"/>
  <c r="A29" i="51"/>
  <c r="A30" i="51"/>
  <c r="A31" i="51"/>
  <c r="A32" i="51"/>
  <c r="A33" i="51"/>
  <c r="A34" i="51"/>
  <c r="A35" i="51"/>
  <c r="A36" i="51"/>
  <c r="A37" i="51"/>
  <c r="A38" i="51"/>
  <c r="A39" i="51"/>
  <c r="A40" i="51"/>
  <c r="A41" i="51"/>
  <c r="A42" i="51"/>
  <c r="A43" i="51"/>
  <c r="A44" i="51"/>
  <c r="A45" i="51"/>
  <c r="A46" i="51"/>
  <c r="A47" i="51"/>
  <c r="A48" i="51"/>
  <c r="A49" i="51"/>
  <c r="A50" i="51"/>
  <c r="A51" i="51"/>
  <c r="C8" i="51"/>
  <c r="C9" i="51"/>
  <c r="C10" i="51"/>
  <c r="C11" i="51"/>
  <c r="C3" i="51"/>
  <c r="C4" i="51"/>
  <c r="C5" i="51"/>
  <c r="C6" i="51"/>
  <c r="C7" i="50"/>
  <c r="C12" i="50"/>
  <c r="C17" i="50"/>
  <c r="C22" i="50"/>
  <c r="C23" i="50"/>
  <c r="C24" i="50"/>
  <c r="C27" i="50"/>
  <c r="A3" i="50"/>
  <c r="A4" i="50"/>
  <c r="A5" i="50"/>
  <c r="A6" i="50"/>
  <c r="A7" i="50"/>
  <c r="A8" i="50"/>
  <c r="A9" i="50"/>
  <c r="A10" i="50"/>
  <c r="A11" i="50"/>
  <c r="A12" i="50"/>
  <c r="A13" i="50"/>
  <c r="A14" i="50"/>
  <c r="A15" i="50"/>
  <c r="A16" i="50"/>
  <c r="A17" i="50"/>
  <c r="A18" i="50"/>
  <c r="A19" i="50"/>
  <c r="A20" i="50"/>
  <c r="A21" i="50"/>
  <c r="A22" i="50"/>
  <c r="A23" i="50"/>
  <c r="A24" i="50"/>
  <c r="A25" i="50"/>
  <c r="A26" i="50"/>
  <c r="A27" i="50"/>
  <c r="A28" i="50"/>
  <c r="A29" i="50"/>
  <c r="A30" i="50"/>
  <c r="A31" i="50"/>
  <c r="A32" i="50"/>
  <c r="A33" i="50"/>
  <c r="A34" i="50"/>
  <c r="A35" i="50"/>
  <c r="A36" i="50"/>
  <c r="A37" i="50"/>
  <c r="A38" i="50"/>
  <c r="A39" i="50"/>
  <c r="A40" i="50"/>
  <c r="A41" i="50"/>
  <c r="A42" i="50"/>
  <c r="A43" i="50"/>
  <c r="A44" i="50"/>
  <c r="A45" i="50"/>
  <c r="A46" i="50"/>
  <c r="A47" i="50"/>
  <c r="A48" i="50"/>
  <c r="A49" i="50"/>
  <c r="A50" i="50"/>
  <c r="A51" i="50"/>
  <c r="C25" i="50"/>
  <c r="C26" i="50"/>
  <c r="C18" i="50"/>
  <c r="C19" i="50"/>
  <c r="C20" i="50"/>
  <c r="C21" i="50"/>
  <c r="C13" i="50"/>
  <c r="C14" i="50"/>
  <c r="C15" i="50"/>
  <c r="C16" i="50"/>
  <c r="C8" i="50"/>
  <c r="C9" i="50"/>
  <c r="C10" i="50"/>
  <c r="C11" i="50"/>
  <c r="C3" i="50"/>
  <c r="C4" i="50"/>
  <c r="C5" i="50"/>
  <c r="C6" i="50"/>
  <c r="C7" i="49"/>
  <c r="C12" i="49"/>
  <c r="C17" i="49"/>
  <c r="A3" i="49"/>
  <c r="A4" i="49"/>
  <c r="A5" i="49"/>
  <c r="A6" i="49"/>
  <c r="A7" i="49"/>
  <c r="A8" i="49"/>
  <c r="A9" i="49"/>
  <c r="A10" i="49"/>
  <c r="A11" i="49"/>
  <c r="A12" i="49"/>
  <c r="A13" i="49"/>
  <c r="A14" i="49"/>
  <c r="A15" i="49"/>
  <c r="A16" i="49"/>
  <c r="A17" i="49"/>
  <c r="A18" i="49"/>
  <c r="A19" i="49"/>
  <c r="A20" i="49"/>
  <c r="A21" i="49"/>
  <c r="A22" i="49"/>
  <c r="A23" i="49"/>
  <c r="A24" i="49"/>
  <c r="A25" i="49"/>
  <c r="A26" i="49"/>
  <c r="A27" i="49"/>
  <c r="A28" i="49"/>
  <c r="A29" i="49"/>
  <c r="A30" i="49"/>
  <c r="A31" i="49"/>
  <c r="A32" i="49"/>
  <c r="A33" i="49"/>
  <c r="A34" i="49"/>
  <c r="A35" i="49"/>
  <c r="A36" i="49"/>
  <c r="A37" i="49"/>
  <c r="A38" i="49"/>
  <c r="A39" i="49"/>
  <c r="A40" i="49"/>
  <c r="A41" i="49"/>
  <c r="A42" i="49"/>
  <c r="A43" i="49"/>
  <c r="A44" i="49"/>
  <c r="A45" i="49"/>
  <c r="A46" i="49"/>
  <c r="A47" i="49"/>
  <c r="A48" i="49"/>
  <c r="A49" i="49"/>
  <c r="A50" i="49"/>
  <c r="A51" i="49"/>
  <c r="C13" i="49"/>
  <c r="C14" i="49"/>
  <c r="C15" i="49"/>
  <c r="C16" i="49"/>
  <c r="C8" i="49"/>
  <c r="C9" i="49"/>
  <c r="C10" i="49"/>
  <c r="C11" i="49"/>
  <c r="C3" i="49"/>
  <c r="C4" i="49"/>
  <c r="C5" i="49"/>
  <c r="C6" i="49"/>
  <c r="D57" i="48"/>
  <c r="D56" i="48"/>
  <c r="D55" i="48"/>
  <c r="D54" i="48"/>
  <c r="D53" i="48"/>
  <c r="D52" i="48"/>
  <c r="D51" i="48"/>
  <c r="D50" i="48"/>
  <c r="D49" i="48"/>
  <c r="D48" i="48"/>
  <c r="D47" i="48"/>
  <c r="D46" i="48"/>
  <c r="D45" i="48"/>
  <c r="D44" i="48"/>
  <c r="D43" i="48"/>
  <c r="D42" i="48"/>
  <c r="D41" i="48"/>
  <c r="D40" i="48"/>
  <c r="D39" i="48"/>
  <c r="D38" i="48"/>
  <c r="D37" i="48"/>
  <c r="D36" i="48"/>
  <c r="D35" i="48"/>
  <c r="D34" i="48"/>
  <c r="D33" i="48"/>
  <c r="D32" i="48"/>
  <c r="D31" i="48"/>
  <c r="D30" i="48"/>
  <c r="D29" i="48"/>
  <c r="D28" i="48"/>
  <c r="D27" i="48"/>
  <c r="D26" i="48"/>
  <c r="D25" i="48"/>
  <c r="D24" i="48"/>
  <c r="D23" i="48"/>
  <c r="D22" i="48"/>
  <c r="D21" i="48"/>
  <c r="D20" i="48"/>
  <c r="D19" i="48"/>
  <c r="D18" i="48"/>
  <c r="D17" i="48"/>
  <c r="D16" i="48"/>
  <c r="D15" i="48"/>
  <c r="D14" i="48"/>
  <c r="D13" i="48"/>
  <c r="D12" i="48"/>
  <c r="D11" i="48"/>
  <c r="D10" i="48"/>
  <c r="D9" i="48"/>
  <c r="D8" i="48"/>
  <c r="D7" i="48"/>
  <c r="D6" i="48"/>
  <c r="D5" i="48"/>
  <c r="D4" i="48"/>
  <c r="F2" i="48"/>
  <c r="E2" i="48"/>
  <c r="D58" i="47"/>
  <c r="D57" i="47"/>
  <c r="D56" i="47"/>
  <c r="D55" i="47"/>
  <c r="D54" i="47"/>
  <c r="D53" i="47"/>
  <c r="D52" i="47"/>
  <c r="D51" i="47"/>
  <c r="D50" i="47"/>
  <c r="D49" i="47"/>
  <c r="D48" i="47"/>
  <c r="D47" i="47"/>
  <c r="D46" i="47"/>
  <c r="D45" i="47"/>
  <c r="D44" i="47"/>
  <c r="D43" i="47"/>
  <c r="D42" i="47"/>
  <c r="D41" i="47"/>
  <c r="D40" i="47"/>
  <c r="D39" i="47"/>
  <c r="D38" i="47"/>
  <c r="D37" i="47"/>
  <c r="D36" i="47"/>
  <c r="D35" i="47"/>
  <c r="D34" i="47"/>
  <c r="D33" i="47"/>
  <c r="D32" i="47"/>
  <c r="D31" i="47"/>
  <c r="D30" i="47"/>
  <c r="D29" i="47"/>
  <c r="D28" i="47"/>
  <c r="D27" i="47"/>
  <c r="D26" i="47"/>
  <c r="D25" i="47"/>
  <c r="D24" i="47"/>
  <c r="D23" i="47"/>
  <c r="D22" i="47"/>
  <c r="D21" i="47"/>
  <c r="D20" i="47"/>
  <c r="D19" i="47"/>
  <c r="D18" i="47"/>
  <c r="D17" i="47"/>
  <c r="D16" i="47"/>
  <c r="D15" i="47"/>
  <c r="D14" i="47"/>
  <c r="D13" i="47"/>
  <c r="D12" i="47"/>
  <c r="D11" i="47"/>
  <c r="D10" i="47"/>
  <c r="D9" i="47"/>
  <c r="D8" i="47"/>
  <c r="D7" i="47"/>
  <c r="D6" i="47"/>
  <c r="D5" i="47"/>
  <c r="D4" i="47"/>
  <c r="C53" i="44"/>
  <c r="F53" i="44"/>
  <c r="C52" i="44"/>
  <c r="F52" i="44"/>
  <c r="C7" i="44"/>
  <c r="C8" i="44"/>
  <c r="C9" i="44"/>
  <c r="D2" i="44"/>
  <c r="D3" i="44"/>
  <c r="D4" i="44"/>
  <c r="D5" i="44"/>
  <c r="D6" i="44"/>
  <c r="D7" i="44"/>
  <c r="D8" i="44"/>
  <c r="D9" i="44"/>
  <c r="D10" i="44"/>
  <c r="D11" i="44"/>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D48" i="44"/>
  <c r="D49" i="44"/>
  <c r="D50" i="44"/>
  <c r="D51" i="44"/>
  <c r="A3" i="44"/>
  <c r="A4" i="44"/>
  <c r="A5" i="44"/>
  <c r="A6" i="44"/>
  <c r="A7" i="44"/>
  <c r="A8" i="44"/>
  <c r="A9" i="44"/>
  <c r="A10" i="44"/>
  <c r="A11" i="44"/>
  <c r="A12" i="44"/>
  <c r="A13" i="44"/>
  <c r="A14" i="44"/>
  <c r="A15" i="44"/>
  <c r="A16" i="44"/>
  <c r="A17" i="44"/>
  <c r="A18" i="44"/>
  <c r="A19" i="44"/>
  <c r="A20" i="44"/>
  <c r="A21" i="44"/>
  <c r="A22" i="44"/>
  <c r="A23" i="44"/>
  <c r="A24" i="44"/>
  <c r="A25" i="44"/>
  <c r="A26" i="44"/>
  <c r="A27" i="44"/>
  <c r="A28" i="44"/>
  <c r="A29" i="44"/>
  <c r="A30" i="44"/>
  <c r="A31" i="44"/>
  <c r="A32" i="44"/>
  <c r="A33" i="44"/>
  <c r="A34" i="44"/>
  <c r="A35" i="44"/>
  <c r="A36" i="44"/>
  <c r="A37" i="44"/>
  <c r="A38" i="44"/>
  <c r="A39" i="44"/>
  <c r="A40" i="44"/>
  <c r="A41" i="44"/>
  <c r="A42" i="44"/>
  <c r="A43" i="44"/>
  <c r="A44" i="44"/>
  <c r="A45" i="44"/>
  <c r="A46" i="44"/>
  <c r="A47" i="44"/>
  <c r="A48" i="44"/>
  <c r="A49" i="44"/>
  <c r="A50" i="44"/>
  <c r="A51" i="44"/>
  <c r="F8" i="44"/>
  <c r="C3" i="44"/>
  <c r="C4" i="44"/>
  <c r="C5" i="44"/>
  <c r="C6" i="44"/>
  <c r="F6" i="44"/>
  <c r="K1" i="44"/>
  <c r="L1" i="44"/>
  <c r="K2" i="44"/>
  <c r="F2" i="44"/>
  <c r="C7" i="43"/>
  <c r="C12" i="43"/>
  <c r="C17" i="43"/>
  <c r="A3" i="43"/>
  <c r="A4" i="43"/>
  <c r="A5" i="43"/>
  <c r="A6" i="43"/>
  <c r="A7" i="43"/>
  <c r="A8" i="43"/>
  <c r="A9" i="43"/>
  <c r="A10" i="43"/>
  <c r="A11" i="43"/>
  <c r="A12" i="43"/>
  <c r="A13" i="43"/>
  <c r="A14" i="43"/>
  <c r="A15" i="43"/>
  <c r="A16" i="43"/>
  <c r="A17" i="43"/>
  <c r="A18" i="43"/>
  <c r="A19" i="43"/>
  <c r="A20" i="43"/>
  <c r="A21" i="43"/>
  <c r="A22" i="43"/>
  <c r="A23" i="43"/>
  <c r="A24" i="43"/>
  <c r="A25" i="43"/>
  <c r="A26" i="43"/>
  <c r="A27" i="43"/>
  <c r="A28" i="43"/>
  <c r="A29" i="43"/>
  <c r="A30" i="43"/>
  <c r="A31" i="43"/>
  <c r="A32" i="43"/>
  <c r="A33" i="43"/>
  <c r="A34" i="43"/>
  <c r="A35" i="43"/>
  <c r="A36" i="43"/>
  <c r="A37" i="43"/>
  <c r="A38" i="43"/>
  <c r="A39" i="43"/>
  <c r="A40" i="43"/>
  <c r="A41" i="43"/>
  <c r="A42" i="43"/>
  <c r="A43" i="43"/>
  <c r="A44" i="43"/>
  <c r="A45" i="43"/>
  <c r="A46" i="43"/>
  <c r="A47" i="43"/>
  <c r="A48" i="43"/>
  <c r="A49" i="43"/>
  <c r="A50" i="43"/>
  <c r="A51" i="43"/>
  <c r="C13" i="43"/>
  <c r="C14" i="43"/>
  <c r="C15" i="43"/>
  <c r="C16" i="43"/>
  <c r="C8" i="43"/>
  <c r="C9" i="43"/>
  <c r="C10" i="43"/>
  <c r="C11" i="43"/>
  <c r="C3" i="43"/>
  <c r="C4" i="43"/>
  <c r="C5" i="43"/>
  <c r="C6" i="43"/>
  <c r="C7" i="42"/>
  <c r="C12" i="42"/>
  <c r="C17" i="42"/>
  <c r="C22" i="42"/>
  <c r="C27" i="42"/>
  <c r="A3" i="42"/>
  <c r="A4" i="42"/>
  <c r="A5" i="42"/>
  <c r="A6" i="42"/>
  <c r="A7" i="42"/>
  <c r="A8" i="42"/>
  <c r="A9" i="42"/>
  <c r="A10" i="42"/>
  <c r="A11" i="42"/>
  <c r="A12" i="42"/>
  <c r="A13" i="42"/>
  <c r="A14" i="42"/>
  <c r="A15" i="42"/>
  <c r="A16" i="42"/>
  <c r="A17" i="42"/>
  <c r="A18" i="42"/>
  <c r="A19" i="42"/>
  <c r="A20" i="42"/>
  <c r="A21" i="42"/>
  <c r="A22" i="42"/>
  <c r="A23" i="42"/>
  <c r="A24" i="42"/>
  <c r="A25" i="42"/>
  <c r="A26" i="42"/>
  <c r="A27" i="42"/>
  <c r="A28" i="42"/>
  <c r="A29" i="42"/>
  <c r="A30" i="42"/>
  <c r="A31" i="42"/>
  <c r="A32" i="42"/>
  <c r="A33" i="42"/>
  <c r="A34" i="42"/>
  <c r="A35" i="42"/>
  <c r="A36" i="42"/>
  <c r="A37" i="42"/>
  <c r="A38" i="42"/>
  <c r="A39" i="42"/>
  <c r="A40" i="42"/>
  <c r="A41" i="42"/>
  <c r="A42" i="42"/>
  <c r="A43" i="42"/>
  <c r="A44" i="42"/>
  <c r="A45" i="42"/>
  <c r="A46" i="42"/>
  <c r="A47" i="42"/>
  <c r="A48" i="42"/>
  <c r="A49" i="42"/>
  <c r="A50" i="42"/>
  <c r="A51" i="42"/>
  <c r="C23" i="42"/>
  <c r="C24" i="42"/>
  <c r="C25" i="42"/>
  <c r="C26" i="42"/>
  <c r="C13" i="42"/>
  <c r="C14" i="42"/>
  <c r="C15" i="42"/>
  <c r="C16" i="42"/>
  <c r="C8" i="42"/>
  <c r="C9" i="42"/>
  <c r="C10" i="42"/>
  <c r="C11" i="42"/>
  <c r="C3" i="42"/>
  <c r="C4" i="42"/>
  <c r="C5" i="42"/>
  <c r="C6" i="42"/>
  <c r="C7" i="41"/>
  <c r="C12" i="41"/>
  <c r="C17" i="41"/>
  <c r="C22" i="41"/>
  <c r="C27" i="41"/>
  <c r="C32" i="41"/>
  <c r="C37" i="41"/>
  <c r="C42" i="41"/>
  <c r="C47" i="41"/>
  <c r="C48" i="41"/>
  <c r="C49" i="41"/>
  <c r="C50" i="41"/>
  <c r="C51" i="41"/>
  <c r="A3" i="41"/>
  <c r="A4" i="41"/>
  <c r="A5" i="41"/>
  <c r="A6" i="41"/>
  <c r="A7" i="41"/>
  <c r="A8" i="41"/>
  <c r="A9" i="41"/>
  <c r="A10" i="41"/>
  <c r="A11" i="41"/>
  <c r="A12" i="41"/>
  <c r="A13" i="41"/>
  <c r="A14" i="41"/>
  <c r="A15" i="41"/>
  <c r="A16" i="41"/>
  <c r="A17" i="41"/>
  <c r="A18" i="41"/>
  <c r="A19" i="41"/>
  <c r="A20" i="41"/>
  <c r="A21" i="41"/>
  <c r="A22" i="41"/>
  <c r="A23" i="41"/>
  <c r="A24" i="41"/>
  <c r="A25" i="41"/>
  <c r="A26" i="41"/>
  <c r="A27" i="41"/>
  <c r="A28" i="41"/>
  <c r="A29" i="41"/>
  <c r="A30" i="41"/>
  <c r="A31" i="41"/>
  <c r="A32" i="41"/>
  <c r="A33" i="41"/>
  <c r="A34" i="41"/>
  <c r="A35" i="41"/>
  <c r="A36" i="41"/>
  <c r="A37" i="41"/>
  <c r="A38" i="41"/>
  <c r="A39" i="41"/>
  <c r="A40" i="41"/>
  <c r="A41" i="41"/>
  <c r="A42" i="41"/>
  <c r="A43" i="41"/>
  <c r="A44" i="41"/>
  <c r="A45" i="41"/>
  <c r="A46" i="41"/>
  <c r="A47" i="41"/>
  <c r="A48" i="41"/>
  <c r="A49" i="41"/>
  <c r="A50" i="41"/>
  <c r="A51" i="41"/>
  <c r="C43" i="41"/>
  <c r="C44" i="41"/>
  <c r="C45" i="41"/>
  <c r="C46" i="41"/>
  <c r="C33" i="41"/>
  <c r="C34" i="41"/>
  <c r="C35" i="41"/>
  <c r="C36" i="41"/>
  <c r="C23" i="41"/>
  <c r="C24" i="41"/>
  <c r="C25" i="41"/>
  <c r="C26" i="41"/>
  <c r="C18" i="41"/>
  <c r="C19" i="41"/>
  <c r="C20" i="41"/>
  <c r="C21" i="41"/>
  <c r="C13" i="41"/>
  <c r="C14" i="41"/>
  <c r="C15" i="41"/>
  <c r="C16" i="41"/>
  <c r="C8" i="41"/>
  <c r="C9" i="41"/>
  <c r="C10" i="41"/>
  <c r="C11" i="41"/>
  <c r="C3" i="41"/>
  <c r="C4" i="41"/>
  <c r="C5" i="41"/>
  <c r="C6" i="41"/>
  <c r="C7" i="40"/>
  <c r="C12" i="40"/>
  <c r="C17" i="40"/>
  <c r="C22" i="40"/>
  <c r="C27" i="40"/>
  <c r="A3" i="40"/>
  <c r="A4" i="40"/>
  <c r="A5" i="40"/>
  <c r="A6" i="40"/>
  <c r="A7" i="40"/>
  <c r="A8" i="40"/>
  <c r="A9" i="40"/>
  <c r="A10" i="40"/>
  <c r="A11" i="40"/>
  <c r="A12" i="40"/>
  <c r="A13" i="40"/>
  <c r="A14" i="40"/>
  <c r="A15" i="40"/>
  <c r="A16" i="40"/>
  <c r="A17" i="40"/>
  <c r="A18" i="40"/>
  <c r="A19" i="40"/>
  <c r="A20" i="40"/>
  <c r="A21" i="40"/>
  <c r="A22" i="40"/>
  <c r="A23" i="40"/>
  <c r="A24" i="40"/>
  <c r="A25" i="40"/>
  <c r="A26" i="40"/>
  <c r="A27" i="40"/>
  <c r="A28" i="40"/>
  <c r="A29" i="40"/>
  <c r="A30" i="40"/>
  <c r="A31" i="40"/>
  <c r="A32" i="40"/>
  <c r="A33" i="40"/>
  <c r="A34" i="40"/>
  <c r="A35" i="40"/>
  <c r="A36" i="40"/>
  <c r="A37" i="40"/>
  <c r="A38" i="40"/>
  <c r="A39" i="40"/>
  <c r="A40" i="40"/>
  <c r="A41" i="40"/>
  <c r="A42" i="40"/>
  <c r="A43" i="40"/>
  <c r="A44" i="40"/>
  <c r="A45" i="40"/>
  <c r="A46" i="40"/>
  <c r="A47" i="40"/>
  <c r="A48" i="40"/>
  <c r="A49" i="40"/>
  <c r="A50" i="40"/>
  <c r="A51" i="40"/>
  <c r="C23" i="40"/>
  <c r="C24" i="40"/>
  <c r="C25" i="40"/>
  <c r="C26" i="40"/>
  <c r="C13" i="40"/>
  <c r="C14" i="40"/>
  <c r="C15" i="40"/>
  <c r="C16" i="40"/>
  <c r="C8" i="40"/>
  <c r="C9" i="40"/>
  <c r="C10" i="40"/>
  <c r="C11" i="40"/>
  <c r="C3" i="40"/>
  <c r="C4" i="40"/>
  <c r="C5" i="40"/>
  <c r="C6" i="40"/>
  <c r="C7" i="39"/>
  <c r="C12" i="39"/>
  <c r="C17" i="39"/>
  <c r="A3" i="39"/>
  <c r="A4" i="39"/>
  <c r="A5" i="39"/>
  <c r="A6" i="39"/>
  <c r="A7" i="39"/>
  <c r="A8" i="39"/>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C13" i="39"/>
  <c r="C14" i="39"/>
  <c r="C15" i="39"/>
  <c r="C16" i="39"/>
  <c r="C8" i="39"/>
  <c r="C9" i="39"/>
  <c r="C10" i="39"/>
  <c r="C11" i="39"/>
  <c r="C3" i="39"/>
  <c r="C4" i="39"/>
  <c r="C5" i="39"/>
  <c r="C6" i="39"/>
  <c r="C7" i="38"/>
  <c r="C12" i="38"/>
  <c r="A3" i="38"/>
  <c r="A4" i="38"/>
  <c r="A5" i="38"/>
  <c r="A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C8" i="38"/>
  <c r="C9" i="38"/>
  <c r="C10" i="38"/>
  <c r="C11" i="38"/>
  <c r="C3" i="38"/>
  <c r="C4" i="38"/>
  <c r="C5" i="38"/>
  <c r="C6" i="38"/>
  <c r="D58" i="36"/>
  <c r="D57" i="36"/>
  <c r="D56" i="36"/>
  <c r="D55" i="36"/>
  <c r="D54" i="36"/>
  <c r="D53" i="36"/>
  <c r="D52" i="36"/>
  <c r="D51" i="36"/>
  <c r="D50" i="36"/>
  <c r="D49" i="36"/>
  <c r="D48" i="36"/>
  <c r="D47" i="36"/>
  <c r="D46" i="36"/>
  <c r="D45" i="36"/>
  <c r="D44" i="36"/>
  <c r="D43" i="36"/>
  <c r="D42" i="36"/>
  <c r="D41" i="36"/>
  <c r="D40" i="36"/>
  <c r="D39" i="36"/>
  <c r="D38" i="36"/>
  <c r="D37" i="36"/>
  <c r="D36" i="36"/>
  <c r="D35" i="36"/>
  <c r="D34" i="36"/>
  <c r="D33" i="36"/>
  <c r="D32" i="36"/>
  <c r="D31" i="36"/>
  <c r="D30" i="36"/>
  <c r="D29" i="36"/>
  <c r="D28" i="36"/>
  <c r="D27" i="36"/>
  <c r="D26" i="36"/>
  <c r="D25" i="36"/>
  <c r="D24" i="36"/>
  <c r="D23" i="36"/>
  <c r="D22" i="36"/>
  <c r="D21" i="36"/>
  <c r="D20" i="36"/>
  <c r="D19" i="36"/>
  <c r="D18" i="36"/>
  <c r="D17" i="36"/>
  <c r="D16" i="36"/>
  <c r="D15" i="36"/>
  <c r="D14" i="36"/>
  <c r="D13" i="36"/>
  <c r="D12" i="36"/>
  <c r="D11" i="36"/>
  <c r="D10" i="36"/>
  <c r="D9" i="36"/>
  <c r="D8" i="36"/>
  <c r="D7" i="36"/>
  <c r="D6" i="36"/>
  <c r="D5" i="36"/>
  <c r="D4" i="36"/>
  <c r="D2" i="32"/>
  <c r="D3" i="32"/>
  <c r="D4" i="32"/>
  <c r="D5" i="32"/>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K1" i="32"/>
  <c r="C7" i="32"/>
  <c r="C12" i="32"/>
  <c r="F12" i="32"/>
  <c r="A3" i="32"/>
  <c r="A4" i="32"/>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C13" i="32"/>
  <c r="C14" i="32"/>
  <c r="F14" i="32"/>
  <c r="C8" i="32"/>
  <c r="C3" i="32"/>
  <c r="C4" i="32"/>
  <c r="C5" i="32"/>
  <c r="C6" i="32"/>
  <c r="F6" i="32"/>
  <c r="C53" i="32"/>
  <c r="F53" i="32"/>
  <c r="C52" i="32"/>
  <c r="F52" i="32"/>
  <c r="F13" i="32"/>
  <c r="F7" i="32"/>
  <c r="F2" i="32"/>
  <c r="C7" i="30"/>
  <c r="C8" i="30"/>
  <c r="C12" i="30"/>
  <c r="A3" i="30"/>
  <c r="A4" i="30"/>
  <c r="A5" i="30"/>
  <c r="A6" i="30"/>
  <c r="A7" i="30"/>
  <c r="A8" i="30"/>
  <c r="A9" i="30"/>
  <c r="A10" i="30"/>
  <c r="A11" i="30"/>
  <c r="A12" i="30"/>
  <c r="A13" i="30"/>
  <c r="A14" i="30"/>
  <c r="A15" i="30"/>
  <c r="A16" i="30"/>
  <c r="A17" i="30"/>
  <c r="A18" i="30"/>
  <c r="A19" i="30"/>
  <c r="A20" i="30"/>
  <c r="A21" i="30"/>
  <c r="A22" i="30"/>
  <c r="A23" i="30"/>
  <c r="A24" i="30"/>
  <c r="A25" i="30"/>
  <c r="A26" i="30"/>
  <c r="A27" i="30"/>
  <c r="A28" i="30"/>
  <c r="A29" i="30"/>
  <c r="A30" i="30"/>
  <c r="A31" i="30"/>
  <c r="A32" i="30"/>
  <c r="A33" i="30"/>
  <c r="A34" i="30"/>
  <c r="A35" i="30"/>
  <c r="A36" i="30"/>
  <c r="A37" i="30"/>
  <c r="A38" i="30"/>
  <c r="A39" i="30"/>
  <c r="A40" i="30"/>
  <c r="A41" i="30"/>
  <c r="A42" i="30"/>
  <c r="A43" i="30"/>
  <c r="A44" i="30"/>
  <c r="A45" i="30"/>
  <c r="A46" i="30"/>
  <c r="A47" i="30"/>
  <c r="A48" i="30"/>
  <c r="A49" i="30"/>
  <c r="A50" i="30"/>
  <c r="A51" i="30"/>
  <c r="C9" i="30"/>
  <c r="C10" i="30"/>
  <c r="C11" i="30"/>
  <c r="C3" i="30"/>
  <c r="C4" i="30"/>
  <c r="C5" i="30"/>
  <c r="C6" i="30"/>
  <c r="C7" i="29"/>
  <c r="C12" i="29"/>
  <c r="C17" i="29"/>
  <c r="A3" i="29"/>
  <c r="A4" i="29"/>
  <c r="A5" i="29"/>
  <c r="A6" i="29"/>
  <c r="A7" i="29"/>
  <c r="A8" i="29"/>
  <c r="A9" i="29"/>
  <c r="A10" i="29"/>
  <c r="A11" i="29"/>
  <c r="A12" i="29"/>
  <c r="A13" i="29"/>
  <c r="A14" i="29"/>
  <c r="A15" i="29"/>
  <c r="A16" i="29"/>
  <c r="A17" i="29"/>
  <c r="A18" i="29"/>
  <c r="A19" i="29"/>
  <c r="A20" i="29"/>
  <c r="A21" i="29"/>
  <c r="A22" i="29"/>
  <c r="A23" i="29"/>
  <c r="A24" i="29"/>
  <c r="A25" i="29"/>
  <c r="A26" i="29"/>
  <c r="A27" i="29"/>
  <c r="A28" i="29"/>
  <c r="A29" i="29"/>
  <c r="A30" i="29"/>
  <c r="A31" i="29"/>
  <c r="A32" i="29"/>
  <c r="A33" i="29"/>
  <c r="A34" i="29"/>
  <c r="A35" i="29"/>
  <c r="A36" i="29"/>
  <c r="A37" i="29"/>
  <c r="A38" i="29"/>
  <c r="A39" i="29"/>
  <c r="A40" i="29"/>
  <c r="A41" i="29"/>
  <c r="A42" i="29"/>
  <c r="A43" i="29"/>
  <c r="A44" i="29"/>
  <c r="A45" i="29"/>
  <c r="A46" i="29"/>
  <c r="A47" i="29"/>
  <c r="A48" i="29"/>
  <c r="A49" i="29"/>
  <c r="A50" i="29"/>
  <c r="A51" i="29"/>
  <c r="C13" i="29"/>
  <c r="C14" i="29"/>
  <c r="C15" i="29"/>
  <c r="C16" i="29"/>
  <c r="C8" i="29"/>
  <c r="C9" i="29"/>
  <c r="C10" i="29"/>
  <c r="C11" i="29"/>
  <c r="C3" i="29"/>
  <c r="C4" i="29"/>
  <c r="C5" i="29"/>
  <c r="C6" i="29"/>
  <c r="C7" i="28"/>
  <c r="A3" i="28"/>
  <c r="A4" i="28"/>
  <c r="A5" i="28"/>
  <c r="A6" i="28"/>
  <c r="A7" i="28"/>
  <c r="A8" i="28"/>
  <c r="A9" i="28"/>
  <c r="A10" i="28"/>
  <c r="A11" i="28"/>
  <c r="A12" i="28"/>
  <c r="A13" i="28"/>
  <c r="A14" i="28"/>
  <c r="A15" i="28"/>
  <c r="A16" i="28"/>
  <c r="A17" i="28"/>
  <c r="A18" i="28"/>
  <c r="A19" i="28"/>
  <c r="A20" i="28"/>
  <c r="A21" i="28"/>
  <c r="A22" i="28"/>
  <c r="A23" i="28"/>
  <c r="A24" i="28"/>
  <c r="A25" i="28"/>
  <c r="A26" i="28"/>
  <c r="A27" i="28"/>
  <c r="A28" i="28"/>
  <c r="A29" i="28"/>
  <c r="A30" i="28"/>
  <c r="A31" i="28"/>
  <c r="A32" i="28"/>
  <c r="A33" i="28"/>
  <c r="A34" i="28"/>
  <c r="A35" i="28"/>
  <c r="A36" i="28"/>
  <c r="A37" i="28"/>
  <c r="A38" i="28"/>
  <c r="A39" i="28"/>
  <c r="A40" i="28"/>
  <c r="A41" i="28"/>
  <c r="A42" i="28"/>
  <c r="A43" i="28"/>
  <c r="A44" i="28"/>
  <c r="A45" i="28"/>
  <c r="A46" i="28"/>
  <c r="A47" i="28"/>
  <c r="A48" i="28"/>
  <c r="A49" i="28"/>
  <c r="A50" i="28"/>
  <c r="A51" i="28"/>
  <c r="C3" i="28"/>
  <c r="C4" i="28"/>
  <c r="C5" i="28"/>
  <c r="C6" i="28"/>
  <c r="C7" i="27"/>
  <c r="C12" i="27"/>
  <c r="C17" i="27"/>
  <c r="C22" i="27"/>
  <c r="C27" i="27"/>
  <c r="C32" i="27"/>
  <c r="A3" i="27"/>
  <c r="A4" i="27"/>
  <c r="A5" i="27"/>
  <c r="A6" i="27"/>
  <c r="A7" i="27"/>
  <c r="A8" i="27"/>
  <c r="A9" i="27"/>
  <c r="A10" i="27"/>
  <c r="A11" i="27"/>
  <c r="A12" i="27"/>
  <c r="A13" i="27"/>
  <c r="A14" i="27"/>
  <c r="A15" i="27"/>
  <c r="A16" i="27"/>
  <c r="A17" i="27"/>
  <c r="A18" i="27"/>
  <c r="A19" i="27"/>
  <c r="A20" i="27"/>
  <c r="A21" i="27"/>
  <c r="A22" i="27"/>
  <c r="A23" i="27"/>
  <c r="A24" i="27"/>
  <c r="A25" i="27"/>
  <c r="A26" i="27"/>
  <c r="A27" i="27"/>
  <c r="A28" i="27"/>
  <c r="A29" i="27"/>
  <c r="A30" i="27"/>
  <c r="A31" i="27"/>
  <c r="A32" i="27"/>
  <c r="A33" i="27"/>
  <c r="A34" i="27"/>
  <c r="A35" i="27"/>
  <c r="A36" i="27"/>
  <c r="A37" i="27"/>
  <c r="A38" i="27"/>
  <c r="A39" i="27"/>
  <c r="A40" i="27"/>
  <c r="A41" i="27"/>
  <c r="A42" i="27"/>
  <c r="A43" i="27"/>
  <c r="A44" i="27"/>
  <c r="A45" i="27"/>
  <c r="A46" i="27"/>
  <c r="A47" i="27"/>
  <c r="A48" i="27"/>
  <c r="A49" i="27"/>
  <c r="A50" i="27"/>
  <c r="A51" i="27"/>
  <c r="C28" i="27"/>
  <c r="C29" i="27"/>
  <c r="C30" i="27"/>
  <c r="C31" i="27"/>
  <c r="C23" i="27"/>
  <c r="C24" i="27"/>
  <c r="C25" i="27"/>
  <c r="C26" i="27"/>
  <c r="C18" i="27"/>
  <c r="C19" i="27"/>
  <c r="C20" i="27"/>
  <c r="C21" i="27"/>
  <c r="C13" i="27"/>
  <c r="C14" i="27"/>
  <c r="C15" i="27"/>
  <c r="C16" i="27"/>
  <c r="C8" i="27"/>
  <c r="C9" i="27"/>
  <c r="C10" i="27"/>
  <c r="C11" i="27"/>
  <c r="C3" i="27"/>
  <c r="C4" i="27"/>
  <c r="C5" i="27"/>
  <c r="C6" i="27"/>
  <c r="C7" i="26"/>
  <c r="C8" i="26"/>
  <c r="A3" i="26"/>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C9" i="26"/>
  <c r="C10" i="26"/>
  <c r="C11" i="26"/>
  <c r="C3" i="26"/>
  <c r="C4" i="26"/>
  <c r="C5" i="26"/>
  <c r="C6" i="26"/>
  <c r="C12" i="9"/>
  <c r="C17" i="9"/>
  <c r="C7" i="9"/>
  <c r="C3" i="9"/>
  <c r="C4" i="9"/>
  <c r="C5" i="9"/>
  <c r="C6" i="9"/>
  <c r="C8" i="9"/>
  <c r="C9" i="9"/>
  <c r="C10" i="9"/>
  <c r="C11" i="9"/>
  <c r="C13" i="9"/>
  <c r="C14" i="9"/>
  <c r="C15" i="9"/>
  <c r="C16" i="9"/>
  <c r="A3" i="9"/>
  <c r="A4" i="9"/>
  <c r="A5" i="9"/>
  <c r="A6" i="9"/>
  <c r="A7" i="9"/>
  <c r="A8" i="9"/>
  <c r="A9" i="9"/>
  <c r="A10" i="9"/>
  <c r="A11" i="9"/>
  <c r="A12" i="9"/>
  <c r="A13" i="9"/>
  <c r="A14"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7" i="19"/>
  <c r="D6" i="19"/>
  <c r="D5" i="19"/>
  <c r="D4" i="19"/>
  <c r="D10" i="19"/>
  <c r="D8" i="19"/>
  <c r="D9" i="19"/>
  <c r="D58" i="13"/>
  <c r="D57" i="13"/>
  <c r="D56" i="13"/>
  <c r="D55" i="13"/>
  <c r="D54" i="13"/>
  <c r="D53" i="13"/>
  <c r="D52" i="13"/>
  <c r="D51" i="13"/>
  <c r="D50" i="13"/>
  <c r="D42" i="13"/>
  <c r="D39" i="13"/>
  <c r="D24" i="13"/>
  <c r="D47" i="13"/>
  <c r="D27" i="13"/>
  <c r="D19" i="13"/>
  <c r="D10" i="13"/>
  <c r="D29" i="13"/>
  <c r="D43" i="13"/>
  <c r="D49" i="13"/>
  <c r="D16" i="13"/>
  <c r="D34" i="13"/>
  <c r="D22" i="13"/>
  <c r="D4" i="13"/>
  <c r="D33" i="13"/>
  <c r="D31" i="13"/>
  <c r="D8" i="13"/>
  <c r="D20" i="13"/>
  <c r="D17" i="13"/>
  <c r="D21" i="13"/>
  <c r="D15" i="13"/>
  <c r="D23" i="13"/>
  <c r="D46" i="13"/>
  <c r="D5" i="13"/>
  <c r="D30" i="13"/>
  <c r="D6" i="13"/>
  <c r="D12" i="13"/>
  <c r="D28" i="13"/>
  <c r="D32" i="13"/>
  <c r="D18" i="13"/>
  <c r="D37" i="13"/>
  <c r="D41" i="13"/>
  <c r="D25" i="13"/>
  <c r="D48" i="13"/>
  <c r="D13" i="13"/>
  <c r="D40" i="13"/>
  <c r="D45" i="13"/>
  <c r="D38" i="13"/>
  <c r="D11" i="13"/>
  <c r="D7" i="13"/>
  <c r="D9" i="13"/>
  <c r="D44" i="13"/>
  <c r="D14" i="13"/>
  <c r="D36" i="13"/>
  <c r="D35" i="13"/>
  <c r="D26" i="13"/>
  <c r="C33" i="27"/>
  <c r="C34" i="27"/>
  <c r="C35" i="27"/>
  <c r="C36" i="27"/>
  <c r="C37" i="27"/>
  <c r="C22" i="9"/>
  <c r="C18" i="9"/>
  <c r="C19" i="9"/>
  <c r="C20" i="9"/>
  <c r="C21" i="9"/>
  <c r="C22" i="29"/>
  <c r="C18" i="29"/>
  <c r="C19" i="29"/>
  <c r="C20" i="29"/>
  <c r="C21" i="29"/>
  <c r="C32" i="42"/>
  <c r="C28" i="42"/>
  <c r="C29" i="42"/>
  <c r="C30" i="42"/>
  <c r="C31" i="42"/>
  <c r="C12" i="26"/>
  <c r="C32" i="40"/>
  <c r="C28" i="40"/>
  <c r="C29" i="40"/>
  <c r="C30" i="40"/>
  <c r="C31" i="40"/>
  <c r="C12" i="28"/>
  <c r="C8" i="28"/>
  <c r="C9" i="28"/>
  <c r="C10" i="28"/>
  <c r="C11" i="28"/>
  <c r="C9" i="32"/>
  <c r="F8" i="32"/>
  <c r="C17" i="38"/>
  <c r="C13" i="38"/>
  <c r="C14" i="38"/>
  <c r="C15" i="38"/>
  <c r="C16" i="38"/>
  <c r="C18" i="39"/>
  <c r="C19" i="39"/>
  <c r="C20" i="39"/>
  <c r="C21" i="39"/>
  <c r="C22" i="39"/>
  <c r="C38" i="41"/>
  <c r="C39" i="41"/>
  <c r="C40" i="41"/>
  <c r="C41" i="41"/>
  <c r="C17" i="30"/>
  <c r="C13" i="30"/>
  <c r="C14" i="30"/>
  <c r="C15" i="30"/>
  <c r="C16" i="30"/>
  <c r="C15" i="32"/>
  <c r="C17" i="32"/>
  <c r="L1" i="32"/>
  <c r="K2" i="32"/>
  <c r="C18" i="40"/>
  <c r="C19" i="40"/>
  <c r="C20" i="40"/>
  <c r="C21" i="40"/>
  <c r="C28" i="41"/>
  <c r="C29" i="41"/>
  <c r="C30" i="41"/>
  <c r="C31" i="41"/>
  <c r="C18" i="42"/>
  <c r="C19" i="42"/>
  <c r="C20" i="42"/>
  <c r="C21" i="42"/>
  <c r="C22" i="43"/>
  <c r="C18" i="43"/>
  <c r="C19" i="43"/>
  <c r="C20" i="43"/>
  <c r="C21" i="43"/>
  <c r="C22" i="49"/>
  <c r="C18" i="49"/>
  <c r="C19" i="49"/>
  <c r="C20" i="49"/>
  <c r="C21" i="49"/>
  <c r="M1" i="44"/>
  <c r="L2" i="44"/>
  <c r="C10" i="44"/>
  <c r="F9" i="44"/>
  <c r="C32" i="52"/>
  <c r="C28" i="52"/>
  <c r="C29" i="52"/>
  <c r="C30" i="52"/>
  <c r="C31" i="52"/>
  <c r="C12" i="44"/>
  <c r="C32" i="50"/>
  <c r="C28" i="50"/>
  <c r="C29" i="50"/>
  <c r="C30" i="50"/>
  <c r="C31" i="50"/>
  <c r="C22" i="51"/>
  <c r="C18" i="51"/>
  <c r="C19" i="51"/>
  <c r="C20" i="51"/>
  <c r="C21" i="51"/>
  <c r="F7" i="44"/>
  <c r="C13" i="51"/>
  <c r="C14" i="51"/>
  <c r="C15" i="51"/>
  <c r="C16" i="51"/>
  <c r="C12" i="53"/>
  <c r="C8" i="53"/>
  <c r="C9" i="53"/>
  <c r="C10" i="53"/>
  <c r="C11" i="53"/>
  <c r="C32" i="54"/>
  <c r="C28" i="54"/>
  <c r="C29" i="54"/>
  <c r="C30" i="54"/>
  <c r="C31" i="54"/>
  <c r="C17" i="55"/>
  <c r="C13" i="55"/>
  <c r="L2" i="55"/>
  <c r="M1" i="55"/>
  <c r="F12" i="55"/>
  <c r="F9" i="55"/>
  <c r="G2" i="19"/>
  <c r="G2" i="13"/>
  <c r="F13" i="55"/>
  <c r="C14" i="55"/>
  <c r="F10" i="44"/>
  <c r="C11" i="44"/>
  <c r="F11" i="44"/>
  <c r="C27" i="49"/>
  <c r="C23" i="49"/>
  <c r="C24" i="49"/>
  <c r="C25" i="49"/>
  <c r="C26" i="49"/>
  <c r="C22" i="32"/>
  <c r="F17" i="32"/>
  <c r="C18" i="32"/>
  <c r="C23" i="39"/>
  <c r="C24" i="39"/>
  <c r="C25" i="39"/>
  <c r="C26" i="39"/>
  <c r="C27" i="39"/>
  <c r="C37" i="42"/>
  <c r="C33" i="42"/>
  <c r="C34" i="42"/>
  <c r="C35" i="42"/>
  <c r="C36" i="42"/>
  <c r="C13" i="44"/>
  <c r="C17" i="44"/>
  <c r="F12" i="44"/>
  <c r="C18" i="38"/>
  <c r="C19" i="38"/>
  <c r="C20" i="38"/>
  <c r="C21" i="38"/>
  <c r="C22" i="38"/>
  <c r="C17" i="28"/>
  <c r="C13" i="28"/>
  <c r="C14" i="28"/>
  <c r="C15" i="28"/>
  <c r="C16" i="28"/>
  <c r="C18" i="55"/>
  <c r="F17" i="55"/>
  <c r="C22" i="55"/>
  <c r="C17" i="53"/>
  <c r="C13" i="53"/>
  <c r="C14" i="53"/>
  <c r="C15" i="53"/>
  <c r="C16" i="53"/>
  <c r="C27" i="51"/>
  <c r="C23" i="51"/>
  <c r="C24" i="51"/>
  <c r="C25" i="51"/>
  <c r="C26" i="51"/>
  <c r="C16" i="32"/>
  <c r="F16" i="32"/>
  <c r="F15" i="32"/>
  <c r="C27" i="9"/>
  <c r="C23" i="9"/>
  <c r="C24" i="9"/>
  <c r="C25" i="9"/>
  <c r="C26" i="9"/>
  <c r="N1" i="55"/>
  <c r="M2" i="55"/>
  <c r="C37" i="52"/>
  <c r="C33" i="52"/>
  <c r="C34" i="52"/>
  <c r="C35" i="52"/>
  <c r="C36" i="52"/>
  <c r="N1" i="44"/>
  <c r="M2" i="44"/>
  <c r="C27" i="43"/>
  <c r="C23" i="43"/>
  <c r="C24" i="43"/>
  <c r="C25" i="43"/>
  <c r="C26" i="43"/>
  <c r="F9" i="32"/>
  <c r="C10" i="32"/>
  <c r="C37" i="40"/>
  <c r="C33" i="40"/>
  <c r="C34" i="40"/>
  <c r="C35" i="40"/>
  <c r="C36" i="40"/>
  <c r="C42" i="27"/>
  <c r="C38" i="27"/>
  <c r="C39" i="27"/>
  <c r="C40" i="27"/>
  <c r="C41" i="27"/>
  <c r="C33" i="54"/>
  <c r="C34" i="54"/>
  <c r="C35" i="54"/>
  <c r="C36" i="54"/>
  <c r="C37" i="54"/>
  <c r="C37" i="50"/>
  <c r="C33" i="50"/>
  <c r="C34" i="50"/>
  <c r="C35" i="50"/>
  <c r="C36" i="50"/>
  <c r="M1" i="32"/>
  <c r="L2" i="32"/>
  <c r="C18" i="30"/>
  <c r="C19" i="30"/>
  <c r="C20" i="30"/>
  <c r="C21" i="30"/>
  <c r="C22" i="30"/>
  <c r="C17" i="26"/>
  <c r="C13" i="26"/>
  <c r="C14" i="26"/>
  <c r="C15" i="26"/>
  <c r="C16" i="26"/>
  <c r="C27" i="29"/>
  <c r="C23" i="29"/>
  <c r="C24" i="29"/>
  <c r="C25" i="29"/>
  <c r="C26" i="29"/>
  <c r="C47" i="27"/>
  <c r="C48" i="27"/>
  <c r="C49" i="27"/>
  <c r="C50" i="27"/>
  <c r="C51" i="27"/>
  <c r="C43" i="27"/>
  <c r="C44" i="27"/>
  <c r="C45" i="27"/>
  <c r="C46" i="27"/>
  <c r="O1" i="55"/>
  <c r="N2" i="55"/>
  <c r="C42" i="42"/>
  <c r="C38" i="42"/>
  <c r="C39" i="42"/>
  <c r="C40" i="42"/>
  <c r="C41" i="42"/>
  <c r="N1" i="32"/>
  <c r="M2" i="32"/>
  <c r="C32" i="43"/>
  <c r="C28" i="43"/>
  <c r="C29" i="43"/>
  <c r="C30" i="43"/>
  <c r="C31" i="43"/>
  <c r="C32" i="51"/>
  <c r="C28" i="51"/>
  <c r="C29" i="51"/>
  <c r="C30" i="51"/>
  <c r="C31" i="51"/>
  <c r="C14" i="44"/>
  <c r="F13" i="44"/>
  <c r="C15" i="55"/>
  <c r="F14" i="55"/>
  <c r="C32" i="29"/>
  <c r="C28" i="29"/>
  <c r="C29" i="29"/>
  <c r="C30" i="29"/>
  <c r="C31" i="29"/>
  <c r="C42" i="50"/>
  <c r="C38" i="50"/>
  <c r="C39" i="50"/>
  <c r="C40" i="50"/>
  <c r="C41" i="50"/>
  <c r="N2" i="44"/>
  <c r="O1" i="44"/>
  <c r="C22" i="53"/>
  <c r="C18" i="53"/>
  <c r="C19" i="53"/>
  <c r="C20" i="53"/>
  <c r="C21" i="53"/>
  <c r="C42" i="54"/>
  <c r="C38" i="54"/>
  <c r="C39" i="54"/>
  <c r="C40" i="54"/>
  <c r="C41" i="54"/>
  <c r="C23" i="55"/>
  <c r="F22" i="55"/>
  <c r="C27" i="55"/>
  <c r="C18" i="28"/>
  <c r="C19" i="28"/>
  <c r="C20" i="28"/>
  <c r="C21" i="28"/>
  <c r="C22" i="28"/>
  <c r="C22" i="44"/>
  <c r="C18" i="44"/>
  <c r="F17" i="44"/>
  <c r="C32" i="39"/>
  <c r="C28" i="39"/>
  <c r="C29" i="39"/>
  <c r="C30" i="39"/>
  <c r="C31" i="39"/>
  <c r="F22" i="32"/>
  <c r="C23" i="32"/>
  <c r="C27" i="32"/>
  <c r="C18" i="26"/>
  <c r="C19" i="26"/>
  <c r="C20" i="26"/>
  <c r="C21" i="26"/>
  <c r="C22" i="26"/>
  <c r="C42" i="40"/>
  <c r="C38" i="40"/>
  <c r="C39" i="40"/>
  <c r="C40" i="40"/>
  <c r="C41" i="40"/>
  <c r="C42" i="52"/>
  <c r="C38" i="52"/>
  <c r="C39" i="52"/>
  <c r="C40" i="52"/>
  <c r="C41" i="52"/>
  <c r="C32" i="9"/>
  <c r="C28" i="9"/>
  <c r="C29" i="9"/>
  <c r="C30" i="9"/>
  <c r="C31" i="9"/>
  <c r="C27" i="38"/>
  <c r="C23" i="38"/>
  <c r="C24" i="38"/>
  <c r="C25" i="38"/>
  <c r="C26" i="38"/>
  <c r="C23" i="30"/>
  <c r="C24" i="30"/>
  <c r="C25" i="30"/>
  <c r="C26" i="30"/>
  <c r="C27" i="30"/>
  <c r="F10" i="32"/>
  <c r="C11" i="32"/>
  <c r="F11" i="32"/>
  <c r="F18" i="55"/>
  <c r="C19" i="55"/>
  <c r="C19" i="32"/>
  <c r="F18" i="32"/>
  <c r="C32" i="49"/>
  <c r="C28" i="49"/>
  <c r="C29" i="49"/>
  <c r="C30" i="49"/>
  <c r="C31" i="49"/>
  <c r="C28" i="38"/>
  <c r="C29" i="38"/>
  <c r="C30" i="38"/>
  <c r="C31" i="38"/>
  <c r="C32" i="38"/>
  <c r="C20" i="55"/>
  <c r="F19" i="55"/>
  <c r="C32" i="32"/>
  <c r="F27" i="32"/>
  <c r="C28" i="32"/>
  <c r="C23" i="28"/>
  <c r="C24" i="28"/>
  <c r="C25" i="28"/>
  <c r="C26" i="28"/>
  <c r="C27" i="28"/>
  <c r="C27" i="53"/>
  <c r="C23" i="53"/>
  <c r="C24" i="53"/>
  <c r="C25" i="53"/>
  <c r="C26" i="53"/>
  <c r="C16" i="55"/>
  <c r="F16" i="55"/>
  <c r="F15" i="55"/>
  <c r="C33" i="51"/>
  <c r="C34" i="51"/>
  <c r="C35" i="51"/>
  <c r="C36" i="51"/>
  <c r="C37" i="51"/>
  <c r="C37" i="9"/>
  <c r="C33" i="9"/>
  <c r="C34" i="9"/>
  <c r="C35" i="9"/>
  <c r="C36" i="9"/>
  <c r="F19" i="32"/>
  <c r="C20" i="32"/>
  <c r="C47" i="52"/>
  <c r="C48" i="52"/>
  <c r="C49" i="52"/>
  <c r="C50" i="52"/>
  <c r="C51" i="52"/>
  <c r="C43" i="52"/>
  <c r="C44" i="52"/>
  <c r="C45" i="52"/>
  <c r="C46" i="52"/>
  <c r="C27" i="44"/>
  <c r="C23" i="44"/>
  <c r="F22" i="44"/>
  <c r="C28" i="30"/>
  <c r="C29" i="30"/>
  <c r="C30" i="30"/>
  <c r="C31" i="30"/>
  <c r="C32" i="30"/>
  <c r="C37" i="39"/>
  <c r="C33" i="39"/>
  <c r="C34" i="39"/>
  <c r="C35" i="39"/>
  <c r="C36" i="39"/>
  <c r="C24" i="55"/>
  <c r="F23" i="55"/>
  <c r="C43" i="50"/>
  <c r="C44" i="50"/>
  <c r="C45" i="50"/>
  <c r="C46" i="50"/>
  <c r="C47" i="50"/>
  <c r="C48" i="50"/>
  <c r="C49" i="50"/>
  <c r="C50" i="50"/>
  <c r="C51" i="50"/>
  <c r="N2" i="32"/>
  <c r="O1" i="32"/>
  <c r="P1" i="55"/>
  <c r="O2" i="55"/>
  <c r="C37" i="49"/>
  <c r="C33" i="49"/>
  <c r="C34" i="49"/>
  <c r="C35" i="49"/>
  <c r="C36" i="49"/>
  <c r="C47" i="40"/>
  <c r="C48" i="40"/>
  <c r="C49" i="40"/>
  <c r="C50" i="40"/>
  <c r="C51" i="40"/>
  <c r="C43" i="40"/>
  <c r="C44" i="40"/>
  <c r="C45" i="40"/>
  <c r="C46" i="40"/>
  <c r="C24" i="32"/>
  <c r="F23" i="32"/>
  <c r="P1" i="44"/>
  <c r="O2" i="44"/>
  <c r="C23" i="26"/>
  <c r="C24" i="26"/>
  <c r="C25" i="26"/>
  <c r="C26" i="26"/>
  <c r="C27" i="26"/>
  <c r="F18" i="44"/>
  <c r="C19" i="44"/>
  <c r="C32" i="55"/>
  <c r="C28" i="55"/>
  <c r="F27" i="55"/>
  <c r="C47" i="54"/>
  <c r="C48" i="54"/>
  <c r="C49" i="54"/>
  <c r="C50" i="54"/>
  <c r="C51" i="54"/>
  <c r="C43" i="54"/>
  <c r="C44" i="54"/>
  <c r="C45" i="54"/>
  <c r="C46" i="54"/>
  <c r="C33" i="29"/>
  <c r="C34" i="29"/>
  <c r="C35" i="29"/>
  <c r="C36" i="29"/>
  <c r="C37" i="29"/>
  <c r="C15" i="44"/>
  <c r="F14" i="44"/>
  <c r="C33" i="43"/>
  <c r="C34" i="43"/>
  <c r="C35" i="43"/>
  <c r="C36" i="43"/>
  <c r="C37" i="43"/>
  <c r="C47" i="42"/>
  <c r="C48" i="42"/>
  <c r="C49" i="42"/>
  <c r="C50" i="42"/>
  <c r="C51" i="42"/>
  <c r="C43" i="42"/>
  <c r="C44" i="42"/>
  <c r="C45" i="42"/>
  <c r="C46" i="42"/>
  <c r="C20" i="44"/>
  <c r="F19" i="44"/>
  <c r="C42" i="9"/>
  <c r="C38" i="9"/>
  <c r="C39" i="9"/>
  <c r="C40" i="9"/>
  <c r="C41" i="9"/>
  <c r="Q1" i="44"/>
  <c r="Q2" i="44"/>
  <c r="P2" i="44"/>
  <c r="F15" i="44"/>
  <c r="C16" i="44"/>
  <c r="F16" i="44"/>
  <c r="C42" i="43"/>
  <c r="C38" i="43"/>
  <c r="C39" i="43"/>
  <c r="C40" i="43"/>
  <c r="C41" i="43"/>
  <c r="C42" i="29"/>
  <c r="C38" i="29"/>
  <c r="C39" i="29"/>
  <c r="C40" i="29"/>
  <c r="C41" i="29"/>
  <c r="P2" i="55"/>
  <c r="Q1" i="55"/>
  <c r="Q2" i="55"/>
  <c r="C38" i="39"/>
  <c r="C39" i="39"/>
  <c r="C40" i="39"/>
  <c r="C41" i="39"/>
  <c r="C42" i="39"/>
  <c r="F23" i="44"/>
  <c r="C24" i="44"/>
  <c r="C21" i="32"/>
  <c r="F21" i="32"/>
  <c r="F20" i="32"/>
  <c r="C42" i="51"/>
  <c r="C38" i="51"/>
  <c r="C39" i="51"/>
  <c r="C40" i="51"/>
  <c r="C41" i="51"/>
  <c r="C29" i="32"/>
  <c r="F28" i="32"/>
  <c r="C21" i="55"/>
  <c r="F21" i="55"/>
  <c r="F20" i="55"/>
  <c r="C29" i="55"/>
  <c r="F28" i="55"/>
  <c r="C28" i="26"/>
  <c r="C29" i="26"/>
  <c r="C30" i="26"/>
  <c r="C31" i="26"/>
  <c r="C32" i="26"/>
  <c r="P1" i="32"/>
  <c r="O2" i="32"/>
  <c r="C37" i="30"/>
  <c r="C33" i="30"/>
  <c r="C34" i="30"/>
  <c r="C35" i="30"/>
  <c r="C36" i="30"/>
  <c r="C28" i="44"/>
  <c r="F27" i="44"/>
  <c r="C32" i="44"/>
  <c r="C32" i="53"/>
  <c r="C28" i="53"/>
  <c r="C29" i="53"/>
  <c r="C30" i="53"/>
  <c r="C31" i="53"/>
  <c r="C37" i="38"/>
  <c r="C33" i="38"/>
  <c r="C34" i="38"/>
  <c r="C35" i="38"/>
  <c r="C36" i="38"/>
  <c r="C37" i="55"/>
  <c r="F32" i="55"/>
  <c r="C33" i="55"/>
  <c r="F24" i="32"/>
  <c r="C25" i="32"/>
  <c r="C42" i="49"/>
  <c r="C38" i="49"/>
  <c r="C39" i="49"/>
  <c r="C40" i="49"/>
  <c r="C41" i="49"/>
  <c r="C25" i="55"/>
  <c r="F24" i="55"/>
  <c r="C32" i="28"/>
  <c r="C28" i="28"/>
  <c r="C29" i="28"/>
  <c r="C30" i="28"/>
  <c r="C31" i="28"/>
  <c r="F32" i="32"/>
  <c r="C33" i="32"/>
  <c r="C37" i="32"/>
  <c r="C43" i="39"/>
  <c r="C44" i="39"/>
  <c r="C45" i="39"/>
  <c r="C46" i="39"/>
  <c r="C47" i="39"/>
  <c r="C48" i="39"/>
  <c r="C49" i="39"/>
  <c r="C50" i="39"/>
  <c r="C51" i="39"/>
  <c r="C42" i="32"/>
  <c r="C38" i="32"/>
  <c r="F37" i="32"/>
  <c r="C47" i="49"/>
  <c r="C48" i="49"/>
  <c r="C49" i="49"/>
  <c r="C50" i="49"/>
  <c r="C51" i="49"/>
  <c r="C43" i="49"/>
  <c r="C44" i="49"/>
  <c r="C45" i="49"/>
  <c r="C46" i="49"/>
  <c r="C29" i="44"/>
  <c r="F28" i="44"/>
  <c r="C30" i="55"/>
  <c r="F29" i="55"/>
  <c r="C26" i="32"/>
  <c r="F26" i="32"/>
  <c r="F25" i="32"/>
  <c r="C37" i="53"/>
  <c r="C33" i="53"/>
  <c r="C34" i="53"/>
  <c r="C35" i="53"/>
  <c r="C36" i="53"/>
  <c r="C25" i="44"/>
  <c r="F24" i="44"/>
  <c r="F33" i="55"/>
  <c r="C34" i="55"/>
  <c r="C38" i="38"/>
  <c r="C39" i="38"/>
  <c r="C40" i="38"/>
  <c r="C41" i="38"/>
  <c r="C42" i="38"/>
  <c r="C37" i="28"/>
  <c r="C33" i="28"/>
  <c r="C34" i="28"/>
  <c r="C35" i="28"/>
  <c r="C36" i="28"/>
  <c r="Q1" i="32"/>
  <c r="Q2" i="32"/>
  <c r="P2" i="32"/>
  <c r="C30" i="32"/>
  <c r="F29" i="32"/>
  <c r="C47" i="29"/>
  <c r="C48" i="29"/>
  <c r="C49" i="29"/>
  <c r="C50" i="29"/>
  <c r="C51" i="29"/>
  <c r="C43" i="29"/>
  <c r="C44" i="29"/>
  <c r="C45" i="29"/>
  <c r="C46" i="29"/>
  <c r="C47" i="9"/>
  <c r="C48" i="9"/>
  <c r="C49" i="9"/>
  <c r="C50" i="9"/>
  <c r="C51" i="9"/>
  <c r="C43" i="9"/>
  <c r="C44" i="9"/>
  <c r="C45" i="9"/>
  <c r="C46" i="9"/>
  <c r="C34" i="32"/>
  <c r="F33" i="32"/>
  <c r="C38" i="55"/>
  <c r="F37" i="55"/>
  <c r="C42" i="55"/>
  <c r="C37" i="26"/>
  <c r="C33" i="26"/>
  <c r="C34" i="26"/>
  <c r="C35" i="26"/>
  <c r="C36" i="26"/>
  <c r="F25" i="55"/>
  <c r="C26" i="55"/>
  <c r="F26" i="55"/>
  <c r="F32" i="44"/>
  <c r="C37" i="44"/>
  <c r="C33" i="44"/>
  <c r="C38" i="30"/>
  <c r="C39" i="30"/>
  <c r="C40" i="30"/>
  <c r="C41" i="30"/>
  <c r="C42" i="30"/>
  <c r="C47" i="51"/>
  <c r="C48" i="51"/>
  <c r="C49" i="51"/>
  <c r="C50" i="51"/>
  <c r="C51" i="51"/>
  <c r="C43" i="51"/>
  <c r="C44" i="51"/>
  <c r="C45" i="51"/>
  <c r="C46" i="51"/>
  <c r="C47" i="43"/>
  <c r="C48" i="43"/>
  <c r="C49" i="43"/>
  <c r="C50" i="43"/>
  <c r="C51" i="43"/>
  <c r="C43" i="43"/>
  <c r="C44" i="43"/>
  <c r="C45" i="43"/>
  <c r="C46" i="43"/>
  <c r="C21" i="44"/>
  <c r="F21" i="44"/>
  <c r="F20" i="44"/>
  <c r="C43" i="55"/>
  <c r="F42" i="55"/>
  <c r="C47" i="55"/>
  <c r="F34" i="32"/>
  <c r="C35" i="32"/>
  <c r="C39" i="32"/>
  <c r="F38" i="32"/>
  <c r="C34" i="44"/>
  <c r="F33" i="44"/>
  <c r="F37" i="44"/>
  <c r="C42" i="44"/>
  <c r="C38" i="44"/>
  <c r="F38" i="55"/>
  <c r="C39" i="55"/>
  <c r="F30" i="32"/>
  <c r="C31" i="32"/>
  <c r="F31" i="32"/>
  <c r="F30" i="55"/>
  <c r="C31" i="55"/>
  <c r="F31" i="55"/>
  <c r="C26" i="44"/>
  <c r="F26" i="44"/>
  <c r="F25" i="44"/>
  <c r="C30" i="44"/>
  <c r="F29" i="44"/>
  <c r="C35" i="55"/>
  <c r="F34" i="55"/>
  <c r="F42" i="32"/>
  <c r="C47" i="32"/>
  <c r="C43" i="32"/>
  <c r="C38" i="28"/>
  <c r="C39" i="28"/>
  <c r="C40" i="28"/>
  <c r="C41" i="28"/>
  <c r="C42" i="28"/>
  <c r="C42" i="53"/>
  <c r="C38" i="53"/>
  <c r="C39" i="53"/>
  <c r="C40" i="53"/>
  <c r="C41" i="53"/>
  <c r="C43" i="30"/>
  <c r="C44" i="30"/>
  <c r="C45" i="30"/>
  <c r="C46" i="30"/>
  <c r="C47" i="30"/>
  <c r="C48" i="30"/>
  <c r="C49" i="30"/>
  <c r="C50" i="30"/>
  <c r="C51" i="30"/>
  <c r="C38" i="26"/>
  <c r="C39" i="26"/>
  <c r="C40" i="26"/>
  <c r="C41" i="26"/>
  <c r="C42" i="26"/>
  <c r="C47" i="38"/>
  <c r="C48" i="38"/>
  <c r="C49" i="38"/>
  <c r="C50" i="38"/>
  <c r="C51" i="38"/>
  <c r="C43" i="38"/>
  <c r="C44" i="38"/>
  <c r="C45" i="38"/>
  <c r="C46" i="38"/>
  <c r="C43" i="26"/>
  <c r="C44" i="26"/>
  <c r="C45" i="26"/>
  <c r="C46" i="26"/>
  <c r="C47" i="26"/>
  <c r="C48" i="26"/>
  <c r="C49" i="26"/>
  <c r="C50" i="26"/>
  <c r="C51" i="26"/>
  <c r="C39" i="44"/>
  <c r="F38" i="44"/>
  <c r="C35" i="44"/>
  <c r="F34" i="44"/>
  <c r="C44" i="32"/>
  <c r="F43" i="32"/>
  <c r="C36" i="55"/>
  <c r="F36" i="55"/>
  <c r="F35" i="55"/>
  <c r="C47" i="44"/>
  <c r="C43" i="44"/>
  <c r="F42" i="44"/>
  <c r="C48" i="55"/>
  <c r="F47" i="55"/>
  <c r="C47" i="53"/>
  <c r="C48" i="53"/>
  <c r="C49" i="53"/>
  <c r="C50" i="53"/>
  <c r="C51" i="53"/>
  <c r="C43" i="53"/>
  <c r="C44" i="53"/>
  <c r="C45" i="53"/>
  <c r="C46" i="53"/>
  <c r="C48" i="32"/>
  <c r="F47" i="32"/>
  <c r="C40" i="55"/>
  <c r="F39" i="55"/>
  <c r="F39" i="32"/>
  <c r="C40" i="32"/>
  <c r="C43" i="28"/>
  <c r="C44" i="28"/>
  <c r="C45" i="28"/>
  <c r="C46" i="28"/>
  <c r="C47" i="28"/>
  <c r="C48" i="28"/>
  <c r="C49" i="28"/>
  <c r="C50" i="28"/>
  <c r="C51" i="28"/>
  <c r="F30" i="44"/>
  <c r="C31" i="44"/>
  <c r="F31" i="44"/>
  <c r="C36" i="32"/>
  <c r="F36" i="32"/>
  <c r="F35" i="32"/>
  <c r="C44" i="55"/>
  <c r="F43" i="55"/>
  <c r="C41" i="55"/>
  <c r="F41" i="55"/>
  <c r="F40" i="55"/>
  <c r="F43" i="44"/>
  <c r="C44" i="44"/>
  <c r="C41" i="32"/>
  <c r="F41" i="32"/>
  <c r="F40" i="32"/>
  <c r="F47" i="44"/>
  <c r="C48" i="44"/>
  <c r="F44" i="32"/>
  <c r="C45" i="32"/>
  <c r="C40" i="44"/>
  <c r="F39" i="44"/>
  <c r="F44" i="55"/>
  <c r="C45" i="55"/>
  <c r="F48" i="32"/>
  <c r="C49" i="32"/>
  <c r="C49" i="55"/>
  <c r="F48" i="55"/>
  <c r="F35" i="44"/>
  <c r="C36" i="44"/>
  <c r="F36" i="44"/>
  <c r="C50" i="32"/>
  <c r="F49" i="32"/>
  <c r="F48" i="44"/>
  <c r="C49" i="44"/>
  <c r="C45" i="44"/>
  <c r="F44" i="44"/>
  <c r="F40" i="44"/>
  <c r="C41" i="44"/>
  <c r="F41" i="44"/>
  <c r="F45" i="55"/>
  <c r="C46" i="55"/>
  <c r="F46" i="55"/>
  <c r="C46" i="32"/>
  <c r="F46" i="32"/>
  <c r="F45" i="32"/>
  <c r="F49" i="55"/>
  <c r="C50" i="55"/>
  <c r="C50" i="44"/>
  <c r="F49" i="44"/>
  <c r="F50" i="55"/>
  <c r="C51" i="55"/>
  <c r="F51" i="55"/>
  <c r="C46" i="44"/>
  <c r="F46" i="44"/>
  <c r="F45" i="44"/>
  <c r="F50" i="32"/>
  <c r="C51" i="32"/>
  <c r="F51" i="32"/>
  <c r="C51" i="44"/>
  <c r="F51" i="44"/>
  <c r="F50" i="44"/>
</calcChain>
</file>

<file path=xl/sharedStrings.xml><?xml version="1.0" encoding="utf-8"?>
<sst xmlns="http://schemas.openxmlformats.org/spreadsheetml/2006/main" count="20011" uniqueCount="4921">
  <si>
    <t>Feature</t>
  </si>
  <si>
    <t>Planned Story Points</t>
  </si>
  <si>
    <t>Completed Story Points</t>
  </si>
  <si>
    <t>Date</t>
  </si>
  <si>
    <t>Issue Type</t>
  </si>
  <si>
    <t>Status</t>
  </si>
  <si>
    <t>Key</t>
  </si>
  <si>
    <t>Fix Version/s</t>
  </si>
  <si>
    <t>Story Points</t>
  </si>
  <si>
    <t>Job Size</t>
  </si>
  <si>
    <t>Time Criticality</t>
  </si>
  <si>
    <t>Linked Issues</t>
  </si>
  <si>
    <t>Story</t>
  </si>
  <si>
    <t>Open</t>
  </si>
  <si>
    <t>In Progress</t>
  </si>
  <si>
    <t>Done</t>
  </si>
  <si>
    <t>In review</t>
  </si>
  <si>
    <t>Canceled</t>
  </si>
  <si>
    <t>New Feature</t>
  </si>
  <si>
    <t>Implementing</t>
  </si>
  <si>
    <t>Approved</t>
  </si>
  <si>
    <t>Draft</t>
  </si>
  <si>
    <t>Waiting For Approval</t>
  </si>
  <si>
    <t>Integrating</t>
  </si>
  <si>
    <t>Enabler</t>
  </si>
  <si>
    <t>Testing</t>
  </si>
  <si>
    <t>Data sheet</t>
  </si>
  <si>
    <t>ID</t>
  </si>
  <si>
    <t>Team</t>
  </si>
  <si>
    <t>Team A name</t>
  </si>
  <si>
    <t>Team A project space key(s)</t>
  </si>
  <si>
    <t>Team B name</t>
  </si>
  <si>
    <t>Team B project space key(s)</t>
  </si>
  <si>
    <t>Team C project space key(s)</t>
  </si>
  <si>
    <t>Team C name</t>
  </si>
  <si>
    <t>Team D name</t>
  </si>
  <si>
    <t>Team D project space key(s)</t>
  </si>
  <si>
    <t>Team E name</t>
  </si>
  <si>
    <t>Team E project space key(s)</t>
  </si>
  <si>
    <t>Team F name</t>
  </si>
  <si>
    <t>Team F project space key(s)</t>
  </si>
  <si>
    <t>Team G name</t>
  </si>
  <si>
    <t>Team G project space key(s)</t>
  </si>
  <si>
    <t>Team H name</t>
  </si>
  <si>
    <t>Team H project space key(s)</t>
  </si>
  <si>
    <t>Team I name</t>
  </si>
  <si>
    <t>Team I project space key(s)</t>
  </si>
  <si>
    <t>Team J name</t>
  </si>
  <si>
    <t>Team J project space key(s)</t>
  </si>
  <si>
    <t>Number of planning items</t>
  </si>
  <si>
    <t>MWP, EUI</t>
  </si>
  <si>
    <t>Risk Reduction</t>
  </si>
  <si>
    <t>Business Value</t>
  </si>
  <si>
    <t>Sprint</t>
  </si>
  <si>
    <t>Summary</t>
  </si>
  <si>
    <t>Number of stories:</t>
  </si>
  <si>
    <t>Number of features:</t>
  </si>
  <si>
    <t xml:space="preserve">Number of enablers: </t>
  </si>
  <si>
    <t>Iteration  #1 Ids</t>
  </si>
  <si>
    <t>Iteration  #2 Ids</t>
  </si>
  <si>
    <t>Iteration  #3 Ids</t>
  </si>
  <si>
    <t>Iteration  #4 Ids</t>
  </si>
  <si>
    <t>Iteration  #5 Ids</t>
  </si>
  <si>
    <t>CC Process Centre PI4 It4, CC Portoflio Manager PI4 It4, Comp Corp RTD PI4 It4, Comp Corp REGIO PI4 It4, EC eUI My Workplace PI9 It4, COMCORP-PMO-4.4</t>
  </si>
  <si>
    <t>CC Process Centre PI4 It1, CC Portoflio Manager PI4 It1, Comp Corp RTD PI4 It1, Comp Corp REGIO PI4 It1, EC eUI My Workplace PI9 It1, COMCORP-PMO-4.1</t>
  </si>
  <si>
    <t>CC Process Centre PI4 It2, CC Portoflio Manager PI4 It2, Comp Corp RTD PI4 It2, Comp Corp REGIO PI4 It2, EC eUI My Workplace PI9 It2, COMCORP-PMO-4.2</t>
  </si>
  <si>
    <t>CC Process Centre PI4 It3, CC Portoflio Manager PI4 It3, Comp Corp RTD PI4 It3, Comp Corp REGIO PI4 It3, EC eUI My Workplace PI9 It3, COMCORP-PMO-4.3</t>
  </si>
  <si>
    <t>CC Process Centre PI4 It5, CC Portoflio Manager PI4 It5, Comp Corp RTD PI4 It5, Comp Corp REGIO PI4 It5, EC eUI My Workplace PI9 It5, COMCORP-PMO-4.5</t>
  </si>
  <si>
    <t>Action: Session Management</t>
  </si>
  <si>
    <t>TSKACTION-217</t>
  </si>
  <si>
    <t>COMPCORP-PI4</t>
  </si>
  <si>
    <t>Comp Corp RTD PI3 It4, Comp Corp RTD PI4 It3</t>
  </si>
  <si>
    <t>COMPASS-273, COMPASS-270, COMPASS-271, COMPASS-272, TSKACTION-271, TSKACTION-216, TSKACTION-237, COMPASS-228, COMPASS-229, TSKACTION-218, COMPCORP-104</t>
  </si>
  <si>
    <t>As CCTG, I want to view all the Risks and follow the status</t>
  </si>
  <si>
    <t>CCPMO-46</t>
  </si>
  <si>
    <t>COMCORP-PMO-4.1</t>
  </si>
  <si>
    <t>CCPMO-76</t>
  </si>
  <si>
    <t>Creating QA queries</t>
  </si>
  <si>
    <t>CCPMO-59</t>
  </si>
  <si>
    <t>Writting Jira rules</t>
  </si>
  <si>
    <t>CCPMO-58</t>
  </si>
  <si>
    <t>Provide pre/post operation callbacks to business</t>
  </si>
  <si>
    <t>CCDOCLIST-165</t>
  </si>
  <si>
    <t>Comp Corp RTD PI4 It2</t>
  </si>
  <si>
    <t>CCDOCLIST-166, CCDOCLIST-167</t>
  </si>
  <si>
    <t>Configuration library adoption support</t>
  </si>
  <si>
    <t>CCADMIN-43</t>
  </si>
  <si>
    <t>Comp Corp REGIO PI4 It1</t>
  </si>
  <si>
    <t>CCADMIN-42</t>
  </si>
  <si>
    <t>Integrate with zookeeper</t>
  </si>
  <si>
    <t>CCADMIN-47</t>
  </si>
  <si>
    <t>CCADMIN-44</t>
  </si>
  <si>
    <t>Provide data to zookeeper</t>
  </si>
  <si>
    <t>CCADMIN-46</t>
  </si>
  <si>
    <t>REST services for managing consultations - mock</t>
  </si>
  <si>
    <t>INTERCOM-57</t>
  </si>
  <si>
    <t>INTERCOM-54</t>
  </si>
  <si>
    <t>UI for creating consultation</t>
  </si>
  <si>
    <t>INTERCOM-56</t>
  </si>
  <si>
    <t>Update the maven archetype for microservices</t>
  </si>
  <si>
    <t>INTERCOM-53</t>
  </si>
  <si>
    <t>INTERCOM-52</t>
  </si>
  <si>
    <t>Use codes for labels inside the UI</t>
  </si>
  <si>
    <t>CCADMIN-48</t>
  </si>
  <si>
    <t>Zookeeper data model for micro-services</t>
  </si>
  <si>
    <t>CCADMIN-45</t>
  </si>
  <si>
    <t>Closed</t>
  </si>
  <si>
    <t>Filter process based on current user's organisation portfolio</t>
  </si>
  <si>
    <t>PROCESS-108</t>
  </si>
  <si>
    <t>CC Process Centre PI4 It1, CC Process Centre PI4 It2, CC Process Centre PI4 It3</t>
  </si>
  <si>
    <t>PROCESS-44</t>
  </si>
  <si>
    <t>Filter processes based on current user assets</t>
  </si>
  <si>
    <t>PROCESS-76</t>
  </si>
  <si>
    <t>COMPCORP-PI3, COMPCORP-PI4</t>
  </si>
  <si>
    <t>CC Process Centre PI4 It1</t>
  </si>
  <si>
    <t>Filter processes based on user portfolio assignments</t>
  </si>
  <si>
    <t>PROCESS-108, PROCESS-76</t>
  </si>
  <si>
    <t>Improve search performance (elastic search)</t>
  </si>
  <si>
    <t>PROCESS-92</t>
  </si>
  <si>
    <t>PROCESS-115, PROCESS-94</t>
  </si>
  <si>
    <t>Support specific attributes based on taxonomy</t>
  </si>
  <si>
    <t>PROCESS-75</t>
  </si>
  <si>
    <t>PROCESS-48, PROCESS-49, PROCESS-120, PROCESS-121, PROCESS-80, EUI-1318</t>
  </si>
  <si>
    <t>User impersonation</t>
  </si>
  <si>
    <t>PROCESS-107</t>
  </si>
  <si>
    <t>PROCESS-96, PROCESS-104</t>
  </si>
  <si>
    <t>Adapt the filters to align with the harmonized UX guidelines</t>
  </si>
  <si>
    <t>PROCESS-109</t>
  </si>
  <si>
    <t>CC Process Centre PI4 It2, CC Process Centre PI4 It3</t>
  </si>
  <si>
    <t>PROCESS-33</t>
  </si>
  <si>
    <t>Back-end integration with the translation service</t>
  </si>
  <si>
    <t>PROCESS-112</t>
  </si>
  <si>
    <t>CC Process Centre PI4 It2, CC Process Centre PI4 It3, CC Process Centre PI4 It4</t>
  </si>
  <si>
    <t>PROCESS-95</t>
  </si>
  <si>
    <t>Back-end integration with the user organisation repository</t>
  </si>
  <si>
    <t>PROCESS-111</t>
  </si>
  <si>
    <t>Manual configuration of metroline mapping file (json)</t>
  </si>
  <si>
    <t>PROCESS-128</t>
  </si>
  <si>
    <t>CC Process Centre PI4 It2, CC Process Centre PI4 It4</t>
  </si>
  <si>
    <t>Refactoring of process type following addition of taxonomy events</t>
  </si>
  <si>
    <t>PROCESS-129</t>
  </si>
  <si>
    <t>UI integration with the user organisation repository</t>
  </si>
  <si>
    <t>PROCESS-110</t>
  </si>
  <si>
    <t>Reduce the number of process result list views to a single one</t>
  </si>
  <si>
    <t>PROCESS-113</t>
  </si>
  <si>
    <t>CC Process Centre PI4 It3</t>
  </si>
  <si>
    <t>Integrate internationalization service</t>
  </si>
  <si>
    <t>PFM-143</t>
  </si>
  <si>
    <t>CC Portfolio Manager PI4 It1, CC Portfolio Manager PI4 It2, CC Portfolio Manager PI4 It3, CC Portfolio Manager PI4 It4</t>
  </si>
  <si>
    <t>PFM-125</t>
  </si>
  <si>
    <t>Retrieve portfolio item id's for connected user</t>
  </si>
  <si>
    <t>PFM-142</t>
  </si>
  <si>
    <t>CC Portfolio Manager PI4 It1</t>
  </si>
  <si>
    <t>PFM-144</t>
  </si>
  <si>
    <t>CC Portfolio Manager PI4 It1, CC Portfolio Manager PI4 It2</t>
  </si>
  <si>
    <t>PFM-126</t>
  </si>
  <si>
    <t>Alignment with the new naming : Asset changes to Portfolio Item</t>
  </si>
  <si>
    <t>PFM-155</t>
  </si>
  <si>
    <t>CC Portfolio Manager PI4 It2</t>
  </si>
  <si>
    <t>PFM-131</t>
  </si>
  <si>
    <t>Confidential items are visible only for assignees</t>
  </si>
  <si>
    <t>PFM-160</t>
  </si>
  <si>
    <t>FiltersUX review</t>
  </si>
  <si>
    <t>PFM-147</t>
  </si>
  <si>
    <t>CC Portfolio Manager PI4 It2, CC Portfolio Manager PI4 It3, CC Portfolio Manager PI4 It4</t>
  </si>
  <si>
    <t>Result list UX review</t>
  </si>
  <si>
    <t>PFM-146</t>
  </si>
  <si>
    <t>Integration of user organisation repository</t>
  </si>
  <si>
    <t>PFM-148</t>
  </si>
  <si>
    <t>CC Portfolio Manager PI4 It3</t>
  </si>
  <si>
    <t>Specific attributes: UI</t>
  </si>
  <si>
    <t>PFM-151</t>
  </si>
  <si>
    <t>CC Portfolio Manager PI4 It3, CC Portfolio Manager PI4 It4</t>
  </si>
  <si>
    <t>PFM-78</t>
  </si>
  <si>
    <t>Specific attributes: back end</t>
  </si>
  <si>
    <t>PFM-150</t>
  </si>
  <si>
    <t>Specific attributes: support events</t>
  </si>
  <si>
    <t>PFM-149</t>
  </si>
  <si>
    <t>As an user I want to be able to see my full user name when posting a comment</t>
  </si>
  <si>
    <t>INTERCOM-60</t>
  </si>
  <si>
    <t>Comp Corp REGIO PI4 It2</t>
  </si>
  <si>
    <t>INTERCOM-59</t>
  </si>
  <si>
    <t>Configuration library adoption support - sprint 2</t>
  </si>
  <si>
    <t>CCADMIN-51</t>
  </si>
  <si>
    <t>REST services for managing consultations - real</t>
  </si>
  <si>
    <t>INTERCOM-58</t>
  </si>
  <si>
    <t>Claim Wave tasks from Compass Corporate</t>
  </si>
  <si>
    <t>WAVECC-43</t>
  </si>
  <si>
    <t>Comp Corp REGIO PI4 It3</t>
  </si>
  <si>
    <t>WAVECC-44, WAVECC-42</t>
  </si>
  <si>
    <t>Configuration library adoption support - sprint 3</t>
  </si>
  <si>
    <t>INTERCOM-65</t>
  </si>
  <si>
    <t>Consultations visible in task details</t>
  </si>
  <si>
    <t>INTERCOM-64</t>
  </si>
  <si>
    <t>Create new configuration from the Admin Tool</t>
  </si>
  <si>
    <t>CCADMIN-52</t>
  </si>
  <si>
    <t>Integrate Admin tool with OpenID connect</t>
  </si>
  <si>
    <t>CCADMIN-56</t>
  </si>
  <si>
    <t>CCADMIN-55</t>
  </si>
  <si>
    <t>Migrate system configuration to Spring Cloud Config</t>
  </si>
  <si>
    <t>INTERCOM-70</t>
  </si>
  <si>
    <t>INTERCOM-71</t>
  </si>
  <si>
    <t>Refactor read-only mode for consultation</t>
  </si>
  <si>
    <t>INTERCOM-74</t>
  </si>
  <si>
    <t>INTERCOM-75</t>
  </si>
  <si>
    <t>Support for multiple configuration types for the same microservice</t>
  </si>
  <si>
    <t>CCADMIN-53</t>
  </si>
  <si>
    <t>Support for parallel tasks</t>
  </si>
  <si>
    <t>INTERCOM-73</t>
  </si>
  <si>
    <t>INTERCOM-72</t>
  </si>
  <si>
    <t>Internationalization</t>
  </si>
  <si>
    <t>CCARCHITEC-37</t>
  </si>
  <si>
    <t>EC eUI My Workplace PI9 It4</t>
  </si>
  <si>
    <t>COMPCORP-114, CCARCHITEC-64, COMPCORP-123, CCARCHITEC-42</t>
  </si>
  <si>
    <t>Internationalization of the application for the data provided by the system</t>
  </si>
  <si>
    <t>COMPCORP-114</t>
  </si>
  <si>
    <t>COMPCORP-112, CCARCHITEC-37, CCARCHITEC-49</t>
  </si>
  <si>
    <t>Adoption of OpenID security model</t>
  </si>
  <si>
    <t>CCTASK-533</t>
  </si>
  <si>
    <t>Comp Corp RTD PI4 It3</t>
  </si>
  <si>
    <t>CCDOCLIST-183, CCTASK-567, COMPCORP-112</t>
  </si>
  <si>
    <t>Configuration of presentation - compact view</t>
  </si>
  <si>
    <t>CCDOCLIST-156</t>
  </si>
  <si>
    <t>CCDOCLIST-161</t>
  </si>
  <si>
    <t>Document list read-only mode</t>
  </si>
  <si>
    <t>CCDOCLIST-19</t>
  </si>
  <si>
    <t>CCDOCLIST-117, CCDOCLIST-163, CCDOCLIST-169, COMPCORP-102</t>
  </si>
  <si>
    <t>Filter the Document List at runtime (backend)</t>
  </si>
  <si>
    <t>CCDOCLIST-157</t>
  </si>
  <si>
    <t>CCDOCLIST-159</t>
  </si>
  <si>
    <t>OpenID Adoption (JWT) - TC, TD, TAX</t>
  </si>
  <si>
    <t>CCTASK-567</t>
  </si>
  <si>
    <t>multiple references for taxonomy node</t>
  </si>
  <si>
    <t>CCTASK-564</t>
  </si>
  <si>
    <t>CCTASK-519</t>
  </si>
  <si>
    <t>Adapt elastic search index</t>
  </si>
  <si>
    <t>PROCESS-115</t>
  </si>
  <si>
    <t>CC Process Centre PI4 It4</t>
  </si>
  <si>
    <t>Align with user organisation repository and elastic search integration</t>
  </si>
  <si>
    <t>PROCESS-116</t>
  </si>
  <si>
    <t>PROCESS-125, PROCESS-95</t>
  </si>
  <si>
    <t>Provide an hierarchical view for the result list of processes</t>
  </si>
  <si>
    <t>PROCESS-114</t>
  </si>
  <si>
    <t>Retrieve info for item dashboard</t>
  </si>
  <si>
    <t>PFM-152</t>
  </si>
  <si>
    <t>CC Portfolio Manager PI4 It4</t>
  </si>
  <si>
    <t>PFM-83</t>
  </si>
  <si>
    <t>Explaining cumulative flow diagram interpretation</t>
  </si>
  <si>
    <t>CCPMO-62</t>
  </si>
  <si>
    <t>COMCORP-PMO-4.2</t>
  </si>
  <si>
    <t>CCPMO-77</t>
  </si>
  <si>
    <t>Refactoring Bees Dashboard</t>
  </si>
  <si>
    <t>CCPMO-119</t>
  </si>
  <si>
    <t>CCPMO-79, CCPMO-76</t>
  </si>
  <si>
    <t>Refactoring Goats Dashboard</t>
  </si>
  <si>
    <t>CCPMO-87</t>
  </si>
  <si>
    <t>Refactoring Guardians Dashboard</t>
  </si>
  <si>
    <t>CCPMO-95</t>
  </si>
  <si>
    <t>Refactoring Minions Dashboard</t>
  </si>
  <si>
    <t>CCPMO-79</t>
  </si>
  <si>
    <t>CCPMO-87, CCPMO-95, CCPMO-119, CCPMO-103, CCPMO-111, CCPMO-76</t>
  </si>
  <si>
    <t>Refactoring Panthers Dashboard</t>
  </si>
  <si>
    <t>CCPMO-103</t>
  </si>
  <si>
    <t>Refactoring RTD Dashboard</t>
  </si>
  <si>
    <t>CCPMO-111</t>
  </si>
  <si>
    <t>Open Wave tasks from TaskCenter</t>
  </si>
  <si>
    <t>WAVECC-35</t>
  </si>
  <si>
    <t>Comp Corp REGIO PI4 It4</t>
  </si>
  <si>
    <t>CCTASK-504, WAVECC-34</t>
  </si>
  <si>
    <t>REST services for cancelling consultations</t>
  </si>
  <si>
    <t>INTERCOM-66</t>
  </si>
  <si>
    <t>Readiness for translation service</t>
  </si>
  <si>
    <t>CCTASK-534</t>
  </si>
  <si>
    <t>Delegations &amp; Filtering</t>
  </si>
  <si>
    <t>CCTASK-542</t>
  </si>
  <si>
    <t>Configuration management</t>
  </si>
  <si>
    <t>CCDOCLIST-17</t>
  </si>
  <si>
    <t>Comp Corp RTD PI3 It5</t>
  </si>
  <si>
    <t>CCDOCLIST-56</t>
  </si>
  <si>
    <t>Configuration override</t>
  </si>
  <si>
    <t>CCDOCLIST-27</t>
  </si>
  <si>
    <t>CCDOCLIST-63, CCDOCLIST-151, COMPCORP-100, COMPCORP-102</t>
  </si>
  <si>
    <t>Manage document encryption</t>
  </si>
  <si>
    <t>CCDOCLIST-25</t>
  </si>
  <si>
    <t>CCDOCLIST-122, COMPCORP-100</t>
  </si>
  <si>
    <t>Translation Service</t>
  </si>
  <si>
    <t>CCARCHITEC-49</t>
  </si>
  <si>
    <t>Comp Corp Architec PI3 It3</t>
  </si>
  <si>
    <t>COMPCORP-114, CCARCHITEC-64, MWP-565, MWP-566, COMPCORP-123, CCARCHITEC-42</t>
  </si>
  <si>
    <t>Action: Parallel Actors / Support task</t>
  </si>
  <si>
    <t>TSKACTION-245</t>
  </si>
  <si>
    <t>Comp Corp RTD PI4 It4</t>
  </si>
  <si>
    <t>TSKACTION-260, TSKACTION-261, TSKACTION-262, TSKACTION-263, TSKACTION-264, TSKACTION-259</t>
  </si>
  <si>
    <t>Integration with Config Admin</t>
  </si>
  <si>
    <t>CCDOCLIST-181</t>
  </si>
  <si>
    <t>CCDOCLIST-186, CCTASK-579</t>
  </si>
  <si>
    <t>CCTASK-579</t>
  </si>
  <si>
    <t>CCTASK-561, CCDOCLIST-181, CCTASK-536</t>
  </si>
  <si>
    <t>SSE Bridge</t>
  </si>
  <si>
    <t>CCTASK-527</t>
  </si>
  <si>
    <t>CCDOCLIST-184, CCTASK-591, CCTASK-584, CCTASK-423</t>
  </si>
  <si>
    <t>Signature on Outcome</t>
  </si>
  <si>
    <t>CCTASK-272</t>
  </si>
  <si>
    <t>CCDOCLIST-171, CCTASK-550, CCTASK-552, CCTASK-540, CCTASK-551, CCTASK-553</t>
  </si>
  <si>
    <t>Taxonomy multiple references and events (for ProcessCentre)</t>
  </si>
  <si>
    <t>CCTASK-564, CCTASK-562, EUI-1318, MWP-441</t>
  </si>
  <si>
    <t>The client should be able to refresh the configuration of a given instance when a business variable changes</t>
  </si>
  <si>
    <t>CCDOCLIST-174</t>
  </si>
  <si>
    <t>CCDOCLIST-173, CCDOCLIST-172</t>
  </si>
  <si>
    <t>UX - Post Checks (error handling on task complete)</t>
  </si>
  <si>
    <t>CCTASK-476</t>
  </si>
  <si>
    <t>CCTASK-47, CCTASK-455, CCTASK-291</t>
  </si>
  <si>
    <t>Adapt the UI for user active tasks</t>
  </si>
  <si>
    <t>PROCESS-117</t>
  </si>
  <si>
    <t>CC Process Centre PI4 It5</t>
  </si>
  <si>
    <t>PROCESS-98</t>
  </si>
  <si>
    <t>Listen to events related to task claimed/assigned</t>
  </si>
  <si>
    <t>PROCESS-118</t>
  </si>
  <si>
    <t>Retrieve the active tasks for logged in users</t>
  </si>
  <si>
    <t>PROCESS-119</t>
  </si>
  <si>
    <t>Specific attribute storage for process instances</t>
  </si>
  <si>
    <t>PROCESS-120</t>
  </si>
  <si>
    <t>Specific attributes UI filters</t>
  </si>
  <si>
    <t>PROCESS-121</t>
  </si>
  <si>
    <t>Specific attributes filtering back end service</t>
  </si>
  <si>
    <t>PROCESS-122</t>
  </si>
  <si>
    <t>UI for consultation answering task</t>
  </si>
  <si>
    <t>INTERCOM-67</t>
  </si>
  <si>
    <t>Comp Corp REGIO PI4 It5</t>
  </si>
  <si>
    <t>INTERCOM-55</t>
  </si>
  <si>
    <t>Action: Document review/download link</t>
  </si>
  <si>
    <t>TSKACTION-56</t>
  </si>
  <si>
    <t>TSKACTION-257, TSKACTION-258</t>
  </si>
  <si>
    <t>Answer Consultation</t>
  </si>
  <si>
    <t>INTERCOM-67, CCADMIN-50</t>
  </si>
  <si>
    <t>Automated Program Metrics Update</t>
  </si>
  <si>
    <t>CCPMO-129</t>
  </si>
  <si>
    <t>Cheat Sheet (Program)</t>
  </si>
  <si>
    <t>Cheat Sheets (Team)</t>
  </si>
  <si>
    <t>CCPMO-63</t>
  </si>
  <si>
    <t>Claim/unclaim Wave tasks from Compass Corporate</t>
  </si>
  <si>
    <t>WAVECC-42</t>
  </si>
  <si>
    <t>WAVECC-44, WAVECC-43, WAVECC-39</t>
  </si>
  <si>
    <t>CCADMIN-43, CCADMIN-51, INTERCOM-65, CCADMIN-41</t>
  </si>
  <si>
    <t>Create Consultations</t>
  </si>
  <si>
    <t>INTERCOM-56, INTERCOM-57, INTERCOM-58, INTERCOM-64, CCADMIN-50</t>
  </si>
  <si>
    <t>Define/remove a relation and its nature between two assets (by external systems)</t>
  </si>
  <si>
    <t>PFM-82</t>
  </si>
  <si>
    <t>PFM-70</t>
  </si>
  <si>
    <t>Display a list of processes (widget) in MyWorkPlace with generic and specific attributes</t>
  </si>
  <si>
    <t>PROCESS-48</t>
  </si>
  <si>
    <t>Externalize configuration</t>
  </si>
  <si>
    <t>INTERCOM-70, INTERCOM-51</t>
  </si>
  <si>
    <t>Filter process by "my" active tasks</t>
  </si>
  <si>
    <t>PROCESS-117, PROCESS-118, PROCESS-119</t>
  </si>
  <si>
    <t>Foundation stabilization</t>
  </si>
  <si>
    <t>PFM-143, PFM-148</t>
  </si>
  <si>
    <t>PROCESS-116, PROCESS-112, PROCESS-110, PROCESS-111</t>
  </si>
  <si>
    <t>Harmonization of User Experience</t>
  </si>
  <si>
    <t>COMPCORP-PI2, COMPCORP-PI4</t>
  </si>
  <si>
    <t>PROCESS-114, PROCESS-109, PROCESS-113, MWP-441</t>
  </si>
  <si>
    <t>Impersonation</t>
  </si>
  <si>
    <t>CCTASK-532</t>
  </si>
  <si>
    <t>Mandatory documents</t>
  </si>
  <si>
    <t>CCDOCLIST-116</t>
  </si>
  <si>
    <t>CCDOCLIST-139, CCDOCLIST-140, COMPCORP-102</t>
  </si>
  <si>
    <t>Open Wave tasks</t>
  </si>
  <si>
    <t>WAVECC-34</t>
  </si>
  <si>
    <t>WAVECC-35, WAVECC-39</t>
  </si>
  <si>
    <t>Program Monitoring Dashboard</t>
  </si>
  <si>
    <t>CCPMO-87, CCPMO-95, CCPMO-119, CCPMO-79, CCPMO-103, CCPMO-111, CCPMO-46, CCPMO-58, CCPMO-59</t>
  </si>
  <si>
    <t>Read only mode for Consultations</t>
  </si>
  <si>
    <t>INTERCOM-74, INTERCOM-51</t>
  </si>
  <si>
    <t>Secure Admin Tool</t>
  </si>
  <si>
    <t>CCADMIN-56, CCADMIN-39</t>
  </si>
  <si>
    <t>Secure Process Centre by filtering processes according to logged user</t>
  </si>
  <si>
    <t>PROCESS-125</t>
  </si>
  <si>
    <t>Service catalog</t>
  </si>
  <si>
    <t>CCADMIN-45, CCADMIN-46, CCADMIN-47, CCADMIN-52, CCADMIN-53, CCADMIN-40</t>
  </si>
  <si>
    <t>Show full user name</t>
  </si>
  <si>
    <t>INTERCOM-60, INTERCOM-51</t>
  </si>
  <si>
    <t>Task Detail UX Refactoring</t>
  </si>
  <si>
    <t>CCTASK-512</t>
  </si>
  <si>
    <t>TSKACTION-246, COMPCORP-104</t>
  </si>
  <si>
    <t>Taxonomy link to CCM2</t>
  </si>
  <si>
    <t>CCTASK-518</t>
  </si>
  <si>
    <t>CCTASK-537, CCTASK-538</t>
  </si>
  <si>
    <t>UX harmonisation</t>
  </si>
  <si>
    <t>PFM-146, PFM-147, PFM-155, MWP-544, PFM-145, MWP-441</t>
  </si>
  <si>
    <t>Unclaim Wave tasks from Compass Corporate</t>
  </si>
  <si>
    <t>WAVECC-44</t>
  </si>
  <si>
    <t>WAVECC-43, WAVECC-42</t>
  </si>
  <si>
    <t>User Impersonation</t>
  </si>
  <si>
    <t>PFM-144, MWP-550</t>
  </si>
  <si>
    <t>PROCESS-96</t>
  </si>
  <si>
    <t>PROCESS-107, MWP-550</t>
  </si>
  <si>
    <t>View dashboard of multiple assets in MyWorkPlace aggregated by asset types.</t>
  </si>
  <si>
    <t>PFM-59</t>
  </si>
  <si>
    <t>Busy Bees</t>
  </si>
  <si>
    <t>RTD</t>
  </si>
  <si>
    <t>Pink Panthers</t>
  </si>
  <si>
    <t>Guardians of the Temple</t>
  </si>
  <si>
    <t>Scape Goats</t>
  </si>
  <si>
    <t>Minions</t>
  </si>
  <si>
    <t>CCPMO</t>
  </si>
  <si>
    <t>CCDOCLIST, CCTASK, TSKACTION, COMPASS</t>
  </si>
  <si>
    <t>PFM, PROCESS</t>
  </si>
  <si>
    <t>CCINFRAEC, CCARCHITEC</t>
  </si>
  <si>
    <t>Number of stories without parents:</t>
  </si>
  <si>
    <t>Number of possible missing stories (for features):</t>
  </si>
  <si>
    <t>Number of possible missing stories (for enablers):</t>
  </si>
  <si>
    <t>ART</t>
  </si>
  <si>
    <t>COMPCORP</t>
  </si>
  <si>
    <t>INTERCOM, WAVECC, CCADMIN</t>
  </si>
  <si>
    <t>Day</t>
  </si>
  <si>
    <t>Funnel</t>
  </si>
  <si>
    <t>Analyzing</t>
  </si>
  <si>
    <t>Backlog</t>
  </si>
  <si>
    <t>Validating on Staging</t>
  </si>
  <si>
    <t>Deploying to production</t>
  </si>
  <si>
    <t>Releasing</t>
  </si>
  <si>
    <t>Mon</t>
  </si>
  <si>
    <t>Tue</t>
  </si>
  <si>
    <t>Wed</t>
  </si>
  <si>
    <t>Thu</t>
  </si>
  <si>
    <t>Fri</t>
  </si>
  <si>
    <t>CITnet Jira</t>
  </si>
  <si>
    <t>Progress</t>
  </si>
  <si>
    <t>Σ Remaining Estimate</t>
  </si>
  <si>
    <t>Σ Original Estimate</t>
  </si>
  <si>
    <t>WAVECC-28</t>
  </si>
  <si>
    <t>Project refactor</t>
  </si>
  <si>
    <t>Program Increment 3</t>
  </si>
  <si>
    <t>INTERCOM-37</t>
  </si>
  <si>
    <t>Comp Corp REGIO PI3 It5</t>
  </si>
  <si>
    <t>WAVECC-26</t>
  </si>
  <si>
    <t>Project cleanup</t>
  </si>
  <si>
    <t>WAVECC-25</t>
  </si>
  <si>
    <t>Interacting with Wave from Compass Corporate</t>
  </si>
  <si>
    <t>WAVECC-11</t>
  </si>
  <si>
    <t>WAVECC-7</t>
  </si>
  <si>
    <t>Adapt to new message format in TaskCenter</t>
  </si>
  <si>
    <t>COMPCORP-PI3</t>
  </si>
  <si>
    <t>Comp Corp REGIO PI3 It3</t>
  </si>
  <si>
    <t>WAVECC-6</t>
  </si>
  <si>
    <t>As a user I would like to see information about wave processes in Process Centre metroline</t>
  </si>
  <si>
    <t>WAVECC-10</t>
  </si>
  <si>
    <t>Comp Corp REGIO PI3 It4</t>
  </si>
  <si>
    <t>PROCESS-90</t>
  </si>
  <si>
    <t>Display processes related to a specific asset</t>
  </si>
  <si>
    <t>PROCESS-89</t>
  </si>
  <si>
    <t>Display ongoing tasks related to a process</t>
  </si>
  <si>
    <t>CC Process Centre PI3 It4</t>
  </si>
  <si>
    <t>PROCESS-86</t>
  </si>
  <si>
    <t>Asset Live Feeding (for enabling search on asset attributes)</t>
  </si>
  <si>
    <t>CC Process Centre PI3 It2, CC Process Centre PI3 It3, CC Process Centre PI3 It4</t>
  </si>
  <si>
    <t>PROCESS-74</t>
  </si>
  <si>
    <t>Pin the station in which the process is currently</t>
  </si>
  <si>
    <t>PROCESS-72</t>
  </si>
  <si>
    <t>CC Process Centre PI3 It3</t>
  </si>
  <si>
    <t>PROCESS-49</t>
  </si>
  <si>
    <t>Filter processes on specific attributes</t>
  </si>
  <si>
    <t>PFM-116</t>
  </si>
  <si>
    <t>Integrate Asset Taxonomy</t>
  </si>
  <si>
    <t>CC Portfolio Manager PI3 It3, CC Portfolio Manager PI3 It4, CC Portfolio Manager PI3 It5</t>
  </si>
  <si>
    <t>PFM-114</t>
  </si>
  <si>
    <t>Browse assets belonging to organisation the user logged in belongs</t>
  </si>
  <si>
    <t>PFM-45</t>
  </si>
  <si>
    <t>CC Portfolio Manager PI3 It3, CC Portfolio Manager PI3 It4</t>
  </si>
  <si>
    <t>PFM-110</t>
  </si>
  <si>
    <t>Elastic Search integration</t>
  </si>
  <si>
    <t>CC Portfolio Manager PI3 It2, CC Portfolio Manager PI3 It3</t>
  </si>
  <si>
    <t>PFM-92</t>
  </si>
  <si>
    <t>User Authentication for MyWorkPlace (OpenId integration)</t>
  </si>
  <si>
    <t>PFM-90</t>
  </si>
  <si>
    <t>PFM-91</t>
  </si>
  <si>
    <t>User Authentication for MyWorkplace (API gateway)</t>
  </si>
  <si>
    <t>CC Portfolio Manager PI3 It1</t>
  </si>
  <si>
    <t>PFM-87</t>
  </si>
  <si>
    <t>Asset Picker</t>
  </si>
  <si>
    <t>PFM-86</t>
  </si>
  <si>
    <t>CC Portfolio Manager PI3 It5</t>
  </si>
  <si>
    <t>PFM-81</t>
  </si>
  <si>
    <t>Live feed support for assets</t>
  </si>
  <si>
    <t>PFM-80</t>
  </si>
  <si>
    <t>CC Portfolio Manager PI3 It2</t>
  </si>
  <si>
    <t>PFM-73</t>
  </si>
  <si>
    <t>Browse assets based on alert level</t>
  </si>
  <si>
    <t>PFM-76</t>
  </si>
  <si>
    <t>PFM-71</t>
  </si>
  <si>
    <t>Update asset specific attributes (by external systems)</t>
  </si>
  <si>
    <t>CC Portfolio Manager PI3 It4, CC Portfolio Manager PI3 It5</t>
  </si>
  <si>
    <t>PFM-69</t>
  </si>
  <si>
    <t>Register an asset with specific attributes (by external systems)</t>
  </si>
  <si>
    <t>PFM-68</t>
  </si>
  <si>
    <t>Register asset type specific attributes (by external systems)</t>
  </si>
  <si>
    <t>CC Portfolio Manager PI3 It2, CC Portfolio Manager PI3 It3, CC Portfolio Manager PI3 It4, CC Portfolio Manager PI3 It5</t>
  </si>
  <si>
    <t>PFM-64</t>
  </si>
  <si>
    <t>Update alert status of an asset (by external systems)</t>
  </si>
  <si>
    <t>PFM-63</t>
  </si>
  <si>
    <t>Define users favourite asset (by external systems)</t>
  </si>
  <si>
    <t>PFM-77</t>
  </si>
  <si>
    <t>PFM-56</t>
  </si>
  <si>
    <t>Navigate from Portfolio to asset card in MyWorkPlace (widget provided by asset register system)</t>
  </si>
  <si>
    <t>PFM-121, PFM-79</t>
  </si>
  <si>
    <t>PFM-54</t>
  </si>
  <si>
    <t>Navigate from Portfolio to asset related ongoing processes in MyWorkPlace</t>
  </si>
  <si>
    <t>PFM-79</t>
  </si>
  <si>
    <t>PFM-53</t>
  </si>
  <si>
    <t>Browse asset responsible individual and organisation and their respective roles in MyWorkPlace</t>
  </si>
  <si>
    <t>PFM-84</t>
  </si>
  <si>
    <t>PFM-52</t>
  </si>
  <si>
    <t>View specific attributes in asset mini-card in MyWorkPlace</t>
  </si>
  <si>
    <t>PFM-51</t>
  </si>
  <si>
    <t>View generic attributes in asset mini-card in MyWorkPlace</t>
  </si>
  <si>
    <t>PFM-50</t>
  </si>
  <si>
    <t>Browse my favourite assets</t>
  </si>
  <si>
    <t>PFM-49</t>
  </si>
  <si>
    <t>Define my favourite assets</t>
  </si>
  <si>
    <t>PFM-8</t>
  </si>
  <si>
    <t>As a user I would like to see my assets in MWP</t>
  </si>
  <si>
    <t>COMPCORP-PI2</t>
  </si>
  <si>
    <t>MWP-368, MWP-264</t>
  </si>
  <si>
    <t>Portfolio Manager PI 2 Iter 4</t>
  </si>
  <si>
    <t>INTERCOM-43</t>
  </si>
  <si>
    <t>Microservice compliance review</t>
  </si>
  <si>
    <t>INTERCOM-41</t>
  </si>
  <si>
    <t>Use Protobuf format instead of JSON</t>
  </si>
  <si>
    <t>INTERCOM-36</t>
  </si>
  <si>
    <t>Publishing events</t>
  </si>
  <si>
    <t>CCTASK-522</t>
  </si>
  <si>
    <t>prepare reference flow for test automation</t>
  </si>
  <si>
    <t>CCTASK-455</t>
  </si>
  <si>
    <t>task completion depends on business checks</t>
  </si>
  <si>
    <t>CCTASK-137</t>
  </si>
  <si>
    <t>[UTF-03] View tasks by categories</t>
  </si>
  <si>
    <t>CCTASK-123</t>
  </si>
  <si>
    <t>[UTM-09] Support Multilingualism/Internationalisation</t>
  </si>
  <si>
    <t>1.0: OPSYS - MWP Requirements</t>
  </si>
  <si>
    <t>CCTASK-121</t>
  </si>
  <si>
    <t>[UTP-03] Show columns based on configuration per task type</t>
  </si>
  <si>
    <t>2.0: Compass v1 Requirements</t>
  </si>
  <si>
    <t>CCTASK-120</t>
  </si>
  <si>
    <t>[UTF-01] Full text search on tasks</t>
  </si>
  <si>
    <t>CCTASK-118</t>
  </si>
  <si>
    <t>[CTT-02] Task types define the rendering of a task</t>
  </si>
  <si>
    <t>CCTASK-117</t>
  </si>
  <si>
    <t>[PTM-05] A Provider is informed about changes on tasks</t>
  </si>
  <si>
    <t>CCTASK-116</t>
  </si>
  <si>
    <t>[UTP-05] Show Clock information</t>
  </si>
  <si>
    <t>CCTASK-113</t>
  </si>
  <si>
    <t>[PTM-04] A Client can list tasks of its providers</t>
  </si>
  <si>
    <t>CCTASK-112</t>
  </si>
  <si>
    <t>[UTP-04] Show assignees</t>
  </si>
  <si>
    <t>CCTASK-110</t>
  </si>
  <si>
    <t>[UTM-01] Categorized task summaries</t>
  </si>
  <si>
    <t>CCTASK-109</t>
  </si>
  <si>
    <t>[UTF-05] Navigate to the detail-page of task</t>
  </si>
  <si>
    <t>CCTASK-107</t>
  </si>
  <si>
    <t>[NFR-03] Impersonation</t>
  </si>
  <si>
    <t>CCTASK-104</t>
  </si>
  <si>
    <t>[NFR-04] Client system Authentication</t>
  </si>
  <si>
    <t>CCTASK-103</t>
  </si>
  <si>
    <t>[PTM-03] A Client can remove the tasks of its providers</t>
  </si>
  <si>
    <t>CCTASK-102</t>
  </si>
  <si>
    <t>[PTM-01] A Client can create tasks for its providers</t>
  </si>
  <si>
    <t>CCTASK-101</t>
  </si>
  <si>
    <t>[UTF-04] Infinite scrolling through lists of tasks</t>
  </si>
  <si>
    <t>CCTASK-100</t>
  </si>
  <si>
    <t>[UTP-02] Sort tasks on columns in table view</t>
  </si>
  <si>
    <t>CCTASK-99</t>
  </si>
  <si>
    <t>[CTT-01] A Client can import task types of its providers</t>
  </si>
  <si>
    <t>CCTASK-98</t>
  </si>
  <si>
    <t>[UTM-04] Perform business-specific actions</t>
  </si>
  <si>
    <t>CCTASK-97</t>
  </si>
  <si>
    <t>[PTM-02] A Client can update the tasks of its providers</t>
  </si>
  <si>
    <t>CCTASK-94</t>
  </si>
  <si>
    <t>[UTM-06] Mark a task as urgent</t>
  </si>
  <si>
    <t>CCTASK-93</t>
  </si>
  <si>
    <t>[UTP-01] Show tasks in Grid, List and Tabular views</t>
  </si>
  <si>
    <t>CCTASK-90</t>
  </si>
  <si>
    <t>[UTF-07] Filter tasks by snoozed</t>
  </si>
  <si>
    <t>CCTASK-89</t>
  </si>
  <si>
    <t>[UTF-02] Filter tasks (common and domain-specific criteria)</t>
  </si>
  <si>
    <t>CCTASK-88</t>
  </si>
  <si>
    <t>[CTT-03] Task-actions can be handled by the provider</t>
  </si>
  <si>
    <t>CCTASK-87</t>
  </si>
  <si>
    <t>[NFR-02] Authorisation</t>
  </si>
  <si>
    <t>CCTASK-84</t>
  </si>
  <si>
    <t>[UTM-12] Trigger business-specific actions on multiple tasks (custom bulk actions)</t>
  </si>
  <si>
    <t>CCTASK-82</t>
  </si>
  <si>
    <t>[UTM-02] Claim task</t>
  </si>
  <si>
    <t>CCTASK-80</t>
  </si>
  <si>
    <t>[UTM-03] Perform core task actions</t>
  </si>
  <si>
    <t>CCTASK-79</t>
  </si>
  <si>
    <t>[UTM-11] Claim/unclaim on multiple tasks (standard bulk action)</t>
  </si>
  <si>
    <t>CCTASK-78</t>
  </si>
  <si>
    <t>[UTF-08] Filter tasks by 'Claimed by me'</t>
  </si>
  <si>
    <t>CCTASK-77</t>
  </si>
  <si>
    <t>[CTT-04] Task types can define which task-actions are applicable</t>
  </si>
  <si>
    <t>CCTASK-75</t>
  </si>
  <si>
    <t>[UTM-05] Snooze tasks</t>
  </si>
  <si>
    <t>CCTASK-67</t>
  </si>
  <si>
    <t>[UTM-13] Real time refresh of the list of tasks</t>
  </si>
  <si>
    <t>CCTASK-65</t>
  </si>
  <si>
    <t>[UTM-10] Display tasks available via delegation ("suppleance")</t>
  </si>
  <si>
    <t>CCTASK-62</t>
  </si>
  <si>
    <t>[UTM-08] Add a tag to a business entity</t>
  </si>
  <si>
    <t>CCTASK-53</t>
  </si>
  <si>
    <t>[UTF-06] Filter tasks by tags</t>
  </si>
  <si>
    <t>CCTASK-50</t>
  </si>
  <si>
    <t>[NFR-01] End user Authentication based on OpenId Connect - Task Centre</t>
  </si>
  <si>
    <t>CCTASK-419</t>
  </si>
  <si>
    <t>Comp Corp Task Centre PI2 It4, Comp Corp RTD PI3 It1, Comp Corp RTD PI3 It4, Comp Corp RTD PI3 It5</t>
  </si>
  <si>
    <t>CCDOCLIST-63</t>
  </si>
  <si>
    <t>CCDOCLIST-27, CCDOCLIST-151</t>
  </si>
  <si>
    <t>Comp Corp RTD PI3 It3</t>
  </si>
  <si>
    <t>CCADMIN-35</t>
  </si>
  <si>
    <t>Configuring participants to a task</t>
  </si>
  <si>
    <t>CCADMIN-34</t>
  </si>
  <si>
    <t>CCADMIN-16</t>
  </si>
  <si>
    <t>As a user I want to publish a changeset to an environment</t>
  </si>
  <si>
    <t>CCADMIN-22</t>
  </si>
  <si>
    <t>CCADMIN-15</t>
  </si>
  <si>
    <t>As a user I want to see what are the available configurations at each level in the taxonomy tree (process, task domain, etc)</t>
  </si>
  <si>
    <t>CCADMIN-14</t>
  </si>
  <si>
    <t>As a user I want to be able edit and save configuration using a default widget</t>
  </si>
  <si>
    <t>CCADMIN-13</t>
  </si>
  <si>
    <t>As a user I want to create a changeset based on a selected environment</t>
  </si>
  <si>
    <t>CCADMIN-12</t>
  </si>
  <si>
    <t>As a user I want to see the list of change sets</t>
  </si>
  <si>
    <r>
      <t xml:space="preserve">Displaying </t>
    </r>
    <r>
      <rPr>
        <b/>
        <sz val="11"/>
        <color rgb="FF000000"/>
        <rFont val="Arial"/>
        <family val="2"/>
      </rPr>
      <t>52</t>
    </r>
    <r>
      <rPr>
        <sz val="11"/>
        <color rgb="FF000000"/>
        <rFont val="Arial"/>
        <family val="2"/>
      </rPr>
      <t xml:space="preserve"> issues at </t>
    </r>
    <r>
      <rPr>
        <b/>
        <sz val="11"/>
        <color rgb="FF000000"/>
        <rFont val="Arial"/>
        <family val="2"/>
      </rPr>
      <t>29/Nov/18 15:27</t>
    </r>
    <r>
      <rPr>
        <sz val="11"/>
        <color rgb="FF000000"/>
        <rFont val="Arial"/>
        <family val="2"/>
      </rPr>
      <t>.</t>
    </r>
  </si>
  <si>
    <t xml:space="preserve">Generated at Thu Nov 29 15:27:59 CET 2018 by BEGHAIN Olivier using JIRA 7.9.2#79002-sha1:3bb15b68ecd99a30eb364c4c1a393359bcad6278. </t>
  </si>
  <si>
    <r>
      <t xml:space="preserve">Displaying </t>
    </r>
    <r>
      <rPr>
        <b/>
        <sz val="11"/>
        <color rgb="FF000000"/>
        <rFont val="Arial"/>
        <family val="2"/>
      </rPr>
      <t>152</t>
    </r>
    <r>
      <rPr>
        <sz val="11"/>
        <color rgb="FF000000"/>
        <rFont val="Arial"/>
        <family val="2"/>
      </rPr>
      <t xml:space="preserve"> issues at </t>
    </r>
    <r>
      <rPr>
        <b/>
        <sz val="11"/>
        <color rgb="FF000000"/>
        <rFont val="Arial"/>
        <family val="2"/>
      </rPr>
      <t>29/Nov/18 15:29</t>
    </r>
    <r>
      <rPr>
        <sz val="11"/>
        <color rgb="FF000000"/>
        <rFont val="Arial"/>
        <family val="2"/>
      </rPr>
      <t>.</t>
    </r>
  </si>
  <si>
    <t xml:space="preserve">Generated at Thu Nov 29 15:29:49 CET 2018 by BEGHAIN Olivier using JIRA 7.9.2#79002-sha1:3bb15b68ecd99a30eb364c4c1a393359bcad6278. </t>
  </si>
  <si>
    <t>Close</t>
  </si>
  <si>
    <t>Features</t>
  </si>
  <si>
    <t>Enablers</t>
  </si>
  <si>
    <t>Stories</t>
  </si>
  <si>
    <t>ITEM COUNTS</t>
  </si>
  <si>
    <t>STORY POINTS</t>
  </si>
  <si>
    <t>PROGRESS</t>
  </si>
  <si>
    <t>Scope Change</t>
  </si>
  <si>
    <t>Ideal</t>
  </si>
  <si>
    <r>
      <t xml:space="preserve">Displaying </t>
    </r>
    <r>
      <rPr>
        <b/>
        <sz val="11"/>
        <color rgb="FF000000"/>
        <rFont val="Arial"/>
        <family val="2"/>
      </rPr>
      <t>152</t>
    </r>
    <r>
      <rPr>
        <sz val="11"/>
        <color rgb="FF000000"/>
        <rFont val="Arial"/>
        <family val="2"/>
      </rPr>
      <t xml:space="preserve"> issues at </t>
    </r>
    <r>
      <rPr>
        <b/>
        <sz val="11"/>
        <color rgb="FF000000"/>
        <rFont val="Arial"/>
        <family val="2"/>
      </rPr>
      <t>3/Dec/18 14:42</t>
    </r>
    <r>
      <rPr>
        <sz val="11"/>
        <color rgb="FF000000"/>
        <rFont val="Arial"/>
        <family val="2"/>
      </rPr>
      <t>.</t>
    </r>
  </si>
  <si>
    <t xml:space="preserve">Generated at Mon Dec 03 14:42:51 CET 2018 by BEGHAIN Olivier using JIRA 7.9.2#79002-sha1:3bb15b68ecd99a30eb364c4c1a393359bcad6278. </t>
  </si>
  <si>
    <r>
      <t xml:space="preserve">Displaying </t>
    </r>
    <r>
      <rPr>
        <b/>
        <sz val="11"/>
        <color rgb="FF000000"/>
        <rFont val="Arial"/>
        <family val="2"/>
      </rPr>
      <t>52</t>
    </r>
    <r>
      <rPr>
        <sz val="11"/>
        <color rgb="FF000000"/>
        <rFont val="Arial"/>
        <family val="2"/>
      </rPr>
      <t xml:space="preserve"> issues at </t>
    </r>
    <r>
      <rPr>
        <b/>
        <sz val="11"/>
        <color rgb="FF000000"/>
        <rFont val="Arial"/>
        <family val="2"/>
      </rPr>
      <t>3/Dec/18 14:53</t>
    </r>
    <r>
      <rPr>
        <sz val="11"/>
        <color rgb="FF000000"/>
        <rFont val="Arial"/>
        <family val="2"/>
      </rPr>
      <t>.</t>
    </r>
  </si>
  <si>
    <t xml:space="preserve">Generated at Mon Dec 03 14:53:13 CET 2018 by BEGHAIN Olivier using JIRA 7.9.2#79002-sha1:3bb15b68ecd99a30eb364c4c1a393359bcad6278. </t>
  </si>
  <si>
    <t xml:space="preserve">Generated at Tue Dec 04 22:40:02 CET 2018 by BEGHAIN Olivier using JIRA 7.9.2#79002-sha1:3bb15b68ecd99a30eb364c4c1a393359bcad6278. </t>
  </si>
  <si>
    <t>CCDOCLIST-124</t>
  </si>
  <si>
    <t>Comp Corp RTD PI3 It1, Comp Corp RTD PI4 It1</t>
  </si>
  <si>
    <t>CCDOCLIST-62</t>
  </si>
  <si>
    <t>[TECH] Merge Opsys branch into CC branch</t>
  </si>
  <si>
    <t>CCDOCLIST-117</t>
  </si>
  <si>
    <t>Read-only mode - BEND check</t>
  </si>
  <si>
    <t>Comp Corp RTD PI4 It1</t>
  </si>
  <si>
    <t>CCDOCLIST-121</t>
  </si>
  <si>
    <t>[TECH] Remove WLS dependencies</t>
  </si>
  <si>
    <t>CCDOCLIST-122</t>
  </si>
  <si>
    <t>CCDOCLIST-142</t>
  </si>
  <si>
    <t>Search clause needs to support the &lt;if&gt; operator</t>
  </si>
  <si>
    <t>CCCLOCK-38, CCTASK-494, CCTASK-431</t>
  </si>
  <si>
    <t>CCDOCLIST-149</t>
  </si>
  <si>
    <t>Implement tracing to Zipkin in DocumentList Service</t>
  </si>
  <si>
    <t>Filter documents by providing a different search clause</t>
  </si>
  <si>
    <t>Compacted view - main DL widget</t>
  </si>
  <si>
    <t>CCDOCLIST-163</t>
  </si>
  <si>
    <t>Read Only state at the UI level</t>
  </si>
  <si>
    <t>CCDOCLIST-166</t>
  </si>
  <si>
    <t>Create SPI module for operation callbacks</t>
  </si>
  <si>
    <t>CCDOCLIST-167</t>
  </si>
  <si>
    <t>Create configuration for operation callbacks</t>
  </si>
  <si>
    <t>CCDOCLIST-169</t>
  </si>
  <si>
    <t>Managing SSE events for automatic refresh in the DocList</t>
  </si>
  <si>
    <t>CCDOCLIST-171</t>
  </si>
  <si>
    <t>Extend Document(List)Service for Document Signature Support</t>
  </si>
  <si>
    <t>CCDOCLIST-172</t>
  </si>
  <si>
    <t>Variable evaluation in config must be done at loading time</t>
  </si>
  <si>
    <t>CCDOCLIST-173</t>
  </si>
  <si>
    <t>Offer a way to refresh a business variable</t>
  </si>
  <si>
    <t>CCDOCLIST-183</t>
  </si>
  <si>
    <t>OpenID adoption - DL</t>
  </si>
  <si>
    <t>CCDOCLIST-184</t>
  </si>
  <si>
    <t>Implement SSE in Document List</t>
  </si>
  <si>
    <t>CCDOCLIST-186</t>
  </si>
  <si>
    <t>Enable business config in the Admin tool</t>
  </si>
  <si>
    <t>CCDOCLIST-190</t>
  </si>
  <si>
    <t>UI should be refreshed automatically after user actions</t>
  </si>
  <si>
    <t>CCTASK-291</t>
  </si>
  <si>
    <t>Task Commands - exception handling</t>
  </si>
  <si>
    <t>CCTASK-423</t>
  </si>
  <si>
    <t>Kafka-to-SSE bridge service</t>
  </si>
  <si>
    <t>CCTASK-536</t>
  </si>
  <si>
    <t>Migration to the new Config Structure (TC, TD, Tax)</t>
  </si>
  <si>
    <t>CCTASK-538</t>
  </si>
  <si>
    <t>Convert and update CCM2 result into the Taxonomy Structure</t>
  </si>
  <si>
    <t>CCTASK-540</t>
  </si>
  <si>
    <t>Signature - Redirect to eReceipt</t>
  </si>
  <si>
    <t>CCTASK-547</t>
  </si>
  <si>
    <t>Update the labels about valid/invalid outcome</t>
  </si>
  <si>
    <t>CCTASK-550</t>
  </si>
  <si>
    <t>User interaction for Complete With Signature Outcome</t>
  </si>
  <si>
    <t>CCTASK-470, CCTASK-272</t>
  </si>
  <si>
    <t>CCTASK-551</t>
  </si>
  <si>
    <t>TaskDetailService support for Complete Task With Signature</t>
  </si>
  <si>
    <t>CCTASK-552</t>
  </si>
  <si>
    <t>Implement Signature Service</t>
  </si>
  <si>
    <t>CCTASK-553</t>
  </si>
  <si>
    <t>Store Signature date in the Process</t>
  </si>
  <si>
    <t>CCTASK-561</t>
  </si>
  <si>
    <t>Enable business config in the Admin tool (TC, TD)</t>
  </si>
  <si>
    <t>CCTASK-562</t>
  </si>
  <si>
    <t>Create Taxonomy events for creation, update and deletion of branches</t>
  </si>
  <si>
    <t>CCTASK-576</t>
  </si>
  <si>
    <t>CCTASK-563</t>
  </si>
  <si>
    <t>TaskCenter v1 compatibility</t>
  </si>
  <si>
    <t>CCTASK-581</t>
  </si>
  <si>
    <t>Management of dynamic data endpoints</t>
  </si>
  <si>
    <t>CCTASK-584</t>
  </si>
  <si>
    <t>Implement SSE - UI common channel</t>
  </si>
  <si>
    <t>CCTASK-590</t>
  </si>
  <si>
    <t>Notify Participants on Task Completion</t>
  </si>
  <si>
    <t>CCTASK-591</t>
  </si>
  <si>
    <t>refactoring SSE events in TD to move to SSE Bridge</t>
  </si>
  <si>
    <t>TSKACTION-272</t>
  </si>
  <si>
    <t>CCTASK-592</t>
  </si>
  <si>
    <t>DatePicker UI</t>
  </si>
  <si>
    <t>CCTASK-593</t>
  </si>
  <si>
    <t>Date Format config and BEND</t>
  </si>
  <si>
    <t>Comp Corp RTD PI3 It4, Comp Corp RTD PI3 It3, Comp Corp RTD PI4 It1</t>
  </si>
  <si>
    <t>COMPASS-201</t>
  </si>
  <si>
    <t>Deployment Scripts are configured for OPSYS ACC</t>
  </si>
  <si>
    <t>COMPASS-206</t>
  </si>
  <si>
    <t>COMPASS-202</t>
  </si>
  <si>
    <t>Deployment Scripts are configured for EAC, TEST and ACC</t>
  </si>
  <si>
    <t>Comp Corp RTD PI3 It4, Comp Corp RTD PI4 It1</t>
  </si>
  <si>
    <t>Deployment Scripts are configured for OPSYS</t>
  </si>
  <si>
    <t>COMPASS-168</t>
  </si>
  <si>
    <t>Comp Corp RTD PI3 It4, Comp Corp RTD PI3 It3, Comp Corp RTD PI4 It2</t>
  </si>
  <si>
    <t>COMPASS-208</t>
  </si>
  <si>
    <t>Deployment scripts ensure syncronization between properties in git and in Foundation</t>
  </si>
  <si>
    <t>COMPASS-225, COMPASS-168</t>
  </si>
  <si>
    <t>COMPASS-210</t>
  </si>
  <si>
    <t>cc-automation is ready to be used by RM and exploitation teams</t>
  </si>
  <si>
    <t>Comp Corp RTD PI3 It4, Comp Corp RTD PI4 It2</t>
  </si>
  <si>
    <t>COMPASS-223</t>
  </si>
  <si>
    <t>Configure flyway for the other domains (others than EAC)</t>
  </si>
  <si>
    <t>COMPASS-238</t>
  </si>
  <si>
    <t>COMPASS-240</t>
  </si>
  <si>
    <t>Submission - configure Task Centre</t>
  </si>
  <si>
    <t>COMPASS-241</t>
  </si>
  <si>
    <t>Submission Task Detail</t>
  </si>
  <si>
    <t>COMPASS-242</t>
  </si>
  <si>
    <t>Submission Document List</t>
  </si>
  <si>
    <t>COMPASS-243</t>
  </si>
  <si>
    <t>Submission Task Actions</t>
  </si>
  <si>
    <t>COMPASS-239</t>
  </si>
  <si>
    <t>COMPASS-244</t>
  </si>
  <si>
    <t>Evaluation - configure Task Centre</t>
  </si>
  <si>
    <t>COMPASS-245</t>
  </si>
  <si>
    <t>Evaluation Task Detail</t>
  </si>
  <si>
    <t>COMPASS-246</t>
  </si>
  <si>
    <t>Evaluation Task Actions</t>
  </si>
  <si>
    <t>COMPASS-247</t>
  </si>
  <si>
    <t>Evaluation Document List</t>
  </si>
  <si>
    <t>COMPASS-231, COMPCORP-125</t>
  </si>
  <si>
    <t>COMPASS-248</t>
  </si>
  <si>
    <t>Compass Core - Opsys TEST</t>
  </si>
  <si>
    <t>INTERCOM-50</t>
  </si>
  <si>
    <t>COMPASS-274</t>
  </si>
  <si>
    <t>Link Consultation Process -SPI</t>
  </si>
  <si>
    <t>COMPASS-275</t>
  </si>
  <si>
    <t>COMPASS-276</t>
  </si>
  <si>
    <t>RfS Preparation - taxonomy and filters</t>
  </si>
  <si>
    <t>COMPASS-277</t>
  </si>
  <si>
    <t>RfS Preparation - configure task details</t>
  </si>
  <si>
    <t>COMPASS-278</t>
  </si>
  <si>
    <t>RfS Preparation - configure Task Actions</t>
  </si>
  <si>
    <t>COMPASS-279</t>
  </si>
  <si>
    <t>RfS Preparation - configure Document List</t>
  </si>
  <si>
    <t>COMPASS-280</t>
  </si>
  <si>
    <t>COMPASS-281</t>
  </si>
  <si>
    <t>Specific Contract - configure Task Center</t>
  </si>
  <si>
    <t>COMPASS-282</t>
  </si>
  <si>
    <t>Specific Contract - configure Task Details</t>
  </si>
  <si>
    <t>COMPASS-283</t>
  </si>
  <si>
    <t>Specific Contract - configure Ui actions</t>
  </si>
  <si>
    <t>COMPASS-284</t>
  </si>
  <si>
    <t>Specific Contract - configure Document List</t>
  </si>
  <si>
    <t>COMPASS-297</t>
  </si>
  <si>
    <t>COMPASS-293</t>
  </si>
  <si>
    <t>PC Int- add ProcessInstanceId to TaskCompleted/TaskCancelled events</t>
  </si>
  <si>
    <t>COMPASS-298</t>
  </si>
  <si>
    <t>Create PROTO Releases</t>
  </si>
  <si>
    <t>COMPASS-299</t>
  </si>
  <si>
    <t>Merge the business config into TEST</t>
  </si>
  <si>
    <t>INTERCOM-76</t>
  </si>
  <si>
    <t>INTERCOM-77</t>
  </si>
  <si>
    <t>[Internal Communication] Implement valid status for participant</t>
  </si>
  <si>
    <t>INTERCOM-78</t>
  </si>
  <si>
    <t>[Consultations] Implement valid status for participant</t>
  </si>
  <si>
    <t>INTERCOM-79</t>
  </si>
  <si>
    <t>[Consultation] User picker for consulted users</t>
  </si>
  <si>
    <t>INTERCOM-83</t>
  </si>
  <si>
    <t>[Consultations] Secure the service</t>
  </si>
  <si>
    <t>INTERCOM-89</t>
  </si>
  <si>
    <t>Configurable messages formats for Consultations</t>
  </si>
  <si>
    <t>PFM-153</t>
  </si>
  <si>
    <t>Improve feeding performance</t>
  </si>
  <si>
    <t>PROCESS-124</t>
  </si>
  <si>
    <t>Refactor API (alignment)</t>
  </si>
  <si>
    <t>TSKACTION-216</t>
  </si>
  <si>
    <t>Task action Session component (deep link): extend to edit mode</t>
  </si>
  <si>
    <t>Comp Corp RTD PI3 It4, Comp Corp RTD PI4 It4</t>
  </si>
  <si>
    <t>TSKACTION-218</t>
  </si>
  <si>
    <t>Session Management: TaskAction Backend Implementation</t>
  </si>
  <si>
    <t>TSKACTION-220, CCTASK-490, CCTASK-431</t>
  </si>
  <si>
    <t>TSKACTION-219</t>
  </si>
  <si>
    <t>Implement tracing to Zipkin in TaskActions Service</t>
  </si>
  <si>
    <t>TSKACTION-217, CCDOCLIST-153</t>
  </si>
  <si>
    <t>TSKACTION-237</t>
  </si>
  <si>
    <t>Session Management: fetch data about related documents</t>
  </si>
  <si>
    <t>TSKACTION-259</t>
  </si>
  <si>
    <t>Support Tasks - View list of active tasks</t>
  </si>
  <si>
    <t>TSKACTION-260</t>
  </si>
  <si>
    <t>Support Tasks - Calculate the valid state</t>
  </si>
  <si>
    <t>TSKACTION-271</t>
  </si>
  <si>
    <t>Trigger Refresh Info Header on Session complete</t>
  </si>
  <si>
    <t>TSKACTION-273</t>
  </si>
  <si>
    <t>Create a Deep Link action component</t>
  </si>
  <si>
    <r>
      <t xml:space="preserve">Displaying </t>
    </r>
    <r>
      <rPr>
        <b/>
        <sz val="11"/>
        <color rgb="FF000000"/>
        <rFont val="Arial"/>
        <family val="2"/>
      </rPr>
      <t>190</t>
    </r>
    <r>
      <rPr>
        <sz val="11"/>
        <color rgb="FF000000"/>
        <rFont val="Arial"/>
        <family val="2"/>
      </rPr>
      <t xml:space="preserve"> issues at </t>
    </r>
    <r>
      <rPr>
        <b/>
        <sz val="11"/>
        <color rgb="FF000000"/>
        <rFont val="Arial"/>
        <family val="2"/>
      </rPr>
      <t>4/Dec/18 22:40</t>
    </r>
    <r>
      <rPr>
        <sz val="11"/>
        <color rgb="FF000000"/>
        <rFont val="Arial"/>
        <family val="2"/>
      </rPr>
      <t>.</t>
    </r>
  </si>
  <si>
    <t xml:space="preserve">Generated at Tue Dec 04 22:47:08 CET 2018 by BEGHAIN Olivier using JIRA 7.9.2#79002-sha1:3bb15b68ecd99a30eb364c4c1a393359bcad6278. </t>
  </si>
  <si>
    <t>INTERCOM-78, INTERCOM-77, INTERCOM-51</t>
  </si>
  <si>
    <t>Services interoperability</t>
  </si>
  <si>
    <t>INTERCOM-79, INTERCOM-89, INTERCOM-56, INTERCOM-57, INTERCOM-58, INTERCOM-64, CCADMIN-50</t>
  </si>
  <si>
    <r>
      <t xml:space="preserve">Displaying </t>
    </r>
    <r>
      <rPr>
        <b/>
        <sz val="11"/>
        <color rgb="FF000000"/>
        <rFont val="Arial"/>
        <family val="2"/>
      </rPr>
      <t>53</t>
    </r>
    <r>
      <rPr>
        <sz val="11"/>
        <color rgb="FF000000"/>
        <rFont val="Arial"/>
        <family val="2"/>
      </rPr>
      <t xml:space="preserve"> issues at </t>
    </r>
    <r>
      <rPr>
        <b/>
        <sz val="11"/>
        <color rgb="FF000000"/>
        <rFont val="Arial"/>
        <family val="2"/>
      </rPr>
      <t>4/Dec/18 22:47</t>
    </r>
    <r>
      <rPr>
        <sz val="11"/>
        <color rgb="FF000000"/>
        <rFont val="Arial"/>
        <family val="2"/>
      </rPr>
      <t>.</t>
    </r>
  </si>
  <si>
    <t>COMPCORP - Metrics using Planning items (PI-4, Features and Enablers) (CITnet Jira)</t>
  </si>
  <si>
    <t>n/a</t>
  </si>
  <si>
    <t>No feature(s)</t>
  </si>
  <si>
    <t>Program Planning Item</t>
  </si>
  <si>
    <t>realized through</t>
  </si>
  <si>
    <t>Team Planning Item</t>
  </si>
  <si>
    <t># stories</t>
  </si>
  <si>
    <t>?</t>
  </si>
  <si>
    <t>DONE</t>
  </si>
  <si>
    <t>UNDER IMPLEMENTATION</t>
  </si>
  <si>
    <t>APPROVED (BACKLOG)</t>
  </si>
  <si>
    <t>IN INTEGRATION</t>
  </si>
  <si>
    <t>WAITING APPROVAL</t>
  </si>
  <si>
    <t>IDENTIFIED</t>
  </si>
  <si>
    <r>
      <t xml:space="preserve">Displaying </t>
    </r>
    <r>
      <rPr>
        <b/>
        <sz val="11"/>
        <color rgb="FF000000"/>
        <rFont val="Arial"/>
        <family val="2"/>
      </rPr>
      <t>53</t>
    </r>
    <r>
      <rPr>
        <sz val="11"/>
        <color rgb="FF000000"/>
        <rFont val="Arial"/>
        <family val="2"/>
      </rPr>
      <t xml:space="preserve"> issues at </t>
    </r>
    <r>
      <rPr>
        <b/>
        <sz val="11"/>
        <color rgb="FF000000"/>
        <rFont val="Arial"/>
        <family val="2"/>
      </rPr>
      <t>7/Dec/18 11:17</t>
    </r>
    <r>
      <rPr>
        <sz val="11"/>
        <color rgb="FF000000"/>
        <rFont val="Arial"/>
        <family val="2"/>
      </rPr>
      <t>.</t>
    </r>
  </si>
  <si>
    <t>CCTASK-455, CCTASK-291, CCTASK-47</t>
  </si>
  <si>
    <t>Comp Corp RTD PI4 It5</t>
  </si>
  <si>
    <t>INTERCOM-79, INTERCOM-89, INTERCOM-90, INTERCOM-56, INTERCOM-57, INTERCOM-58, INTERCOM-64, CCADMIN-50</t>
  </si>
  <si>
    <t>PROCESS-110, PROCESS-111, PROCESS-112, PROCESS-116</t>
  </si>
  <si>
    <t xml:space="preserve">Generated at Fri Dec 07 11:17:59 CET 2018 by BEGHAIN Olivier using JIRA 7.9.2#79002-sha1:3bb15b68ecd99a30eb364c4c1a393359bcad6278. </t>
  </si>
  <si>
    <r>
      <t xml:space="preserve">Displaying </t>
    </r>
    <r>
      <rPr>
        <b/>
        <sz val="11"/>
        <color rgb="FF000000"/>
        <rFont val="Arial"/>
        <family val="2"/>
      </rPr>
      <t>191</t>
    </r>
    <r>
      <rPr>
        <sz val="11"/>
        <color rgb="FF000000"/>
        <rFont val="Arial"/>
        <family val="2"/>
      </rPr>
      <t xml:space="preserve"> issues at </t>
    </r>
    <r>
      <rPr>
        <b/>
        <sz val="11"/>
        <color rgb="FF000000"/>
        <rFont val="Arial"/>
        <family val="2"/>
      </rPr>
      <t>7/Dec/18 11:48</t>
    </r>
    <r>
      <rPr>
        <sz val="11"/>
        <color rgb="FF000000"/>
        <rFont val="Arial"/>
        <family val="2"/>
      </rPr>
      <t>.</t>
    </r>
  </si>
  <si>
    <t>Integration with Secunda</t>
  </si>
  <si>
    <t>INTERCOM-90</t>
  </si>
  <si>
    <t>OPPREAWA-2, OPPREAWA-1405</t>
  </si>
  <si>
    <t xml:space="preserve">Generated at Fri Dec 07 11:48:26 CET 2018 by BEGHAIN Olivier using JIRA 7.9.2#79002-sha1:3bb15b68ecd99a30eb364c4c1a393359bcad6278. </t>
  </si>
  <si>
    <t>191, 53</t>
  </si>
  <si>
    <t>IOP</t>
  </si>
  <si>
    <t>OPSYSIOP</t>
  </si>
  <si>
    <t>Pre-Award</t>
  </si>
  <si>
    <t>OPREAWA</t>
  </si>
  <si>
    <t>Post-Award</t>
  </si>
  <si>
    <t>OPPOSTWARD</t>
  </si>
  <si>
    <t>Results</t>
  </si>
  <si>
    <t>OPRESULT</t>
  </si>
  <si>
    <t>CITnet</t>
  </si>
  <si>
    <t>OPCITNET</t>
  </si>
  <si>
    <t>MyWorkplace</t>
  </si>
  <si>
    <t>Portal</t>
  </si>
  <si>
    <t>OPSEDPORT</t>
  </si>
  <si>
    <t>Architecture</t>
  </si>
  <si>
    <t>OPARCHITECT</t>
  </si>
  <si>
    <t>team 9</t>
  </si>
  <si>
    <t>team 10</t>
  </si>
  <si>
    <t>233, 302, 445, 495, 392</t>
  </si>
  <si>
    <r>
      <t xml:space="preserve">Displaying </t>
    </r>
    <r>
      <rPr>
        <b/>
        <sz val="12"/>
        <color rgb="FF000000"/>
        <rFont val="Arial"/>
        <family val="2"/>
      </rPr>
      <t>233</t>
    </r>
    <r>
      <rPr>
        <sz val="12"/>
        <color rgb="FF000000"/>
        <rFont val="Arial"/>
        <family val="2"/>
      </rPr>
      <t xml:space="preserve"> issues at </t>
    </r>
    <r>
      <rPr>
        <b/>
        <sz val="12"/>
        <color rgb="FF000000"/>
        <rFont val="Arial"/>
        <family val="2"/>
      </rPr>
      <t>10/Dec/18 13:19</t>
    </r>
    <r>
      <rPr>
        <sz val="12"/>
        <color rgb="FF000000"/>
        <rFont val="Arial"/>
        <family val="2"/>
      </rPr>
      <t>.</t>
    </r>
  </si>
  <si>
    <t>[T3.PI9 - EN23] Track 2 alignment Dec 2018</t>
  </si>
  <si>
    <t>OPSYSIOP-1483</t>
  </si>
  <si>
    <t>OPSYS PI 9</t>
  </si>
  <si>
    <t>EC OPSYS IOP PI9 It4</t>
  </si>
  <si>
    <t>OPSYSIOP-1512, OPPREAWA-1429, OPSYSIOP-1532, OPSYSIOP-1850, OPSYSIOP-1776, OPSYSIOP-1779</t>
  </si>
  <si>
    <t>[T3.PI9 - FT07] Corporate Search Integration with Track 3</t>
  </si>
  <si>
    <t>OPSYSIOP-1350</t>
  </si>
  <si>
    <t>EC OPSYS IOP PI9 It3</t>
  </si>
  <si>
    <t>OPSYSIOP-1351, OPSYSIOP-1440, OPSYSIOP-1349, OPSYSIOP-1516, OPSYSIOP-1849, OPSYSIOP-1438, OPSYSIOP-1439, OPSYSIOP-1647, OPSYSIOP-1768, OPSYSIOP-1771</t>
  </si>
  <si>
    <t>[T3.PI9 - EN06] Security in Track 3</t>
  </si>
  <si>
    <t>OPSYSIOP-1352</t>
  </si>
  <si>
    <t>EC OPSYS IOP PI9 It1, EC OPSYS IOP PI9 It3</t>
  </si>
  <si>
    <t>OPSYSIOP-1351, OPSYSIOP-1353, OPSYSIOP-1516, OPSYSIOP-1441, OPSYSIOP-1442, OPSYSIOP-1443, OPSYSIOP-1918, OPSYSIOP-1944, OPSYSIOP-1946, OPSYSIOP-1947, OPSYSIOP-1773, OPSYSIOP-1945</t>
  </si>
  <si>
    <t>[T3.PI9 - FT12] MWP entity section print option (for eUI/MWP team)</t>
  </si>
  <si>
    <t>OPSYSIOP-1402</t>
  </si>
  <si>
    <t>OPSYSIOP-1349, OPSYSIOP-1532, MWP-556</t>
  </si>
  <si>
    <t>Analyse corrigendum to procedure</t>
  </si>
  <si>
    <t>OPPREAWA-1293</t>
  </si>
  <si>
    <t>Opsys PI 9</t>
  </si>
  <si>
    <t>EC Opsys Preaward PI9 It2</t>
  </si>
  <si>
    <t>OPPREAWA-1168</t>
  </si>
  <si>
    <t>[T3.PI9 - E.5] Payment Forecasts - Further Back-End Integration</t>
  </si>
  <si>
    <t>OPSYSIOP-1477</t>
  </si>
  <si>
    <t>OPSYSIOP-2035, OPSYSIOP-2036, OPSYSIOP-1480, OPSYSIOP-1486, OPSYSIOP-1496, OPSYSIOP-1540, OPSYSIOP-1923, OPSYSIOP-1928, OPSYSIOP-1933, OPSYSIOP-1531, OPSYSIOP-1488, OPSYSIOP-1533, OPSYSIOP-1494</t>
  </si>
  <si>
    <t>[T3.PI9 - E.3] Level 2 Planning - Further Back-End Integration</t>
  </si>
  <si>
    <t>OPSYSIOP-1475</t>
  </si>
  <si>
    <t>OPSYSIOP-2035, OPSYSIOP-2036, OPSYSIOP-1479, OPSYSIOP-1485, OPSYSIOP-1495, OPSYSIOP-1536, OPSYSIOP-1928, OPSYSIOP-1933, OPSYSIOP-1531, OPSYSIOP-1488, OPSYSIOP-1533, OPSYSIOP-1493</t>
  </si>
  <si>
    <t>[T3.PI9 - E.2] Payment Forecasts - A&amp;D</t>
  </si>
  <si>
    <t>OPSYSIOP-1474</t>
  </si>
  <si>
    <t>EC OPSYS IOP PI9 IP</t>
  </si>
  <si>
    <t>OPSYSIOP-1531</t>
  </si>
  <si>
    <t>[T3.PI9 - E.4] Level 2 Planning - Further Front-End Integration</t>
  </si>
  <si>
    <t>OPSYSIOP-1476</t>
  </si>
  <si>
    <t>OPSYSIOP-2031, OPSYSIOP-1481, OPSYSIOP-1491, OPSYSIOP-1562, OPSYSIOP-1975, OPSYSIOP-2023, OPSYSIOP-1531, OPSYSIOP-1488, OPSYSIOP-1533, OPSYSIOP-1759</t>
  </si>
  <si>
    <t>[T3.PI9 - EN12] Compass Workflow Integration PI9 (PoC)</t>
  </si>
  <si>
    <t>OPSYSIOP-1360</t>
  </si>
  <si>
    <t>OPSYSIOP-1427, OPSYSIOP-1518, OPSYSIOP-1359, OPSYSIOP-1850, OPSYSIOP-1424, OPSYSIOP-1425, OPSYSIOP-1426, OPSYSIOP-1428, OPSYSIOP-1653, OPSYSIOP-1726, OPSYSIOP-1731, OPSYSIOP-2019, OPSYSIOP-2020, OPSYSIOP-2021, OPSYSIOP-2022</t>
  </si>
  <si>
    <t>UI Alignment</t>
  </si>
  <si>
    <t>OPPOSTWARD-292</t>
  </si>
  <si>
    <t>Program Increment 8, Opsys PI 9</t>
  </si>
  <si>
    <t>OPPOSTWARD-289, OPPOSTWARD-290, OPPOSTWARD-291, OPPOSTWARD-286, OPPOSTWARD-287, OPPOSTWARD-288, MWP-593, MWP-594</t>
  </si>
  <si>
    <t>[T3.PI9 - E.1] Level 2 Planning - A&amp;D</t>
  </si>
  <si>
    <t>OPSYSIOP-1473</t>
  </si>
  <si>
    <t>[T3.PI9 - EN20] System A&amp;D PI9 (SAD+)</t>
  </si>
  <si>
    <t>OPSYSIOP-1380</t>
  </si>
  <si>
    <t>OPSYSIOP-1614, OPSYSIOP-1535, OPSYSIOP-238</t>
  </si>
  <si>
    <t>[T3.PI9 - EN17] Action Document, Complete - A&amp;D</t>
  </si>
  <si>
    <t>OPSYSIOP-1370</t>
  </si>
  <si>
    <t>OPSYSIOP-818, OPSYSIOP-1519</t>
  </si>
  <si>
    <t>[T3.PI9 - EN15] Action Management, Complete - A&amp;D</t>
  </si>
  <si>
    <t>OPSYSIOP-1362</t>
  </si>
  <si>
    <t>OPSYSIOP-1519, OPSYSIOP-1348, OPSYSIOP-975, OPSYSIOP-1848</t>
  </si>
  <si>
    <t>[T3.PI9 - EN12] Transition Apr 2019 - A&amp;D</t>
  </si>
  <si>
    <t>OPSYSIOP-1359</t>
  </si>
  <si>
    <t>OPSYSIOP-1519, OPSYSIOP-1622, OPSYSIOP-1360, OPSYSIOP-1850, OPSYSIOP-1358</t>
  </si>
  <si>
    <t>[T3.PI9 - FT04] MyPortfolio CC Integration into Track 3</t>
  </si>
  <si>
    <t>OPSYSIOP-1343</t>
  </si>
  <si>
    <t>EC OPSYS IOP PI9 It2, EC OPSYS IOP PI9 It3</t>
  </si>
  <si>
    <t>OPSYSIOP-1955, OPSYSIOP-1409, OPSYSIOP-1408, OPSYSIOP-1516, OPSYSIOP-1683, OPSYSIOP-1849, OPSYSIOP-1682, OPSYSIOP-1698, OPSYSIOP-1344</t>
  </si>
  <si>
    <t>[T3.PI9 - EN05] Data migration Track 1 to Track 3</t>
  </si>
  <si>
    <t>OPSYSIOP-1348</t>
  </si>
  <si>
    <t>OPSYSIOP-1349, OPSYSIOP-1516, OPSYSIOP-1669, OPSYSIOP-1362, OPSYSIOP-1849, OPSYSIOP-1423, OPSYSIOP-1760, OPSYSIOP-1765, OPSYSIOP-1347</t>
  </si>
  <si>
    <t>[T3.PI9 - EN24] Track 3 Entities Review</t>
  </si>
  <si>
    <t>OPSYSIOP-1351</t>
  </si>
  <si>
    <t>OPSYSIOP-1446, OPSYSIOP-1447, OPSYSIOP-1452, OPSYSIOP-2011, OPSYSIOP-2012, OPSYSIOP-1448, OPSYSIOP-1449, OPSYSIOP-1948, OPSYSIOP-1952, OPSYSIOP-1450, OPSYSIOP-1451, OPSYSIOP-1949, OPSYSIOP-1950, OPSYSIOP-1951, OPSYSIOP-1350, OPSYSIOP-1516, OPSYSIOP-1781, OPSYSIOP-1603, OPSYSIOP-1796, OPSYSIOP-1352</t>
  </si>
  <si>
    <t>[T3.PI9 - EN03] MWP Alignment to Track 3 approach</t>
  </si>
  <si>
    <t>OPSYSIOP-1345</t>
  </si>
  <si>
    <t>OPSYSIOP-1516, OPSYSIOP-1889, OPSYSIOP-1849</t>
  </si>
  <si>
    <t>[T3.PI9 - FT05] Implementation Plan for Action</t>
  </si>
  <si>
    <t>OPSYSIOP-1346</t>
  </si>
  <si>
    <t>OPSYSIOP-1415, OPSYSIOP-1413, OPSYSIOP-1921, OPSYSIOP-1516, OPSYSIOP-1520, OPSYSIOP-1609, OPSYSIOP-1411, OPSYSIOP-1412, OPSYSIOP-1410, OPSYSIOP-1527, OPSYSIOP-2013, OPSYSIOP-1347</t>
  </si>
  <si>
    <t>[T3.PI9 - FT06] Task Center CC Integration with Track 3</t>
  </si>
  <si>
    <t>OPSYSIOP-1349</t>
  </si>
  <si>
    <t>OPSYSIOP-2005, OPSYSIOP-1953, OPSYSIOP-1954, OPSYSIOP-1402, OPSYSIOP-1429, OPSYSIOP-1436, OPSYSIOP-1350, OPSYSIOP-1516, OPSYSIOP-1348, OPSYSIOP-1437, OPSYSIOP-1882, OPSYSIOP-1638, OPSYSIOP-1666</t>
  </si>
  <si>
    <t>[T3.PI9 - EN09] Track 3 Integration and Approval PI9</t>
  </si>
  <si>
    <t>OPSYSIOP-1356</t>
  </si>
  <si>
    <t>EUI-1392, EUI-1391, MWP-865, OPSYSIOP-1988, EUI-1402, EUI-1403, OPSYSIOP-1061, OPSYSIOP-1221, OPSYSIOP-1277, OPSYSIOP-1901, OPSYSIOP-1903, OPSYSIOP-1962, OPSYSIOP-1963, OPSYSIOP-1966, OPSYSIOP-1968, OPSYSIOP-1969, OPSYSIOP-1970, OPSYSIOP-1971, OPSYSIOP-1982, OPSYSIOP-1984, OPSYSIOP-1985, OPSYSIOP-1990, OPSYSIOP-1991, OPSYSIOP-1998, OPSYSIOP-2008, OPSYSIOP-2009, OPSYSIOP-2010, OPSYSIOP-2024, OPSYSIOP-2025, OPSYSIOP-2027, OPSYSIOP-2028, OPSYSIOP-2034, OPSYSIOP-649, OPSYSIOP-877, OPSYSIOP-1338, OPSYSIOP-550, OPSYSIOP-1087, OPSYSIOP-1920, OPSYSIOP-1972, OPSYSIOP-1992, OPSYSIOP-1993, OPSYSIOP-1994, OPSYSIOP-1999, OPSYSIOP-1978, OPSYSIOP-1983, OPSYSIOP-2038, OPSYSIOP-1981, OPSYSIOP-1960, OPSYSIOP-1965, OPSYSIOP-1974, OPSYSIOP-1989, OPSYSIOP-1996, OPSYSIOP-2014, OPSYSIOP-1278, OPSYSIOP-1539, OPSYSIOP-876, OPSYSIOP-1247, OPSYSIOP-1250, OPSYSIOP-1256, OPSYSIOP-1263, OPSYSIOP-1892, OPSYSIOP-1893, OPSYSIOP-1904, OPSYSIOP-1905, OPSYSIOP-1909, OPSYSIOP-1910, OPSYSIOP-1915, OPSYSIOP-1935, OPSYSIOP-1936, OPSYSIOP-1938, OPSYSIOP-1939, OPSYSIOP-1940, OPSYSIOP-1941, OPSYSIOP-1956, OPSYSIOP-1958, OPSYSIOP-1961, OPSYSIOP-1964, OPSYSIOP-2000, OPSYSIOP-2006, OPSYSIOP-2007, OPSYSIOP-2018, OPSYSIOP-1517, OPSYSIOP-1355, OPSYSIOP-1249, OPSYSIOP-1634, OPSYSIOP-1357</t>
  </si>
  <si>
    <t>[T3.PI9 - EN02] Entities structure with Multi-Context Management</t>
  </si>
  <si>
    <t>OPSYSIOP-1344</t>
  </si>
  <si>
    <t>OPSYSIOP-1343, OPSYSIOP-1516, OPSYSIOP-1849, OPSYSIOP-1373, OPSYSIOP-1375, OPSYSIOP-1376, OPSYSIOP-1377, OPSYSIOP-1378, OPSYSIOP-1561, OPSYSIOP-1563, OPSYSIOP-1564, OPSYSIOP-1757, OPSYSIOP-1379, OPSYSIOP-1541, OPSYSIOP-1546, OPSYSIOP-1885</t>
  </si>
  <si>
    <t>[T3.PI9 - EN01] SEDIA Alignment with Track 3</t>
  </si>
  <si>
    <t>OPSYSIOP-1342</t>
  </si>
  <si>
    <t>OPSYSIOP-1407, OPSYSIOP-1339, OPSYSIOP-1516, OPSYSIOP-1849, OPSYSIOP-1620, OPSYSIOP-1629, OPSYSIOP-1632</t>
  </si>
  <si>
    <t>[T3.PI9 - EN04] CRIS Sync Track 3, Dec 2018</t>
  </si>
  <si>
    <t>OPSYSIOP-1347</t>
  </si>
  <si>
    <t>OPSYSIOP-1346, OPSYSIOP-1516, OPSYSIOP-973, OPSYSIOP-1419, OPSYSIOP-1420, OPSYSIOP-1348, OPSYSIOP-1849, OPSYSIOP-1416, OPSYSIOP-1418, OPSYSIOP-1421, OPSYSIOP-1711, OPSYSIOP-1804, OPSYSIOP-1817</t>
  </si>
  <si>
    <t>[T3.PI9 - EN16] CFD Management, Complete - A&amp;D</t>
  </si>
  <si>
    <t>OPSYSIOP-1364</t>
  </si>
  <si>
    <t>OPSYSIOP-1484, OPSYSIOP-1519, OPSYSIOP-1686</t>
  </si>
  <si>
    <t>[T3.PI9 - EN21] JAGate integration, Caching - A&amp;D</t>
  </si>
  <si>
    <t>OPSYSIOP-1385</t>
  </si>
  <si>
    <t>OPSYSIOP-802, OPSYSIOP-1535, OPSYSIOP-1457, OPSYSIOP-1840, OPSYSIOP-1843</t>
  </si>
  <si>
    <t>[T3.PI9 - EN08] Deployment Track 3 PI9</t>
  </si>
  <si>
    <t>OPSYSIOP-1355</t>
  </si>
  <si>
    <t>OPSYSIOP-1517, OPSYSIOP-1849, OPSYSIOP-1354, OPSYSIOP-1356</t>
  </si>
  <si>
    <t>[T3.PI9 - EN10] Track 1 Integration and Approval PI9</t>
  </si>
  <si>
    <t>OPSYSIOP-1357</t>
  </si>
  <si>
    <t>OPSYSIOP-193, OPSYSIOP-1995, OPSYSIOP-1219, OPSYSIOP-691, OPSYSIOP-739, OPSYSIOP-1215, OPSYSIOP-1517, OPSYSIOP-1248, OPSYSIOP-1851, OPSYSIOP-1356, OPSYSIOP-1358</t>
  </si>
  <si>
    <t>[T3.PI9 - FT09] Notifications Integration with Track 3</t>
  </si>
  <si>
    <t>OPSYSIOP-1353</t>
  </si>
  <si>
    <t>OPSYSIOP-1460, OPSYSIOP-1461, OPSYSIOP-1462, OPSYSIOP-1458, OPSYSIOP-1459, OPSYSIOP-1463, OPSYSIOP-1464, OPSYSIOP-1516, OPSYSIOP-1619, OPSYSIOP-1880, OPSYSIOP-1734, OPSYSIOP-1749, OPSYSIOP-1352</t>
  </si>
  <si>
    <t>[T3.PI9 - EN07] QA Track 3 PI9</t>
  </si>
  <si>
    <t>OPSYSIOP-1354</t>
  </si>
  <si>
    <t>OPSYSIOP-511, OPSYSIOP-415, OPSYSIOP-1517, OPSYSIOP-1355, OPSYSIOP-1849, OPSYSIOP-237</t>
  </si>
  <si>
    <t>[T3.PI9 - FT02] Logframes' Integration</t>
  </si>
  <si>
    <t>OPSYSIOP-1340</t>
  </si>
  <si>
    <t>OPSYSIOP-1363, OPSYSIOP-1365, OPSYSIOP-1366, OPSYSIOP-1341, OPSYSIOP-1516, OPSYSIOP-1922, OPSYSIOP-1849, OPSYSIOP-1560, OPSYSIOP-1367, OPSYSIOP-1368, OPSYSIOP-1369, OPSYSIOP-1371, OPSYSIOP-1829, OPSYSIOP-1836</t>
  </si>
  <si>
    <t>[T3.PI9 - FT03] New Intervention</t>
  </si>
  <si>
    <t>OPSYSIOP-1341</t>
  </si>
  <si>
    <t>OPSYSIOP-1390, OPSYSIOP-1513, OPSYSIOP-1382, OPSYSIOP-1384, OPSYSIOP-1386, OPSYSIOP-1387, OPSYSIOP-1388, OPSYSIOP-1392, OPSYSIOP-1393, OPSYSIOP-1395, OPSYSIOP-1400, OPSYSIOP-1340, OPSYSIOP-1516, OPSYSIOP-1398, OPSYSIOP-1914, OPSYSIOP-1594, OPSYSIOP-1381, OPSYSIOP-1383, OPSYSIOP-1391, OPSYSIOP-1394, OPSYSIOP-1399, OPSYSIOP-1568, OPSYSIOP-1577, OPSYSIOP-1582, OPSYSIOP-1585, OPSYSIOP-1590, OPSYSIOP-1595</t>
  </si>
  <si>
    <t>[T3.PI9 - FT01] IP Management</t>
  </si>
  <si>
    <t>OPSYSIOP-1339</t>
  </si>
  <si>
    <t>OPSYSIOP-1403, OPSYSIOP-1404, OPSYSIOP-1516, OPSYSIOP-1550, OPSYSIOP-1401, OPSYSIOP-1405, OPSYSIOP-1406, OPSYSIOP-1559, OPSYSIOP-1505, OPSYSIOP-1623, OPSYSIOP-1894, OPSYSIOP-1342</t>
  </si>
  <si>
    <t>Update to CDM 17.2.0</t>
  </si>
  <si>
    <t>OPPREAWA-1257</t>
  </si>
  <si>
    <t>EC Opsys Preaward PI8 It3, EC Opsys Preaward PI8 It4, EC Opsys Preaward PI9 It1</t>
  </si>
  <si>
    <t>OPPREAWA-1016, OPPREAWA-1045, OPPREAWA-1261, OPPREAWA-1263, OPPREAWA-319, OPPREAWA-649, OPPREAWA-1262, OPPREAWA-1311</t>
  </si>
  <si>
    <t>PROSPECT usage for grants inside OPSYS</t>
  </si>
  <si>
    <t>OPPREAWA-1462</t>
  </si>
  <si>
    <t>OPPREAWA-1464, OPPREAWA-1480, OPPREAWA-1463, OPPREAWA-1478</t>
  </si>
  <si>
    <t>Performance testing</t>
  </si>
  <si>
    <t>OPPREAWA-1449</t>
  </si>
  <si>
    <t>EC Opsys Preaward PI9 It3</t>
  </si>
  <si>
    <t>OPPREAWA-1345</t>
  </si>
  <si>
    <t>Balance Payment Modality</t>
  </si>
  <si>
    <t>OPPREAWA-1164</t>
  </si>
  <si>
    <t>OPPREAWA-1493, OPPREAWA-423, OPPREAWA-429, OPPREAWA-421, OPPREAWA-1379</t>
  </si>
  <si>
    <t>Other limitatively identified reimbursable costs</t>
  </si>
  <si>
    <t>OPPREAWA-1159</t>
  </si>
  <si>
    <t>OPPREAWA-1481, OPPREAWA-1278</t>
  </si>
  <si>
    <t>Support eHelp in preparation</t>
  </si>
  <si>
    <t>OPPREAWA-1160</t>
  </si>
  <si>
    <t>EC Opsys Preaward PI9 It5</t>
  </si>
  <si>
    <t>OPPREAWA-1161, OPPREAWA-1345, OPPREAWA-1350</t>
  </si>
  <si>
    <t>Support eHelp in the catalogue</t>
  </si>
  <si>
    <t>OPPREAWA-1153</t>
  </si>
  <si>
    <t>EC Opsys Preaward PI9 It4</t>
  </si>
  <si>
    <t>OPPREAWA-1173, OPPREAWA-1345, OPPREAWA-1350</t>
  </si>
  <si>
    <t>Retrieve eligible nationalities from instrument during preparation</t>
  </si>
  <si>
    <t>OPPREAWA-1158</t>
  </si>
  <si>
    <t>OPPREAWA-1346, OPPREAWA-1551</t>
  </si>
  <si>
    <t>Preparation Tool Bugs backlog</t>
  </si>
  <si>
    <t>OPPREAWA-1204</t>
  </si>
  <si>
    <t>EC Opsys Preaward PI8 It5, EC Opsys Preaward PI9 It1</t>
  </si>
  <si>
    <t>OPPREAWA-2, OPPREAWA-1200, OPPREAWA-459, OPPREAWA-829, OPPREAWA-1264, EPROCUREMENT-16398, OPPREAWA-1205, OPPREAWA-1275, OPPREAWA-15, OPPREAWA-866, OPPREAWA-1251, OPPREAWA-1448, OPPREAWA-629, OPPREAWA-1, OPPREAWA-19, OPPREAWA-449, OPPREAWA-460, OPPREAWA-1013, OPPREAWA-1030, OPPREAWA-1150, OPPREAWA-1151, OPPREAWA-1243, OPPREAWA-1245, OPPREAWA-1246, OPPREAWA-1265, OPPREAWA-14, OPPREAWA-417, OPPREAWA-438, OPPREAWA-1122, OPPREAWA-1136, OPPREAWA-1247, OPPREAWA-1255, OPPREAWA-1256, OPPREAWA-1268, OPPREAWA-1298, OPPREAWA-1345</t>
  </si>
  <si>
    <t>Mockups- PPCMS</t>
  </si>
  <si>
    <t>OPPOSTWARD-291</t>
  </si>
  <si>
    <t>MWP-581, MWP-593, MWP-594, OPPOSTWARD-292</t>
  </si>
  <si>
    <t>Use of document template configuration in the document component</t>
  </si>
  <si>
    <t>OPPREAWA-1191</t>
  </si>
  <si>
    <t>OPPREAWA-1740, OPPREAWA-1742, OPPREAWA-1743, OPPREAWA-1270, OPPREAWA-291</t>
  </si>
  <si>
    <t>Mockups- Budget planner</t>
  </si>
  <si>
    <t>OPPOSTWARD-289</t>
  </si>
  <si>
    <t>MWP-478, OPPOSTWARD-290, OPPOSTWARD-292</t>
  </si>
  <si>
    <t>Mockups- Payment planner</t>
  </si>
  <si>
    <t>OPPOSTWARD-290</t>
  </si>
  <si>
    <t>MWP-479, OPPOSTWARD-289, OPPOSTWARD-292</t>
  </si>
  <si>
    <t>Integration of Prospect with Sygma</t>
  </si>
  <si>
    <t>OPPREAWA-1723</t>
  </si>
  <si>
    <t>Analysis</t>
  </si>
  <si>
    <t>Integrating Sygma with Prospect by replacing CRIS</t>
  </si>
  <si>
    <t>OPPREAWA-1702</t>
  </si>
  <si>
    <t>Replacement of PADOR by PDM-URF</t>
  </si>
  <si>
    <t>OPPREAWA-1647</t>
  </si>
  <si>
    <t>OPPREAWA-1652, OPPREAWA-1617, OPPREAWA-1649</t>
  </si>
  <si>
    <t>Finalise Open Procedure and support UAT</t>
  </si>
  <si>
    <t>OPPREAWA-1679</t>
  </si>
  <si>
    <t>OPPREAWA-1579, OPPREAWA-1259, OPPREAWA-917, OPPREAWA-434, OPPREAWA-499, OPPREAWA-829, OPPREAWA-1573, OPPREAWA-1600, OPPREAWA-1644, OPPREAWA-9, OPPREAWA-1317, OPPREAWA-961, OPPREAWA-1500, OPPREAWA-1505, OPPREAWA-1693, OPPREAWA-1694, OPPREAWA-1203, OPPREAWA-1253, OPPREAWA-1465, OPPREAWA-1552, OPPREAWA-1629, OPPREAWA-1705, OPPREAWA-866, OPPREAWA-1007, OPPREAWA-1074, OPPREAWA-1502, OPPREAWA-1536, OPPREAWA-1581, OPPREAWA-1590, OPPREAWA-1614, OPPREAWA-1660, OPPREAWA-1661, OPPREAWA-1662, OPPREAWA-1663, OPPREAWA-1666, OPPREAWA-1673, OPPREAWA-1674, OPPREAWA-1675, OPPREAWA-1676, OPPREAWA-1677, OPPREAWA-1680, OPPREAWA-1681, OPPREAWA-1695, OPPREAWA-1724, OPPREAWA-606, OPPREAWA-629, OPPREAWA-1577, OPPREAWA-1615, OPPREAWA-1691, OPPREAWA-1701, OPPREAWA-1708, OPPREAWA-1710, OPPREAWA-1711, OPPREAWA-851, OPPREAWA-1232, OPPREAWA-1296, OPPREAWA-1299, OPPREAWA-1599, OPPREAWA-1688, OPPREAWA-854, OPPREAWA-987, OPPREAWA-989, OPPREAWA-1006, OPPREAWA-1096, OPPREAWA-1582, OPPREAWA-584, OPPREAWA-608, OPPREAWA-627, OPPREAWA-630, OPPREAWA-757, OPPREAWA-858, OPPREAWA-865, OPPREAWA-873, OPPREAWA-886, OPPREAWA-933, OPPREAWA-934, OPPREAWA-935, OPPREAWA-962, OPPREAWA-1116, OPPREAWA-1121, OPPREAWA-1220, OPPREAWA-1267, OPPREAWA-1274, OPPREAWA-1285, OPPREAWA-1292, OPPREAWA-1297, OPPREAWA-1401, OPPREAWA-1452, OPPREAWA-1454, OPPREAWA-1471, OPPREAWA-1475, OPPREAWA-1501, OPPREAWA-1504, OPPREAWA-1506, OPPREAWA-1507, OPPREAWA-1519, OPPREAWA-1524, OPPREAWA-1525, OPPREAWA-1556, OPPREAWA-1557, OPPREAWA-1561, OPPREAWA-1562, OPPREAWA-1565, OPPREAWA-1567, OPPREAWA-1569, OPPREAWA-1570, OPPREAWA-1670, OPPREAWA-1678, OPPREAWA-1686, OPPREAWA-1692, OPPREAWA-497, OPPREAWA-500, OPPREAWA-594, OPPREAWA-605, OPPREAWA-767, OPPREAWA-857, OPPREAWA-971, OPPREAWA-975, OPPREAWA-976, OPPREAWA-977, OPPREAWA-1076, OPPREAWA-1137, OPPREAWA-1143, OPPREAWA-1149, OPPREAWA-1188, OPPREAWA-1227, OPPREAWA-1279, OPPREAWA-1281, OPPREAWA-1397, OPPREAWA-1443, OPPREAWA-1450, OPPREAWA-1453, OPPREAWA-1568, OPPREAWA-1489, OPPREAWA-505, OPPREAWA-637, OPPREAWA-1736, OPPREAWA-663, OPPREAWA-700, OPPREAWA-832, OPPREAWA-1071, OPPREAWA-1075, OPPREAWA-1210, OPPREAWA-1295, OPPREAWA-672, OPPREAWA-916, OPPREAWA-1320, OPPREAWA-1707, OPPREAWA-691, OPPREAWA-1130, OPPREAWA-1135, OPPREAWA-1221, OPPREAWA-514</t>
  </si>
  <si>
    <t>Completing the Integration of the Awarding workflow</t>
  </si>
  <si>
    <t>OPPREAWA-1601</t>
  </si>
  <si>
    <t>OPPREAWA-1235, OPPREAWA-1604</t>
  </si>
  <si>
    <t>Integrate the Awarding workflow for the "un-happy path"</t>
  </si>
  <si>
    <t>OPPREAWA-1602</t>
  </si>
  <si>
    <t>OPPREAWA-1603</t>
  </si>
  <si>
    <t>Update contractor information (legal entity, address, VAT, legal status …)</t>
  </si>
  <si>
    <t>OPPOSTWARD-404</t>
  </si>
  <si>
    <t>Opsys PI 9, Opsys PI 10</t>
  </si>
  <si>
    <t>OPPOSTWARD-203, OPPOSTWARD-405</t>
  </si>
  <si>
    <t>Import the implementation plan slot</t>
  </si>
  <si>
    <t>OPPOSTWARD-402</t>
  </si>
  <si>
    <t>Interface with the Data Warehouse</t>
  </si>
  <si>
    <t>OPPOSTWARD-406</t>
  </si>
  <si>
    <t>OPPOSTWARD-405</t>
  </si>
  <si>
    <t>Display the list of deliverables</t>
  </si>
  <si>
    <t>OPPOSTWARD-403</t>
  </si>
  <si>
    <t>OPPOSTWARD-267, OPPOSTWARD-268, OPPOSTWARD-269, OPPOSTWARD-164, OPPOSTWARD-264, OPPOSTWARD-265, OPPOSTWARD-326</t>
  </si>
  <si>
    <t>Import FWC contractors SIEA in SYGMA</t>
  </si>
  <si>
    <t>OPPOSTWARD-410</t>
  </si>
  <si>
    <t>The same number format is applied in all screens</t>
  </si>
  <si>
    <t>OPPOSTWARD-404, OPPOSTWARD-406</t>
  </si>
  <si>
    <t>Compass CORPORATE &amp; my workplace - submission</t>
  </si>
  <si>
    <t>OPPOSTWARD-398</t>
  </si>
  <si>
    <t>Compass CORPORATE &amp; my workplace - evaluation</t>
  </si>
  <si>
    <t>OPPOSTWARD-400</t>
  </si>
  <si>
    <t>OPPOSTWARD-399</t>
  </si>
  <si>
    <t>Compass CORPORATE &amp; my workplace - Amendment by EU</t>
  </si>
  <si>
    <t>OIA updates the list of experts</t>
  </si>
  <si>
    <t>OPPOSTWARD-401</t>
  </si>
  <si>
    <t>COMPASS WF for CFD - Track 3 (POC)</t>
  </si>
  <si>
    <t>OPPOSTWARD-396</t>
  </si>
  <si>
    <t>COMPASS WF for CFD - Track 3</t>
  </si>
  <si>
    <t>OPPOSTWARD-397</t>
  </si>
  <si>
    <t>COMPASS WF for CL1 -Track3</t>
  </si>
  <si>
    <t>OPPOSTWARD-395</t>
  </si>
  <si>
    <t>Integration with MyPortofolio - define the contract asset</t>
  </si>
  <si>
    <t>OPPOSTWARD-392</t>
  </si>
  <si>
    <t>Program Increment 8, Opsys PI 9, Opsys PI 10</t>
  </si>
  <si>
    <t>Implement eHelp tool in post-award - PPCMS</t>
  </si>
  <si>
    <t>OPPOSTWARD-230</t>
  </si>
  <si>
    <t>Implement eHelp tool in post-award - Compass</t>
  </si>
  <si>
    <t>OPPOSTWARD-229</t>
  </si>
  <si>
    <t>OPPOSTWARD-411</t>
  </si>
  <si>
    <t>Implement eHelp tool in post-award - SyGMa</t>
  </si>
  <si>
    <t>OPPOSTWARD-231</t>
  </si>
  <si>
    <t>Submission (unhappy path) - Cancellation and reopening of the shortlist</t>
  </si>
  <si>
    <t>OPPOSTWARD-226</t>
  </si>
  <si>
    <t>Opsys PI 9, Opsys PI 11</t>
  </si>
  <si>
    <t>Manage automatic cascade</t>
  </si>
  <si>
    <t>OPPOSTWARD-220</t>
  </si>
  <si>
    <t>Opsys PI 9, Opsys PI 12</t>
  </si>
  <si>
    <t>Awarding - Completion the workflow</t>
  </si>
  <si>
    <t>OPPOSTWARD-221</t>
  </si>
  <si>
    <t>Amendment initiated by EU (unhappy path) - Cancel the ongoing amendment - before the EU signature</t>
  </si>
  <si>
    <t>OPPOSTWARD-212</t>
  </si>
  <si>
    <t>Evaluation - Closure of RfS</t>
  </si>
  <si>
    <t>OPPOSTWARD-224</t>
  </si>
  <si>
    <t>Security (PPCMS) - Deliverable management</t>
  </si>
  <si>
    <t>OPPOSTWARD-217</t>
  </si>
  <si>
    <t>Security (SyGMa) - Deliverable management</t>
  </si>
  <si>
    <t>OPPOSTWARD-215</t>
  </si>
  <si>
    <t>AMD by the Contractor - Amendment - Security (SyGMa)</t>
  </si>
  <si>
    <t>OPPOSTWARD-207</t>
  </si>
  <si>
    <t>Evaluation (unhappy path) - no winner</t>
  </si>
  <si>
    <t>OPPOSTWARD-223</t>
  </si>
  <si>
    <t>Cancel the ongoing amendment - before the EU signature</t>
  </si>
  <si>
    <t>OPPOSTWARD-208</t>
  </si>
  <si>
    <t>OPPOSTWARD-239</t>
  </si>
  <si>
    <t>RfS Cancellation - OIA cancels a RfS before invitation</t>
  </si>
  <si>
    <t>OPPOSTWARD-218</t>
  </si>
  <si>
    <t>AMD by the Contractor - Cancel the ongoing amendment - after the EU signature</t>
  </si>
  <si>
    <t>OPPOSTWARD-209</t>
  </si>
  <si>
    <t>RfS cancellation - OVA, AO requests the cancellation of RfS (cannot directly cancel)m goes back to initiation</t>
  </si>
  <si>
    <t>OPPOSTWARD-219</t>
  </si>
  <si>
    <t>Security (SECUNDA) - Deliverable management</t>
  </si>
  <si>
    <t>OPPOSTWARD-216</t>
  </si>
  <si>
    <t>AMD by the Contractor - Amendment - Security (SECUNDA)</t>
  </si>
  <si>
    <t>OPPOSTWARD-206</t>
  </si>
  <si>
    <t>AMD by the Contractor - Request Additional Information</t>
  </si>
  <si>
    <t>OPPOSTWARD-158</t>
  </si>
  <si>
    <t>Based on the start date, the system opens the submission of deliverables</t>
  </si>
  <si>
    <t>OPPOSTWARD-164</t>
  </si>
  <si>
    <t>OPPOSTWARD-267, OPPOSTWARD-268, OPPOSTWARD-269, OPPOSTWARD-264, OPPOSTWARD-265, OPPOSTWARD-326, OPPOSTWARD-403</t>
  </si>
  <si>
    <t>AMD by the Contractor - the contractor monitors the amendment</t>
  </si>
  <si>
    <t>OPPOSTWARD-160</t>
  </si>
  <si>
    <t>Wait for providing requested additional information</t>
  </si>
  <si>
    <t>OPPOSTWARD-159</t>
  </si>
  <si>
    <t>Compass CORPORATE &amp; my workplace - pre-financing</t>
  </si>
  <si>
    <t>OPPOSTWARD-165</t>
  </si>
  <si>
    <t>AMD by EU - The Lead contractor is requested to electronically sign the Amendment via SEDIA portal.</t>
  </si>
  <si>
    <t>OPPOSTWARD-162</t>
  </si>
  <si>
    <t>AMD by EU - The amendment is the externalised. A clock of xx days if started</t>
  </si>
  <si>
    <t>OPPOSTWARD-161</t>
  </si>
  <si>
    <t>Multi language support in back office</t>
  </si>
  <si>
    <t>OPPREAWA-1031</t>
  </si>
  <si>
    <t>OPPREAWA-1421, OPPREAWA-1422, OPPREAWA-1345, OPPREAWA-1350</t>
  </si>
  <si>
    <t>AMD by the Contractor - Edit Invalid AMD Request Letter</t>
  </si>
  <si>
    <t>OPPOSTWARD-199</t>
  </si>
  <si>
    <t>Amendment initiated by EU (unhappy path)- Cancel the ongoing amendment - after the EU signature</t>
  </si>
  <si>
    <t>OPPOSTWARD-213</t>
  </si>
  <si>
    <t>AMD by the Contractor - Deadline for the approval of the amendment (CLK1 Global to assess and aprove AMDC 30)</t>
  </si>
  <si>
    <t>OPPOSTWARD-203</t>
  </si>
  <si>
    <t>Specific Contract Preparation - Security (SECUNDA)</t>
  </si>
  <si>
    <t>OPPOSTWARD-179</t>
  </si>
  <si>
    <t>OIA manages the request for change of expert (agree or go to second best)</t>
  </si>
  <si>
    <t>OPPOSTWARD-183</t>
  </si>
  <si>
    <t>The contractor declines due to unavailabilty of experts and requests for change of expert</t>
  </si>
  <si>
    <t>OPPOSTWARD-182</t>
  </si>
  <si>
    <t>The contractor withdraws the offer</t>
  </si>
  <si>
    <t>OPPOSTWARD-186</t>
  </si>
  <si>
    <t>AMD by EU - Security (SyGMa)</t>
  </si>
  <si>
    <t>OPPOSTWARD-195</t>
  </si>
  <si>
    <t>Pre-financing - Security (SyGMa)</t>
  </si>
  <si>
    <t>OPPOSTWARD-191</t>
  </si>
  <si>
    <t>AO rejects the payment in ABAC and the workflow goes back to the initiation</t>
  </si>
  <si>
    <t>OPPOSTWARD-190</t>
  </si>
  <si>
    <t>OIA assess the proposed experts and decide to validate or go to second best</t>
  </si>
  <si>
    <t>OPPOSTWARD-185</t>
  </si>
  <si>
    <t>Pre-financing - Security (PPCMS)</t>
  </si>
  <si>
    <t>OPPOSTWARD-192</t>
  </si>
  <si>
    <t>Effective start date encoding after the contract is signed</t>
  </si>
  <si>
    <t>OPPOSTWARD-187</t>
  </si>
  <si>
    <t>The contractor declines due to some errors in the contract data</t>
  </si>
  <si>
    <t>OPPOSTWARD-181</t>
  </si>
  <si>
    <t>The FWC contractor uploads CV of new experts</t>
  </si>
  <si>
    <t>OPPOSTWARD-184</t>
  </si>
  <si>
    <t>OPPOSTWARD-329</t>
  </si>
  <si>
    <t>Integration of deliverables entry point in SEDIA (PPCMS)</t>
  </si>
  <si>
    <t>OPPOSTWARD-170</t>
  </si>
  <si>
    <t>The contractor uploads a file representing a Deliverable</t>
  </si>
  <si>
    <t>OPPOSTWARD-171</t>
  </si>
  <si>
    <t>OPPOSTWARD-267, OPPOSTWARD-268, OPPOSTWARD-269, OPPOSTWARD-270, OPPOSTWARD-326</t>
  </si>
  <si>
    <t>Integration of deliverables entry point in MyWorkplace</t>
  </si>
  <si>
    <t>OPPOSTWARD-169</t>
  </si>
  <si>
    <t>Compass CORPORATE &amp; my workplace - Amendment by Consortium</t>
  </si>
  <si>
    <t>OPPOSTWARD-168</t>
  </si>
  <si>
    <t>Deliverable management -The EC is informed when a deliverable is submitted by the contractor</t>
  </si>
  <si>
    <t>OPPOSTWARD-173</t>
  </si>
  <si>
    <t>OPPOSTWARD-268, OPPOSTWARD-269, OPPOSTWARD-270, OPPOSTWARD-172, OPPOSTWARD-326</t>
  </si>
  <si>
    <t>Data Migration (CRIS) - preparatory work</t>
  </si>
  <si>
    <t>OPPOSTWARD-174</t>
  </si>
  <si>
    <t>DWH interface and CRIS</t>
  </si>
  <si>
    <t>OPPOSTWARD-176</t>
  </si>
  <si>
    <t>Deliverable management -The contractor is notified about the submssion of deliverables process</t>
  </si>
  <si>
    <t>OPPOSTWARD-172</t>
  </si>
  <si>
    <t>Compass CORPORATE &amp; my workplace - RfS migration</t>
  </si>
  <si>
    <t>OPPOSTWARD-166</t>
  </si>
  <si>
    <t>Specific Contract Preparation - Security (PPCMS)</t>
  </si>
  <si>
    <t>OPPOSTWARD-178</t>
  </si>
  <si>
    <t>Formal notification module - EU to Contractor (outbound)</t>
  </si>
  <si>
    <t>OPPOSTWARD-175</t>
  </si>
  <si>
    <t>Program Increment 8, Opsys PI 9, Opsys PI 11</t>
  </si>
  <si>
    <t>Compass CORPORATE &amp; my workplace - Specific Contract Preparation migration</t>
  </si>
  <si>
    <t>OPPOSTWARD-167</t>
  </si>
  <si>
    <t>Specific Contract Preparation - Security (SyGMa)</t>
  </si>
  <si>
    <t>OPPOSTWARD-180</t>
  </si>
  <si>
    <t>Submission (unhappy path) - Cancellation and reopening of the RfS</t>
  </si>
  <si>
    <t>OPPOSTWARD-227</t>
  </si>
  <si>
    <t>AMD by the Contractor - Amendment - Security (PPCMS)</t>
  </si>
  <si>
    <t>OPPOSTWARD-205</t>
  </si>
  <si>
    <t>AMD by the Contractor - Operational verification of Invalid AMD Request Letter</t>
  </si>
  <si>
    <t>OPPOSTWARD-200</t>
  </si>
  <si>
    <t>AMD by the Contractor - Financial verification of Invalid AMD Request Letter</t>
  </si>
  <si>
    <t>OPPOSTWARD-201</t>
  </si>
  <si>
    <t>AMD by the Contractor - Deadline for the request for additional informatin (CLK2 Request more information 15)</t>
  </si>
  <si>
    <t>OPPOSTWARD-204</t>
  </si>
  <si>
    <t>Cancellation of the procedure</t>
  </si>
  <si>
    <t>OPPOSTWARD-222</t>
  </si>
  <si>
    <t>Budget Planner (increase of CL2 amount) - workaorund for SIEA</t>
  </si>
  <si>
    <t>OPPOSTWARD-198</t>
  </si>
  <si>
    <t>Rejected</t>
  </si>
  <si>
    <t>AMD by EU - Signature of Invalid AMD Request Letter</t>
  </si>
  <si>
    <t>OPPOSTWARD-202</t>
  </si>
  <si>
    <t>Track 3 integration - CL1 - workflow for creation and validation(Action or intervation?!)</t>
  </si>
  <si>
    <t>OPPOSTWARD-214</t>
  </si>
  <si>
    <t>AMD by EU - Budget Planner (increase of CL2 amount) - workaround for SIEA</t>
  </si>
  <si>
    <t>OPPOSTWARD-211</t>
  </si>
  <si>
    <t>AMD by Contractor - Launch new amendment (by Contractor)</t>
  </si>
  <si>
    <t>OPPOSTWARD-156</t>
  </si>
  <si>
    <t>OPPOSTWARD-237, OPPOSTWARD-255, OPPOSTWARD-271, OPPOSTWARD-272, OPPOSTWARD-276, OPPOSTWARD-277, OPPOSTWARD-320, OPPOSTWARD-322, OPPOSTWARD-323</t>
  </si>
  <si>
    <t>OIA assesment of the contract rejection by the contractor and decides to cancel the procedure</t>
  </si>
  <si>
    <t>OPPOSTWARD-153</t>
  </si>
  <si>
    <t>OIA assesment of the contract rejection by the contractor and decides to go to the second ranked</t>
  </si>
  <si>
    <t>OPPOSTWARD-154</t>
  </si>
  <si>
    <t>OIA assesment in case the deadline for the specific contract signature/experts confirmation has been reached</t>
  </si>
  <si>
    <t>OPPOSTWARD-152</t>
  </si>
  <si>
    <t>OIA assesment of the contract rejection by the contractor and decides to update the contract</t>
  </si>
  <si>
    <t>OPPOSTWARD-155</t>
  </si>
  <si>
    <t>AMD by the Contractor - Signature of AMD by Contractor</t>
  </si>
  <si>
    <t>OPPOSTWARD-157</t>
  </si>
  <si>
    <t>OPPOSTWARD-238, OPPOSTWARD-271, OPPOSTWARD-272, OPPOSTWARD-276, OPPOSTWARD-277</t>
  </si>
  <si>
    <t>JAGATE - Track 3 integration - CL1 service</t>
  </si>
  <si>
    <t>OPPOSTWARD-228</t>
  </si>
  <si>
    <t>Evaluation - Triggering of awarding process</t>
  </si>
  <si>
    <t>OPPOSTWARD-225</t>
  </si>
  <si>
    <t>AMD by EU - Security (PPCMS)</t>
  </si>
  <si>
    <t>OPPOSTWARD-194</t>
  </si>
  <si>
    <t>Pre-financing - Security (SECUNDA)</t>
  </si>
  <si>
    <t>OPPOSTWARD-193</t>
  </si>
  <si>
    <t>AMD by EU - Security (SECUNDA)</t>
  </si>
  <si>
    <t>OPPOSTWARD-196</t>
  </si>
  <si>
    <t>Increase the amount of test and adapt it to the new Track3 MyWorkPlace</t>
  </si>
  <si>
    <t>OPRESULT-808</t>
  </si>
  <si>
    <t>Program Increment 8, Program Increment 9, OPSYS PI 9</t>
  </si>
  <si>
    <t>OPRESULT-786, OPRESULT-844, OPRESULT-849, OPRESULT-832, OPRESULT-846, OPRESULT-898</t>
  </si>
  <si>
    <t>JAGATE integration</t>
  </si>
  <si>
    <t>OPPOSTWARD-146</t>
  </si>
  <si>
    <t>OPPOSTWARD-144, OPPOSTWARD-143, OPPOSTWARD-140, OPPOSTWARD-145, OPPOSTWARD-147, OPPOSTWARD-148, OPPOSTWARD-149, OPPOSTWARD-150, OPPOSTWARD-151</t>
  </si>
  <si>
    <t>Opsys validates the details of bank guarantee against the ones in ABAC</t>
  </si>
  <si>
    <t>OPPOSTWARD-110</t>
  </si>
  <si>
    <t>OPPOSTWARD-258</t>
  </si>
  <si>
    <t>Send the awarding letters</t>
  </si>
  <si>
    <t>OPPOSTWARD-107</t>
  </si>
  <si>
    <t>OPPOSTWARD-136, OPPOSTWARD-114, OPPOSTWARD-133, OPPOSTWARD-135</t>
  </si>
  <si>
    <t>AMD by EU - The workflow ensure full automated recording of the changes in ABAC, adding the visa of the different actors (IA, OVA, FVA)</t>
  </si>
  <si>
    <t>OPPOSTWARD-104</t>
  </si>
  <si>
    <t>AMD by EU - Financial verification of the amendment (FVA visa)</t>
  </si>
  <si>
    <t>OPPOSTWARD-101</t>
  </si>
  <si>
    <t>Notify the definitive results to the others ranked FWC Contractor</t>
  </si>
  <si>
    <t>OPPOSTWARD-109</t>
  </si>
  <si>
    <t>AMD by EU - The Amendment then enters into force</t>
  </si>
  <si>
    <t>OPPOSTWARD-105</t>
  </si>
  <si>
    <t>AMD by EU - Authorisation in ABAC</t>
  </si>
  <si>
    <t>OPPOSTWARD-102</t>
  </si>
  <si>
    <t>AMD by the Contractor - Signature of amendment Rejection Letter</t>
  </si>
  <si>
    <t>OPPOSTWARD-93</t>
  </si>
  <si>
    <t>AMD by EU - Signature of AMD by EU</t>
  </si>
  <si>
    <t>OPPOSTWARD-103</t>
  </si>
  <si>
    <t>AMD by the Contractor - The workflow ensure full automated recording of the changes in ABAC, adding the visa of the different actors (IA, OVA, FVA)</t>
  </si>
  <si>
    <t>OPPOSTWARD-89</t>
  </si>
  <si>
    <t>AMD by the Contractor - The amendment then enters into force</t>
  </si>
  <si>
    <t>OPPOSTWARD-94</t>
  </si>
  <si>
    <t>AMD by the Contractor - Financial verification of AMD</t>
  </si>
  <si>
    <t>OPPOSTWARD-86</t>
  </si>
  <si>
    <t>OPPOSTWARD-249, OPPOSTWARD-115, OPPOSTWARD-116, OPPOSTWARD-117, OPPOSTWARD-118, OPPOSTWARD-121, OPPOSTWARD-274</t>
  </si>
  <si>
    <t>Amd by EU - EU launches a new Amendment</t>
  </si>
  <si>
    <t>OPPOSTWARD-95</t>
  </si>
  <si>
    <t>Inform Track 3 when a new contract is created (forecasting plan)</t>
  </si>
  <si>
    <t>OPPOSTWARD-71</t>
  </si>
  <si>
    <t>Track 3 integration</t>
  </si>
  <si>
    <t>OPPOSTWARD-139</t>
  </si>
  <si>
    <t>OPPOSTWARD-144, OPPOSTWARD-143, OPPOSTWARD-140, OPPOSTWARD-145, OPPOSTWARD-151, OPPOSTWARD-259</t>
  </si>
  <si>
    <t>Launch new amendment</t>
  </si>
  <si>
    <t>OPPOSTWARD-126</t>
  </si>
  <si>
    <t>OPPOSTWARD-130</t>
  </si>
  <si>
    <t>FT-C001 Manage Core Indicators</t>
  </si>
  <si>
    <t>OPRESULT-789</t>
  </si>
  <si>
    <t>OPRESULT-754, OPRESULT-1220, OPRESULT-1289, OPRESULT-1312, OPRESULT-1466, OPRESULT-998, OPRESULT-1287, OPRESULT-701, OPRESULT-702, OPRESULT-704, OPRESULT-706, OPRESULT-708, OPRESULT-710, OPRESULT-711, OPRESULT-991, OPRESULT-1221, OPRESULT-1266, OPRESULT-1294, OPRESULT-1298, OPRESULT-1302, OPRESULT-1305, OPRESULT-1308, ECOPPRMG-148, OPRESULT-1050, OPRESULT-1267, OPRESULT-792, OPRESULT-793, OPRESULT-794, OPRESULT-795, OPRESULT-796</t>
  </si>
  <si>
    <t>External dependencies unexpected, unexpected meetings to discuss work, unexpected tasks</t>
  </si>
  <si>
    <t>OPRESULT-798</t>
  </si>
  <si>
    <t>OPRESULT-850, OPRESULT-899, OPRESULT-967, OPRESULT-690, OPRESULT-799</t>
  </si>
  <si>
    <t>Authorisation in ABAC of the new amendment launched by the contractor</t>
  </si>
  <si>
    <t>OPPOSTWARD-87</t>
  </si>
  <si>
    <t>OPPOSTWARD-115, OPPOSTWARD-116, OPPOSTWARD-117, OPPOSTWARD-118, OPPOSTWARD-121, OPPOSTWARD-274</t>
  </si>
  <si>
    <t>[COMPASS][SC] Update the contract preparation flow to include the view/edit of contract DAC form</t>
  </si>
  <si>
    <t>OPPOSTWARD-74</t>
  </si>
  <si>
    <t>OPPOSTWARD-259</t>
  </si>
  <si>
    <t>Validation of the evaluation report / award letters / SC</t>
  </si>
  <si>
    <t>OPPOSTWARD-73</t>
  </si>
  <si>
    <t>FT-C010 Sources of Verification</t>
  </si>
  <si>
    <t>OPRESULT-912</t>
  </si>
  <si>
    <t>Program Increment 9, OPSYS PI 9</t>
  </si>
  <si>
    <t>OPRESULT-1452, OPRESULT-1453, OPRESULT-1549, OPRESULT-1451, OPRESULT-1455, OPRESULT-1056, OPRESULT-1052, OPRESULT-1053, OPRESULT-1054, OPRESULT-1055, OPRESULT-1085, ECOPPRMG-148, OPRESULT-1006, OPRESULT-1007, OPRESULT-1008, OPRESULT-1009, OPRESULT-1010, OPRESULT-1011</t>
  </si>
  <si>
    <t>FT-C009 Qualitative Types</t>
  </si>
  <si>
    <t>OPRESULT-911</t>
  </si>
  <si>
    <t>OPRESULT-1457, OPRESULT-1458, OPRESULT-1459, OPRESULT-1460, OPRESULT-1068, OPRESULT-1449, OPRESULT-1065, OPRESULT-1066, OPRESULT-1067, OPRESULT-1069, OPRESULT-1084, ECOPPRMG-148, OPRESULT-947, OPRESULT-948, OPRESULT-949, OPRESULT-950, OPRESULT-951, OPRESULT-952, OPRESULT-953</t>
  </si>
  <si>
    <t>FT-C008 Units of Measure</t>
  </si>
  <si>
    <t>OPRESULT-910</t>
  </si>
  <si>
    <t>OPRESULT-1448, OPRESULT-1059, OPRESULT-1060, OPRESULT-1061, OPRESULT-1062, OPRESULT-1063, OPRESULT-1083, ECOPPRMG-148, OPRESULT-939, OPRESULT-940, OPRESULT-941, OPRESULT-942, OPRESULT-943, OPRESULT-944, OPRESULT-945</t>
  </si>
  <si>
    <t>Terminology alignment</t>
  </si>
  <si>
    <t>OPPREAWA-1067</t>
  </si>
  <si>
    <t>OPPREAWA-1350</t>
  </si>
  <si>
    <t>[SYGMA] Deliverable - update with database changes</t>
  </si>
  <si>
    <t>OPPOSTWARD-325</t>
  </si>
  <si>
    <t>EC Opsys Postawards PI9 It1</t>
  </si>
  <si>
    <t>Access monitoring screen from Compass</t>
  </si>
  <si>
    <t>OPPREAWA-1396</t>
  </si>
  <si>
    <t>EC Opsys Preaward PI9 It1, EC Opsys Preaward PI9 It3</t>
  </si>
  <si>
    <t>OPPREAWA-609, OPPREAWA-1548</t>
  </si>
  <si>
    <t>Support negotiated procedures in eSubmission</t>
  </si>
  <si>
    <t>OPPREAWA-1394</t>
  </si>
  <si>
    <t>OPPREAWA-1613, OPPREAWA-504, OPPREAWA-1763</t>
  </si>
  <si>
    <t>Support restricted procedures in eSubmission</t>
  </si>
  <si>
    <t>OPPREAWA-1393</t>
  </si>
  <si>
    <t>OPPREAWA-1344, OPPREAWA-1558, OPPREAWA-1737, OPPREAWA-1289, OPPREAWA-1335, OPPREAWA-1343, OPPREAWA-1230, OPPREAWA-1331, OPPREAWA-1341, OPPREAWA-1342, OPPREAWA-1612, OPPREAWA-1763</t>
  </si>
  <si>
    <t>Evaluation workflow</t>
  </si>
  <si>
    <t>OPPREAWA-1365</t>
  </si>
  <si>
    <t>OPPREAWA-1671, OPPREAWA-587, OPPREAWA-1334, OPPREAWA-1315, OPPREAWA-1585, OPPREAWA-604, OPPREAWA-657, OPPREAWA-1364</t>
  </si>
  <si>
    <t>PI8 Integration tests</t>
  </si>
  <si>
    <t>OPPREAWA-1371</t>
  </si>
  <si>
    <t>EC Opsys Preaward PI9 It1</t>
  </si>
  <si>
    <t>OPPREAWA-1372, OPPREAWA-580, OPPREAWA-1373</t>
  </si>
  <si>
    <t>Analysis on procedure details/communication</t>
  </si>
  <si>
    <t>OPPREAWA-1439</t>
  </si>
  <si>
    <t>OPPREAWA-1369, OPPREAWA-1346</t>
  </si>
  <si>
    <t>Forecast contract Widget</t>
  </si>
  <si>
    <t>OPPREAWA-1429</t>
  </si>
  <si>
    <t>OPPREAWA-1431, OPPREAWA-1432, OPPREAWA-1346, OPPREAWA-1757, OPSYSIOP-1483</t>
  </si>
  <si>
    <t>Launch procedure from Forecast contract</t>
  </si>
  <si>
    <t>OPPREAWA-1430</t>
  </si>
  <si>
    <t>OPPREAWA-1433, OPPREAWA-1434, OPPREAWA-1435, OPPREAWA-1436, OPPREAWA-1346, OPPREAWA-1759, OPPREAWA-820</t>
  </si>
  <si>
    <t>PROD release PI9</t>
  </si>
  <si>
    <t>OPPREAWA-1423</t>
  </si>
  <si>
    <t>OPPREAWA-1716, OPPREAWA-1424, OPPREAWA-950, OPPREAWA-951, OPPREAWA-1386, OPPREAWA-1425, OPPREAWA-1467, OPPREAWA-1468, OPPREAWA-1572, OPPREAWA-1712, OPPREAWA-1727, OPPREAWA-1193, OPPREAWA-1594, OPPREAWA-1345, OPPREAWA-309</t>
  </si>
  <si>
    <t>Update to CDM in PI9 Iteration 3</t>
  </si>
  <si>
    <t>OPPREAWA-1426</t>
  </si>
  <si>
    <t>OPPREAWA-1316, OPPREAWA-923, OPPREAWA-1040, OPPREAWA-1182, OPPREAWA-1427, OPPREAWA-650, OPPREAWA-1627</t>
  </si>
  <si>
    <t>Analysis of the roles for evaluation (Viktor?)</t>
  </si>
  <si>
    <t>OPPREAWA-1415</t>
  </si>
  <si>
    <t>OPPREAWA-1351</t>
  </si>
  <si>
    <t>e-Submission analysis</t>
  </si>
  <si>
    <t>OPPREAWA-1417</t>
  </si>
  <si>
    <t>Analysis for the evaluation preparation of the committee (final tool in OPSYS) --&gt; to be modified</t>
  </si>
  <si>
    <t>OPPREAWA-1412</t>
  </si>
  <si>
    <t>Integrate IAM in the rest of the evaluation screen</t>
  </si>
  <si>
    <t>OPPREAWA-1409</t>
  </si>
  <si>
    <t>OPPREAWA-1533, OPPREAWA-1351, OPPREAWA-1762</t>
  </si>
  <si>
    <t>Analysis and alignment of terminology</t>
  </si>
  <si>
    <t>OPPREAWA-1416</t>
  </si>
  <si>
    <t>Integration of CCM2. Get description of PM codes (getProcedureDetails)</t>
  </si>
  <si>
    <t>OPPREAWA-1408</t>
  </si>
  <si>
    <t>OPPREAWA-1762</t>
  </si>
  <si>
    <t>Analysis of the evaluation preparation of the evaluators (final tool in OPSYS)</t>
  </si>
  <si>
    <t>OPPREAWA-1413</t>
  </si>
  <si>
    <t>External evaluator access the grid screen</t>
  </si>
  <si>
    <t>OPPREAWA-1407</t>
  </si>
  <si>
    <t>OPPREAWA-1580, OPPREAWA-1458, OPPREAWA-1523, OPPREAWA-1460, OPPREAWA-1351, OPPREAWA-1762, OPPREAWA-1461</t>
  </si>
  <si>
    <t>Configuration on IAM for external evaluator</t>
  </si>
  <si>
    <t>OPPREAWA-1406</t>
  </si>
  <si>
    <t>OPPREAWA-1456, OPPREAWA-1351, OPPREAWA-1762, OPPREAWA-1457</t>
  </si>
  <si>
    <t>P.o.C. Payment Forecasts service integration</t>
  </si>
  <si>
    <t>OPSYSIOP-1515</t>
  </si>
  <si>
    <t>OPSYSIOP-1499, OPSYSIOP-1531</t>
  </si>
  <si>
    <t>P.o.C. Level 2 Planning service integration</t>
  </si>
  <si>
    <t>OPSYSIOP-1514</t>
  </si>
  <si>
    <t>OPSYSIOP-1537, OPSYSIOP-1538, OPSYSIOP-1502, OPSYSIOP-1503, OPSYSIOP-1980, OPSYSIOP-1531</t>
  </si>
  <si>
    <t>Refactoring eRequest and catalogue</t>
  </si>
  <si>
    <t>OPPREAWA-792</t>
  </si>
  <si>
    <t>OPPREAWA-1646, OPPREAWA-1264, OPPREAWA-1205, OPPREAWA-1448, OPPREAWA-1455, OPPREAWA-1496, OPPREAWA-798, OPPREAWA-1195, OPPREAWA-1730, OPPREAWA-795, OPPREAWA-796, OPPREAWA-797, OPPREAWA-1063, OPPREAWA-1202, OPPREAWA-794, OPPREAWA-1345</t>
  </si>
  <si>
    <t>[T3.PI9 - EN22] DAC Form, complete - A&amp;D</t>
  </si>
  <si>
    <t>OPSYSIOP-583</t>
  </si>
  <si>
    <t>Program Increment 7, Program Increment 8, OPSYS PI 9</t>
  </si>
  <si>
    <t>OPSYSIOP-260, OPSYSIOP-1519, OPSYSIOP-458, OPSYSIOP-935, OPSYSIOP-268, OPSYSIOP-1824, OPSYSIOP-1827</t>
  </si>
  <si>
    <t>Integration of eEval with IAM - external users</t>
  </si>
  <si>
    <t>OPPREAWA-117</t>
  </si>
  <si>
    <t>EC Opsys Preaward PI8 It2, eSubmission PI7-I4 -Extended, EC Opsys Preaward PI8 It4</t>
  </si>
  <si>
    <t>OPPREAWA-879, OPPREAWA-178, OPPREAWA-240, OPPREAWA-182, OPPREAWA-237, OPPREAWA-554, OPPREAWA-479, OPPREAWA-161, OPPREAWA-878</t>
  </si>
  <si>
    <t>[T3.PI9 - FT11] Manage Action document</t>
  </si>
  <si>
    <t>OPSYSIOP-818</t>
  </si>
  <si>
    <t>Program Increment 8, OPSYS PI 9</t>
  </si>
  <si>
    <t>OPSYSIOP-1005, OPSYSIOP-1006, OPSYSIOP-1047, OPSYSIOP-1048, OPSYSIOP-1532, OPSYSIOP-462, OPSYSIOP-935, OPSYSIOP-1370, OPSYSIOP-275, OPSYSIOP-1257, OPSYSIOP-964, OPSYSIOP-1857</t>
  </si>
  <si>
    <t>Analyse how to manage business rules</t>
  </si>
  <si>
    <t>OPPREAWA-416</t>
  </si>
  <si>
    <t>EC Opsys Preaward PI8 It4</t>
  </si>
  <si>
    <t>OPPREAWA-572, OPPREAWA-569, OPPREAWA-292</t>
  </si>
  <si>
    <t>Migrate to new DocList component</t>
  </si>
  <si>
    <t>OPPREAWA-392</t>
  </si>
  <si>
    <t>OPPREAWA-578, OPPREAWA-393, OPPREAWA-395, OPPREAWA-1345, OPPREAWA-777, OPPREAWA-1357, OPPREAWA-493</t>
  </si>
  <si>
    <t>[T3.PI9 - EN15] Manage Business rules - A&amp;D</t>
  </si>
  <si>
    <t>OPSYSIOP-802</t>
  </si>
  <si>
    <t>OPSYSIOP-1385, OPSYSIOP-1535, OPSYSIOP-1194</t>
  </si>
  <si>
    <t>Integrate with the award workflow</t>
  </si>
  <si>
    <t>OPPREAWA-397</t>
  </si>
  <si>
    <t>EC Opsys Preaward PI8 It5</t>
  </si>
  <si>
    <t>OPPREAWA-283, OPPREAWA-124, OPPREAWA-141, OPPOSTWARD-51, OPPREAWA-467</t>
  </si>
  <si>
    <t>[T3.PI9 - EN14] Audit Trail management - A&amp;D</t>
  </si>
  <si>
    <t>OPSYSIOP-803</t>
  </si>
  <si>
    <t>OPSYSIOP-1535, OPSYSIOP-1444, OPSYSIOP-1445</t>
  </si>
  <si>
    <t>Counters for shortlist selection</t>
  </si>
  <si>
    <t>OPPREAWA-398</t>
  </si>
  <si>
    <t>eSubmission PI7-I4 -Extended, EC Opsys Preaward PI9 It4</t>
  </si>
  <si>
    <t>OPPREAWA-1799, OPPREAWA-1805, OPPREAWA-233, OPPREAWA-184, OPPREAWA-132, OPPREAWA-660, OPPREAWA-281, OPPREAWA-213, OPPREAWA-400, OPPREAWA-401</t>
  </si>
  <si>
    <t>Procedure manager decision logic</t>
  </si>
  <si>
    <t>OPPREAWA-377</t>
  </si>
  <si>
    <t>EC Opsys Preaward PI8 It4, EC Opsys Preaward PI9 It2</t>
  </si>
  <si>
    <t>OPPREAWA-575, OPPREAWA-959, OPPREAWA-1288, OPPREAWA-1289, OPPREAWA-1290, OPPREAWA-1291, OPPREAWA-905, OPPREAWA-470, OPPREAWA-967, OPPREAWA-1192, OPPREAWA-978</t>
  </si>
  <si>
    <t>Generate RfS document upon shortlist selection completion or upon approval by AO</t>
  </si>
  <si>
    <t>OPPREAWA-374</t>
  </si>
  <si>
    <t>EC Opsys Preaward PI8 It3, EC Opsys Preaward PI8 It4, EC Opsys Preaward PI9 It3</t>
  </si>
  <si>
    <t>OPPREAWA-1563, OPPREAWA-560, OPPREAWA-1729, OPPREAWA-489, OPPREAWA-561, OPPREAWA-553, OPPREAWA-753</t>
  </si>
  <si>
    <t>Secure pre-award back-end services</t>
  </si>
  <si>
    <t>OPPREAWA-346</t>
  </si>
  <si>
    <t>EC Opsys Preaward PI8 It4, EC Opsys Preaward PI9 It1</t>
  </si>
  <si>
    <t>OPPREAWA-348, OPPREAWA-1354, OPPREAWA-347, OPPREAWA-582, OPPREAWA-349, OPPREAWA-360, OPPREAWA-583, OPPREAWA-1347, OPPREAWA-473, OPPREAWA-316, OPPREAWA-390</t>
  </si>
  <si>
    <t>Extend submission and evaluation workflows</t>
  </si>
  <si>
    <t>OPPREAWA-726</t>
  </si>
  <si>
    <t>EC Opsys Preaward PI8 It5, EC Opsys Preaward PI9 It1, EC Opsys Preaward PI9 It3</t>
  </si>
  <si>
    <t>OPPREAWA-856, OPPREAWA-911, OPPREAWA-1515, OPPREAWA-1402, OPPREAWA-1042, OPPREAWA-1132, OPPREAWA-331, OPPREAWA-336, OPPREAWA-337, OPPREAWA-727</t>
  </si>
  <si>
    <t>ESUB-75 Support Tender Withdrawal</t>
  </si>
  <si>
    <t>OPPREAWA-892</t>
  </si>
  <si>
    <t>EC Opsys Preaward PI8 It2, EC Opsys Preaward PI8 It4, EC Opsys Preaward PI8 It5, EC Opsys Preaward PI9 It1</t>
  </si>
  <si>
    <t>OPPREAWA-518, OPPREAWA-743, OPPREAWA-472, EPROCPG-109</t>
  </si>
  <si>
    <t>CA uploads draft version of final version of the deliverables</t>
  </si>
  <si>
    <t>OPPOSTWARD-15</t>
  </si>
  <si>
    <t>OPPOSTWARD-46</t>
  </si>
  <si>
    <t>Supporting workflow for evaluation and negotiation</t>
  </si>
  <si>
    <t>OPPREAWA-903</t>
  </si>
  <si>
    <t>OPPREAWA-744, EPROCPG-111, OPPREAWA-331</t>
  </si>
  <si>
    <t>ESUB-40 The system provides facilities to log relevant user and system actions including both business and security events</t>
  </si>
  <si>
    <t>OPPREAWA-845</t>
  </si>
  <si>
    <t>OPPREAWA-531, OPPREAWA-1419, OPPREAWA-1418, OPPREAWA-508, OPPREAWA-1345, EPROCPG-109, EPDIGIT-17</t>
  </si>
  <si>
    <t>Number formatting</t>
  </si>
  <si>
    <t>OPPREAWA-764</t>
  </si>
  <si>
    <t>OPPREAWA-732, OPPREAWA-1437, OPPREAWA-1438, OPPREAWA-1345, OPPREAWA-1350, MWP-819</t>
  </si>
  <si>
    <t>Lograme Security</t>
  </si>
  <si>
    <t>OPRESULT-660</t>
  </si>
  <si>
    <t>UAT april feedback corrections</t>
  </si>
  <si>
    <t>OPPREAWA-766</t>
  </si>
  <si>
    <t>OPPREAWA-765, OPPREAWA-768, OPPREAWA-1195, OPPREAWA-1775, OPPREAWA-1779, OPPREAWA-1345</t>
  </si>
  <si>
    <t>Budget breakdown corrections</t>
  </si>
  <si>
    <t>OPPREAWA-769</t>
  </si>
  <si>
    <t>EC Opsys Preaward PI8 It1, EC Opsys Preaward PI8 It3, EC Opsys Preaward PI8 It4, EC Opsys Preaward PI9 It3</t>
  </si>
  <si>
    <t>OPPREAWA-363, OPPREAWA-461, OPPREAWA-4, OPPREAWA-1206, OPPREAWA-371, OPPREAWA-692, OPPREAWA-1212, OPPREAWA-1214, OPPREAWA-1215, OPPREAWA-1254, OPPREAWA-1546, OPPREAWA-1550, OPPREAWA-451, OPPREAWA-808, OPPREAWA-1213</t>
  </si>
  <si>
    <t>OE dependencies</t>
  </si>
  <si>
    <t>OPRESULT-687</t>
  </si>
  <si>
    <t>MWP-411, MWP-571</t>
  </si>
  <si>
    <t>[T3.PI9 - EN19] CL1 Management (+ABAC Integration w/ JAGate) - A&amp;D</t>
  </si>
  <si>
    <t>OPSYSIOP-845</t>
  </si>
  <si>
    <t>OPSYSIOP-264, OPSYSIOP-1519, OPSYSIOP-947, OPSYSIOP-1876, OPSYSIOP-1850, OPSYSIOP-978, OPSYSIOP-241</t>
  </si>
  <si>
    <t>[T3.PI9 - EN18] Action Amendments (Manage Riders) - A&amp;D</t>
  </si>
  <si>
    <t>OPSYSIOP-843</t>
  </si>
  <si>
    <t>OPSYSIOP-795, OPSYSIOP-1519, OPSYSIOP-935, OPSYSIOP-470, OPSYSIOP-984, OPSYSIOP-985, OPSYSIOP-468, OPSYSIOP-1863</t>
  </si>
  <si>
    <t>[T3.PI9 - EN11] GEM Framework Advancements PI9</t>
  </si>
  <si>
    <t>OPSYSIOP-1358</t>
  </si>
  <si>
    <t>OPSYSIOP-1517, OPSYSIOP-631, OPSYSIOP-1470, OPSYSIOP-1359, OPSYSIOP-1361, OPSYSIOP-1466, OPSYSIOP-1467, OPSYSIOP-1469, OPSYSIOP-1471, OPSYSIOP-1558, OPSYSIOP-1919, OPSYSIOP-1924, OPSYSIOP-1925, OPSYSIOP-1926, OPSYSIOP-1973, OPSYSIOP-2003, OPSYSIOP-1465, OPSYSIOP-1468, OPSYSIOP-1472, OPSYSIOP-1702, OPSYSIOP-1719, OPSYSIOP-2001, OPSYSIOP-2002, OPSYSIOP-2004, OPSYSIOP-1357</t>
  </si>
  <si>
    <t>Inclusion of business identifier for lots</t>
  </si>
  <si>
    <t>OPPREAWA-1607</t>
  </si>
  <si>
    <t>OPPREAWA-1608, OPPREAWA-1638, OPPREAWA-1757, OPPREAWA-1881</t>
  </si>
  <si>
    <t>CCM2 evaluation screen integration</t>
  </si>
  <si>
    <t>OPPREAWA-1410</t>
  </si>
  <si>
    <t>OPPREAWA-1512, OPPREAWA-1559, OPPREAWA-1513, OPPREAWA-1514, OPPREAWA-1589, OPPREAWA-1762</t>
  </si>
  <si>
    <t>Restrict SIEA to Key Experts</t>
  </si>
  <si>
    <t>OPPREAWA-1181</t>
  </si>
  <si>
    <t>OPPREAWA-1282</t>
  </si>
  <si>
    <t>Provide business information references to business components</t>
  </si>
  <si>
    <t>OPPREAWA-333</t>
  </si>
  <si>
    <t>EC Opsys Preaward PI8 It3, EC Opsys Preaward PI8 It4</t>
  </si>
  <si>
    <t>OPPREAWA-1248, OPPREAWA-957, OPPREAWA-491, OPPREAWA-492, OPPREAWA-862, OPPREAWA-958, OPPREAWA-963, OPPREAWA-1002, OPPREAWA-358, OPPREAWA-556, OPPREAWA-468, OPPREAWA-335, OPPREAWA-558, OPPREAWA-565, OPPREAWA-834, OPPREAWA-835, OPPREAWA-948, EPROCPG-54, EPROCPG-95</t>
  </si>
  <si>
    <t>Secunda rights in pre-award</t>
  </si>
  <si>
    <t>OPPREAWA-373</t>
  </si>
  <si>
    <t>OPPREAWA-577, OPPREAWA-1473, OPPREAWA-1687, OPPREAWA-1223, OPPREAWA-1345, OPPREAWA-389, OPPREAWA-495</t>
  </si>
  <si>
    <t>Integrate SECUNDA in the system for evaluation screen</t>
  </si>
  <si>
    <t>OPPREAWA-1411</t>
  </si>
  <si>
    <t>OPPREAWA-1554, OPPREAWA-1578, OPPREAWA-1587, OPPREAWA-1588, OPPREAWA-1351, OPPREAWA-1762</t>
  </si>
  <si>
    <t>Internal evaluator access the grid screen</t>
  </si>
  <si>
    <t>OPPREAWA-1414</t>
  </si>
  <si>
    <t>OPPREAWA-1555, OPPREAWA-880, OPPREAWA-1667, OPPREAWA-440, OPPREAWA-1351, OPPREAWA-1762</t>
  </si>
  <si>
    <t>Integration of eEval with SECUNDA+</t>
  </si>
  <si>
    <t>OPPREAWA-826</t>
  </si>
  <si>
    <t>OPPREAWA-881, OPPREAWA-178, OPPREAWA-554, OPPREAWA-1351, OPPREAWA-479, OPPREAWA-161</t>
  </si>
  <si>
    <t>FT-C005 Disaggregation Types</t>
  </si>
  <si>
    <t>OPRESULT-791</t>
  </si>
  <si>
    <t>OPRESULT-1454, OPRESULT-1456, OPRESULT-1478, OPRESULT-1047, OPRESULT-1162, OPRESULT-879, OPRESULT-880, OPRESULT-881, OPRESULT-882, OPRESULT-883, OPRESULT-884, OPRESULT-885, OPRESULT-888, OPRESULT-918, OPRESULT-933, OPRESULT-1044, OPRESULT-1072, ECOPPRMG-148, OPRESULT-819, OPRESULT-820, OPRESULT-821, OPRESULT-822, OPRESULT-823, OPRESULT-824, OPRESULT-825</t>
  </si>
  <si>
    <t>Logframe BEND agnostic</t>
  </si>
  <si>
    <t>OPRESULT-661</t>
  </si>
  <si>
    <t>OPRESULT-757, OPRESULT-768, OPRESULT-779, OPRESULT-1003</t>
  </si>
  <si>
    <t>Integration with intervention slot summary component</t>
  </si>
  <si>
    <t>OPPREAWA-481</t>
  </si>
  <si>
    <t>OPPREAWA-496, OPPREAWA-1340, OPPREAWA-1346, OPSYSIOP-840</t>
  </si>
  <si>
    <t>[T3.PI9 - E.6] Payment Forecasts - Further Front-End Integration</t>
  </si>
  <si>
    <t>OPSYSIOP-1478</t>
  </si>
  <si>
    <t>OPSYSIOP-1957, OPSYSIOP-1967, OPSYSIOP-2045, OPSYSIOP-2046, OPSYSIOP-1482, OPSYSIOP-1492, OPSYSIOP-1500, OPSYSIOP-1567, OPSYSIOP-1931, OPSYSIOP-1531, OPSYSIOP-1488, OPSYSIOP-1533, OPSYSIOP-1759</t>
  </si>
  <si>
    <t>Migrate submission and evaluation workflows to Corporate Compass</t>
  </si>
  <si>
    <t>OPPREAWA-727</t>
  </si>
  <si>
    <t>EC Opsys Preaward PI8 It5, EC Opsys Preaward PI9 It2</t>
  </si>
  <si>
    <t>OPPREAWA-1348, OPPREAWA-726</t>
  </si>
  <si>
    <t>[T3.PI9 - FT10] Manage DAC Form</t>
  </si>
  <si>
    <t>OPSYSIOP-260</t>
  </si>
  <si>
    <t>EC OPSYS IOP PI7 It3, EC OPSYS IOP PI9 IP</t>
  </si>
  <si>
    <t>OPSYSIOP-1454, OPSYSIOP-1532, OPSYSIOP-270, OPSYSIOP-249, OPSYSIOP-268, OPSYSIOP-269, OPSYSIOP-329, OPSYSIOP-1453, OPSYSIOP-1455, OPSYSIOP-1871, OPSYSIOP-583</t>
  </si>
  <si>
    <t xml:space="preserve">Generated at Mon Dec 10 13:19:36 CET 2018 by BEGHAIN Olivier using JIRA 7.9.2#79002-sha1:3bb15b68ecd99a30eb364c4c1a393359bcad6278. </t>
  </si>
  <si>
    <r>
      <t xml:space="preserve">Displaying </t>
    </r>
    <r>
      <rPr>
        <b/>
        <sz val="12"/>
        <color rgb="FF000000"/>
        <rFont val="Arial"/>
        <family val="2"/>
      </rPr>
      <t>302</t>
    </r>
    <r>
      <rPr>
        <sz val="12"/>
        <color rgb="FF000000"/>
        <rFont val="Arial"/>
        <family val="2"/>
      </rPr>
      <t xml:space="preserve"> issues at </t>
    </r>
    <r>
      <rPr>
        <b/>
        <sz val="12"/>
        <color rgb="FF000000"/>
        <rFont val="Arial"/>
        <family val="2"/>
      </rPr>
      <t>10/Dec/18 13:16</t>
    </r>
    <r>
      <rPr>
        <sz val="12"/>
        <color rgb="FF000000"/>
        <rFont val="Arial"/>
        <family val="2"/>
      </rPr>
      <t>.</t>
    </r>
  </si>
  <si>
    <t>(Enabler) Refactor FO code - remove all the logic from the controllers in front office</t>
  </si>
  <si>
    <t>OPPREAWA-1887</t>
  </si>
  <si>
    <t>OPPREAWA-1310</t>
  </si>
  <si>
    <t>Hide 'Use contract level forecast'</t>
  </si>
  <si>
    <t>OPSYSIOP-2046</t>
  </si>
  <si>
    <t>Fix Copy from automatic forecast</t>
  </si>
  <si>
    <t>OPSYSIOP-2045</t>
  </si>
  <si>
    <t>(Enabler) Refactor the generation of the Tender Report/Receipt/WidthDrawal</t>
  </si>
  <si>
    <t>OPPREAWA-1886</t>
  </si>
  <si>
    <t>OPPREAWA-1572</t>
  </si>
  <si>
    <t>Manage the migration from the old tools to the new tools</t>
  </si>
  <si>
    <t>OPPREAWA-1885</t>
  </si>
  <si>
    <t>OPPREAWA-1558</t>
  </si>
  <si>
    <t>Set up https://webgate.acceptance.ec.europa.eu/mwp</t>
  </si>
  <si>
    <t>MWP-882</t>
  </si>
  <si>
    <t>EC eUI My Workplace PI9 It5</t>
  </si>
  <si>
    <t>IndicatorValue component container of disaggregations and SoV - Integration work</t>
  </si>
  <si>
    <t>OPRESULT-1549</t>
  </si>
  <si>
    <t>Results PI9 It5</t>
  </si>
  <si>
    <t>OPRESULT-1455, OPRESULT-912</t>
  </si>
  <si>
    <t>Document types of links</t>
  </si>
  <si>
    <t>OPCITNET-248</t>
  </si>
  <si>
    <t>OPCITNET-9</t>
  </si>
  <si>
    <t>Enable OpenId on OPSYS PF&amp;L2P services.</t>
  </si>
  <si>
    <t>OPSYSIOP-2036</t>
  </si>
  <si>
    <t>OPSYSIOP-1475, OPSYSIOP-1477</t>
  </si>
  <si>
    <t>Document Project Issues Workflows</t>
  </si>
  <si>
    <t>OPCITNET-247</t>
  </si>
  <si>
    <t>Program Increment 7</t>
  </si>
  <si>
    <t>Document Requirements Issues Workflows</t>
  </si>
  <si>
    <t>OPCITNET-246</t>
  </si>
  <si>
    <t>As an EO, I want to see the number of attached documents on the screen</t>
  </si>
  <si>
    <t>OPPREAWA-1834</t>
  </si>
  <si>
    <t>EC Opsys Preaward PI9 It4, EC Opsys Preaward PI9 It5</t>
  </si>
  <si>
    <t>Update services to use string ids</t>
  </si>
  <si>
    <t>OPSYSIOP-2035</t>
  </si>
  <si>
    <t>[FO] Remove the Reason Type from the Comments in Opening Session</t>
  </si>
  <si>
    <t>OPPREAWA-1829</t>
  </si>
  <si>
    <t>Update the Breadcrum to navigate to Logframe</t>
  </si>
  <si>
    <t>OPRESULT-1536</t>
  </si>
  <si>
    <t>OPRESULT-12</t>
  </si>
  <si>
    <t>Align deployment practices with DEVOPS standard for eRequest</t>
  </si>
  <si>
    <t>OPPREAWA-1816</t>
  </si>
  <si>
    <t>Align deployment practices with DEVOPS standard for PMG/AWD/SHL</t>
  </si>
  <si>
    <t>OPPREAWA-1815</t>
  </si>
  <si>
    <t>As OIA or OVA I don't want to see the number of declines counter in the shortlist selection screen for SIEA 2018</t>
  </si>
  <si>
    <t>OPPREAWA-1805</t>
  </si>
  <si>
    <t>OPPREAWA-132, OPPREAWA-398</t>
  </si>
  <si>
    <t>As OIA I want the invitation counters of the master shortlist to be updated after the submission deadline</t>
  </si>
  <si>
    <t>OPPREAWA-1799</t>
  </si>
  <si>
    <t>ng service for constructing the parent entity URL</t>
  </si>
  <si>
    <t>EUI-1419</t>
  </si>
  <si>
    <t>MWP-582</t>
  </si>
  <si>
    <t>[UAT 3/10/2018] - Replace the Label Position by Position title</t>
  </si>
  <si>
    <t>OPPREAWA-1788</t>
  </si>
  <si>
    <t>Background color to ux-popover__header</t>
  </si>
  <si>
    <t>EUI-1421</t>
  </si>
  <si>
    <t>OPSYSIOP-1920</t>
  </si>
  <si>
    <t>Stop lifecycle steps - BE (Manual)</t>
  </si>
  <si>
    <t>OPSYSIOP-2023</t>
  </si>
  <si>
    <t>[UAT 3/10/2018] - As a PO, I want that the number of days of a position is checked against the duration of the mission</t>
  </si>
  <si>
    <t>OPPREAWA-1781</t>
  </si>
  <si>
    <t>Opsys PI 10</t>
  </si>
  <si>
    <t>[UAT 3/10/2018] - As a PO, I want to have the Tender Language defined as the default language when drafting deliverables</t>
  </si>
  <si>
    <t>OPPREAWA-1779</t>
  </si>
  <si>
    <t>[UAT 3/10/2018] - As a PO, I want to define the periodicity of a deliverables with 2 decimals</t>
  </si>
  <si>
    <t>OPPREAWA-1775</t>
  </si>
  <si>
    <t>Bundle analyzer</t>
  </si>
  <si>
    <t>EUI-1409</t>
  </si>
  <si>
    <t>EUI-1201</t>
  </si>
  <si>
    <t>Preparation for future tasks</t>
  </si>
  <si>
    <t>OPPREAWA-1769</t>
  </si>
  <si>
    <t>EC Opsys Preaward PI9 It2, EC Opsys Preaward PI9 It3, EC Opsys Preaward PI9 It4, EC Opsys Preaward PI9 It5</t>
  </si>
  <si>
    <t>As an EO, I may want to upload 'Other' documents</t>
  </si>
  <si>
    <t>OPPREAWA-1768</t>
  </si>
  <si>
    <t>Entity review - Slot</t>
  </si>
  <si>
    <t>OPSYSIOP-2012</t>
  </si>
  <si>
    <t>Entity review - Implementation Plan</t>
  </si>
  <si>
    <t>OPSYSIOP-2011</t>
  </si>
  <si>
    <t>Manage task creation/completion for link between slot and intervention</t>
  </si>
  <si>
    <t>OPSYSIOP-2005</t>
  </si>
  <si>
    <t>As PM, I want to provide the list of supported attachments (and their properties) to clients of the getProcedureConfigurationDetails service</t>
  </si>
  <si>
    <t>OPPREAWA-1743</t>
  </si>
  <si>
    <t>EC Opsys Preaward PI10 General</t>
  </si>
  <si>
    <t>As Connector, I want to retrieve the list of supported attachments (and their properties) from the Procedure configuration so that this information is made available to clients of the getProcedureDetails service</t>
  </si>
  <si>
    <t>OPPREAWA-1742</t>
  </si>
  <si>
    <t>As eSubmission, I want to receive the list of supported documents (with their properties) that may/must be attached to a Tender</t>
  </si>
  <si>
    <t>OPPREAWA-1740</t>
  </si>
  <si>
    <t>(Enabler) Create optional link between Invitation and Lot</t>
  </si>
  <si>
    <t>OPPREAWA-1737</t>
  </si>
  <si>
    <t>(Enabler) Move the submission configuration to TND_TB_CFT_SUBPROCESS</t>
  </si>
  <si>
    <t>OPPREAWA-1736</t>
  </si>
  <si>
    <t>Integrate disaggregations into IndicatorValue container</t>
  </si>
  <si>
    <t>OPRESULT-1478</t>
  </si>
  <si>
    <t>Results PI9 It4, Results PI9 It5</t>
  </si>
  <si>
    <t>[CR] As a PO, I want to see the Quantity and the Quantity unit in the same row</t>
  </si>
  <si>
    <t>OPPREAWA-1730</t>
  </si>
  <si>
    <t>As a PO, I want to be able to generate the RfS on complete</t>
  </si>
  <si>
    <t>OPPREAWA-1729</t>
  </si>
  <si>
    <t>create infrastructure to store document list instances</t>
  </si>
  <si>
    <t>OPPREAWA-1728</t>
  </si>
  <si>
    <t>Create infrastructure to store system user credential per endpoint</t>
  </si>
  <si>
    <t>OPPREAWA-1727</t>
  </si>
  <si>
    <t>Refactor SSE implementation</t>
  </si>
  <si>
    <t>MWP-861</t>
  </si>
  <si>
    <t>MWP-574</t>
  </si>
  <si>
    <t>Users &amp; orgs service: add cache in front of CCM2-to-COMREF converter</t>
  </si>
  <si>
    <t>MWP-860</t>
  </si>
  <si>
    <t>MWP-548</t>
  </si>
  <si>
    <t>Configuration of Frontend for OpenID</t>
  </si>
  <si>
    <t>OPPREAWA-1720</t>
  </si>
  <si>
    <t>EC Opsys Preaward PI9 It3, EC Opsys Preaward PI9 It4, EC Opsys Preaward PI9 It5</t>
  </si>
  <si>
    <t>Disabled QM types are lost when used in Core Indicator and Disabled</t>
  </si>
  <si>
    <t>OPRESULT-1466</t>
  </si>
  <si>
    <t>OPSYS-7410, OPSYS-7411, OPRESULT-789</t>
  </si>
  <si>
    <t>Error Management Implementations</t>
  </si>
  <si>
    <t>EUI-1398</t>
  </si>
  <si>
    <t>EC eUI My Workplace PI9 It4, EC eUI My Workplace PI9 It5</t>
  </si>
  <si>
    <t>MWP-416</t>
  </si>
  <si>
    <t>[QM - Qualitative Type] - Change Qualitative in Int Logic in logframe, indicator page, review value and Int logic</t>
  </si>
  <si>
    <t>OPRESULT-1460</t>
  </si>
  <si>
    <t>Results PI10 It1</t>
  </si>
  <si>
    <t>[QM - Qualitative Type] - Change Qualitative in review value page to display the “ID” of the selected Qualitative Type in UI Language</t>
  </si>
  <si>
    <t>OPRESULT-1459</t>
  </si>
  <si>
    <t>[QM - Qualitative Type] - Change Qualitative in indicator page to display the “ID” of the selected Qualitative Type in UI Language</t>
  </si>
  <si>
    <t>OPRESULT-1458</t>
  </si>
  <si>
    <t>[QM - Qualitative Type] - Change Qualitative current value in logframe to display the “ID” of the selected Qualitative Type in UI Language</t>
  </si>
  <si>
    <t>OPRESULT-1457</t>
  </si>
  <si>
    <t>[QM - Disaggregation Type] - Modify the display in Customised Indicator to display real sex disaggregation</t>
  </si>
  <si>
    <t>OPRESULT-1456</t>
  </si>
  <si>
    <t>OPSYS-7420, OPRESULT-791</t>
  </si>
  <si>
    <t>IndicatorValue component container of disaggregations and SoV - Backbone preparation</t>
  </si>
  <si>
    <t>OPRESULT-1455</t>
  </si>
  <si>
    <t>OPRESULT-1549, OPRESULT-912</t>
  </si>
  <si>
    <t>[QM - Disaggregation Type] - Display the disaggregations mandatory and optional selector in result indicator no dynamic displayer</t>
  </si>
  <si>
    <t>OPRESULT-1454</t>
  </si>
  <si>
    <t>OPSYS-7340, OPSYS-7419, OPRESULT-791</t>
  </si>
  <si>
    <t>[QM - Source of Verification] - Change SoV in Customised Indicator</t>
  </si>
  <si>
    <t>OPRESULT-1453</t>
  </si>
  <si>
    <t>Integrate SoV in IndicatorValue container</t>
  </si>
  <si>
    <t>OPRESULT-1452</t>
  </si>
  <si>
    <t>[QM - Source of Verification] - Display SoV mandatory and optional in Reuse Core Indicator screen no dynamic displayer</t>
  </si>
  <si>
    <t>OPRESULT-1451</t>
  </si>
  <si>
    <t>OPSYS-7421, OPRESULT-912</t>
  </si>
  <si>
    <t>[QM - Qualitative Type] - Display Qualitative type in read only in Reuse Core Indicator screen</t>
  </si>
  <si>
    <t>OPRESULT-1449</t>
  </si>
  <si>
    <t>OPRESULT-1569, OPSYS-7418, OPRESULT-911</t>
  </si>
  <si>
    <t>[QM - Unit of Measure] - Display UoM read only in Reuse Core Indicator screen</t>
  </si>
  <si>
    <t>OPRESULT-1448</t>
  </si>
  <si>
    <t>OPRESULT-1569, OPSYS-7417, OPRESULT-910</t>
  </si>
  <si>
    <t>Dashboard configuration for roles by Administrator</t>
  </si>
  <si>
    <t>MWP-858</t>
  </si>
  <si>
    <t>MWP-549</t>
  </si>
  <si>
    <t>Prepare the env for future tasks</t>
  </si>
  <si>
    <t>OPPREAWA-1712</t>
  </si>
  <si>
    <t>My Workplace: fix PROD application by adding the /mwp/ context root everywhere.</t>
  </si>
  <si>
    <t>MWP-857</t>
  </si>
  <si>
    <t>EC eUI My Workplace PI9 It3, EC eUI My Workplace PI9 It4</t>
  </si>
  <si>
    <t>Users &amp; organisations micro-service: search user by department name</t>
  </si>
  <si>
    <t>MWP-856</t>
  </si>
  <si>
    <t>Start lifecycle steps - FE (Manual)</t>
  </si>
  <si>
    <t>OPSYSIOP-1980</t>
  </si>
  <si>
    <t>US - Multi language support in the e-Submission back office</t>
  </si>
  <si>
    <t>OPPREAWA-1707</t>
  </si>
  <si>
    <t>Enable/Disable features depending of the environment</t>
  </si>
  <si>
    <t>MWP-855</t>
  </si>
  <si>
    <t>Translation management: Prepare migration from Assets to DB</t>
  </si>
  <si>
    <t>MWP-853</t>
  </si>
  <si>
    <t>MWP-795</t>
  </si>
  <si>
    <t>L2P-PF FE - CSDR - TS Lint compliance</t>
  </si>
  <si>
    <t>OPSYSIOP-1975</t>
  </si>
  <si>
    <t>Development/update of the publishing mechanism to Sedia</t>
  </si>
  <si>
    <t>OPPREAWA-1689</t>
  </si>
  <si>
    <t>OPPREAWA-1654, OPPREAWA-1656</t>
  </si>
  <si>
    <t>(Enabler) Implement SECUNDA checks in eSubmission BO - Opening Session and Evaluation Session</t>
  </si>
  <si>
    <t>OPPREAWA-1687</t>
  </si>
  <si>
    <t>EC Opsys Preaward PI9 It1, EC Opsys Preaward PI9 It3, EC Opsys Preaward PI9 It4, EC Opsys Preaward PI9 It5</t>
  </si>
  <si>
    <t>[CONF][AMD][new exercise] AMD option item: SIEA ALL AMD AT_9: add new variables e to support new business requirement with option to print the whole ToR and a field to describe the modifications of the ToR</t>
  </si>
  <si>
    <t>OPPOSTWARD-419</t>
  </si>
  <si>
    <t>EC Opsys Postawards PI9 It3</t>
  </si>
  <si>
    <t>ux-form-control does not support timezone</t>
  </si>
  <si>
    <t>EUI-1387</t>
  </si>
  <si>
    <t>EUI-1312, EUI-1201</t>
  </si>
  <si>
    <t>Add the public-facing PROD MyWorkplace in place</t>
  </si>
  <si>
    <t>MWP-842</t>
  </si>
  <si>
    <t>EC eUI My Workplace PI9 It3</t>
  </si>
  <si>
    <t>DESIGN - Portfolio look &amp; feel harmonization - implementation</t>
  </si>
  <si>
    <t>MWP-841</t>
  </si>
  <si>
    <t>EC eUI My Workplace PI7 It4, EC eUI My Workplace PI8 It2, EC eUI My Workplace PI8 It3, EC eUI My Workplace PI8 It4, EC eUI My Workplace PI9 It2, EC eUI My Workplace PI9 It3</t>
  </si>
  <si>
    <t>PFM-124, MWP-441</t>
  </si>
  <si>
    <t>Activate real Secunda security for Post Award processes</t>
  </si>
  <si>
    <t>OPPOSTWARD-417</t>
  </si>
  <si>
    <t>Handover and coaching activities (in PI9)</t>
  </si>
  <si>
    <t>OPPREAWA-1667</t>
  </si>
  <si>
    <t>Users &amp; organisations micro-service: add historical look-ups</t>
  </si>
  <si>
    <t>MWP-837</t>
  </si>
  <si>
    <t>Implement PDM/URF to replace PADOR</t>
  </si>
  <si>
    <t>OPPREAWA-1652</t>
  </si>
  <si>
    <t>OPPREAWA-1647, OPPREAWA-1649</t>
  </si>
  <si>
    <t>Return an error if OpenSession is requested outside the opening session window</t>
  </si>
  <si>
    <t>OPPREAWA-1651</t>
  </si>
  <si>
    <t>OPPREAWA-894</t>
  </si>
  <si>
    <t>Sync the action with the portfolio - include organisation and update users</t>
  </si>
  <si>
    <t>OPSYSIOP-1955</t>
  </si>
  <si>
    <t>OPSYS PI 9, TRACK3-0.23.0</t>
  </si>
  <si>
    <t>OPSYSIOP-1408, OPSYSIOP-1343</t>
  </si>
  <si>
    <t>Recreate task when intervention is deleted or when action/component detached</t>
  </si>
  <si>
    <t>OPSYSIOP-1954</t>
  </si>
  <si>
    <t>Update task when action is updated or deleted</t>
  </si>
  <si>
    <t>OPSYSIOP-1953</t>
  </si>
  <si>
    <t>Entity review - Action Component</t>
  </si>
  <si>
    <t>OPSYSIOP-1952</t>
  </si>
  <si>
    <t>Entity review - IPD Component Sector</t>
  </si>
  <si>
    <t>OPSYSIOP-1951</t>
  </si>
  <si>
    <t>OPSYSIOP-1351, OPSYSIOP-1450</t>
  </si>
  <si>
    <t>Entity review - IPD Component</t>
  </si>
  <si>
    <t>OPSYSIOP-1950</t>
  </si>
  <si>
    <t>Entity review - Basic Act Component</t>
  </si>
  <si>
    <t>OPSYSIOP-1949</t>
  </si>
  <si>
    <t>OPSYSIOP-1351, OPSYSIOP-1451</t>
  </si>
  <si>
    <t>Entity review - Action consumption</t>
  </si>
  <si>
    <t>OPSYSIOP-1948</t>
  </si>
  <si>
    <t>SyGMa - Upgrade to CDM 17.4</t>
  </si>
  <si>
    <t>OPPOSTWARD-416</t>
  </si>
  <si>
    <t>OPPOSTWARD-415</t>
  </si>
  <si>
    <t>Compass - Upgrade to CDM 17.4</t>
  </si>
  <si>
    <t>SyGMa - Upgrade to CDM 17.3</t>
  </si>
  <si>
    <t>OPPOSTWARD-414</t>
  </si>
  <si>
    <t>Compass - Upgrade to CDM 17.3</t>
  </si>
  <si>
    <t>OPPOSTWARD-413</t>
  </si>
  <si>
    <t>EC Opsys Postawards PI9 It2</t>
  </si>
  <si>
    <t>OPPOSTWARD-125</t>
  </si>
  <si>
    <t>As eRequest System, I'm persisting the business identifier and Lot number of the selected parent lot as part of the procedure configuration</t>
  </si>
  <si>
    <t>OPPREAWA-1638</t>
  </si>
  <si>
    <t>Document the Secunda group to use to allow impersonation</t>
  </si>
  <si>
    <t>MWP-830</t>
  </si>
  <si>
    <t>EC eUI My Workplace PI9 It3, EC eUI My Workplace PI9 It4, EC eUI My Workplace PI9 It5</t>
  </si>
  <si>
    <t>MWP-575</t>
  </si>
  <si>
    <t>MWP AWS Test Environment</t>
  </si>
  <si>
    <t>MWP-823</t>
  </si>
  <si>
    <t>COMPCORP-PI4, Program Increment 9</t>
  </si>
  <si>
    <t>MWP-808, MWP-572</t>
  </si>
  <si>
    <t>(Enabler) Integrate with Role Management component of SEDIA Portal</t>
  </si>
  <si>
    <t>OPPREAWA-1633</t>
  </si>
  <si>
    <t>As an initiating agent, I save the draft call in Prospect and the corresponding task is updated in Opsys</t>
  </si>
  <si>
    <t>OPPREAWA-1628</t>
  </si>
  <si>
    <t>OPPREAWA-1624, OPPREAWA-1632</t>
  </si>
  <si>
    <t>(Enabler) Upgrade to CDM 17.3</t>
  </si>
  <si>
    <t>OPPREAWA-1627</t>
  </si>
  <si>
    <t>EC Opsys Preaward PI8 It5, EC Opsys Preaward PI9 It1, EC Opsys Preaward PI9 It2, EC Opsys Preaward PI9 It3, EC Opsys Preaward PI9 It4</t>
  </si>
  <si>
    <t>OPPREAWA-1147, OPPREAWA-539, OPPREAWA-1426</t>
  </si>
  <si>
    <t>Remove all usages of datasource jdbc/misUserpermDS</t>
  </si>
  <si>
    <t>OPSYSIOP-1933</t>
  </si>
  <si>
    <t>As the Initiating Agent who claimed the "Call creation" task, I click on the link that allows the call creation</t>
  </si>
  <si>
    <t>OPPREAWA-1624</t>
  </si>
  <si>
    <t>OPPREAWA-1619, OPPREAWA-1620, OPPREAWA-1628, OPPREAWA-1632, OPPREAWA-1622</t>
  </si>
  <si>
    <t>As an Initiating agent appointed to the "Call creation" task, I claim the task</t>
  </si>
  <si>
    <t>OPPREAWA-1623</t>
  </si>
  <si>
    <t>OPPREAWA-1632, OPPREAWA-1622</t>
  </si>
  <si>
    <t>As an Initiating Agent appointed to the "Call creation" task, I receive the task in "My workplace"</t>
  </si>
  <si>
    <t>OPPREAWA-1622</t>
  </si>
  <si>
    <t>OPPREAWA-1619, OPPREAWA-1623, OPPREAWA-1624, OPPREAWA-1632, OPPREAWA-1616</t>
  </si>
  <si>
    <t>Identify the necessary "Procedure type" codes in CCM2 (Prospect - call creation)</t>
  </si>
  <si>
    <t>OPPREAWA-1621</t>
  </si>
  <si>
    <t>OPPREAWA-1620</t>
  </si>
  <si>
    <t>Identify the necessary "Call type" and "Procedure type" codes in CCM2 (Prospect - call creation)</t>
  </si>
  <si>
    <t>OPPREAWA-1624, OPPREAWA-1632, OPPREAWA-1621</t>
  </si>
  <si>
    <t>Creation of a "Call creation" task in the taskbox</t>
  </si>
  <si>
    <t>OPPREAWA-1619</t>
  </si>
  <si>
    <t>OPPREAWA-1606, OPPREAWA-1611, OPPREAWA-1624, OPPREAWA-1632, OPPREAWA-1622, OPPREAWA-1630</t>
  </si>
  <si>
    <t>Compare existing fields in PADOR with PDM/URF</t>
  </si>
  <si>
    <t>OPPREAWA-1618</t>
  </si>
  <si>
    <t>OPPREAWA-1617, OPPREAWA-1649</t>
  </si>
  <si>
    <t>Use PDM/URF in replacement of PADOR for applicant</t>
  </si>
  <si>
    <t>OPPREAWA-1617</t>
  </si>
  <si>
    <t>OPPREAWA-1618, OPPREAWA-1647</t>
  </si>
  <si>
    <t>Create a task for each Inititaing Agent and send it to MyWorkplace</t>
  </si>
  <si>
    <t>OPPREAWA-1616</t>
  </si>
  <si>
    <t>Connector should wait until publication date to communicate with other components (the Negotiated Procedures case)</t>
  </si>
  <si>
    <t>OPPREAWA-1613</t>
  </si>
  <si>
    <t>OPPREAWA-1612, OPPREAWA-1394</t>
  </si>
  <si>
    <t>Connector should wait until publication date to communicate with other components (the Restricted Procedure Step 1 case)</t>
  </si>
  <si>
    <t>OPPREAWA-1612</t>
  </si>
  <si>
    <t>OPPREAWA-1613, OPPREAWA-1228, OPPREAWA-1393</t>
  </si>
  <si>
    <t>Use SECUNDA for having Initating Agents</t>
  </si>
  <si>
    <t>OPPREAWA-1609</t>
  </si>
  <si>
    <t>OPPREAWA-1632</t>
  </si>
  <si>
    <t>Procedure Manager will provide the business identifier of the selected parent lot as part of the procedure configuration</t>
  </si>
  <si>
    <t>OPPREAWA-1608</t>
  </si>
  <si>
    <t>Generate non-awarding letters when Compass emits event</t>
  </si>
  <si>
    <t>OPPREAWA-1604</t>
  </si>
  <si>
    <t>Pass the awarding round number to Compass</t>
  </si>
  <si>
    <t>Payment Forecast, define and implement parameters to enable copy from parent</t>
  </si>
  <si>
    <t>OPSYSIOP-1931</t>
  </si>
  <si>
    <t>EC OPSYS IOP PI9 It2</t>
  </si>
  <si>
    <t>OPPREAWA-1594</t>
  </si>
  <si>
    <t>EC Opsys Preaward PI9 It2, EC Opsys Preaward PI9 It3, EC Opsys Preaward PI9 It4</t>
  </si>
  <si>
    <t>[PPCMS][AMDC] As a Contractor I want to view the request for more information, so that I can upload an answer on the requested additional information regarding AMDC by CA</t>
  </si>
  <si>
    <t>OPPOSTWARD-391</t>
  </si>
  <si>
    <t>OPPOSTWARD-390</t>
  </si>
  <si>
    <t>[PPCMS][AMDC] As a Contractor I want to submit the signed AMDC to CA, so that AMDC is submitted to CA to start the assessment on it</t>
  </si>
  <si>
    <t>[PPCMS][AMDC] As a Contractor I want to be able to revoke the informal review of AMDC, so that AMDC is back to my control</t>
  </si>
  <si>
    <t>OPPOSTWARD-389</t>
  </si>
  <si>
    <t>EC Opsys Postawards PI9 It4</t>
  </si>
  <si>
    <t>OPPOSTWARD-388</t>
  </si>
  <si>
    <t>[COMPASS][AMDC] As AO I want to view the AMDC's data and "invalid AMD request letter", so that I can agree and give final visa on "invalid AMD request" letter</t>
  </si>
  <si>
    <t>[PPCMS][AMDC] As a Contractor I want to edit the AMDC data, so that an AMDC is prepared</t>
  </si>
  <si>
    <t>OPPOSTWARD-387</t>
  </si>
  <si>
    <t>OPPOSTWARD-385</t>
  </si>
  <si>
    <t>[COMPASS][AMDE] As FIA I want to view data of amendment and eventually the given reasons for loop-back by other actors, so that I can cancel the amendment before Contracting Authority signature</t>
  </si>
  <si>
    <t>OPPOSTWARD-386</t>
  </si>
  <si>
    <t>[COMPASS][AMDE] As OIA I want to view data of amendment and eventually the given reasons for loop-back by other actors, so that I can cancel the amendment before Contracting Authority signature</t>
  </si>
  <si>
    <t>OPPOSTWARD-377, OPPOSTWARD-387</t>
  </si>
  <si>
    <t>[COMPASS][AMDE] As Compass system I want to update, register or delete remaining documents on the flow, so that all documents containing attachments are registered and all documents without any attachment are deleted</t>
  </si>
  <si>
    <t>OPPOSTWARD-384</t>
  </si>
  <si>
    <t>OPPOSTWARD-383</t>
  </si>
  <si>
    <t>[SYGMA][AMD][new exercise][BR] REQ.2085: Change of ToR mandarory documents</t>
  </si>
  <si>
    <t>OPPOSTWARD-382, OPPOSTWARD-384</t>
  </si>
  <si>
    <t>[SYGMA][AMD][new exercise] AT9: Change of Annex 1 (Specific ToR): update to support new business requirement</t>
  </si>
  <si>
    <t>OPPOSTWARD-382</t>
  </si>
  <si>
    <t>OPPOSTWARD-383, OPPOSTWARD-381</t>
  </si>
  <si>
    <t>[COMPASS][AMDC] As AO I want to view the AMDC's data, so that I be able to decide the authorisation in ABAC</t>
  </si>
  <si>
    <t>OPPOSTWARD-381</t>
  </si>
  <si>
    <t>OPPOSTWARD-380, OPPOSTWARD-382</t>
  </si>
  <si>
    <t>[PPCMS][AMDE] As PPCMS I want to send back to Compass the final status of the user task, so that Compass could continue the flow</t>
  </si>
  <si>
    <t>OPPOSTWARD-380</t>
  </si>
  <si>
    <t>OPPOSTWARD-379, OPPOSTWARD-96, OPPOSTWARD-381</t>
  </si>
  <si>
    <t>[PPCMS][AMDE] As Contractor I want to view the amendment proposed and signed by CA, so that I can reject the amendment</t>
  </si>
  <si>
    <t>OPPOSTWARD-379</t>
  </si>
  <si>
    <t>OPPOSTWARD-380, OPPOSTWARD-96</t>
  </si>
  <si>
    <t>[COMPASS][AMDE] As Operational Manager / Project Manager I want to view the current status of the submitted AMD-E, so that I can monitor the progress of the AMD-E while it is under Contractor assessment</t>
  </si>
  <si>
    <t>OPPOSTWARD-378</t>
  </si>
  <si>
    <t>OPPOSTWARD-96</t>
  </si>
  <si>
    <t>[SYGMA][PPCMS][COMPASS] Amendment Launcher AMDC - integration</t>
  </si>
  <si>
    <t>OPPOSTWARD-377</t>
  </si>
  <si>
    <t>[SYGMA][CL2] Support connection to Implementation Plan slot (Track3) at Initialise CL2</t>
  </si>
  <si>
    <t>OPPOSTWARD-376</t>
  </si>
  <si>
    <t>[SYGMA][CL2] Review CL2 use cases + screens</t>
  </si>
  <si>
    <t>OPPOSTWARD-375</t>
  </si>
  <si>
    <t>[SYGMA][CL2] Edit CL2 with changes from our latest discussions/demo (August 2018)</t>
  </si>
  <si>
    <t>OPPOSTWARD-374</t>
  </si>
  <si>
    <t>[SYGMA][BR] Implementation of REQ.1981 - Eligibility criteria of a Contractor in SC</t>
  </si>
  <si>
    <t>OPPOSTWARD-373</t>
  </si>
  <si>
    <t>OPPOSTWARD-372</t>
  </si>
  <si>
    <t>Implementation of REQ. for Deliverables</t>
  </si>
  <si>
    <t>[SYGMA][AMD][UI] Documents Screen additional functionalities</t>
  </si>
  <si>
    <t>OPPOSTWARD-371</t>
  </si>
  <si>
    <t>[SYGMA] UAT feedback - Review the contract data</t>
  </si>
  <si>
    <t>OPPOSTWARD-370</t>
  </si>
  <si>
    <t>[SYGMA] IAM - review security</t>
  </si>
  <si>
    <t>OPPOSTWARD-369</t>
  </si>
  <si>
    <t>[SYGMA] Deliverables: Opsys - PPCMS Integration - Architecture re-design</t>
  </si>
  <si>
    <t>OPPOSTWARD-368</t>
  </si>
  <si>
    <t>[SYGMA] Deliverable screens changes due to harmonization and deletion of Due date field</t>
  </si>
  <si>
    <t>OPPOSTWARD-367</t>
  </si>
  <si>
    <t>Deliverable screen new layout in order to harmonize with Pre-award</t>
  </si>
  <si>
    <t>OPPOSTWARD-366</t>
  </si>
  <si>
    <t>[SYGMA] Import Framework Contract (FWC) Data - FINAL</t>
  </si>
  <si>
    <t>OPPOSTWARD-365</t>
  </si>
  <si>
    <t>[COMPASS][AMDC] As an OIA I want to view the AMDC's data, so that I can wait the answer on the requested additional information regarding AMDC submitted by Contractor</t>
  </si>
  <si>
    <t>OPPOSTWARD-364</t>
  </si>
  <si>
    <t>MWP TST AWS Environment for Saucelabs (per Track 1 request)</t>
  </si>
  <si>
    <t>MWP-808</t>
  </si>
  <si>
    <t>EC eUI My Workplace PI7 It4, EC eUI My Workplace PI8 It2, EC eUI My Workplace PI8 It3, EC eUI My Workplace PI9 It3</t>
  </si>
  <si>
    <t>MWP-823, MWP-391, MWP-572</t>
  </si>
  <si>
    <t>On Launch from Procedure Manager With PROCEDURE_ID create documents for each tender entity</t>
  </si>
  <si>
    <t>OPPOSTWARD-363</t>
  </si>
  <si>
    <t>Procurement - Compass Integration in the context of Opsys - IOP</t>
  </si>
  <si>
    <t>OPPOSTWARD-362</t>
  </si>
  <si>
    <t>OPPOSTWARD-361</t>
  </si>
  <si>
    <t>[SYGMA] Create &amp; Resolve Context for contract</t>
  </si>
  <si>
    <t>[SYG][ToA:all][CTP|AMD] OPSYS: Store and manage LCK ABAC key in the Contract Project data in sygma opsys</t>
  </si>
  <si>
    <t>OPPOSTWARD-360</t>
  </si>
  <si>
    <t>OPPOSTWARD-131</t>
  </si>
  <si>
    <t>[PPCMS] Contract details - component migration to eui3</t>
  </si>
  <si>
    <t>OPPOSTWARD-359</t>
  </si>
  <si>
    <t>OPPOSTWARD-358</t>
  </si>
  <si>
    <t>[PPCMS] Amendment Action Component (part of Actions component)</t>
  </si>
  <si>
    <t>[PPCMS] Actions component</t>
  </si>
  <si>
    <t>OPPOSTWARD-357</t>
  </si>
  <si>
    <t>OPPOSTWARD-270</t>
  </si>
  <si>
    <t>[OPSYS][COMPASS][CL1][POC] WF Analysis</t>
  </si>
  <si>
    <t>OPPOSTWARD-356</t>
  </si>
  <si>
    <t>[OPSYS][COMPASS][CL1] Data Mapping Analysis</t>
  </si>
  <si>
    <t>OPPOSTWARD-355</t>
  </si>
  <si>
    <t>OPPOSTWARD-354</t>
  </si>
  <si>
    <t>[OPSYS][COMPASS][CFD][POC] WF Analysis</t>
  </si>
  <si>
    <t>Documents component - Documentation</t>
  </si>
  <si>
    <t>OPPOSTWARD-353</t>
  </si>
  <si>
    <t>[COMPASS][SC] Collect the necessary attachments for the contract from pre-award</t>
  </si>
  <si>
    <t>OPPOSTWARD-352</t>
  </si>
  <si>
    <t>[COMPASS][AMDC] Opsys - AMD Launcher - Integrate ppcms launch process</t>
  </si>
  <si>
    <t>OPPOSTWARD-351</t>
  </si>
  <si>
    <t>[Compass]: Filing details for Opsys documents created by Compass</t>
  </si>
  <si>
    <t>OPPOSTWARD-350</t>
  </si>
  <si>
    <t>OPPOSTWARD-349</t>
  </si>
  <si>
    <t>[COMPASS] The hardcoded values for CL2 &amp; LCK, PF should be retrieved from sygma</t>
  </si>
  <si>
    <t>OPPOSTWARD-350, OPPOSTWARD-348</t>
  </si>
  <si>
    <t>[COMPASS] Specific Contract Preparation - Tasks header</t>
  </si>
  <si>
    <t>OPPOSTWARD-348</t>
  </si>
  <si>
    <t>[COMPASS] Implements Session Mechanism for Compass Corporate - Business layer</t>
  </si>
  <si>
    <t>OPPOSTWARD-347</t>
  </si>
  <si>
    <t>[COMPASS] Implement New Conversation mechanism - Compass CC</t>
  </si>
  <si>
    <t>OPPOSTWARD-346</t>
  </si>
  <si>
    <t>[COMPASS] [PRE-AWARD][PUB] Read only access to eSubmission Monitoring screen</t>
  </si>
  <si>
    <t>OPPOSTWARD-345</t>
  </si>
  <si>
    <t>[COMPASS] [PRE-AWARD][EVL] FIN_EVAL_GRID - Read only access to eSubmission to be switched to real Session</t>
  </si>
  <si>
    <t>OPPOSTWARD-344</t>
  </si>
  <si>
    <t>OPPOSTWARD-343</t>
  </si>
  <si>
    <t>[COMPASS] [PRE-AWARD][EVL] Business Instruction to be propagated from eSubmission to Procedure Manager</t>
  </si>
  <si>
    <t>EC Opsys Postawards PI9 It3, EC Opsys Preaward PI8 It2</t>
  </si>
  <si>
    <t>sytem get description value for affectation from CCM2 the 1st evaluation page</t>
  </si>
  <si>
    <t>OPPREAWA-1589</t>
  </si>
  <si>
    <t>EC Opsys Preaward PI9 It1, EC Opsys Preaward PI9 It2, EC Opsys Preaward PI9 It3, EC Opsys Preaward PI9 It4, EC Opsys Preaward PI9 It5</t>
  </si>
  <si>
    <t>system checks the 1st evaluation page access not from xSec but from Secunda for internal users</t>
  </si>
  <si>
    <t>OPPREAWA-1588</t>
  </si>
  <si>
    <t>OPPREAWA-1411, OPPREAWA-1460</t>
  </si>
  <si>
    <t>Review of templates for L2P and PF services</t>
  </si>
  <si>
    <t>OPSYSIOP-1928</t>
  </si>
  <si>
    <t>[COMPASS][AMDC] As Compass system I want to send all previous collected visas in ABAC, so that I ensure full automated recording of the changes in ABAC, adding the visa of the different actors (IA, OVA, FVA)</t>
  </si>
  <si>
    <t>OPPOSTWARD-341</t>
  </si>
  <si>
    <t>[COMPASS][AMDE] As Compass system I want to request generation of AMDE as PDF file, so that it will be accessible on document list to other actors of the flow</t>
  </si>
  <si>
    <t>OPPOSTWARD-340</t>
  </si>
  <si>
    <t>[COMPASS][AMDE] As OVA I want to view data of amendment, so that I can do the operational verifications of the proposed AMD-E</t>
  </si>
  <si>
    <t>OPPOSTWARD-339</t>
  </si>
  <si>
    <t>[COMPASS][AMDC] As Budget Planner (FIA) I want to view amendment data, so that I see about modifications on Commitments Level 2(CL2) were finalised with success in ABAC</t>
  </si>
  <si>
    <t>OPPOSTWARD-338</t>
  </si>
  <si>
    <t>[COMPASS][AMDE] As a Compass system I detect the agreed solution after initiation phase, so that I can decide where will the flow goes as next step</t>
  </si>
  <si>
    <t>OPPOSTWARD-337</t>
  </si>
  <si>
    <t>[COMPASS][AMDE] As FIA I want to view data of amendment and the proposed solution of OIA, after completion of her/his task, so that I can ACCEPT the OIA proposal</t>
  </si>
  <si>
    <t>OPPOSTWARD-336</t>
  </si>
  <si>
    <t>OPPOSTWARD-334, OPPOSTWARD-96</t>
  </si>
  <si>
    <t>[COMPASS][AMDE] As FIA I want to view data of amendment and the status of OIA task, so that I can go further to take a decision on his/her proposal</t>
  </si>
  <si>
    <t>OPPOSTWARD-335</t>
  </si>
  <si>
    <t>[COMPASS][AMDE] As FIA I want to edit the contract data, so that modified data of the contract will be automatically transformed into amendment clauses</t>
  </si>
  <si>
    <t>OPPOSTWARD-334</t>
  </si>
  <si>
    <t>OPPOSTWARD-335, OPPOSTWARD-336, OPPOSTWARD-96</t>
  </si>
  <si>
    <t>1035-[COMPASS][AMDE] As FIA I want to view the contract data, so that I can plan the necessary modifications and add the explanatory notes on amendment</t>
  </si>
  <si>
    <t>OPPOSTWARD-333</t>
  </si>
  <si>
    <t>[COMPASS][AMDE] As OIA I want to edit the contract data, so that modified data of the contract will be automatically transformed into amendment clauses</t>
  </si>
  <si>
    <t>OPPOSTWARD-332</t>
  </si>
  <si>
    <t>OPPOSTWARD-331, OPPOSTWARD-96</t>
  </si>
  <si>
    <t>[COMPASS][AMDE] As OIA I want to view the contract data, so that I can plan the necessary modifications and add the explanatory notes of amendment</t>
  </si>
  <si>
    <t>OPPOSTWARD-331</t>
  </si>
  <si>
    <t>OPPOSTWARD-332, OPPOSTWARD-96</t>
  </si>
  <si>
    <t>[COMPASS][AMDE] As OIA I want to start an AMDE, so that AMDE is created</t>
  </si>
  <si>
    <t>OPPOSTWARD-330</t>
  </si>
  <si>
    <t>[SyGMa] Experts Screen Implementation</t>
  </si>
  <si>
    <t>[SyGma] Continuous Reporting CTX to support Deliverables</t>
  </si>
  <si>
    <t>OPPOSTWARD-328</t>
  </si>
  <si>
    <t>OPPOSTWARD-129, OPPOSTWARD-79</t>
  </si>
  <si>
    <t>[SYGMA] [CDM] Updates on Procurement Project</t>
  </si>
  <si>
    <t>OPPOSTWARD-327</t>
  </si>
  <si>
    <t>OPPOSTWARD-11, OPPOSTWARD-32</t>
  </si>
  <si>
    <t>[SYGMA] Deliverables - update with database changes</t>
  </si>
  <si>
    <t>OPPOSTWARD-326</t>
  </si>
  <si>
    <t>OPPOSTWARD-268, OPPOSTWARD-164, OPPOSTWARD-173, OPPOSTWARD-171, OPPOSTWARD-403</t>
  </si>
  <si>
    <t>Prepare UAT</t>
  </si>
  <si>
    <t>OPPOSTWARD-324</t>
  </si>
  <si>
    <t>[SYG][AMD][new exercise][UC] PROC-UC0393 – View Amendment Summary</t>
  </si>
  <si>
    <t>OPPOSTWARD-323</t>
  </si>
  <si>
    <t>[SYG][AMD][new exercise][UI] Amendment Information Screen</t>
  </si>
  <si>
    <t>OPPOSTWARD-322</t>
  </si>
  <si>
    <t>Redesign matrix table LC Template\PF Template</t>
  </si>
  <si>
    <t>OPSYSIOP-1923</t>
  </si>
  <si>
    <t>[SYGMA] [PREFIN] Modify the Payment Planner screen and add business rule</t>
  </si>
  <si>
    <t>OPPOSTWARD-321</t>
  </si>
  <si>
    <t>OPPOSTWARD-9, OPPOSTWARD-26</t>
  </si>
  <si>
    <t>OPPOSTWARD-320</t>
  </si>
  <si>
    <t>[PPGMS] Update to eUI3 -Amendment Action Component (part of Actions component)</t>
  </si>
  <si>
    <t>OPPOSTWARD-319</t>
  </si>
  <si>
    <t>OPPOSTWARD-122</t>
  </si>
  <si>
    <t>[PPGMS] Update to eUI3 - Actions componento</t>
  </si>
  <si>
    <t>OPPOSTWARD-318</t>
  </si>
  <si>
    <t>[PPGMS] Update to eUI3 - Process Manager component</t>
  </si>
  <si>
    <t>OPPOSTWARD-317</t>
  </si>
  <si>
    <t>[PPGMS] Update to eUI3 - Contract details component (duplicate item)</t>
  </si>
  <si>
    <t>OPPOSTWARD-316</t>
  </si>
  <si>
    <t>Update Progress value when cloning an issue</t>
  </si>
  <si>
    <t>OPCITNET-230</t>
  </si>
  <si>
    <t>EC Opsys CITnet PI 9 It2</t>
  </si>
  <si>
    <t>(Enabler) Define classpath resources per module</t>
  </si>
  <si>
    <t>OPPREAWA-1886, OPPREAWA-1423</t>
  </si>
  <si>
    <t>Create improved impersonation</t>
  </si>
  <si>
    <t>MWP-803</t>
  </si>
  <si>
    <t>EC eUI My Workplace PI9 It2, EC eUI My Workplace PI9 It3</t>
  </si>
  <si>
    <t>MWP-550</t>
  </si>
  <si>
    <t>As a PO, I want to invite the selected tenderers for step 2 of a Restricted Procedure</t>
  </si>
  <si>
    <t>OPPREAWA-1885, OPPREAWA-1393</t>
  </si>
  <si>
    <t>Impl. Plan - Add the sections for the MIS team</t>
  </si>
  <si>
    <t>OPSYSIOP-1921</t>
  </si>
  <si>
    <t>OPSYS PI 9, TRACK3-0.22.0, TRACK3-0.25.0</t>
  </si>
  <si>
    <t>[CON] Ensure that the allowed tender languages include all European languages</t>
  </si>
  <si>
    <t>OPPREAWA-1550</t>
  </si>
  <si>
    <t>EPROCPG-25, OPPREAWA-769</t>
  </si>
  <si>
    <t>(Enabler) Implement getURL operation for Monitoring</t>
  </si>
  <si>
    <t>OPPREAWA-1548</t>
  </si>
  <si>
    <t>Organisation service: add lookup by (comref) orgnasation code</t>
  </si>
  <si>
    <t>MWP-801</t>
  </si>
  <si>
    <t>EC eUI My Workplace PI9 It2</t>
  </si>
  <si>
    <t>Remove some fields from the header for experts</t>
  </si>
  <si>
    <t>OPPREAWA-1546</t>
  </si>
  <si>
    <t>[QM - Manage Core Ind] - Add Pagination to the list</t>
  </si>
  <si>
    <t>OPRESULT-1312</t>
  </si>
  <si>
    <t>Program Increment 8</t>
  </si>
  <si>
    <t>Results PI8 It3, Results PI8 It4, Results PI8 It5</t>
  </si>
  <si>
    <t>OPSYS-7303, OPRESULT-1041, OPRESULT-789, OPRESULT-706</t>
  </si>
  <si>
    <t>[QM - Manage Core Ind] - Be able to filter in the list</t>
  </si>
  <si>
    <t>OPRESULT-1308</t>
  </si>
  <si>
    <t>@opsys/result-quality-management: 1.1.1, Program Increment 8, OPSYS PI 9</t>
  </si>
  <si>
    <t>Results PI8 It2, Results PI8 It3, Results PI8 It4, Results PI8 It5, Results PI9 It2, Results PI9 It3, Results PI9 It4</t>
  </si>
  <si>
    <t>OPSYS-7291, OPSYS-7300, OPRESULT-1025, OPRESULT-1033, OPRESULT-937, OPRESULT-938, OPRESULT-1027, OPRESULT-1237, OPRESULT-1349, OPRESULT-1411, OPRESULT-1415, OPRESULT-789</t>
  </si>
  <si>
    <t>[QM - Manage Core Ind] - Copy Core Indicator</t>
  </si>
  <si>
    <t>OPRESULT-1305</t>
  </si>
  <si>
    <t>Results PI8 It4, Results PI8 It5, Results PI9 It2</t>
  </si>
  <si>
    <t>OPRESULT-1560, OPSYS-7319, OPSYS-7321, OPRESULT-1023, OPRESULT-1200, OPRESULT-789</t>
  </si>
  <si>
    <t>[QM - Manage Core Ind] - Delete/Deactivate Indicator</t>
  </si>
  <si>
    <t>OPRESULT-1302</t>
  </si>
  <si>
    <t>Results PI8 It2, Results PI8 It3, Results PI8 It4, Results PI8 It5, Results PI9 It2, Results PI9 It3</t>
  </si>
  <si>
    <t>OPSYS-7316, OPRESULT-936, OPRESULT-966, OPRESULT-1016, OPRESULT-1017, OPRESULT-1032, OPRESULT-1034, OPRESULT-1231, OPRESULT-1244, OPRESULT-1245, OPRESULT-789</t>
  </si>
  <si>
    <t>[QM - Manage Core Ind] - Disable Indicator</t>
  </si>
  <si>
    <t>OPRESULT-1298</t>
  </si>
  <si>
    <t>OPRESULT-1359, OPSYS-7299, OPRESULT-1022, OPRESULT-1020, OPRESULT-1021, OPRESULT-1334, OPRESULT-1035, OPRESULT-789</t>
  </si>
  <si>
    <t>[QM - Manage Core Ind] - Implement BR for the validation of indicator</t>
  </si>
  <si>
    <t>OPRESULT-1294</t>
  </si>
  <si>
    <t>OPSYS-7302, OPRESULT-1241, OPRESULT-1242, OPRESULT-789</t>
  </si>
  <si>
    <t>[QM - Manage Core Ind] - Edit Draft Existing Indicator and Save</t>
  </si>
  <si>
    <t>OPRESULT-1289</t>
  </si>
  <si>
    <t>@opsys/result-quality-management: 1.1.1, Program Increment 8</t>
  </si>
  <si>
    <t>Results PI8 It2, Results PI8 It3, Results PI8 It4, Results PI8 It5</t>
  </si>
  <si>
    <t>OPSYS-7311, OPRESULT-960, OPRESULT-961, OPRESULT-928, OPRESULT-959, OPRESULT-1028, OPRESULT-1468, OPRESULT-789, OPRESULT-708</t>
  </si>
  <si>
    <t>[QM - Manage Core Ind] - OM/IP can use only validated core indicators while searching</t>
  </si>
  <si>
    <t>OPRESULT-1287</t>
  </si>
  <si>
    <t>Results PI8 It2, Results PI8 It3, Results PI8 It4, Results PI8 It5, Results PI9 It2, Results PI9 It3, Results PI9 It4, Results PI9 It5</t>
  </si>
  <si>
    <t>OPSYS-7318, OPRESULT-789</t>
  </si>
  <si>
    <t>Integrate OpenID Connect into Sedia UI application</t>
  </si>
  <si>
    <t>MWP-798</t>
  </si>
  <si>
    <t>Program Increment 9</t>
  </si>
  <si>
    <t>BEND to update the queries related to Core indicator</t>
  </si>
  <si>
    <t>OPRESULT-1266</t>
  </si>
  <si>
    <t>Results PI9 It2, Results PI9 It3, Results PI9 It4</t>
  </si>
  <si>
    <t>OPRESULT-916, OPRESULT-789</t>
  </si>
  <si>
    <t>Integrate the mapping for the Connector context</t>
  </si>
  <si>
    <t>OPPREAWA-1532</t>
  </si>
  <si>
    <t>Procedure Type, adapt mandatory lot field logic</t>
  </si>
  <si>
    <t>OPPREAWA-1499</t>
  </si>
  <si>
    <t>OPPREAWA-725</t>
  </si>
  <si>
    <t>As a PO, I want to be driven by the system to manage the Expenditure Verification Method</t>
  </si>
  <si>
    <t>OPPREAWA-1493</t>
  </si>
  <si>
    <t>(Enabler) Store the submission subprocess configuration parameters in separate table</t>
  </si>
  <si>
    <t>OPPREAWA-1489</t>
  </si>
  <si>
    <t>[Manage Core Indicators] - Unicity</t>
  </si>
  <si>
    <t>OPRESULT-1221</t>
  </si>
  <si>
    <t>Results PI9 It2, Results PI9 It3</t>
  </si>
  <si>
    <t>OPSYS-7374, OPRESULT-1422, OPRESULT-1369, OPRESULT-1419, OPRESULT-1423, OPRESULT-789</t>
  </si>
  <si>
    <t>Concurrent Access Management for Core Indicators</t>
  </si>
  <si>
    <t>OPRESULT-1220</t>
  </si>
  <si>
    <t>As PO, I want to be able to specify provisional amount or quantity for Other limitatively identified reimbursable costs</t>
  </si>
  <si>
    <t>OPPREAWA-1481</t>
  </si>
  <si>
    <t>(Enabler) [CON] Implement SECUNDA provisioning in Connector</t>
  </si>
  <si>
    <t>OPPREAWA-1473</t>
  </si>
  <si>
    <t>DEVOPS tooling for package release backend and frontend</t>
  </si>
  <si>
    <t>MWP-792</t>
  </si>
  <si>
    <t>EC eUI My Workplace PI9 It2, EC eUI My Workplace PI9 It3, EC eUI My Workplace PI9 It1</t>
  </si>
  <si>
    <t>MWP-572</t>
  </si>
  <si>
    <t>Display links in the navbar</t>
  </si>
  <si>
    <t>OPPREAWA-1470</t>
  </si>
  <si>
    <t>OPPREAWA-907</t>
  </si>
  <si>
    <t>ANA - Prepare and support Corporate user stories for PI9</t>
  </si>
  <si>
    <t>OPPREAWA-1468</t>
  </si>
  <si>
    <t>Maintenance - My Workplace Configuration (25/01/2019)</t>
  </si>
  <si>
    <t>MWP-781</t>
  </si>
  <si>
    <t>COMPCORP-PI5, Program Increment 10</t>
  </si>
  <si>
    <t>MWP-712, COMPCORP-79</t>
  </si>
  <si>
    <t>Maintenance - Micro Services Configuration (25/01/2019)</t>
  </si>
  <si>
    <t>MWP-773</t>
  </si>
  <si>
    <t>COMPCORP-PI5, Program Increment 9</t>
  </si>
  <si>
    <t>MWP-712</t>
  </si>
  <si>
    <t>ANA - Prepare and support Opsys user stories for PI9</t>
  </si>
  <si>
    <t>OPPREAWA-1467</t>
  </si>
  <si>
    <t>Stress Test - My Workplace Configuration (25/01/2019)</t>
  </si>
  <si>
    <t>MWP-762</t>
  </si>
  <si>
    <t>MWP-711</t>
  </si>
  <si>
    <t>Stress Test - Micro Services Configuration (25/01/2019)</t>
  </si>
  <si>
    <t>MWP-754</t>
  </si>
  <si>
    <t>Training - My Workplace Configuration (15/12/2018)</t>
  </si>
  <si>
    <t>MWP-743</t>
  </si>
  <si>
    <t>MWP-710</t>
  </si>
  <si>
    <t>Training - Micro Services Configuration (15/12/2018)</t>
  </si>
  <si>
    <t>MWP-735</t>
  </si>
  <si>
    <t>Integration - My Workplace Configuration (15/12/2018)</t>
  </si>
  <si>
    <t>MWP-724</t>
  </si>
  <si>
    <t>MWP-708</t>
  </si>
  <si>
    <t>Production - My Workplace Configuration (15/11/2018)</t>
  </si>
  <si>
    <t>MWP-713</t>
  </si>
  <si>
    <t>MWP-709</t>
  </si>
  <si>
    <t>Integration - Micro Services VMs and Configuration (15/12/2018)</t>
  </si>
  <si>
    <t>MWP-700</t>
  </si>
  <si>
    <t>MWP-667, MWP-708</t>
  </si>
  <si>
    <t>storyboard describing PROSPECT for grants</t>
  </si>
  <si>
    <t>OPPREAWA-1463</t>
  </si>
  <si>
    <t>sytem checks the 1st evaluation page access not from xSec but from IAM for external users</t>
  </si>
  <si>
    <t>OPPREAWA-1460</t>
  </si>
  <si>
    <t>OPPREAWA-1523, OPPREAWA-1588, OPPREAWA-1407</t>
  </si>
  <si>
    <t>IAM system contains necessary roles for internal and external evaluators</t>
  </si>
  <si>
    <t>OPPREAWA-1456</t>
  </si>
  <si>
    <t>Production - Micro-Service Configuration (including automation) (15/11/2018)</t>
  </si>
  <si>
    <t>MWP-692</t>
  </si>
  <si>
    <t>(Enabler) [BO] Use TenderIDs listed in subprocess configuration for doing the evaluation</t>
  </si>
  <si>
    <t>OPPREAWA-1447</t>
  </si>
  <si>
    <t>EC Opsys Preaward PI9 It2, EC Opsys Preaward PI9 It4, EC Opsys Preaward PI9 It5</t>
  </si>
  <si>
    <t>OPPREAWA-902</t>
  </si>
  <si>
    <t>Acceptance - Micro Services Configuration (30/10/2018)</t>
  </si>
  <si>
    <t>MWP-679</t>
  </si>
  <si>
    <t>EC eUI My Workplace PI9 It2, EC eUI My Workplace PI9 It1</t>
  </si>
  <si>
    <t>MWP-567</t>
  </si>
  <si>
    <t>Bulk Deployment Template for SpringBoot Application (Do not use but create a CLONE)</t>
  </si>
  <si>
    <t>MWP-667</t>
  </si>
  <si>
    <t>[BO] (Enabler) Update getEvaluationResults service for changes in DB</t>
  </si>
  <si>
    <t>OPPREAWA-1444</t>
  </si>
  <si>
    <t>OPPREAWA-897</t>
  </si>
  <si>
    <t>Logframe management - To link old tickets</t>
  </si>
  <si>
    <t>OPRESULT-1203</t>
  </si>
  <si>
    <t>OPRESULT-784, OPRESULT-862, OPRESULT-863, OPRESULT-875, OPRESULT-877, OPRESULT-924, OPRESULT-1198, OPRESULT-1199, OPRESULT-567, OPRESULT-809, OPRESULT-812, OPRESULT-536, OPRESULT-1523, OPRESULT-829, OPRESULT-999, OPRESULT-1209, OPRESULT-1210, OPRESULT-1414, OPRESULT-867, OPRESULT-868, OPRESULT-12</t>
  </si>
  <si>
    <t>Acceptance - My Workplace Configuration (30/10/2018)</t>
  </si>
  <si>
    <t>MWP-641</t>
  </si>
  <si>
    <t>Number formatting in PGM/AWD/SHL</t>
  </si>
  <si>
    <t>OPPREAWA-1438</t>
  </si>
  <si>
    <t>Number formatting in eRequest</t>
  </si>
  <si>
    <t>OPPREAWA-1437</t>
  </si>
  <si>
    <t>Update Initiate procedure Wizard - Frontend</t>
  </si>
  <si>
    <t>OPPREAWA-1436</t>
  </si>
  <si>
    <t>Update Initiate procedure Wizard - Backend</t>
  </si>
  <si>
    <t>OPPREAWA-1435</t>
  </si>
  <si>
    <t>Retrieve information from Forecast Contract</t>
  </si>
  <si>
    <t>OPPREAWA-1434</t>
  </si>
  <si>
    <t>Implement GetProcedureTemplate</t>
  </si>
  <si>
    <t>OPPREAWA-1433</t>
  </si>
  <si>
    <t>Forecast contract Widget for PGM/AWD/SHL</t>
  </si>
  <si>
    <t>OPPREAWA-1432</t>
  </si>
  <si>
    <t>Forecast contract Widget for eRequest</t>
  </si>
  <si>
    <t>OPPREAWA-1431</t>
  </si>
  <si>
    <t>Deployment Template for SpringBoot Application (Do not use but create a CLONE)</t>
  </si>
  <si>
    <t>MWP-617</t>
  </si>
  <si>
    <t>Update eRequest services to CDM in Iteration 3</t>
  </si>
  <si>
    <t>OPPREAWA-1427</t>
  </si>
  <si>
    <t>Deployment Template for Front-End Application (Do not use but create a CLONE)</t>
  </si>
  <si>
    <t>MWP-608</t>
  </si>
  <si>
    <t>Configuration and Deployment to PROD PI9 version for eRequest</t>
  </si>
  <si>
    <t>OPPREAWA-1425</t>
  </si>
  <si>
    <t>Configuration and Deployment to PROD PI9 version for PGM/AWD/SHL</t>
  </si>
  <si>
    <t>OPPREAWA-1424</t>
  </si>
  <si>
    <t>Cancel impersonation</t>
  </si>
  <si>
    <t>MWP-602</t>
  </si>
  <si>
    <t>Multilanguage architecture in eRequest</t>
  </si>
  <si>
    <t>OPPREAWA-1422</t>
  </si>
  <si>
    <t>Multilanguage architecture in PGM/AWD/SHL</t>
  </si>
  <si>
    <t>OPPREAWA-1421</t>
  </si>
  <si>
    <t>Display information when I impersonate another user</t>
  </si>
  <si>
    <t>MWP-601</t>
  </si>
  <si>
    <t>Type the username I want to impersonate</t>
  </si>
  <si>
    <t>MWP-600</t>
  </si>
  <si>
    <t>MWP-599, MWP-548, MWP-575</t>
  </si>
  <si>
    <t>Choose the user I want to impersonate thought the picker</t>
  </si>
  <si>
    <t>MWP-599</t>
  </si>
  <si>
    <t>MWP-542, MWP-600, MWP-548</t>
  </si>
  <si>
    <t>Ensure that all relevant business events and actions are logged in PGM/AWD/SHL</t>
  </si>
  <si>
    <t>OPPREAWA-1419</t>
  </si>
  <si>
    <t>Log all relevant business events and actions in eRequest</t>
  </si>
  <si>
    <t>OPPREAWA-1418</t>
  </si>
  <si>
    <t>Create a MWP entry in the prototype for easier layouting / demos before release</t>
  </si>
  <si>
    <t>EUI-1420</t>
  </si>
  <si>
    <t>Program Increment 10, COMPCORP-PI5</t>
  </si>
  <si>
    <t>[QM - Manage Sex Diss] - Integrate Dissaggregations in Core Indicator. Be able to add and remove dissaggregations while DRAFT Core Indicator</t>
  </si>
  <si>
    <t>OPRESULT-1162</t>
  </si>
  <si>
    <t>Results PI9 It1, Results PI9 It3, Results PI9 It4, Results PI9 It5, Results PI9 It1</t>
  </si>
  <si>
    <t>OPRESULT-1566, OPSYS-7336, OPSYS-7414, OPSYS-7415, OPRESULT-791</t>
  </si>
  <si>
    <t>Deployment activities in PI9</t>
  </si>
  <si>
    <t>OPPREAWA-1386</t>
  </si>
  <si>
    <t>Software Architecture Document (SAD) - PI9</t>
  </si>
  <si>
    <t>OPSYSIOP-1614</t>
  </si>
  <si>
    <t>OPSYSIOP-1038, OPSYSIOP-1380</t>
  </si>
  <si>
    <t>eRequest - PI8 Integration tests</t>
  </si>
  <si>
    <t>OPPREAWA-1373</t>
  </si>
  <si>
    <t>EC Opsys Preaward PI9 It1, EC Opsys Preaward PI9 It2</t>
  </si>
  <si>
    <t>PGM/AWD/SHL - PI8 Integration tests</t>
  </si>
  <si>
    <t>OPPREAWA-1372</t>
  </si>
  <si>
    <t>[ANA] [TECH][New scope] Procedure details and communications</t>
  </si>
  <si>
    <t>OPPREAWA-1369</t>
  </si>
  <si>
    <t>As eRequest System I want to be able to persist technical parameters</t>
  </si>
  <si>
    <t>OPPREAWA-1354</t>
  </si>
  <si>
    <t>Visual Adaptation of Payment Forecasts FE - responsiveness</t>
  </si>
  <si>
    <t>OPSYSIOP-1567</t>
  </si>
  <si>
    <t>As an ECM, I can do the evaluation session for a Restricted Procedure step 2</t>
  </si>
  <si>
    <t>OPPREAWA-1344</t>
  </si>
  <si>
    <t>As an OCM, I can do the opening session for a Restricted Procedure step 2</t>
  </si>
  <si>
    <t>OPPREAWA-1343</t>
  </si>
  <si>
    <t>EC Opsys Preaward PI9 It1, EC Opsys Preaward PI9 It1, EC Opsys Preaward PI9 It4, EC Opsys Preaward PI9 It5</t>
  </si>
  <si>
    <t>Visual Adaptation of Level 2 Planning FE - responsiveness</t>
  </si>
  <si>
    <t>OPSYSIOP-1562</t>
  </si>
  <si>
    <t>As an ECM, I can do the evaluation session for a Restricted Procedure step 1</t>
  </si>
  <si>
    <t>OPPREAWA-1342</t>
  </si>
  <si>
    <t>OPPREAWA-902, OPPREAWA-1393</t>
  </si>
  <si>
    <t>As an OCM, I can do the opening session for a Restricted Procedure</t>
  </si>
  <si>
    <t>OPPREAWA-1341</t>
  </si>
  <si>
    <t>EC Opsys Preaward PI9 It1, EC Opsys Preaward PI9 It1, EC Opsys Preaward PI9 It3, EC Opsys Preaward PI9 It4, EC Opsys Preaward PI9 It5</t>
  </si>
  <si>
    <t>As a PO, I want to see the entity in charge on the RfS document</t>
  </si>
  <si>
    <t>OPPREAWA-1340</t>
  </si>
  <si>
    <t>OPPREAWA-1881, OPPREAWA-481</t>
  </si>
  <si>
    <t>Implement dashboard in SEDIA portal</t>
  </si>
  <si>
    <t>OPSEDPORT-55</t>
  </si>
  <si>
    <t>Impelment multilinguism</t>
  </si>
  <si>
    <t>OPSEDPORT-54</t>
  </si>
  <si>
    <t>Integrate tasks in SEDIA</t>
  </si>
  <si>
    <t>OPSEDPORT-53</t>
  </si>
  <si>
    <t>Group tenders per call</t>
  </si>
  <si>
    <t>OPSEDPORT-50</t>
  </si>
  <si>
    <t>EC Opsys Sedia Portal PI9 It5</t>
  </si>
  <si>
    <t>OPSEDPORT-56</t>
  </si>
  <si>
    <t>Analysis moving SEDIA development to the cloud</t>
  </si>
  <si>
    <t>OPSEDPORT-49</t>
  </si>
  <si>
    <t>Integrate Quality manager in SEDIA</t>
  </si>
  <si>
    <t>OPSEDPORT-48</t>
  </si>
  <si>
    <t>EC Opsys Sedia Portal PI9 It3</t>
  </si>
  <si>
    <t>OPSEDPORT-57</t>
  </si>
  <si>
    <t>SEDIA Training Environment</t>
  </si>
  <si>
    <t>OPSEDPORT-47</t>
  </si>
  <si>
    <t>Integration results / logframe module</t>
  </si>
  <si>
    <t>OPSEDPORT-44</t>
  </si>
  <si>
    <t>OPSEDPORT-46</t>
  </si>
  <si>
    <t>Intervention details in SEDIA</t>
  </si>
  <si>
    <t>OPSEDPORT-43</t>
  </si>
  <si>
    <t>OPSEDPORT-37</t>
  </si>
  <si>
    <t>Open ID connect - API gateway - 5</t>
  </si>
  <si>
    <t>OPSEDPORT-42</t>
  </si>
  <si>
    <t>OPSEDPORT-35</t>
  </si>
  <si>
    <t>Open ID connect - API gateway - 4</t>
  </si>
  <si>
    <t>OPSEDPORT-41</t>
  </si>
  <si>
    <t>EC Opsys Sedia Portal PI9 It4</t>
  </si>
  <si>
    <t>Open ID connect - API gateway - 3</t>
  </si>
  <si>
    <t>OPSEDPORT-40</t>
  </si>
  <si>
    <t>Open ID connect - API gateway - 2</t>
  </si>
  <si>
    <t>OPSEDPORT-39</t>
  </si>
  <si>
    <t>EC Opsys Sedia Portal PI9 It2, EC Opsys Sedia Portal PI9 It3</t>
  </si>
  <si>
    <t>Integrate interventions in SEDIA portal</t>
  </si>
  <si>
    <t>OPSEDPORT-38</t>
  </si>
  <si>
    <t>Open ID connect - API gateway - 1</t>
  </si>
  <si>
    <t>OPSEDPORT-33</t>
  </si>
  <si>
    <t>EC Opsys Sedia Portal PI9 It1, EC Opsys Sedia Portal PI9 It2</t>
  </si>
  <si>
    <t>Environment configuration Payment Forecasts</t>
  </si>
  <si>
    <t>OPSYSIOP-1540</t>
  </si>
  <si>
    <t>As an EO, I can submit a tender for a Restricted Procedure step 2</t>
  </si>
  <si>
    <t>OPPREAWA-1335</t>
  </si>
  <si>
    <t>EC Opsys Preaward PI9 It1, EC Opsys Preaward PI9 It1, EC Opsys Preaward PI9 It2, EC Opsys Preaward PI9 It3, EC Opsys Preaward PI9 It4, EC Opsys Preaward PI9 It5</t>
  </si>
  <si>
    <t>Create lifecycle for a slot - BE (Automatic)</t>
  </si>
  <si>
    <t>OPSYSIOP-1538</t>
  </si>
  <si>
    <t>Start the lifecycle - BE (Automatic)</t>
  </si>
  <si>
    <t>OPSYSIOP-1537</t>
  </si>
  <si>
    <t>Angular Universal Integration</t>
  </si>
  <si>
    <t>OPSEDPORT-31</t>
  </si>
  <si>
    <t>EC Opsys Sedia Portal PI9 It1, EC Opsys Sedia Portal PI9 It2, EC Opsys Sedia Portal PI9 It3</t>
  </si>
  <si>
    <t>Environment configuration Level 2 Planning</t>
  </si>
  <si>
    <t>OPSYSIOP-1536</t>
  </si>
  <si>
    <t>As an EO, I can submit a request to participate for a Restricted Procedure step 1</t>
  </si>
  <si>
    <t>OPPREAWA-1331</t>
  </si>
  <si>
    <t xml:space="preserve">Generated at Mon Dec 10 13:16:25 CET 2018 by BEGHAIN Olivier using JIRA 7.9.2#79002-sha1:3bb15b68ecd99a30eb364c4c1a393359bcad6278. </t>
  </si>
  <si>
    <r>
      <t xml:space="preserve">Displaying </t>
    </r>
    <r>
      <rPr>
        <b/>
        <sz val="12"/>
        <color rgb="FF000000"/>
        <rFont val="Arial"/>
        <family val="2"/>
      </rPr>
      <t>495</t>
    </r>
    <r>
      <rPr>
        <sz val="12"/>
        <color rgb="FF000000"/>
        <rFont val="Arial"/>
        <family val="2"/>
      </rPr>
      <t xml:space="preserve"> issues at </t>
    </r>
    <r>
      <rPr>
        <b/>
        <sz val="12"/>
        <color rgb="FF000000"/>
        <rFont val="Arial"/>
        <family val="2"/>
      </rPr>
      <t>10/Dec/18 13:12</t>
    </r>
    <r>
      <rPr>
        <sz val="12"/>
        <color rgb="FF000000"/>
        <rFont val="Arial"/>
        <family val="2"/>
      </rPr>
      <t>.</t>
    </r>
  </si>
  <si>
    <t>[QM - Source of Verification] - Copy SoV</t>
  </si>
  <si>
    <t>OPRESULT-1085</t>
  </si>
  <si>
    <t>Results PI9 It3, Results PI9 It4</t>
  </si>
  <si>
    <t>[QM - Qualitative Type] - Copy the qualitative type while copying the Core indicator</t>
  </si>
  <si>
    <t>OPRESULT-1084</t>
  </si>
  <si>
    <t>Results PI9 It3</t>
  </si>
  <si>
    <t>OPSYS-7354, OPRESULT-911</t>
  </si>
  <si>
    <t>[QM - Unit of Measure] -Copy UoM while copying Core Indicator</t>
  </si>
  <si>
    <t>OPRESULT-1083</t>
  </si>
  <si>
    <t>OPSYS-7373, OPRESULT-910</t>
  </si>
  <si>
    <t>Generate the portfolio donut</t>
  </si>
  <si>
    <t>OPSYSIOP-1513</t>
  </si>
  <si>
    <t>Add "Create procedure button" in slot</t>
  </si>
  <si>
    <t>OPSYSIOP-1512</t>
  </si>
  <si>
    <t>[QM - Manage Sex Diss] - Cannot remove Disagregation types while editing a validated a core indicator</t>
  </si>
  <si>
    <t>OPRESULT-1072</t>
  </si>
  <si>
    <t>Results PI9 It1, Results PI9 It3, Results PI9 It1</t>
  </si>
  <si>
    <t>OPSYS-7337, OPRESULT-791</t>
  </si>
  <si>
    <t>[BO] As an OCM, I want to see the real opening date in the Opening Record</t>
  </si>
  <si>
    <t>OPPREAWA-1320</t>
  </si>
  <si>
    <t>[FO] Add OrderNumber when saving the Parties in the TenderDraft</t>
  </si>
  <si>
    <t>OPPREAWA-1319</t>
  </si>
  <si>
    <t>Update PGM/AWD/SHL services to CDM in Iteration 3</t>
  </si>
  <si>
    <t>OPPREAWA-1316</t>
  </si>
  <si>
    <t>OPPREAWA-1311, OPPREAWA-1426</t>
  </si>
  <si>
    <t>Create lifecycle for a slot - FE (Manual)</t>
  </si>
  <si>
    <t>OPSYSIOP-1503</t>
  </si>
  <si>
    <t>Start the lifecycle - FE (Manual)</t>
  </si>
  <si>
    <t>OPSYSIOP-1502</t>
  </si>
  <si>
    <t>Create manual Payment forecasts for a slot</t>
  </si>
  <si>
    <t>OPSYSIOP-1500</t>
  </si>
  <si>
    <t>Create automatic Payment forecasts for a slot</t>
  </si>
  <si>
    <t>OPSYSIOP-1499</t>
  </si>
  <si>
    <t>Implement the new controller methods for Payment Forecasts Service</t>
  </si>
  <si>
    <t>OPSYSIOP-1496</t>
  </si>
  <si>
    <t>OPSYSIOP-1957, OPSYSIOP-1967, OPSYSIOP-1477</t>
  </si>
  <si>
    <t>Implement the new controller methods for Level 2 Planning Service</t>
  </si>
  <si>
    <t>OPSYSIOP-1495</t>
  </si>
  <si>
    <t>Adaptation of Payment Forecasts FE - styles/UI</t>
  </si>
  <si>
    <t>OPSYSIOP-1492</t>
  </si>
  <si>
    <t>Adaptation of Level 2 Planning FE - styles/UI</t>
  </si>
  <si>
    <t>OPSYSIOP-1491</t>
  </si>
  <si>
    <t>DB Set Up for Payment Forecasts</t>
  </si>
  <si>
    <t>OPSYSIOP-1486</t>
  </si>
  <si>
    <t>DB Set Up for Level 2 Planning</t>
  </si>
  <si>
    <t>OPSYSIOP-1485</t>
  </si>
  <si>
    <t>EC OPSYS IOP PI9 It1</t>
  </si>
  <si>
    <t>Update PGM/AWD/SHL services to CDM in Iteration 1</t>
  </si>
  <si>
    <t>OPPREAWA-1311</t>
  </si>
  <si>
    <t>EC Opsys Preaward PI9 It1, EC Opsys Preaward PI9 It2, EC Opsys Preaward PI9 It3</t>
  </si>
  <si>
    <t>OPPREAWA-1316, OPPREAWA-1257</t>
  </si>
  <si>
    <t>(Enabler) Align the statuses of the CfT to the COMPASS events</t>
  </si>
  <si>
    <t>EC Opsys Preaward PI8 It5, EC Opsys Preaward PI9 It1, EC Opsys Preaward PI9 It2, EC Opsys Preaward PI9 It4, EC Opsys Preaward PI9 It5</t>
  </si>
  <si>
    <t>[BO] As an OCM, I want to add &amp; edit general comments during the Opening Session</t>
  </si>
  <si>
    <t>OPPREAWA-1309</t>
  </si>
  <si>
    <t>Define and implement Input parameters for FE component of Payment Forecasts</t>
  </si>
  <si>
    <t>OPSYSIOP-1482</t>
  </si>
  <si>
    <t>Define and implement Input parameters for FE component of Level 2 Planning</t>
  </si>
  <si>
    <t>OPSYSIOP-1481</t>
  </si>
  <si>
    <t>Define DTOs for Payment Forecasts</t>
  </si>
  <si>
    <t>OPSYSIOP-1480</t>
  </si>
  <si>
    <t>Define DTOs for Level 2 Planning</t>
  </si>
  <si>
    <t>OPSYSIOP-1479</t>
  </si>
  <si>
    <t>[QM - Qualitative Type] - Add Qualitative type to Core Indicator</t>
  </si>
  <si>
    <t>OPRESULT-1069</t>
  </si>
  <si>
    <t>OPSYS-7367, OPRESULT-1354, OPRESULT-911</t>
  </si>
  <si>
    <t>[QM - Qualitative Type] - Edit Qualitative type</t>
  </si>
  <si>
    <t>OPRESULT-1068</t>
  </si>
  <si>
    <t>Results PI9 It2, Results PI9 It3, Results PI9 It4, Results PI9 It5</t>
  </si>
  <si>
    <t>OPRESULT-1587, OPSYS-7344, OPRESULT-1541, OPRESULT-1362, OPRESULT-911</t>
  </si>
  <si>
    <t>[QM - Qualitative Type] - Create new Qualitative type</t>
  </si>
  <si>
    <t>OPRESULT-1067</t>
  </si>
  <si>
    <t>Results PI9 It1, Results PI9 It2, Results PI9 It3, Results PI9 It1</t>
  </si>
  <si>
    <t>OPRESULT-1357, OPSYS-7338, OPRESULT-1365, OPRESULT-911</t>
  </si>
  <si>
    <t>[QM - Qualitative Type] - Display Qualitative type</t>
  </si>
  <si>
    <t>OPRESULT-1066</t>
  </si>
  <si>
    <t>OPSYS-7339, OPRESULT-1355, OPRESULT-1409, OPRESULT-911</t>
  </si>
  <si>
    <t>[QM - Qualitative Type] - Disable Qualitative type</t>
  </si>
  <si>
    <t>OPRESULT-1065</t>
  </si>
  <si>
    <t>OPSYS-7342, OPRESULT-1363, OPRESULT-1477, OPRESULT-911</t>
  </si>
  <si>
    <t>[QM - Unit of Measure] - Add UoM for Core Indicator</t>
  </si>
  <si>
    <t>OPRESULT-1063</t>
  </si>
  <si>
    <t>OPSYS-7372, OPSYS-7412, OPSYS-7413, OPRESULT-1354, OPRESULT-910</t>
  </si>
  <si>
    <t>[QM - Unit of Measure] - Edit existing UoM</t>
  </si>
  <si>
    <t>OPRESULT-1062</t>
  </si>
  <si>
    <t>OPSYS-7341, OPRESULT-1351, OPRESULT-1353, OPRESULT-910</t>
  </si>
  <si>
    <t>[QM - Unit of Measure] - Create new UoM</t>
  </si>
  <si>
    <t>OPRESULT-1061</t>
  </si>
  <si>
    <t>OPSYS-7335, OPRESULT-910</t>
  </si>
  <si>
    <t>[QM - Unit of Measure] - Display UoM</t>
  </si>
  <si>
    <t>OPRESULT-1060</t>
  </si>
  <si>
    <t>OPSYS-7334, OPRESULT-1355, OPRESULT-1364, OPRESULT-1409, OPRESULT-910</t>
  </si>
  <si>
    <t>[QM - Unit of Measure] - Disable UoM</t>
  </si>
  <si>
    <t>OPRESULT-1059</t>
  </si>
  <si>
    <t>OPSYS-7353, OPRESULT-1353, OPRESULT-910</t>
  </si>
  <si>
    <t>[QM - Source of Verification] - Add SoV for Core Indicator</t>
  </si>
  <si>
    <t>OPRESULT-1056</t>
  </si>
  <si>
    <t>Results PI9 It3, Results PI9 It4, Results PI9 It5</t>
  </si>
  <si>
    <t>OPSYS-7371, OPRESULT-1354, OPRESULT-912</t>
  </si>
  <si>
    <t>[QM - Source of Verification] - Edit existing SoV</t>
  </si>
  <si>
    <t>OPRESULT-1055</t>
  </si>
  <si>
    <t>OPSYS-7352, OPRESULT-912</t>
  </si>
  <si>
    <t>[QM - Source of Verification] - Create and Edit new SoV</t>
  </si>
  <si>
    <t>OPRESULT-1054</t>
  </si>
  <si>
    <t>OPSYS-7333, OPRESULT-1365, OPRESULT-912</t>
  </si>
  <si>
    <t>[QM - Source of Verification] - Display SoV</t>
  </si>
  <si>
    <t>OPRESULT-1053</t>
  </si>
  <si>
    <t>OPSYS-7332, OPRESULT-1355, OPRESULT-1409, OPRESULT-912</t>
  </si>
  <si>
    <t>[QM - Source of Verification] - Disable SoV</t>
  </si>
  <si>
    <t>OPRESULT-1052</t>
  </si>
  <si>
    <t>OPSYS-7350, OPRESULT-1358, OPRESULT-1412, OPRESULT-912</t>
  </si>
  <si>
    <t>[QM - Manage Sex Diss] - Symbol to be show in the search indicator</t>
  </si>
  <si>
    <t>OPRESULT-1047</t>
  </si>
  <si>
    <t>OPSYS-7416, OPRESULT-791</t>
  </si>
  <si>
    <t>[QM - Manage Sex Diss] - Add / Remove categories for DRAFT Dissaggregations</t>
  </si>
  <si>
    <t>OPRESULT-1044</t>
  </si>
  <si>
    <t>Results PI9 It1, Results PI9 It1</t>
  </si>
  <si>
    <t>OPSYS-7331, OPRESULT-791</t>
  </si>
  <si>
    <t>[CON] Save ProcessId in DB together with the procedure (versions)</t>
  </si>
  <si>
    <t>OPPREAWA-1295</t>
  </si>
  <si>
    <t>EPROCPG-25, OPPREAWA-1679</t>
  </si>
  <si>
    <t>Notify when action is removed from intervention</t>
  </si>
  <si>
    <t>OPSYSIOP-1464</t>
  </si>
  <si>
    <t>Notify when an action is deleted</t>
  </si>
  <si>
    <t>OPSYSIOP-1463</t>
  </si>
  <si>
    <t>Notify when last contract is removed from intervention</t>
  </si>
  <si>
    <t>OPSYSIOP-1462</t>
  </si>
  <si>
    <t>Notify when not last contract is removed from intervention</t>
  </si>
  <si>
    <t>OPSYSIOP-1461</t>
  </si>
  <si>
    <t>Notify when contract is associated to intervention</t>
  </si>
  <si>
    <t>OPSYSIOP-1460</t>
  </si>
  <si>
    <t>Notify when action contributes to existing intervention</t>
  </si>
  <si>
    <t>OPSYSIOP-1459</t>
  </si>
  <si>
    <t>Notify when intervention is generated</t>
  </si>
  <si>
    <t>OPSYSIOP-1458</t>
  </si>
  <si>
    <t>Testing automation for PROD issue - delete of tender attachements</t>
  </si>
  <si>
    <t>OPPREAWA-1294</t>
  </si>
  <si>
    <t>EC Opsys Preaward PI8 It5, EC Opsys Preaward PI9 It1, EC Opsys Preaward PI9 It2</t>
  </si>
  <si>
    <t>OPPREAWA-990</t>
  </si>
  <si>
    <t>DAC form - Basic implementation of the FE component</t>
  </si>
  <si>
    <t>OPSYSIOP-1454</t>
  </si>
  <si>
    <t>Action document - Add chapter 5</t>
  </si>
  <si>
    <t>OPSYSIOP-1452</t>
  </si>
  <si>
    <t>Entity review - Basic Act</t>
  </si>
  <si>
    <t>OPSYSIOP-1451</t>
  </si>
  <si>
    <t>OPSYSIOP-1351, OPSYSIOP-1949</t>
  </si>
  <si>
    <t>Entity review - IPD</t>
  </si>
  <si>
    <t>OPSYSIOP-1450</t>
  </si>
  <si>
    <t>OPSYSIOP-1351, OPSYSIOP-1951</t>
  </si>
  <si>
    <t>Entity review - CFD</t>
  </si>
  <si>
    <t>OPSYSIOP-1449</t>
  </si>
  <si>
    <t>Entity review - Action full</t>
  </si>
  <si>
    <t>OPSYSIOP-1448</t>
  </si>
  <si>
    <t>Entity review - Action initial</t>
  </si>
  <si>
    <t>OPSYSIOP-1447</t>
  </si>
  <si>
    <t>Entity review - Action outline</t>
  </si>
  <si>
    <t>OPSYSIOP-1446</t>
  </si>
  <si>
    <t>Make search available in MWP</t>
  </si>
  <si>
    <t>OPSYSIOP-1440</t>
  </si>
  <si>
    <t>MWP-454, OPSYSIOP-1350</t>
  </si>
  <si>
    <t>Complete task to create intervention</t>
  </si>
  <si>
    <t>OPSYSIOP-1436</t>
  </si>
  <si>
    <t>Create task for to create intervention</t>
  </si>
  <si>
    <t>OPSYSIOP-1429</t>
  </si>
  <si>
    <t>OPSYS PI 9, TRACK3-0.25.0</t>
  </si>
  <si>
    <t>Compass Corporate - Implement the integration in FE</t>
  </si>
  <si>
    <t>OPSYSIOP-1427</t>
  </si>
  <si>
    <t>Show contract for a slot</t>
  </si>
  <si>
    <t>OPSYSIOP-1415</t>
  </si>
  <si>
    <t>Impl. Plan - Rename intervention -&gt; Implementation plan in FE</t>
  </si>
  <si>
    <t>OPSYSIOP-1413</t>
  </si>
  <si>
    <t>OPSYS PI 9, TRACK3-0.22.0</t>
  </si>
  <si>
    <t>Sync the intervention with the portfolio (and ODS)</t>
  </si>
  <si>
    <t>OPSYSIOP-1409</t>
  </si>
  <si>
    <t>Sync the action with the portfolio</t>
  </si>
  <si>
    <t>OPSYSIOP-1408</t>
  </si>
  <si>
    <t>OPSYSIOP-1955, OPSYSIOP-1343</t>
  </si>
  <si>
    <t>Design the intervention screen for SEDIA</t>
  </si>
  <si>
    <t>OPSYSIOP-1407</t>
  </si>
  <si>
    <t>IP MGMT - Re-create IP MGMT screen</t>
  </si>
  <si>
    <t>OPSYSIOP-1404</t>
  </si>
  <si>
    <t>OPSYS PI 9, TRACK3-0.24.0</t>
  </si>
  <si>
    <t>OPSYSIOP-1403, OPSYSIOP-1339</t>
  </si>
  <si>
    <t>IP MGMT - Integrate IP MGMT screen into new intervention screen</t>
  </si>
  <si>
    <t>OPSYSIOP-1403</t>
  </si>
  <si>
    <t>OPSYSIOP-1404, OPSYSIOP-1339</t>
  </si>
  <si>
    <t>Intervention synopsis section configuration</t>
  </si>
  <si>
    <t>OPSYSIOP-1400</t>
  </si>
  <si>
    <t>Remove contribution from intervention - FE</t>
  </si>
  <si>
    <t>OPSYSIOP-1395</t>
  </si>
  <si>
    <t>Intervention page (new URL) creation - FE</t>
  </si>
  <si>
    <t>OPSYSIOP-1393</t>
  </si>
  <si>
    <t>Delete intervention FE</t>
  </si>
  <si>
    <t>OPSYSIOP-1392</t>
  </si>
  <si>
    <t>Add contract to intervention - FE</t>
  </si>
  <si>
    <t>OPSYSIOP-1390</t>
  </si>
  <si>
    <t>Create intervention section configuration</t>
  </si>
  <si>
    <t>OPSYSIOP-1388</t>
  </si>
  <si>
    <t>Generate intervention from action component (including participate to existing intervention) - FE</t>
  </si>
  <si>
    <t>OPSYSIOP-1387</t>
  </si>
  <si>
    <t>Intervention composition section configuration</t>
  </si>
  <si>
    <t>OPSYSIOP-1386</t>
  </si>
  <si>
    <t>EUI-1411, OPSYSIOP-2029, OPSYSIOP-1341</t>
  </si>
  <si>
    <t>Intervention contracts section configuration</t>
  </si>
  <si>
    <t>OPSYSIOP-1384</t>
  </si>
  <si>
    <t>Generate intervention from action (including participate to existing intervention) - FE</t>
  </si>
  <si>
    <t>OPSYSIOP-1382</t>
  </si>
  <si>
    <t>Logframe in action - Integration in the FE</t>
  </si>
  <si>
    <t>OPSYSIOP-1366</t>
  </si>
  <si>
    <t>Logframe in IPD - Integration in the FE</t>
  </si>
  <si>
    <t>OPSYSIOP-1365</t>
  </si>
  <si>
    <t>Logframe in intervention - Integration in the FE</t>
  </si>
  <si>
    <t>OPSYSIOP-1363</t>
  </si>
  <si>
    <t>As Procedure Manager I can orchestrate the happy path for a Negotiated Procedure - with a negotiation round (compliance)</t>
  </si>
  <si>
    <t>OPPREAWA-1291</t>
  </si>
  <si>
    <t>OPPREAWA-1378, OPPREAWA-1289, OPPREAWA-377</t>
  </si>
  <si>
    <t>As Procedure Manager I can orchestrate the happy path for a Negotiated Procedure - no negotiation (compliance)</t>
  </si>
  <si>
    <t>OPPREAWA-1290</t>
  </si>
  <si>
    <t>As Procedure Manager I can orchestrate the happy path for a Restricted Procedure (compliance)</t>
  </si>
  <si>
    <t>OPPREAWA-1289</t>
  </si>
  <si>
    <t>OPPREAWA-1378, OPPREAWA-1288, OPPREAWA-1290, OPPREAWA-1291, OPPREAWA-1393, OPPREAWA-377</t>
  </si>
  <si>
    <t>As Procedure Manager I can orchestrate the happy path for an Open Procedure (compliance)</t>
  </si>
  <si>
    <t>OPPREAWA-1288</t>
  </si>
  <si>
    <t>CORE/UX-COMMONS - ux-button: replace the icon tag &lt;i&gt; with &lt;span&gt;</t>
  </si>
  <si>
    <t>EUI-1327</t>
  </si>
  <si>
    <t>As a PO, I want that the system can provide default value when drafting the Requirement during Preparation</t>
  </si>
  <si>
    <t>OPPREAWA-1595, OPPREAWA-1181</t>
  </si>
  <si>
    <t>As a PO, I want to get direction from the system when attaching files to a Document in eRequest</t>
  </si>
  <si>
    <t>OPPREAWA-1270</t>
  </si>
  <si>
    <t>EC Opsys Preaward PI9 It3, EC Opsys Preaward PI9 It4, EC Opsys Preaward PI10 General</t>
  </si>
  <si>
    <t>(Enabler) Remove the routing for getProcedureDetails inside e-Submission</t>
  </si>
  <si>
    <t>OPPREAWA-1269</t>
  </si>
  <si>
    <t>OPPREAWA-651, OPPREAWA-894</t>
  </si>
  <si>
    <t>Implement operation getAvailableProcedureTemplates</t>
  </si>
  <si>
    <t>OPPREAWA-1263</t>
  </si>
  <si>
    <t>Update operation getProcedureDetails to CDM 17.2.0</t>
  </si>
  <si>
    <t>OPPREAWA-1262</t>
  </si>
  <si>
    <t>Update operation getProcedureConfigurationDetails to CDM 17.2.0</t>
  </si>
  <si>
    <t>OPPREAWA-1261</t>
  </si>
  <si>
    <t>PI8 - User Role - Authorisation [GEM] - Manual_Test Execution</t>
  </si>
  <si>
    <t>OPSYSIOP-1333</t>
  </si>
  <si>
    <t>EC OPSYS IOP PI8 It4</t>
  </si>
  <si>
    <t>OPSYSIOP-801</t>
  </si>
  <si>
    <t>PI8 - User Role - Authorisation [GEM] - Manual_Test Preparation</t>
  </si>
  <si>
    <t>OPSYSIOP-1332</t>
  </si>
  <si>
    <t>Provide the contractor when generating the budget breakdown</t>
  </si>
  <si>
    <t>OPPREAWA-1254</t>
  </si>
  <si>
    <t>EC Opsys Preaward PI8 It5, EC Opsys Preaward PI9 It1, EC Opsys Preaward PI9 It2, EC Opsys Preaward PI9 It3, EC Opsys Preaward PI9 It4, EC Opsys Preaward PI9 It5</t>
  </si>
  <si>
    <t>OPPREAWA-624, OPPREAWA-769</t>
  </si>
  <si>
    <t>UX-COMMONS: UX Editor Improvements</t>
  </si>
  <si>
    <t>EUI-1323</t>
  </si>
  <si>
    <t>EC eUI My Workplace PI9 It1</t>
  </si>
  <si>
    <t>Deployment activities in PI8</t>
  </si>
  <si>
    <t>OPPREAWA-1249</t>
  </si>
  <si>
    <t>ux-popover - non-imperative way of handing popover</t>
  </si>
  <si>
    <t>EUI-1322</t>
  </si>
  <si>
    <t>EUI-1201, EUI-1330</t>
  </si>
  <si>
    <t>update the test reports localisation on build</t>
  </si>
  <si>
    <t>EUI-1321</t>
  </si>
  <si>
    <t>3.5.0</t>
  </si>
  <si>
    <t>EC eUI My Workplace PI8 It5</t>
  </si>
  <si>
    <t>MWP-424</t>
  </si>
  <si>
    <t>(Enabler) [CON] Extend the UBL -&gt; CDM mapping for UK/GR exception and for new procedurecodes</t>
  </si>
  <si>
    <t>OPPREAWA-1241</t>
  </si>
  <si>
    <t>EPROCPG-25, OPPREAWA-896</t>
  </si>
  <si>
    <t>Upgrade dependencies - added Material compatibilty support</t>
  </si>
  <si>
    <t>MWP-543</t>
  </si>
  <si>
    <t>EUI-1212</t>
  </si>
  <si>
    <t>User impersonation (on API Gateway)</t>
  </si>
  <si>
    <t>MWP-542</t>
  </si>
  <si>
    <t>MWP-599, MWP-575</t>
  </si>
  <si>
    <t>Integration tests with COMPASS for Awarding</t>
  </si>
  <si>
    <t>OPPREAWA-1235</t>
  </si>
  <si>
    <t>eHelp eUI component in e-Submission FO</t>
  </si>
  <si>
    <t>OPPREAWA-1233</t>
  </si>
  <si>
    <t>OPPREAWA-221</t>
  </si>
  <si>
    <t>[BO] As an ECM, I would like to see the tenderer identification for each tender</t>
  </si>
  <si>
    <t>OPPREAWA-1231</t>
  </si>
  <si>
    <t>Connector should wait until publication date and Preparation start to communicate with other components (the Restricted Procedure Step 2 case)</t>
  </si>
  <si>
    <t>OPPREAWA-1230</t>
  </si>
  <si>
    <t>EC Opsys Preaward PI9 It1, EC Opsys Preaward PI9 It1, EC Opsys Preaward PI9 It2, EC Opsys Preaward PI9 It4, EC Opsys Preaward PI9 It5</t>
  </si>
  <si>
    <t>OPPREAWA-695, OPPREAWA-1393, OPPREAWA-896</t>
  </si>
  <si>
    <t>Connector should wait until publication date to communicate with other components (the Open Procedures case)</t>
  </si>
  <si>
    <t>OPPREAWA-1228</t>
  </si>
  <si>
    <t>OPPREAWA-695, OPPREAWA-1612, OPPREAWA-896</t>
  </si>
  <si>
    <t>As a PO, I want to access eRequest information based on access rights from Secunda defined per scope type</t>
  </si>
  <si>
    <t>OPPREAWA-1223</t>
  </si>
  <si>
    <t>OPPREAWA-577, OPPREAWA-495, OPPREAWA-373</t>
  </si>
  <si>
    <t>[FO] As an EO, I want to sign the tender report if the procedure forces me to sign</t>
  </si>
  <si>
    <t>OPPREAWA-1221</t>
  </si>
  <si>
    <t>Usage of liquibase to manage the database scripts</t>
  </si>
  <si>
    <t>OPPREAWA-1218</t>
  </si>
  <si>
    <t>Use liquibase to manage the database scripts. We need to move to that technology.</t>
  </si>
  <si>
    <t>OPPREAWA-1217</t>
  </si>
  <si>
    <t>DESIGN - Task details look &amp; feel harmonization - implementation</t>
  </si>
  <si>
    <t>MWP-540</t>
  </si>
  <si>
    <t>COMPCORP-PI5</t>
  </si>
  <si>
    <t>EC eUI My Workplace PI7 It4, EC eUI My Workplace PI8 It2, EC eUI My Workplace PI8 It3, EC eUI My Workplace PI8 It4, EC eUI My Workplace PI9 It2, EC eUI My Workplace PI9 It3, EC eUI My Workplace PI9 It4</t>
  </si>
  <si>
    <t>MWP-887, MWP-390</t>
  </si>
  <si>
    <t>Add budget line to action components</t>
  </si>
  <si>
    <t>OPSYSIOP-1271</t>
  </si>
  <si>
    <t>OPSYSIOP-241</t>
  </si>
  <si>
    <t>Logframe Agnostic</t>
  </si>
  <si>
    <t>OPRESULT-1003</t>
  </si>
  <si>
    <t>Results PI8 It5, Results PI9 It2, Results PI9 It3, Results PI9 It4, Results PI9 It1</t>
  </si>
  <si>
    <t>OPRESULT-661, OPRESULT-1571, OPRESULT-1572</t>
  </si>
  <si>
    <t>Show last update column and sorting capabilities</t>
  </si>
  <si>
    <t>OPRESULT-998</t>
  </si>
  <si>
    <t>Program Increment 9, OPSYS PI 9, @opsys/result-quality-management: 1.10.1, @opsys/result-quality-management: 1.16.3</t>
  </si>
  <si>
    <t>Results PI8 It5, Results PI9 It1, Results PI9 It2, Results PI9 It3, Results PI9 It4, Results PI9 It5, Results PI9 It1</t>
  </si>
  <si>
    <t>OPSYS-7330, OPRESULT-789</t>
  </si>
  <si>
    <t>Add the contractor as one of the parameters for the generation of the budget breakdown</t>
  </si>
  <si>
    <t>OPPREAWA-1215</t>
  </si>
  <si>
    <t>OPPREAWA-1214, OPPREAWA-1213, OPPREAWA-769</t>
  </si>
  <si>
    <t>Reformat the budget breakdown template</t>
  </si>
  <si>
    <t>OPPREAWA-1214</t>
  </si>
  <si>
    <t>OPPREAWA-1405, OPPREAWA-1495, OPPREAWA-1428, OPPREAWA-1518, OPPREAWA-1521, OPPREAWA-1151, OPPREAWA-1474, OPPREAWA-1451, OPPREAWA-1215, OPPREAWA-769</t>
  </si>
  <si>
    <t>Add a placeholder to put the contractor on the generated budget breakdown</t>
  </si>
  <si>
    <t>OPPREAWA-1213</t>
  </si>
  <si>
    <t>OPPREAWA-1215, OPPREAWA-769</t>
  </si>
  <si>
    <t>List of Core indicators to show only the language that is selected by the user</t>
  </si>
  <si>
    <t>OPRESULT-991</t>
  </si>
  <si>
    <t>Results PI8 It5</t>
  </si>
  <si>
    <t>OPSYS-7313, OPRESULT-789</t>
  </si>
  <si>
    <t>Change the title of the generated budget breakdown</t>
  </si>
  <si>
    <t>OPPREAWA-1212</t>
  </si>
  <si>
    <t>[CON] Connector should build the procedure details in CDM format on request</t>
  </si>
  <si>
    <t>OPPREAWA-1210</t>
  </si>
  <si>
    <t>Validations for the dynamic forms</t>
  </si>
  <si>
    <t>EUI-1314</t>
  </si>
  <si>
    <t>EUI-1220, EUI-1221, EUI-1222, EUI-1160</t>
  </si>
  <si>
    <t>Restrospectives, Meetings, Unexpected work Iteration 8.5</t>
  </si>
  <si>
    <t>OPRESULT-967</t>
  </si>
  <si>
    <t>OPRESULT-899, OPRESULT-798</t>
  </si>
  <si>
    <t>Align ALL pages with defaults : title / sub-title + breadcrumbs</t>
  </si>
  <si>
    <t>MWP-538</t>
  </si>
  <si>
    <t>MWP-445</t>
  </si>
  <si>
    <t>Administrative tasks and working issues</t>
  </si>
  <si>
    <t>OPPREAWA-1208</t>
  </si>
  <si>
    <t>Configure the issue type Activitie</t>
  </si>
  <si>
    <t>OPCITNET-219</t>
  </si>
  <si>
    <t>EC Opsys CITnet PI 8 It4, EC Opsys CITnet PI 9 It2</t>
  </si>
  <si>
    <t>Improve the Budget consumption for IPD</t>
  </si>
  <si>
    <t>OPSYSIOP-1268</t>
  </si>
  <si>
    <t>Program Increment 8, TRACK3-0.18.0</t>
  </si>
  <si>
    <t>OPSYSIOP-1260, OPSYSIOP-796</t>
  </si>
  <si>
    <t>Display more catalogue fields of the expert profile request on the tender data screen</t>
  </si>
  <si>
    <t>OPPREAWA-1202</t>
  </si>
  <si>
    <t>OPPREAWA-1237, OPPREAWA-758, OPPREAWA-792</t>
  </si>
  <si>
    <t>Credits sectoin in slot</t>
  </si>
  <si>
    <t>OPSYSIOP-1266</t>
  </si>
  <si>
    <t>OPSYSIOP-838</t>
  </si>
  <si>
    <t>Align the structure of the procedure lines to the structure of the tender lines</t>
  </si>
  <si>
    <t>OPPREAWA-1195</t>
  </si>
  <si>
    <t>OPPREAWA-766, OPPREAWA-792</t>
  </si>
  <si>
    <t>Change PNS templates</t>
  </si>
  <si>
    <t>OPRESULT-964</t>
  </si>
  <si>
    <t>Results PI8 It4</t>
  </si>
  <si>
    <t>OPRESULT-684</t>
  </si>
  <si>
    <t>(Enabler) Use the Copy method provided by the IAM web service to assign roles when creating a Tender/Invitation</t>
  </si>
  <si>
    <t>OPPREAWA-1193</t>
  </si>
  <si>
    <t>OPPREAWA-1586, OPPREAWA-1423</t>
  </si>
  <si>
    <t>Improve the Budget consumption for Basic Act</t>
  </si>
  <si>
    <t>OPSYSIOP-1260</t>
  </si>
  <si>
    <t>OPSYSIOP-1268, OPSYSIOP-796</t>
  </si>
  <si>
    <t>User details service should offer also the CCM2 department - Check with OPSYS the usage of department</t>
  </si>
  <si>
    <t>MWP-537</t>
  </si>
  <si>
    <t>EC eUI My Workplace PI8 It4, EC eUI My Workplace PI9 It3</t>
  </si>
  <si>
    <t>MWP-541, MWP-573</t>
  </si>
  <si>
    <t>OpenID registration EU Login PROD for ACC MWP</t>
  </si>
  <si>
    <t>MWP-536</t>
  </si>
  <si>
    <t>EC eUI My Workplace PI8 It4, EC eUI My Workplace PI8 It5</t>
  </si>
  <si>
    <t>MWP-535</t>
  </si>
  <si>
    <t>Add an action-component dedicated screen</t>
  </si>
  <si>
    <t>OPSYSIOP-1252</t>
  </si>
  <si>
    <t>OPSYSIOP-262</t>
  </si>
  <si>
    <t>Create script for resolving all issues from tag to head on package</t>
  </si>
  <si>
    <t>MWP-534</t>
  </si>
  <si>
    <t>eUI-3.5.0</t>
  </si>
  <si>
    <t>The Awarding module needs to call subprocess configuration</t>
  </si>
  <si>
    <t>OPPREAWA-1183</t>
  </si>
  <si>
    <t>OPPREAWA-1186, OPPREAWA-141</t>
  </si>
  <si>
    <t>Align the structure of the tender lines to the structure of the procedure lines</t>
  </si>
  <si>
    <t>OPPREAWA-1182</t>
  </si>
  <si>
    <t>EC Opsys Preaward PI8 It4, EC Opsys Preaward PI8 It5, EC Opsys Preaward PI9 It1, EC Opsys Preaward PI9 It2, EC Opsys Preaward PI9 It3, EC Opsys Preaward PI9 It4, EC Opsys Preaward PI9 It5</t>
  </si>
  <si>
    <t>OPPREAWA-1187, OPPREAWA-1426</t>
  </si>
  <si>
    <t>As a PO, I want that the system provides contextual help information when drafting the Requirement during Preparation</t>
  </si>
  <si>
    <t>OPPREAWA-1173</t>
  </si>
  <si>
    <t>Solve issue related to approval of evaluation prepation</t>
  </si>
  <si>
    <t>OPPREAWA-1172</t>
  </si>
  <si>
    <t>OPPREAWA-1222, OPPREAWA-1229, OPPREAWA-109</t>
  </si>
  <si>
    <t>[QM - Manage Sex Diss] - Implement the Business Rules in the Add Dissaggregation type screen</t>
  </si>
  <si>
    <t>OPRESULT-933</t>
  </si>
  <si>
    <t>Results PI8 It4, Results PI8 It5, Results PI9 It1, Results PI9 It2, Results PI9 It3, Results PI9 It1</t>
  </si>
  <si>
    <t>OPSYS-7329, OPRESULT-791</t>
  </si>
  <si>
    <t>Configure Bamboo plans for ACC environment (CC)</t>
  </si>
  <si>
    <t>MWP-533</t>
  </si>
  <si>
    <t>EC eUI My Workplace PI8 It4, EC eUI My Workplace PI9 It2</t>
  </si>
  <si>
    <t>MWP-423</t>
  </si>
  <si>
    <t>As an OIA, I want to be notified when tender documents are sent to ARES (CNS)</t>
  </si>
  <si>
    <t>OPPREAWA-1166</t>
  </si>
  <si>
    <t>OPPREAWA-143, OPPREAWA-1052, OPPREAWA-842</t>
  </si>
  <si>
    <t>As a PO, I want that the system provides contextual help information when drafting the Request</t>
  </si>
  <si>
    <t>OPPREAWA-1161</t>
  </si>
  <si>
    <t>EC Opsys Preaward PI8 It5, EC Opsys Preaward PI9 It4, EC Opsys Preaward PI9 It5</t>
  </si>
  <si>
    <t>UX-CORE: the scope in the OpenID HTTP interceptor is hardcoded to "openid email profile"</t>
  </si>
  <si>
    <t>EUI-1301</t>
  </si>
  <si>
    <t>Refactoring of packages - merge ux-commons and ux-core into CORE</t>
  </si>
  <si>
    <t>EUI-1300</t>
  </si>
  <si>
    <t>As a PO, I want to navigate from Opening Session screen to Evaluation Session</t>
  </si>
  <si>
    <t>OPPREAWA-1148</t>
  </si>
  <si>
    <t>In PMG/SHL/AWD components, the system has to be updated to CDM version 17.0</t>
  </si>
  <si>
    <t>OPPREAWA-1144</t>
  </si>
  <si>
    <t>OPPREAWA-1147, OPPREAWA-1009, OPPREAWA-491, OPPREAWA-492, OPPREAWA-963, OPPREAWA-563</t>
  </si>
  <si>
    <t>Create intervention slot</t>
  </si>
  <si>
    <t>OPSYSIOP-1237</t>
  </si>
  <si>
    <t>[QM - Manage Sex Diss] - Display list of Dissaggregation screen</t>
  </si>
  <si>
    <t>OPRESULT-918</t>
  </si>
  <si>
    <t>Results PI8 It4, Results PI8 It5, Results PI9 It1, Results PI9 It1</t>
  </si>
  <si>
    <t>OPSYS-7312, OPRESULT-1409, OPRESULT-791</t>
  </si>
  <si>
    <t>MWP AWS - SauceLabs integration</t>
  </si>
  <si>
    <t>MWP-532</t>
  </si>
  <si>
    <t>Program Increment 8, COMPCORP-PI3</t>
  </si>
  <si>
    <t>[FO] As an economic operator, when i delete a Lot, the documents related with the Lot are also deleted</t>
  </si>
  <si>
    <t>OPPREAWA-1135</t>
  </si>
  <si>
    <t>EC Opsys Preaward PI8 It4, EC Opsys Preaward PI8 It5, EC Opsys Preaward PI9 It1, EC Opsys Preaward PI9 It2, EC Opsys Preaward PI9 It3, EC Opsys Preaward PI9 It4</t>
  </si>
  <si>
    <t>OPPREAWA-1130, OPPREAWA-1679</t>
  </si>
  <si>
    <t>(Enabler) Integrate with COMPASS for Evaluation subprocess</t>
  </si>
  <si>
    <t>OPPREAWA-1132</t>
  </si>
  <si>
    <t>OPPREAWA-781, OPPREAWA-726</t>
  </si>
  <si>
    <t>ux-autocomplete-tag component reactive form value support</t>
  </si>
  <si>
    <t>EUI-1294</t>
  </si>
  <si>
    <t>EUI-1274</t>
  </si>
  <si>
    <t>Move MyWp routes behind AuthService Guard</t>
  </si>
  <si>
    <t>MWP-531</t>
  </si>
  <si>
    <t>EC eUI My Workplace PI8 It4</t>
  </si>
  <si>
    <t>MWP-412</t>
  </si>
  <si>
    <t>[FO] As an economic operator, when i delete a party, the documents related with the party are also deleted</t>
  </si>
  <si>
    <t>OPPREAWA-1130</t>
  </si>
  <si>
    <t>OPPREAWA-1675, OPPREAWA-1135, OPPREAWA-1679</t>
  </si>
  <si>
    <t>(Enabler) [BO] Use latest version of Document Component to upload the Evaluation Report</t>
  </si>
  <si>
    <t>OPPREAWA-1127</t>
  </si>
  <si>
    <t>OPPREAWA-733, OPPREAWA-1334, OPPREAWA-843, OPPREAWA-902</t>
  </si>
  <si>
    <t>[BO] As a PO, I would like to encode evaluation results in order to stop or to continue the negotiation</t>
  </si>
  <si>
    <t>OPPREAWA-1123</t>
  </si>
  <si>
    <t>OPPREAWA-780, OPPREAWA-779, OPPREAWA-862, OPPREAWA-902</t>
  </si>
  <si>
    <t>[BO] As an Opening Board Member, I want to see the award method on the opening session screen</t>
  </si>
  <si>
    <t>OPPREAWA-1118</t>
  </si>
  <si>
    <t>OPPREAWA-1008, OPPREAWA-842, OPPREAWA-1090</t>
  </si>
  <si>
    <t>[SYG][AMD|GAP][BR] REQ.2069: Contractor uniqueness check</t>
  </si>
  <si>
    <t>OPPOSTWARD-284</t>
  </si>
  <si>
    <t>EC Opsys Postawards PI9 It5</t>
  </si>
  <si>
    <t>OPPOSTWARD-79, OPPOSTWARD-97</t>
  </si>
  <si>
    <t>UX-COMMONS: ux-autocomplete-tag - allow to display tags below the select field</t>
  </si>
  <si>
    <t>EUI-1289</t>
  </si>
  <si>
    <t>3.4.6</t>
  </si>
  <si>
    <t>UXATEC-1645</t>
  </si>
  <si>
    <t>[COMPASS][SUBMISSION][OPENING] As a Program Manager, I want to initiate the “Opening Session” of the tenders, so the system will decrypt tenders and make them available for further operations</t>
  </si>
  <si>
    <t>OPPOSTWARD-283</t>
  </si>
  <si>
    <t>UX-COMMONS: ux-form-group__label - emphasize form labels readiness especially when readonly=true</t>
  </si>
  <si>
    <t>EUI-1288</t>
  </si>
  <si>
    <t>[BO] As an Opening Board Member, I want to see the price of the tenders after I confirmed the InOrder flags by clicking on the 'Show prices' button</t>
  </si>
  <si>
    <t>OPPREAWA-1090</t>
  </si>
  <si>
    <t>OPPREAWA-1008, OPPREAWA-1118, OPPREAWA-842</t>
  </si>
  <si>
    <t>update of common deps - rollup upgrade for better error output</t>
  </si>
  <si>
    <t>EUI-1287</t>
  </si>
  <si>
    <t>EC eUI My Workplace PI8 It3</t>
  </si>
  <si>
    <t>technical Merge for Dev Comits during PI8 session</t>
  </si>
  <si>
    <t>OPPREAWA-1084</t>
  </si>
  <si>
    <t>OPPREAWA-444</t>
  </si>
  <si>
    <t>Unexpected work Iteration 8.4</t>
  </si>
  <si>
    <t>OPRESULT-899</t>
  </si>
  <si>
    <t>OPRESULT-850, OPRESULT-967, OPRESULT-798</t>
  </si>
  <si>
    <t>Create automated test</t>
  </si>
  <si>
    <t>OPRESULT-898</t>
  </si>
  <si>
    <t>Allow Olympia to go to the API Gateway production URLs.</t>
  </si>
  <si>
    <t>MWP-528</t>
  </si>
  <si>
    <t>MWP-466</t>
  </si>
  <si>
    <t>Change the URL to the PIC Search page on the opening screen of e-Submission</t>
  </si>
  <si>
    <t>OPPREAWA-1075</t>
  </si>
  <si>
    <t>Change the URL to SEDIA Portal on screen informing that the submission of tender is OK</t>
  </si>
  <si>
    <t>OPPREAWA-1071</t>
  </si>
  <si>
    <t>OPPREAWA-1297, OPPREAWA-1069, OPPREAWA-1679</t>
  </si>
  <si>
    <t>Add 'Pricing Methodology' as a mandatory tender document</t>
  </si>
  <si>
    <t>OPPREAWA-1070</t>
  </si>
  <si>
    <t>OPPREAWA-1072</t>
  </si>
  <si>
    <t>Change the URL to SEDIA Portal in all PNS notifications</t>
  </si>
  <si>
    <t>OPPREAWA-1069</t>
  </si>
  <si>
    <t>OPPREAWA-1297, OPPREAWA-1071, OPPREAWA-849</t>
  </si>
  <si>
    <t>layout sidebar improvements</t>
  </si>
  <si>
    <t>EUI-1285</t>
  </si>
  <si>
    <t>EC eUI My Workplace PI8 It3, EC eUI My Workplace PI8 It4</t>
  </si>
  <si>
    <t>[QM - Manage Sex Diss] - Copy Disaggregation Types while copying the Core Indicator</t>
  </si>
  <si>
    <t>OPRESULT-888</t>
  </si>
  <si>
    <t>OPSYS-7349, OPRESULT-791</t>
  </si>
  <si>
    <t>[QM - Manage Sex Diss] - List and filter Dissaggregation types in Core Indicator screen</t>
  </si>
  <si>
    <t>OPRESULT-885</t>
  </si>
  <si>
    <t>OPSYS-7347, OPRESULT-1424, OPRESULT-791</t>
  </si>
  <si>
    <t>[QM - Manage Sex Diss] - Edit a VALIDATED Disaggregation type</t>
  </si>
  <si>
    <t>OPRESULT-884</t>
  </si>
  <si>
    <t>Results PI9 It1, Results PI9 It2, Results PI9 It1</t>
  </si>
  <si>
    <t>OPRESULT-1556, OPSYS-7328, OPRESULT-1561, OPRESULT-1555, OPRESULT-1557, OPRESULT-791</t>
  </si>
  <si>
    <t>[QM - Manage Sex Diss] - Edit a DRAFT Dissaggregation type</t>
  </si>
  <si>
    <t>OPRESULT-883</t>
  </si>
  <si>
    <t>Results PI8 It5, Results PI9 It1, Results PI9 It2, Results PI9 It1</t>
  </si>
  <si>
    <t>OPSYS-7327, OPRESULT-1238, OPRESULT-1418, OPRESULT-1420, OPRESULT-791</t>
  </si>
  <si>
    <t>[QM - Manage Sex Diss] - Validate a Dissaggregation Type</t>
  </si>
  <si>
    <t>OPRESULT-882</t>
  </si>
  <si>
    <t>Results PI8 It5, Results PI9 It1, Results PI9 It2, Results PI9 It3, Results PI9 It1</t>
  </si>
  <si>
    <t>OPSYS-7326, OPRESULT-1366, OPRESULT-791</t>
  </si>
  <si>
    <t>[QM - Manage Sex Diss] - Delete a Disaggregation type</t>
  </si>
  <si>
    <t>OPRESULT-881</t>
  </si>
  <si>
    <t>OPSYS-7325, OPRESULT-791</t>
  </si>
  <si>
    <t>[QM - Manage Sex Diss] - Disable a disaggregation type</t>
  </si>
  <si>
    <t>OPRESULT-880</t>
  </si>
  <si>
    <t>OPRESULT-1531, OPSYS-7324, OPRESULT-1235, OPRESULT-1240, OPRESULT-1352, OPRESULT-1410, OPRESULT-791</t>
  </si>
  <si>
    <t>[QM - Manage Sex Diss] - Add new dissaggregation type</t>
  </si>
  <si>
    <t>OPRESULT-879</t>
  </si>
  <si>
    <t>Results PI8 It4, Results PI8 It5, Results PI9 It1, Results PI9 It2, Results PI9 It1</t>
  </si>
  <si>
    <t>OPSYS-7323, OPRESULT-1416, OPRESULT-1232, OPRESULT-1233, OPRESULT-1234, OPRESULT-1236, OPRESULT-1239, OPRESULT-1223, OPRESULT-791</t>
  </si>
  <si>
    <t>Providing dynFormApi to share isolated state and helper/service methods</t>
  </si>
  <si>
    <t>EUI-1284</t>
  </si>
  <si>
    <t>EUI-1160</t>
  </si>
  <si>
    <t>Packaging Dynamic Form Library</t>
  </si>
  <si>
    <t>EUI-1283</t>
  </si>
  <si>
    <t>Presentational State of The Dynamic Forms</t>
  </si>
  <si>
    <t>EUI-1281</t>
  </si>
  <si>
    <t>docs for openid interceptor don't mention the providers: [] section</t>
  </si>
  <si>
    <t>EUI-1279</t>
  </si>
  <si>
    <t>OpenID for local development</t>
  </si>
  <si>
    <t>MWP-525</t>
  </si>
  <si>
    <t>eRequest - PI9 CR and improvements</t>
  </si>
  <si>
    <t>OPPREAWA-1063</t>
  </si>
  <si>
    <t>[SYGMA] Baseline Date (set after Contract preparation)</t>
  </si>
  <si>
    <t>OPPOSTWARD-282</t>
  </si>
  <si>
    <t>OPPOSTWARD-77</t>
  </si>
  <si>
    <t>Adapt UxLink and filter against rights including allowedRightId property</t>
  </si>
  <si>
    <t>EUI-1278</t>
  </si>
  <si>
    <t>Add navigation Secunda privilege to user profile</t>
  </si>
  <si>
    <t>MWP-524</t>
  </si>
  <si>
    <t>MWP-427</t>
  </si>
  <si>
    <t>eRequest components has to be updated to CDM version 16.9.1</t>
  </si>
  <si>
    <t>OPPREAWA-1053</t>
  </si>
  <si>
    <t>OPPREAWA-563</t>
  </si>
  <si>
    <t>(Enabler) Integrate with document component to transfer all tender documents to ARES when closing Opening Session</t>
  </si>
  <si>
    <t>OPPREAWA-1052</t>
  </si>
  <si>
    <t>OPPREAWA-746, OPPREAWA-143, OPPREAWA-1166, OPPREAWA-842</t>
  </si>
  <si>
    <t>[BO] As an Opening Board Member, I want to confirm the closing of the opening session</t>
  </si>
  <si>
    <t>OPPREAWA-1050</t>
  </si>
  <si>
    <t>EC Opsys Preaward PI8 It3, EC Opsys Preaward PI8 It4, EC Opsys Preaward PI8 It5, EC Opsys Preaward PI9 It1, EC Opsys Preaward PI9 It2, EC Opsys Preaward PI9 It3, EC Opsys Preaward PI9 It4, EC Opsys Preaward PI9 It5</t>
  </si>
  <si>
    <t>OPPREAWA-842</t>
  </si>
  <si>
    <t>Reactive forms support for ux-autocomplete-tag component</t>
  </si>
  <si>
    <t>Program Increment 8, 3.4.6</t>
  </si>
  <si>
    <t>EUI-1293, EUI-1299, OPRESULT-869, EUI-1294, UXATEC-1642, MWP-409</t>
  </si>
  <si>
    <t>[TGS] Prefin letter for SIEA 2018 - letter to be sent to contractor</t>
  </si>
  <si>
    <t>OPPOSTWARD-281</t>
  </si>
  <si>
    <t>OPPOSTWARD-189, OPPOSTWARD-79, OPPOSTWARD-210</t>
  </si>
  <si>
    <t>. [SYG][AMD][new exercise][BR] REQ.2059: Change of pre-financing vs paid pre-financing check</t>
  </si>
  <si>
    <t>OPPOSTWARD-280</t>
  </si>
  <si>
    <t>OPPOSTWARD-79, OPPOSTWARD-210</t>
  </si>
  <si>
    <t>[SYGMA] Intervention slot - import data</t>
  </si>
  <si>
    <t>OPPOSTWARD-279</t>
  </si>
  <si>
    <t>OPPOSTWARD-70</t>
  </si>
  <si>
    <t>[SYGMA] Intervention slot - data model</t>
  </si>
  <si>
    <t>OPPOSTWARD-278</t>
  </si>
  <si>
    <t>(Enabler) Integrate with COMPASS for Submission subprocess</t>
  </si>
  <si>
    <t>OPPREAWA-1042</t>
  </si>
  <si>
    <t>[FO] Generate and store the ExpertID for each expert when saving the tender lines</t>
  </si>
  <si>
    <t>OPPREAWA-1040</t>
  </si>
  <si>
    <t>OPPREAWA-1276, OPPREAWA-1426</t>
  </si>
  <si>
    <t>As a COTG developer, I want to develop my own packages in MWP / CSDR</t>
  </si>
  <si>
    <t>MWP-522</t>
  </si>
  <si>
    <t>MWP-472</t>
  </si>
  <si>
    <t>ux-dropdown-button - add option to override dropdown list height</t>
  </si>
  <si>
    <t>EUI-1269</t>
  </si>
  <si>
    <t>Handle multiple remote email, selection / depending on hierarchical position</t>
  </si>
  <si>
    <t>OPSYSIOP-1210</t>
  </si>
  <si>
    <t>EC OPSYS IOP PI8 It3</t>
  </si>
  <si>
    <t>MWP-455, OPSYSIOP-849</t>
  </si>
  <si>
    <t>(Enabler) e-Submission should still work after COMPASS doesn't send the procedureID anymore</t>
  </si>
  <si>
    <t>OPPREAWA-1028</t>
  </si>
  <si>
    <t>EC Opsys Preaward PI8 It3, EC Opsys Preaward PI8 It4, EC Opsys Preaward PI8 It5, EC Opsys Preaward PI9 It1, EC Opsys Preaward PI9 It2, EC Opsys Preaward PI9 It3, EC Opsys Preaward PI9 It4</t>
  </si>
  <si>
    <t>OPPREAWA-701, OPPREAWA-944</t>
  </si>
  <si>
    <t>Profile Management: As user, I want to be informed that the dashboard is building so I know that something is on going</t>
  </si>
  <si>
    <t>MWP-513</t>
  </si>
  <si>
    <t>Change OpenID config for DEV and TEST to go to EU Login ACCEPTANCE</t>
  </si>
  <si>
    <t>MWP-512</t>
  </si>
  <si>
    <t>[BO] As an ECM, I want to be able to see the evaluation deadline that is set during Preparation</t>
  </si>
  <si>
    <t>OPPREAWA-1022</t>
  </si>
  <si>
    <t>OPPREAWA-402, OPPREAWA-740, OPPREAWA-902, OPPREAWA-666</t>
  </si>
  <si>
    <t>Implementation of widget counter or plain link as tile</t>
  </si>
  <si>
    <t>MWP-509</t>
  </si>
  <si>
    <t>MWP-431</t>
  </si>
  <si>
    <t>As a PO, I want to manage delays that are marked as updatable</t>
  </si>
  <si>
    <t>OPPREAWA-1015</t>
  </si>
  <si>
    <t>EPROCUREMENT-18378, OPPREAWA-402, OPPREAWA-562</t>
  </si>
  <si>
    <t>Update issue matrix panel for Requirements</t>
  </si>
  <si>
    <t>OPCITNET-215</t>
  </si>
  <si>
    <t>EC Opsys CITnet PI 8 It3</t>
  </si>
  <si>
    <t>[BO] As an Opening Board Member, I want to see the lots for which the tender has been submitted (if displayed ungrouped)</t>
  </si>
  <si>
    <t>OPPREAWA-1012</t>
  </si>
  <si>
    <t>OPPREAWA-1008, OPPREAWA-842</t>
  </si>
  <si>
    <t>In Shortlist and PMG components, the system has to be updated to CDM version 16.9.1</t>
  </si>
  <si>
    <t>OPPREAWA-1009</t>
  </si>
  <si>
    <t>OPPREAWA-1144, OPPREAWA-491, OPPREAWA-492, OPPREAWA-963, OPPREAWA-563</t>
  </si>
  <si>
    <t>[BO] As an Opening Board Member, I want to see the price of the tenders (if this is allowed)</t>
  </si>
  <si>
    <t>OPPREAWA-1008</t>
  </si>
  <si>
    <t>OPPREAWA-1120, OPPREAWA-1012, OPPREAWA-1118, OPPREAWA-842, OPPREAWA-1090</t>
  </si>
  <si>
    <t>Create new WIDGET ADMIN screen to handle the configuration at UI level</t>
  </si>
  <si>
    <t>MWP-507</t>
  </si>
  <si>
    <t>Handle registration of widget mapping per role</t>
  </si>
  <si>
    <t>MWP-503</t>
  </si>
  <si>
    <t>MWP-425</t>
  </si>
  <si>
    <t>As an un-registered user I'm able to access my profile with default role granted</t>
  </si>
  <si>
    <t>MWP-502</t>
  </si>
  <si>
    <t>Procedure Manager needs to make available a list of business object references to the current sub-process</t>
  </si>
  <si>
    <t>OPPREAWA-1002</t>
  </si>
  <si>
    <t>EPROCUREMENT-18092, OPPREAWA-333</t>
  </si>
  <si>
    <t>(Enabler) Integrate with InterventionSlot service</t>
  </si>
  <si>
    <t>OPPREAWA-998</t>
  </si>
  <si>
    <t>[TGS][AMD][new exercise] New TGS template for AMD clause to change the specific term of reference (AT9)</t>
  </si>
  <si>
    <t>OPPOSTWARD-277</t>
  </si>
  <si>
    <t>EC Opsys Postawards PI8 it2</t>
  </si>
  <si>
    <t>OPPOSTWARD-157, OPPOSTWARD-88, OPPOSTWARD-156</t>
  </si>
  <si>
    <t>[TGS][AMD][new exercise] New TGS template for AMD clause to change the CVs of experts (AT12)</t>
  </si>
  <si>
    <t>OPPOSTWARD-276</t>
  </si>
  <si>
    <t>[COMPASS][PFPC] Refresh metroline</t>
  </si>
  <si>
    <t>OPPOSTWARD-275</t>
  </si>
  <si>
    <t>Styles - improvements and alignments</t>
  </si>
  <si>
    <t>EUI-1263</t>
  </si>
  <si>
    <t>3.4.5, 3.4.6</t>
  </si>
  <si>
    <t>Unexpected work</t>
  </si>
  <si>
    <t>OPRESULT-850</t>
  </si>
  <si>
    <t>Results PI8 It3</t>
  </si>
  <si>
    <t>Work on creation of BEND test regarding the new services and double check the new swagger</t>
  </si>
  <si>
    <t>OPRESULT-849</t>
  </si>
  <si>
    <t>OPRESULT-915, OPRESULT-808</t>
  </si>
  <si>
    <t>Work on test automation</t>
  </si>
  <si>
    <t>OPRESULT-846</t>
  </si>
  <si>
    <t>Work on any possible bug found in BEND</t>
  </si>
  <si>
    <t>OPRESULT-844</t>
  </si>
  <si>
    <t>OPRESULT-811, OPRESULT-808</t>
  </si>
  <si>
    <t>Ensure BEND estability and update SOAPUI test</t>
  </si>
  <si>
    <t>OPRESULT-832</t>
  </si>
  <si>
    <t>Results PI8 It3, Results PI8 It4</t>
  </si>
  <si>
    <t>Testing automation for backend web services in ESubmission</t>
  </si>
  <si>
    <t>OPPREAWA-951, OPPREAWA-1294</t>
  </si>
  <si>
    <t>ux-panel add collapsible option</t>
  </si>
  <si>
    <t>EUI-1258</t>
  </si>
  <si>
    <t>3.4.3</t>
  </si>
  <si>
    <t>Make awarding method for SIEA 2018 available to eSubmission</t>
  </si>
  <si>
    <t>OPPREAWA-986</t>
  </si>
  <si>
    <t>OPPREAWA-1650, OPPREAWA-982</t>
  </si>
  <si>
    <t>Procedure manager will expose the awarding method and other tendering terms in the procedure configuration</t>
  </si>
  <si>
    <t>OPPREAWA-983</t>
  </si>
  <si>
    <t>OPPREAWA-1048, OPPREAWA-982</t>
  </si>
  <si>
    <t>PI8 - Intervention Slots Basic - Test Execution</t>
  </si>
  <si>
    <t>OPSYSIOP-1167</t>
  </si>
  <si>
    <t>PI8 - Intervention Slots Basic - Test Preparation</t>
  </si>
  <si>
    <t>OPSYSIOP-1166</t>
  </si>
  <si>
    <t>PI8 - ABAC Integration (w/ JAGate) - Budget line - Test Execution</t>
  </si>
  <si>
    <t>OPSYSIOP-1165</t>
  </si>
  <si>
    <t>PI8 - ABAC Integration (w/ JAGate) - Budget line - Test Preparation</t>
  </si>
  <si>
    <t>OPSYSIOP-1164</t>
  </si>
  <si>
    <t>PI8 - Budget consumption overview - Test Execution</t>
  </si>
  <si>
    <t>OPSYSIOP-1159</t>
  </si>
  <si>
    <t>OPSYSIOP-796</t>
  </si>
  <si>
    <t>PI8 - Budget consumption overview - Test Preparation</t>
  </si>
  <si>
    <t>OPSYSIOP-1158</t>
  </si>
  <si>
    <t>QA implementation at package build DEV level</t>
  </si>
  <si>
    <t>MWP-488</t>
  </si>
  <si>
    <t>PI8 - Manage Basic Act - Test Execution</t>
  </si>
  <si>
    <t>OPSYSIOP-1157</t>
  </si>
  <si>
    <t>OPSYSIOP-793</t>
  </si>
  <si>
    <t>PI8 - Manage Basic Act - Test Preparation</t>
  </si>
  <si>
    <t>OPSYSIOP-1156</t>
  </si>
  <si>
    <t>PI8 - Tagging Track 3 entities - Test Execution</t>
  </si>
  <si>
    <t>OPSYSIOP-1155</t>
  </si>
  <si>
    <t>OPSYSIOP-779</t>
  </si>
  <si>
    <t>PI8 - Tagging Track 3 entities - Test Preparation</t>
  </si>
  <si>
    <t>OPSYSIOP-1154</t>
  </si>
  <si>
    <t>PI8 - User Role - Authorisation [GEM] - QA_Test Execution</t>
  </si>
  <si>
    <t>OPSYSIOP-1153</t>
  </si>
  <si>
    <t>PI8 - User Role - Authorisation [GEM] - QA_Test Preparation</t>
  </si>
  <si>
    <t>OPSYSIOP-1152</t>
  </si>
  <si>
    <t>ux-fieldset isLarge=true : reduce the font size</t>
  </si>
  <si>
    <t>EUI-1250</t>
  </si>
  <si>
    <t>3.4.5</t>
  </si>
  <si>
    <t>MWP-448</t>
  </si>
  <si>
    <t>PI8 - Full Action Management - Test Execution</t>
  </si>
  <si>
    <t>OPSYSIOP-1151</t>
  </si>
  <si>
    <t>PI8 - Full Action Management - Test Preparation</t>
  </si>
  <si>
    <t>OPSYSIOP-1150</t>
  </si>
  <si>
    <t>PI8 - Initial Action Management - Test Execution</t>
  </si>
  <si>
    <t>OPSYSIOP-1149</t>
  </si>
  <si>
    <t>OPSYSIOP-254</t>
  </si>
  <si>
    <t>PI8 - Initial Action Management - Test Preparation</t>
  </si>
  <si>
    <t>OPSYSIOP-1148</t>
  </si>
  <si>
    <t>[BO] Rename reason for rejection and add a reason for rejection</t>
  </si>
  <si>
    <t>OPPREAWA-969</t>
  </si>
  <si>
    <t>As Shortlist component, I want to provide the method to get the business context for the shortlist entries for a given sub process.</t>
  </si>
  <si>
    <t>OPPREAWA-963</t>
  </si>
  <si>
    <t>EPROCUREMENT-18377, OPPREAWA-1009, OPPREAWA-1144, OPPREAWA-835, OPPREAWA-333</t>
  </si>
  <si>
    <t>As Procedure Manager I can determine the next (happy path) SIEA 2018 subprocess by configuration</t>
  </si>
  <si>
    <t>OPPREAWA-959</t>
  </si>
  <si>
    <t>OPPREAWA-1378, OPPREAWA-377</t>
  </si>
  <si>
    <t>Procedure Manager needs to be able to query the shortlist for business object references between sub-processes of a procedure</t>
  </si>
  <si>
    <t>OPPREAWA-958</t>
  </si>
  <si>
    <t>OPPREAWA-957, OPPREAWA-333</t>
  </si>
  <si>
    <t>Procedure Manager needs to identify the subprocess(es) which hold required business object references</t>
  </si>
  <si>
    <t>OPPREAWA-957</t>
  </si>
  <si>
    <t>EC Opsys Preaward PI8 It2, EC Opsys Preaward PI8 It3, EC Opsys Preaward PI8 It4</t>
  </si>
  <si>
    <t>OPPREAWA-958, OPPREAWA-333</t>
  </si>
  <si>
    <t>[BO] As an Opening Board Member, I can switch from public to private opening session (and back)</t>
  </si>
  <si>
    <t>OPPREAWA-956</t>
  </si>
  <si>
    <t>EC Opsys Preaward PI8 It2, EC Opsys Preaward PI8 It3, EC Opsys Preaward PI8 It4, EC Opsys Preaward PI8 It5, EC Opsys Preaward PI9 It1, EC Opsys Preaward PI9 It2, EC Opsys Preaward PI9 It3, EC Opsys Preaward PI9 It4</t>
  </si>
  <si>
    <t>[TECH] Configure TST UI VM server on HTTPS</t>
  </si>
  <si>
    <t>MWP-480</t>
  </si>
  <si>
    <t>MWP-464, MWP-466, MWP-413</t>
  </si>
  <si>
    <t>Opsys - Track 2 - RTD - Payment Planner mock-up</t>
  </si>
  <si>
    <t>MWP-479</t>
  </si>
  <si>
    <t>MWP-449, OPPOSTWARD-290, MWP-441</t>
  </si>
  <si>
    <t>Opsys - Track 2 - RTD - Budget Planner mock-up</t>
  </si>
  <si>
    <t>MWP-478</t>
  </si>
  <si>
    <t>MWP-449, OPPOSTWARD-289, MWP-441</t>
  </si>
  <si>
    <t>[SYG][AMD|CTP][BR] REQ.2062: Consistency check on generated session documents</t>
  </si>
  <si>
    <t>OPPOSTWARD-274</t>
  </si>
  <si>
    <t>OPPOSTWARD-85, OPPOSTWARD-86, OPPOSTWARD-87, OPPOSTWARD-88</t>
  </si>
  <si>
    <t>[SYG][AMD][new exercise] AT6: Change of price (increase)</t>
  </si>
  <si>
    <t>OPPOSTWARD-273</t>
  </si>
  <si>
    <t>OPPOSTWARD-79, OPPOSTWARD-85, OPPOSTWARD-96</t>
  </si>
  <si>
    <t>[TGS][AMD][new exercise] New TGS template for AMD clause to change the organisation and methodology (AT10)</t>
  </si>
  <si>
    <t>OPPOSTWARD-272</t>
  </si>
  <si>
    <t>[TGS][AMD][new exercise] New TGS template for AMD clause to change the financial offer (AT11)</t>
  </si>
  <si>
    <t>OPPOSTWARD-271</t>
  </si>
  <si>
    <t>[PPCMS/SYGMA] Deliverables submissions</t>
  </si>
  <si>
    <t>OPPOSTWARD-269, OPPOSTWARD-357, OPPOSTWARD-173, OPPOSTWARD-171</t>
  </si>
  <si>
    <t>[SygMa] Deliverables acceptance/rejection</t>
  </si>
  <si>
    <t>OPPOSTWARD-269</t>
  </si>
  <si>
    <t>OPPOSTWARD-268, OPPOSTWARD-270, OPPOSTWARD-164, OPPOSTWARD-173, OPPOSTWARD-171, OPPOSTWARD-403</t>
  </si>
  <si>
    <t>[SYGMA] Deliverables submission screen for External users: Upload and submit a deliverable document</t>
  </si>
  <si>
    <t>OPPOSTWARD-268</t>
  </si>
  <si>
    <t>OPPOSTWARD-269, OPPOSTWARD-164, OPPOSTWARD-326, OPPOSTWARD-173, OPPOSTWARD-171, OPPOSTWARD-403</t>
  </si>
  <si>
    <t>[SYGMA] Deliverables submission screen for Internal users: Accept/Reject a submitted deliverable</t>
  </si>
  <si>
    <t>OPPOSTWARD-267</t>
  </si>
  <si>
    <t>OPPOSTWARD-164, OPPOSTWARD-171, OPPOSTWARD-403</t>
  </si>
  <si>
    <t>[COMPASS] Specific Contract Preparation + Test ENV</t>
  </si>
  <si>
    <t>OPPOSTWARD-266</t>
  </si>
  <si>
    <t>[SYGMA][BR] Rule engine (internationalization, improvements)</t>
  </si>
  <si>
    <t>OPPOSTWARD-265</t>
  </si>
  <si>
    <t>OPPOSTWARD-164, OPPOSTWARD-403</t>
  </si>
  <si>
    <t>[SYGMA] Deliverable Submission model: Datagroups</t>
  </si>
  <si>
    <t>OPPOSTWARD-264</t>
  </si>
  <si>
    <t>[SYGMA] Update Terms of Payments during the Contract Preparation</t>
  </si>
  <si>
    <t>OPPOSTWARD-263</t>
  </si>
  <si>
    <t>Program Increment 8, Program Backlog</t>
  </si>
  <si>
    <t>OPPOSTWARD-108</t>
  </si>
  <si>
    <t>[SYGMA] [CDM] Experts information</t>
  </si>
  <si>
    <t>OPPOSTWARD-262</t>
  </si>
  <si>
    <t>[SYGMA][BR] Implementation of REQ. for Experts</t>
  </si>
  <si>
    <t>OPPOSTWARD-261</t>
  </si>
  <si>
    <t>[COMPASS][SC] Specific contract - // actors v3</t>
  </si>
  <si>
    <t>OPPOSTWARD-260</t>
  </si>
  <si>
    <t>[SyGMa] DAC FORM Clarification with Business &amp; Track 3</t>
  </si>
  <si>
    <t>OPPOSTWARD-74, OPPOSTWARD-139</t>
  </si>
  <si>
    <t>[SYG][AMD][new exercise] AT8: Change of prefinancing guarantee</t>
  </si>
  <si>
    <t>OPPOSTWARD-79, OPPOSTWARD-96, OPPOSTWARD-197, OPPOSTWARD-210, OPPOSTWARD-110</t>
  </si>
  <si>
    <t>[SYG][AMD][new exercise][BR] REQ.2056: AMD Clause - Total amount increase check</t>
  </si>
  <si>
    <t>OPPOSTWARD-257</t>
  </si>
  <si>
    <t>OPPOSTWARD-79, OPPOSTWARD-96, OPPOSTWARD-197, OPPOSTWARD-210</t>
  </si>
  <si>
    <t>[SYG][AMD][new exercise][BR] REQ.2057: AMD Clause - Total amount decrease check</t>
  </si>
  <si>
    <t>OPPOSTWARD-256</t>
  </si>
  <si>
    <t>[COMPASS][AMDC] Opsys - AMD Launcher - Simulate ppcms launch process</t>
  </si>
  <si>
    <t>OPPOSTWARD-255</t>
  </si>
  <si>
    <t>[PPCMS][AMDC] As a Contractor I want to request an informal review of the drafted AMDC, so that drafted AMDC might be reviewed by Operational Manager</t>
  </si>
  <si>
    <t>OPPOSTWARD-254</t>
  </si>
  <si>
    <t>OPPOSTWARD-82</t>
  </si>
  <si>
    <t>[COMPASS][SC] Specific contract - Refresh metroline</t>
  </si>
  <si>
    <t>OPPOSTWARD-253</t>
  </si>
  <si>
    <t>[COMPASS][PFPC] Implement BG (bank guarantee) task</t>
  </si>
  <si>
    <t>OPPOSTWARD-251</t>
  </si>
  <si>
    <t>OPPOSTWARD-188</t>
  </si>
  <si>
    <t>[COMPASS][PFPC] Implement 'baseline date' service task</t>
  </si>
  <si>
    <t>OPPOSTWARD-250</t>
  </si>
  <si>
    <t>[COMPASS][AMDC] As a FVA I want to view the AMDC's data and financial data, so that I can do a manually allocation of the amount against one or more budget lines/global commitments(CL1)</t>
  </si>
  <si>
    <t>OPPOSTWARD-249</t>
  </si>
  <si>
    <t>[SYG][AMD][new exercise][BR] REQ.2054: AMD Clause - Change of prefinancing applicability check</t>
  </si>
  <si>
    <t>OPPOSTWARD-248</t>
  </si>
  <si>
    <t>[SYG][AMD][new exercise][BR] REQ.2055: AMD Clause - Change of prefinancing gurantee check</t>
  </si>
  <si>
    <t>OPPOSTWARD-247</t>
  </si>
  <si>
    <t>OPPOSTWARD-79, OPPOSTWARD-96, OPPOSTWARD-197</t>
  </si>
  <si>
    <t>[SYG][AMD][new exercise] AT4: Support AMD clause to change Annex 2 (financial offer) of the specific contract</t>
  </si>
  <si>
    <t>OPPOSTWARD-246</t>
  </si>
  <si>
    <t>OPPOSTWARD-81, OPPOSTWARD-96</t>
  </si>
  <si>
    <t>SYG][AMD][new exercise] AT7: Change of pre-financing</t>
  </si>
  <si>
    <t>OPPOSTWARD-245</t>
  </si>
  <si>
    <t>[SYG][AMD][new exercise] AT5: Change of price (decrease)</t>
  </si>
  <si>
    <t>OPPOSTWARD-244</t>
  </si>
  <si>
    <t>[SYGMA] [COMPASS] Show Budget Breakdown PDF Annexes</t>
  </si>
  <si>
    <t>OPPOSTWARD-243</t>
  </si>
  <si>
    <t>OPPOSTWARD-69</t>
  </si>
  <si>
    <t>[SYGMA][CL2] Support of Budget Line at Initialize CL2 - part of PROC_UC0375</t>
  </si>
  <si>
    <t>OPPOSTWARD-242</t>
  </si>
  <si>
    <t>[COMPASS][AMDC] As an OIA I want to edit drafted AMDC's data, so that I can modify the data of drafted AMDC submited for informal review</t>
  </si>
  <si>
    <t>OPPOSTWARD-241</t>
  </si>
  <si>
    <t>OPPOSTWARD-85</t>
  </si>
  <si>
    <t>[COMPASS][AMDC] Send a notification to Contractor, so that the Contractor is informed about approval of the AMDC</t>
  </si>
  <si>
    <t>OPPOSTWARD-240</t>
  </si>
  <si>
    <t>OPPOSTWARD-88</t>
  </si>
  <si>
    <t>[PPCMS][AMDC] As a Contractor I want to withdraw the submitted AMDC, so that AMDC is cancelled before EU counter-sign it</t>
  </si>
  <si>
    <t>[PPCMS][AMDC] As a Contractor I want to sing the AMDC, so that AMDC is signed and ready to be submitted</t>
  </si>
  <si>
    <t>OPPOSTWARD-238</t>
  </si>
  <si>
    <t>[PPCMS][AMDC] As a Contractor I want to start an AMDC, so that an AMDC is create</t>
  </si>
  <si>
    <t>OPPOSTWARD-237</t>
  </si>
  <si>
    <t>Adapt dropdown menu for ux-field-search component</t>
  </si>
  <si>
    <t>EUI-1242</t>
  </si>
  <si>
    <t>3.4.0</t>
  </si>
  <si>
    <t>EC eUI My Workplace PI8 It2</t>
  </si>
  <si>
    <t>Support tags in Track3</t>
  </si>
  <si>
    <t>OPSYSIOP-1097</t>
  </si>
  <si>
    <t>Update existing tenders after importing a new version of a call</t>
  </si>
  <si>
    <t>OPPREAWA-927</t>
  </si>
  <si>
    <t>EPROCPG-84, OPPREAWA-504</t>
  </si>
  <si>
    <t>Send a PNS notification after importing a new version of a call</t>
  </si>
  <si>
    <t>OPPREAWA-926</t>
  </si>
  <si>
    <t>EC Opsys Preaward PI8 It2, EC Opsys Preaward PI8 It3, EC Opsys Preaward PI8 It4, EC Opsys Preaward PI8 It5, EC Opsys Preaward PI9 It1, EC Opsys Preaward PI9 It2, EC Opsys Preaward PI9 It3, EC Opsys Preaward PI9 It4, EC Opsys Preaward PI9 It5</t>
  </si>
  <si>
    <t>OPPREAWA-504, OPPREAWA-884</t>
  </si>
  <si>
    <t>[COMPASS] Specific Contract Preparation - [JAGATE] Commitment Level 2 creation</t>
  </si>
  <si>
    <t>OPPOSTWARD-151</t>
  </si>
  <si>
    <t>OPPOSTWARD-139, OPPOSTWARD-146</t>
  </si>
  <si>
    <t>[COMPASS] Specific Contract Preparation - [JAGATE] Cancellation of Commitment Level 2 (un-happy path)</t>
  </si>
  <si>
    <t>OPPOSTWARD-150</t>
  </si>
  <si>
    <t>[SYGMA][CL2] CDM Updates for JAGATE</t>
  </si>
  <si>
    <t>OPPOSTWARD-149</t>
  </si>
  <si>
    <t>[COMPASS][PFPC] Refactor jagate calls to use the JagateSubProcess</t>
  </si>
  <si>
    <t>OPPOSTWARD-148</t>
  </si>
  <si>
    <t>OPPOSTWARD-76, OPPOSTWARD-146</t>
  </si>
  <si>
    <t>[COMPASS][PFPC] JAgate integration - continue with PR/PO</t>
  </si>
  <si>
    <t>OPPOSTWARD-147</t>
  </si>
  <si>
    <t>SYGMA-COMPASS-JAGATE Hardcoded Values for CL2 creation</t>
  </si>
  <si>
    <t>OPPOSTWARD-145</t>
  </si>
  <si>
    <t>OPPOSTWARD-75, OPPOSTWARD-139, OPPOSTWARD-146</t>
  </si>
  <si>
    <t>[SYGMA][CL2] Support connection to Operational Entity (Track3) at Edit CL2</t>
  </si>
  <si>
    <t>OPPOSTWARD-144</t>
  </si>
  <si>
    <t>[SYGMA][CL2] Support connection to ImplementationSlot (Track3) at Initialise CL2</t>
  </si>
  <si>
    <t>OPPOSTWARD-143</t>
  </si>
  <si>
    <t>[SYGMA][CL2] CL2 Procedure Configuration resource</t>
  </si>
  <si>
    <t>OPPOSTWARD-142</t>
  </si>
  <si>
    <t>OPPOSTWARD-75, OPPOSTWARD-141</t>
  </si>
  <si>
    <t>[SYGMA][CL2] Business Rules Implementation</t>
  </si>
  <si>
    <t>OPPOSTWARD-141</t>
  </si>
  <si>
    <t>OPPOSTWARD-75, OPPOSTWARD-142</t>
  </si>
  <si>
    <t>[SYGMA] [CDM] Intervention from Track3</t>
  </si>
  <si>
    <t>OPPOSTWARD-140</t>
  </si>
  <si>
    <t>OPPOSTWARD-138</t>
  </si>
  <si>
    <t>EC Opsys Postawards PI8 it1</t>
  </si>
  <si>
    <t>Change email address for feedback form</t>
  </si>
  <si>
    <t>OPSEDPORT-24</t>
  </si>
  <si>
    <t>EC Opsys Sedia Portal PI8 It1</t>
  </si>
  <si>
    <t>Participants info in ProposalInformation service should come from tender</t>
  </si>
  <si>
    <t>OPPREAWA-923</t>
  </si>
  <si>
    <t>OPPREAWA-1690, OPPREAWA-1005, OPPREAWA-1426</t>
  </si>
  <si>
    <t>[COMPASS][AMDC] As an OIA I want to view the drafted AMDC's data, so that I can give an informal feedback on drafted AMDC submited for informal review</t>
  </si>
  <si>
    <t>OPPOSTWARD-137</t>
  </si>
  <si>
    <t>OPPOSTWARD-84</t>
  </si>
  <si>
    <t>[COMPASS][AWD] Awarding - Prepare letters</t>
  </si>
  <si>
    <t>OPPOSTWARD-136</t>
  </si>
  <si>
    <t>[COMPASS][AWD] Awarding - Launch from PM</t>
  </si>
  <si>
    <t>OPPOSTWARD-135</t>
  </si>
  <si>
    <t>EC Opsys Postawards PI9 It2, EC Opsys Preaward PI8 It2</t>
  </si>
  <si>
    <t>[COMPASS] PRE-AWARD - Use InteroperabilityId instead of BusinessId for inter application calls</t>
  </si>
  <si>
    <t>OPPOSTWARD-134</t>
  </si>
  <si>
    <t>EC Opsys Preaward PI8 It2</t>
  </si>
  <si>
    <t>[COMPASS][AWD] Awarding - Launch SC workflow</t>
  </si>
  <si>
    <t>OPPOSTWARD-133</t>
  </si>
  <si>
    <t>[COMPASS] Opsys - SC - LCK creation</t>
  </si>
  <si>
    <t>OPPOSTWARD-132</t>
  </si>
  <si>
    <t>[SYGMA][UI] Documents Screen additional functionalities - for AMD and deliverables</t>
  </si>
  <si>
    <t>OPPOSTWARD-129</t>
  </si>
  <si>
    <t>OPPOSTWARD-79, OPPOSTWARD-328</t>
  </si>
  <si>
    <t>[COMPASS] Prepare RfS - Integration Eris</t>
  </si>
  <si>
    <t>OPPOSTWARD-128</t>
  </si>
  <si>
    <t>[SYGMA] Deliverables Import from Pre-Award Implementation</t>
  </si>
  <si>
    <t>OPPOSTWARD-127</t>
  </si>
  <si>
    <t>OPPOSTWARD-50</t>
  </si>
  <si>
    <t>[COMPASS][AMDC] Opsys - AMD Launcher</t>
  </si>
  <si>
    <t>OPPOSTWARD-364, OPPOSTWARD-413</t>
  </si>
  <si>
    <t>[SYGMA][CL2] Edit CL2 with changes from Business</t>
  </si>
  <si>
    <t>OPPOSTWARD-124</t>
  </si>
  <si>
    <t>OPPOSTWARD-27</t>
  </si>
  <si>
    <t>[PPCMS] PPCMS eui Container</t>
  </si>
  <si>
    <t>OPPOSTWARD-123</t>
  </si>
  <si>
    <t>Work on the lograme automation</t>
  </si>
  <si>
    <t>OPRESULT-786</t>
  </si>
  <si>
    <t>Results PI8 It2, Results PI8 It3</t>
  </si>
  <si>
    <t>[SYG][AMD][new exercise][BR] REQ.2051: Bank account contract validation</t>
  </si>
  <si>
    <t>OPPOSTWARD-121</t>
  </si>
  <si>
    <t>[SYGMA] Translation of rule results</t>
  </si>
  <si>
    <t>OPPOSTWARD-120</t>
  </si>
  <si>
    <t>OPPOSTWARD-119</t>
  </si>
  <si>
    <t>[SYG][AMD][new exercise][BR] REQ.2052: Specific Contract bank account vs FWC bank account check</t>
  </si>
  <si>
    <t>OPPOSTWARD-118</t>
  </si>
  <si>
    <t>[SYG][AMD|CTP][BR] REQ.2053: Preprocessing - Contract related variables</t>
  </si>
  <si>
    <t>OPPOSTWARD-117</t>
  </si>
  <si>
    <t>[SYGMA][AMD] Sygma should provide the checkEW and checkLEBankAccount methods via SyncCheckService</t>
  </si>
  <si>
    <t>OPPOSTWARD-116</t>
  </si>
  <si>
    <t>[SYG][AMD][new exercise][BR] REQ.2050: Bank account ABAC validation</t>
  </si>
  <si>
    <t>OPPOSTWARD-115</t>
  </si>
  <si>
    <t>[COMPASS] Awarding - Implement the technical BPMN</t>
  </si>
  <si>
    <t>OPPOSTWARD-114</t>
  </si>
  <si>
    <t>[SYGMA][AMD][new exercise][UI] Documents Screen</t>
  </si>
  <si>
    <t>OPPOSTWARD-113</t>
  </si>
  <si>
    <t>OPPOSTWARD-79</t>
  </si>
  <si>
    <t>[SYG][AMD][new exercise][BR] REQ.2035: Preprocessing - Amendment related variables</t>
  </si>
  <si>
    <t>OPPOSTWARD-112</t>
  </si>
  <si>
    <t>OPPOSTWARD-80</t>
  </si>
  <si>
    <t>[SYG][AMD][new exercise] Rebase amendment exercise (for IP, change or duration and change of start date)</t>
  </si>
  <si>
    <t>OPPOSTWARD-111</t>
  </si>
  <si>
    <t>Document the Logframe Agnostic</t>
  </si>
  <si>
    <t>OPRESULT-779</t>
  </si>
  <si>
    <t>Results PI8 It2, Results PI8 It3, Results PI8 It4</t>
  </si>
  <si>
    <t>Make logframe agnostic for the BEND (2/2)</t>
  </si>
  <si>
    <t>OPRESULT-768</t>
  </si>
  <si>
    <t>OPRESULT-757, OPRESULT-661</t>
  </si>
  <si>
    <t>Automatic call creation from received inputs from eRequest</t>
  </si>
  <si>
    <t>OPPREAWA-922</t>
  </si>
  <si>
    <t>OPPREAWA-109</t>
  </si>
  <si>
    <t>Create new statuses and workflow for persistence of SIEA procedures</t>
  </si>
  <si>
    <t>OPPREAWA-921</t>
  </si>
  <si>
    <t>EC Opsys Preaward PI8 It1, EC Opsys Preaward PI8 It2</t>
  </si>
  <si>
    <t>Route guards based on user roles and permissions service implementation</t>
  </si>
  <si>
    <t>MWP-471</t>
  </si>
  <si>
    <t>MWP-469, MWP-470</t>
  </si>
  <si>
    <t>Secured navigation menu based on role</t>
  </si>
  <si>
    <t>MWP-470</t>
  </si>
  <si>
    <t>Program Increment 8, COMPCORP-PI3, eUI 3.4.6</t>
  </si>
  <si>
    <t>MWP-469, MWP-471</t>
  </si>
  <si>
    <t>Migration of Opsys T3 portfolios as portfolio widgets</t>
  </si>
  <si>
    <t>EUI-1240</t>
  </si>
  <si>
    <t>MWP-411</t>
  </si>
  <si>
    <t>MyPortfolio widget</t>
  </si>
  <si>
    <t>EUI-1239</t>
  </si>
  <si>
    <t>PFM-107, MWP-431</t>
  </si>
  <si>
    <t>Role based widget list - Available widget by role</t>
  </si>
  <si>
    <t>EUI-1238</t>
  </si>
  <si>
    <t>As a user, I want to only be allowed to do action based on my granted roles</t>
  </si>
  <si>
    <t>MWP-468</t>
  </si>
  <si>
    <t>[TECH] Migration Sygma - Finalisation</t>
  </si>
  <si>
    <t>MWP-467</t>
  </si>
  <si>
    <t>EC eUI My Workplace PI8 It1</t>
  </si>
  <si>
    <t>MWP-384</t>
  </si>
  <si>
    <t>Make logframe agnostic for the BEND (1/2)</t>
  </si>
  <si>
    <t>OPRESULT-757</t>
  </si>
  <si>
    <t>OPRESULT-768, OPRESULT-661</t>
  </si>
  <si>
    <t>[QM - Manage Core Ind] - Concurrent Access</t>
  </si>
  <si>
    <t>OPRESULT-754</t>
  </si>
  <si>
    <t>[FO] Show Error if CftUuid or an Invitation does not exist</t>
  </si>
  <si>
    <t>OPPREAWA-916</t>
  </si>
  <si>
    <t>Show the version number in FO</t>
  </si>
  <si>
    <t>OPPREAWA-915</t>
  </si>
  <si>
    <t>EC Opsys Preaward PI8 It2, EC Opsys Preaward PI8 It3, EC Opsys Preaward PI8 It4, EC Opsys Preaward PI8 It5, EC Opsys Preaward PI9 It1, EC Opsys Preaward PI9 It2</t>
  </si>
  <si>
    <t>[TECH] Configure DEV UI VM server on HTTPS</t>
  </si>
  <si>
    <t>MWP-464</t>
  </si>
  <si>
    <t>MWP-466, MWP-480, MWP-413</t>
  </si>
  <si>
    <t>Refactoring of tools - CLI and global tools and utils</t>
  </si>
  <si>
    <t>EUI-1231</t>
  </si>
  <si>
    <t>Mechanism for obtaining procedure reference after preparation in PM</t>
  </si>
  <si>
    <t>OPPREAWA-914</t>
  </si>
  <si>
    <t>OPPREAWA-494, OPPREAWA-105</t>
  </si>
  <si>
    <t>Adapt TenderDTO to use the configuration file</t>
  </si>
  <si>
    <t>OPPREAWA-913</t>
  </si>
  <si>
    <t>EC Opsys Preaward PI8 It1, EC Opsys Preaward PI8 It2, EC Opsys Preaward PI8 It3, EC Opsys Preaward PI8 It4, EC Opsys Preaward PI8 It5, EC Opsys Preaward PI9 It1, EC Opsys Preaward PI9 It2, EC Opsys Preaward PI9 It3, EC Opsys Preaward PI9 It4, EC Opsys Preaward PI9 It5</t>
  </si>
  <si>
    <t>OPPREAWA-757, OPPREAWA-894</t>
  </si>
  <si>
    <t>[QM - Manage Core Ind] - Validate Indicator - DRAFT / VALIDATED Workflow</t>
  </si>
  <si>
    <t>OPRESULT-711</t>
  </si>
  <si>
    <t>OPSYS-7301, OPSYS-7378, OPRESULT-1029, OPRESULT-995, OPRESULT-1015, OPRESULT-1222, OPRESULT-789</t>
  </si>
  <si>
    <t>[QM - Manage Core Ind] - Fields to be blocked while editing validated indicators</t>
  </si>
  <si>
    <t>OPRESULT-710</t>
  </si>
  <si>
    <t>Results PI8 It4, Results PI8 It5</t>
  </si>
  <si>
    <t>OPSYS-7304, OPSYS-7315, OPRESULT-962, OPRESULT-1029, OPRESULT-987, OPRESULT-1230, OPRESULT-789</t>
  </si>
  <si>
    <t>[QM - Manage Core Ind] - Click on add and go to the screen with DEFAULT context preselected and save</t>
  </si>
  <si>
    <t>OPRESULT-708</t>
  </si>
  <si>
    <t>OPRESULT-1421, OPRESULT-1429, OPRESULT-1595, OPSYS-7314, OPSYS-7320, OPRESULT-1533, OPRESULT-1043, OPRESULT-1347, OPRESULT-1425, OPRESULT-1026, OPRESULT-946, OPRESULT-965, OPRESULT-1005, OPRESULT-1014, OPRESULT-1019, OPRESULT-1024, OPRESULT-1229, OPRESULT-1243, OPRESULT-1426, OPRESULT-1428, OPRESULT-1224, OPRESULT-1289, OPRESULT-789</t>
  </si>
  <si>
    <t>[QM - Manage Core Ind] - Select/Unselect context from table and Save</t>
  </si>
  <si>
    <t>OPRESULT-706</t>
  </si>
  <si>
    <t>OPSYS-7317, OPRESULT-1013, OPRESULT-935, OPRESULT-1012, OPRESULT-1312, OPRESULT-789</t>
  </si>
  <si>
    <t>[QM - Manage Core Ind] - Dinamicity of table</t>
  </si>
  <si>
    <t>OPRESULT-704</t>
  </si>
  <si>
    <t>OPSYS-7298, OPRESULT-830, OPRESULT-1042, OPRESULT-925, OPRESULT-926, OPRESULT-1030, OPRESULT-1215, OPRESULT-789, OPRESULT-702</t>
  </si>
  <si>
    <t>[QM - Manage Core Ind] - Display list of all Indicators</t>
  </si>
  <si>
    <t>OPRESULT-702</t>
  </si>
  <si>
    <t>OPRESULT-1479, OPSYS-7290, OPRESULT-927, OPRESULT-932, OPRESULT-1031, OPRESULT-931, OPRESULT-1342, OPRESULT-1343, OPRESULT-1348, OPRESULT-1409, OPRESULT-1432, OPRESULT-789, OPRESULT-704</t>
  </si>
  <si>
    <t>[QM - Manage Core Ind] - Entry Point for OM Page</t>
  </si>
  <si>
    <t>OPRESULT-701</t>
  </si>
  <si>
    <t>OPRESULT-828, OPRESULT-865, OPSYS-7289, OPSYS-7307, OPSYS-7308, OPRESULT-1430, OPRESULT-826, OPRESULT-827, OPRESULT-929, OPRESULT-930, OPRESULT-1018, OPRESULT-1219, OPRESULT-789</t>
  </si>
  <si>
    <t>(Enabler) [FO] Integrate MaximumNumberOfLotsToSubmit in Lots selection screen</t>
  </si>
  <si>
    <t>OPPREAWA-885</t>
  </si>
  <si>
    <t>OPPREAWA-841</t>
  </si>
  <si>
    <t>Update OpenID Connect docs to match changes from EU Login</t>
  </si>
  <si>
    <t>EUI-1228</t>
  </si>
  <si>
    <t>Review and adapt terminology in the evaluation prep. screens</t>
  </si>
  <si>
    <t>OPPREAWA-882</t>
  </si>
  <si>
    <t>OPPREAWA-220</t>
  </si>
  <si>
    <t>POC Secunda+ WS integration - eEval</t>
  </si>
  <si>
    <t>OPPREAWA-881</t>
  </si>
  <si>
    <t>New internal service for Secunda+ in eEval</t>
  </si>
  <si>
    <t>OPPREAWA-880</t>
  </si>
  <si>
    <t>New internal service for IAM in eEval</t>
  </si>
  <si>
    <t>OPPREAWA-879</t>
  </si>
  <si>
    <t>Communication eEval-TaskBox via a simple client</t>
  </si>
  <si>
    <t>OPPREAWA-877</t>
  </si>
  <si>
    <t>OPPREAWA-263</t>
  </si>
  <si>
    <t>Communication eEval-TaskBox via API</t>
  </si>
  <si>
    <t>OPPREAWA-876</t>
  </si>
  <si>
    <t>(Enabler) Update Retrieve TenderDetails service at the end of submission phase</t>
  </si>
  <si>
    <t>OPPREAWA-871</t>
  </si>
  <si>
    <t>OPPREAWA-690, OPPREAWA-849, OPPREAWA-689, OPPREAWA-691</t>
  </si>
  <si>
    <t>New reports dashboard in MyWP showing the embedded qlik sense dashboard</t>
  </si>
  <si>
    <t>MWP-462</t>
  </si>
  <si>
    <t>MWP-461</t>
  </si>
  <si>
    <t>[BO] Prepare the implementation of the evaluation session</t>
  </si>
  <si>
    <t>OPPREAWA-862</t>
  </si>
  <si>
    <t>OPPREAWA-1123, OPPREAWA-780, OPPREAWA-779, OPPREAWA-902, OPPREAWA-105, OPPREAWA-331, OPPREAWA-333</t>
  </si>
  <si>
    <t>(Enabler) [BO] Send BusinessObjectIDs to the Shortlist component when closing the Evaluation Session</t>
  </si>
  <si>
    <t>OPPREAWA-860</t>
  </si>
  <si>
    <t>EPROCPG-54</t>
  </si>
  <si>
    <t>(Enabler) Prepare for and Implement the update of the Shortlist at the end of the opening session</t>
  </si>
  <si>
    <t>OPPREAWA-859</t>
  </si>
  <si>
    <t>(Enabler) Check whether the user has the permission to view the withdrawal receipt</t>
  </si>
  <si>
    <t>OPPREAWA-852</t>
  </si>
  <si>
    <t>OPPREAWA-518, OPPREAWA-904, EPROCPG-74</t>
  </si>
  <si>
    <t>Create action header section</t>
  </si>
  <si>
    <t>OPSYSIOP-1081</t>
  </si>
  <si>
    <t>EC OPSYS IOP PI8 It2</t>
  </si>
  <si>
    <t>OPSYSIOP-263</t>
  </si>
  <si>
    <t>As an EO, I want to get and keep access to the tender that I created (IAM)</t>
  </si>
  <si>
    <t>OPPREAWA-832</t>
  </si>
  <si>
    <t>EPROCPG-74, OPPREAWA-1679</t>
  </si>
  <si>
    <t>Extendable Base Container for FormArray</t>
  </si>
  <si>
    <t>EUI-1219</t>
  </si>
  <si>
    <t>EC eUI My Workplace PI8 It2, EC eUI My Workplace PI8 It3</t>
  </si>
  <si>
    <t>Extendable Base Container for FormGroup</t>
  </si>
  <si>
    <t>EUI-1218</t>
  </si>
  <si>
    <t>(Enabler) [FO] Ensure consistency between Ways to Submit screen, Parties screen and IAM</t>
  </si>
  <si>
    <t>OPPREAWA-827</t>
  </si>
  <si>
    <t>OPPREAWA-908, OPPREAWA-899</t>
  </si>
  <si>
    <t>As an EO, I cannot create/edit/resume tender when procedure is not yet in correct state</t>
  </si>
  <si>
    <t>OPPREAWA-821</t>
  </si>
  <si>
    <t>OPPREAWA-118</t>
  </si>
  <si>
    <t>Specify and add getAvailableProcedureTemplates to CDM</t>
  </si>
  <si>
    <t>OPPREAWA-819</t>
  </si>
  <si>
    <t>OPPREAWA-391</t>
  </si>
  <si>
    <t>Retrieving tender details using the ProposalInformation service should be blocked before end of opening session</t>
  </si>
  <si>
    <t>OPPREAWA-818</t>
  </si>
  <si>
    <t>[FO] As a Service desk operator, I can configure a global message or a specific message</t>
  </si>
  <si>
    <t>OPPREAWA-817</t>
  </si>
  <si>
    <t>EC Opsys Preaward PI8 It2, EC Opsys Preaward PI8 It4, EC Opsys Preaward PI8 It5, EC Opsys Preaward PI9 It1, EC Opsys Preaward PI9 It2, EC Opsys Preaward PI9 It3, EC Opsys Preaward PI9 It4, EC Opsys Preaward PI9 It5</t>
  </si>
  <si>
    <t>OPSYS-6891, OPPREAWA-884</t>
  </si>
  <si>
    <t>Checks of the evaluation teams composition</t>
  </si>
  <si>
    <t>OPPREAWA-816</t>
  </si>
  <si>
    <t>OPPREAWA-180, OPPREAWA-220</t>
  </si>
  <si>
    <t>Create the notifcation for external evaluators</t>
  </si>
  <si>
    <t>OPPREAWA-810</t>
  </si>
  <si>
    <t>OPPREAWA-486</t>
  </si>
  <si>
    <t>Create the notifcation for internal evaluators</t>
  </si>
  <si>
    <t>OPPREAWA-809</t>
  </si>
  <si>
    <t>OPPREAWA-485</t>
  </si>
  <si>
    <t>[FO] Generate the budget breakdown in PDF format and make it available as part of the tender</t>
  </si>
  <si>
    <t>OPPREAWA-808</t>
  </si>
  <si>
    <t>EC Opsys Preaward PI8 It1, EC Opsys Preaward PI8 It2, EC Opsys Preaward PI8 It3, EC Opsys Preaward PI8 It4, EC Opsys Preaward PI8 It5, EC Opsys Preaward PI9 It1, EC Opsys Preaward PI9 It2, EC Opsys Preaward PI9 It3, EC Opsys Preaward PI9 It4</t>
  </si>
  <si>
    <t>OPPREAWA-1382, OPPREAWA-1140, OPPREAWA-769</t>
  </si>
  <si>
    <t>Liquibase Integration</t>
  </si>
  <si>
    <t>OPRESULT-689</t>
  </si>
  <si>
    <t>Results PI8 It1</t>
  </si>
  <si>
    <t>OPRESULT-659</t>
  </si>
  <si>
    <t>[BO] As a PO, I can view/add/delete/edit evaluation comments for a selected tender in the evaluation screen</t>
  </si>
  <si>
    <t>OPPREAWA-804</t>
  </si>
  <si>
    <t>Refactoring eRequest and eCatalogue</t>
  </si>
  <si>
    <t>OPPREAWA-798</t>
  </si>
  <si>
    <t>OPPREAWA-1625, OPPREAWA-1626, OPPREAWA-2, OPPREAWA-1251, OPPREAWA-460, OPPREAWA-1370, OPPREAWA-792</t>
  </si>
  <si>
    <t>OPPREAWA-797</t>
  </si>
  <si>
    <t>OPPREAWA-796</t>
  </si>
  <si>
    <t>OPPREAWA-795</t>
  </si>
  <si>
    <t>OPPREAWA-794</t>
  </si>
  <si>
    <t>EC Opsys Preaward PI8 It1</t>
  </si>
  <si>
    <t>[BO] As a PO, I would like to download the tender attachments as a zip file</t>
  </si>
  <si>
    <t>OPPREAWA-793</t>
  </si>
  <si>
    <t>[BO] As a PO, I would like to select or reject a tender and to enter a rejection reason</t>
  </si>
  <si>
    <t>OPPREAWA-790</t>
  </si>
  <si>
    <t>OPPREAWA-891</t>
  </si>
  <si>
    <t>Updates on payment model</t>
  </si>
  <si>
    <t>OPPREAWA-784</t>
  </si>
  <si>
    <t>OPPREAWA-1200, OPPREAWA-1696, OPPREAWA-1337, OPPREAWA-15, OPPREAWA-19, OPPREAWA-1323, OPPREAWA-111</t>
  </si>
  <si>
    <t>(Enabler) [BO] Retrieve and use the evaluation subprocess configuration parameters from PM</t>
  </si>
  <si>
    <t>OPPREAWA-781</t>
  </si>
  <si>
    <t>OPPREAWA-1132, OPPREAWA-902, OPPREAWA-105, OPPREAWA-331</t>
  </si>
  <si>
    <t>[BO] As a PO, I would like to see all tenders in order on the grid per lots for evaluation (in case of lots)</t>
  </si>
  <si>
    <t>OPPREAWA-780</t>
  </si>
  <si>
    <t>OPPREAWA-1123, OPPREAWA-779, OPPREAWA-862, OPPREAWA-902</t>
  </si>
  <si>
    <t>[BO] As an ECM, I would like to see all tenders in order on the grid (in case of no lots)</t>
  </si>
  <si>
    <t>OPPREAWA-779</t>
  </si>
  <si>
    <t>OPPREAWA-1123, OPPREAWA-780, OPPREAWA-862, OPPREAWA-902</t>
  </si>
  <si>
    <t>Access Logframes - Provisioning</t>
  </si>
  <si>
    <t>OPSYSIOP-1056</t>
  </si>
  <si>
    <t>OPSYSIOP-265</t>
  </si>
  <si>
    <t>PI-Planning</t>
  </si>
  <si>
    <t>EUI-1214</t>
  </si>
  <si>
    <t>Generate Action Document at full stage</t>
  </si>
  <si>
    <t>OPSYSIOP-1048</t>
  </si>
  <si>
    <t>Generate Action Document at initial stage</t>
  </si>
  <si>
    <t>OPSYSIOP-1047</t>
  </si>
  <si>
    <t>Put in place MAP project for Interventions</t>
  </si>
  <si>
    <t>OPSYSIOP-1046</t>
  </si>
  <si>
    <t>Expose real data in Interventions Slot service</t>
  </si>
  <si>
    <t>OPSYSIOP-1045</t>
  </si>
  <si>
    <t>Interventions Slots - Presentation, frontend</t>
  </si>
  <si>
    <t>OPSYSIOP-1044</t>
  </si>
  <si>
    <t>Interventions Slots - Compute values for slot, backend</t>
  </si>
  <si>
    <t>OPSYSIOP-1043</t>
  </si>
  <si>
    <t>Intervention Slot - Store Data</t>
  </si>
  <si>
    <t>OPSYSIOP-1041</t>
  </si>
  <si>
    <t>Add services for Full Action</t>
  </si>
  <si>
    <t>OPSYSIOP-1040</t>
  </si>
  <si>
    <t>Configure Full Action</t>
  </si>
  <si>
    <t>OPSYSIOP-1039</t>
  </si>
  <si>
    <t>Software Architecture Document (SAD)</t>
  </si>
  <si>
    <t>OPSYSIOP-1038</t>
  </si>
  <si>
    <t>OPSYSIOP-1614, OPSYSIOP-238</t>
  </si>
  <si>
    <t>Budget Consumption - Basic Act section, frontend</t>
  </si>
  <si>
    <t>OPSYSIOP-1037</t>
  </si>
  <si>
    <t>Budget Consumption - Basic Act compute, backend</t>
  </si>
  <si>
    <t>OPSYSIOP-1036</t>
  </si>
  <si>
    <t>Budget Consumption - IPD section, frontend</t>
  </si>
  <si>
    <t>OPSYSIOP-1035</t>
  </si>
  <si>
    <t>Budget Consumption - IPD level compute, backend</t>
  </si>
  <si>
    <t>OPSYSIOP-1034</t>
  </si>
  <si>
    <t>Expose Rest for Search Budget line service</t>
  </si>
  <si>
    <t>OPSYSIOP-1033</t>
  </si>
  <si>
    <t>Search Budget line Component, frontend</t>
  </si>
  <si>
    <t>OPSYSIOP-1032</t>
  </si>
  <si>
    <t>CRIS Sync - MP -&gt; Actions (without component?)</t>
  </si>
  <si>
    <t>OPSYSIOP-1031</t>
  </si>
  <si>
    <t>Program Increment 8, TRACK3-0.15.0, TRACK3-0.20.0</t>
  </si>
  <si>
    <t>OPSYSIOP-261</t>
  </si>
  <si>
    <t>CRIS Sync - CRIS -&gt; Track 3, Support FW Mechanism</t>
  </si>
  <si>
    <t>OPSYSIOP-1030</t>
  </si>
  <si>
    <t>Basic Act - Create in frontend</t>
  </si>
  <si>
    <t>OPSYSIOP-1029</t>
  </si>
  <si>
    <t>Program Increment 8, TRACK3-0.12.0</t>
  </si>
  <si>
    <t>Basic Act - Delete in frontend</t>
  </si>
  <si>
    <t>OPSYSIOP-1028</t>
  </si>
  <si>
    <t>Basic Act - Create service</t>
  </si>
  <si>
    <t>OPSYSIOP-1027</t>
  </si>
  <si>
    <t>Tagging - Support for viewing tags in frontend</t>
  </si>
  <si>
    <t>OPSYSIOP-1026</t>
  </si>
  <si>
    <t>[BO] Update the calculation of the In Order flag for tenders submitted after opening date</t>
  </si>
  <si>
    <t>OPPREAWA-771</t>
  </si>
  <si>
    <t>Tagging Support in GEM</t>
  </si>
  <si>
    <t>OPSYSIOP-1023</t>
  </si>
  <si>
    <t>eUI UX Alignment</t>
  </si>
  <si>
    <t>OPSYSIOP-1022</t>
  </si>
  <si>
    <t>OPSYSIOP-880</t>
  </si>
  <si>
    <t>Export data from Track 3 as DB tables (+ Scheduling)</t>
  </si>
  <si>
    <t>OPSYSIOP-1021</t>
  </si>
  <si>
    <t>OPSYSIOP-805</t>
  </si>
  <si>
    <t>Queueing mechanism for exporting data from Track 3</t>
  </si>
  <si>
    <t>OPSYSIOP-1020</t>
  </si>
  <si>
    <t>Show Interrogation mark in Frontend</t>
  </si>
  <si>
    <t>OPSYSIOP-1019</t>
  </si>
  <si>
    <t>OPSYSIOP-817</t>
  </si>
  <si>
    <t>Store E-Help ID in GEM Item</t>
  </si>
  <si>
    <t>OPSYSIOP-1018</t>
  </si>
  <si>
    <t>OPSYSIOP-1017, OPSYSIOP-817</t>
  </si>
  <si>
    <t>Initial/full Action Management - Add missing configuration</t>
  </si>
  <si>
    <t>OPSYSIOP-1017</t>
  </si>
  <si>
    <t>OPSYSIOP-1018, OPSYSIOP-254</t>
  </si>
  <si>
    <t>SECUNDA Authorisation Provider</t>
  </si>
  <si>
    <t>OPSYSIOP-1016</t>
  </si>
  <si>
    <t>CNS, New version - confirm</t>
  </si>
  <si>
    <t>OPSYSIOP-1015</t>
  </si>
  <si>
    <t>OPSYSIOP-849</t>
  </si>
  <si>
    <t>UAT april feedback catalogue</t>
  </si>
  <si>
    <t>OPPREAWA-768</t>
  </si>
  <si>
    <t>OPPREAWA-431, OPPREAWA-417, OPPREAWA-433, OPPREAWA-766</t>
  </si>
  <si>
    <t>UAT april feedback procedure manager</t>
  </si>
  <si>
    <t>OPPREAWA-765</t>
  </si>
  <si>
    <t>OPPREAWA-725, OPPREAWA-766</t>
  </si>
  <si>
    <t>[BO] As an Opening Board Member, I can see the tender details when clicking on a tender</t>
  </si>
  <si>
    <t>OPPREAWA-728</t>
  </si>
  <si>
    <t>OPPREAWA-1822, OPPREAWA-897, OPPREAWA-898</t>
  </si>
  <si>
    <t>PI8 - Manage Action document - Test Execution</t>
  </si>
  <si>
    <t>OPSYSIOP-1006</t>
  </si>
  <si>
    <t>PI8 - Manage Action document - Test Preparation</t>
  </si>
  <si>
    <t>OPSYSIOP-1005</t>
  </si>
  <si>
    <t>Secure back-ends with open-id</t>
  </si>
  <si>
    <t>OPPREAWA-583</t>
  </si>
  <si>
    <t>OPPREAWA-582, OPPREAWA-346</t>
  </si>
  <si>
    <t>Secure back-ends with open-id for PGM/AWD/SHL</t>
  </si>
  <si>
    <t>OPPREAWA-582</t>
  </si>
  <si>
    <t>OPPREAWA-349, OPPREAWA-583, OPPREAWA-346</t>
  </si>
  <si>
    <t>PI8 Demo environment configuration</t>
  </si>
  <si>
    <t>OPPREAWA-580</t>
  </si>
  <si>
    <t>As a user I want to allow attachments at line level</t>
  </si>
  <si>
    <t>OPPREAWA-578</t>
  </si>
  <si>
    <t>OPPREAWA-375, OPPREAWA-392</t>
  </si>
  <si>
    <t>As a PO, I want to access Shortlist information based on access rights from Secunda defined per scope type</t>
  </si>
  <si>
    <t>OPPREAWA-577</t>
  </si>
  <si>
    <t>OPPREAWA-1669, OPPREAWA-1223, OPPREAWA-373</t>
  </si>
  <si>
    <t>As a user I want to be able to cancel a RfS after invitations have been sent</t>
  </si>
  <si>
    <t>OPPREAWA-576</t>
  </si>
  <si>
    <t>OPPREAWA-145, OPPREAWA-555</t>
  </si>
  <si>
    <t>PMG decision logic</t>
  </si>
  <si>
    <t>OPPREAWA-575</t>
  </si>
  <si>
    <t>Doclist back-end integration for filing of awarding letters in ARES</t>
  </si>
  <si>
    <t>OPPREAWA-574</t>
  </si>
  <si>
    <t>OPPREAWA-294, OPPREAWA-289, OPPREAWA-124</t>
  </si>
  <si>
    <t>POC business rules implementation</t>
  </si>
  <si>
    <t>OPPREAWA-572</t>
  </si>
  <si>
    <t>EC Opsys Preaward PI8 It4, EC Opsys Preaward PI8 It5, EC Opsys Preaward PI9 It4, EC Opsys Preaward PI9 It5</t>
  </si>
  <si>
    <t>Syncronisation of master shortlist</t>
  </si>
  <si>
    <t>OPPREAWA-571</t>
  </si>
  <si>
    <t>OPPREAWA-147</t>
  </si>
  <si>
    <t>Launch a new procedure process from an intervention slot</t>
  </si>
  <si>
    <t>OPPREAWA-566</t>
  </si>
  <si>
    <t>OPPREAWA-1155, OPSYSIOP-838</t>
  </si>
  <si>
    <t>Support the catalogue to support multiple language</t>
  </si>
  <si>
    <t>OPPREAWA-564</t>
  </si>
  <si>
    <t>EC Opsys Preaward PI8 It3</t>
  </si>
  <si>
    <t>OPPREAWA-376</t>
  </si>
  <si>
    <t>Retrieve company legal info</t>
  </si>
  <si>
    <t>OPPREAWA-561</t>
  </si>
  <si>
    <t>EPROCUREMENT-17681, OPPREAWA-259, OPPREAWA-1152, OPPREAWA-489, OPPREAWA-374, OPPREAWA-553</t>
  </si>
  <si>
    <t>As a user I want to generate the Rfs document upon Shortlist Completion</t>
  </si>
  <si>
    <t>OPPREAWA-560</t>
  </si>
  <si>
    <t>OPPREAWA-259, EPROCUREMENT-18379, OPPREAWA-374</t>
  </si>
  <si>
    <t>PI8 - Access Action e-help - Test Execution</t>
  </si>
  <si>
    <t>OPSYSIOP-957</t>
  </si>
  <si>
    <t>PI8 - Access Action e-help - Test Preparation</t>
  </si>
  <si>
    <t>OPSYSIOP-956</t>
  </si>
  <si>
    <t>Shortlist new DB implementation</t>
  </si>
  <si>
    <t>OPPREAWA-556</t>
  </si>
  <si>
    <t>PI8 - Manage Ind. Prog. Document - Test Execution</t>
  </si>
  <si>
    <t>OPSYSIOP-950</t>
  </si>
  <si>
    <t>OPSYSIOP-794</t>
  </si>
  <si>
    <t>PI8 - Manage Ind. Prog. Document - Test Preparation</t>
  </si>
  <si>
    <t>OPSYSIOP-949</t>
  </si>
  <si>
    <t>EC eUI My Workplace PI8 It2, EC OPSYS IOP PI8 It3</t>
  </si>
  <si>
    <t>As a PO, I want to see intervention slot information</t>
  </si>
  <si>
    <t>OPPREAWA-496</t>
  </si>
  <si>
    <t>OPPREAWA-481, OPSYSIOP-840</t>
  </si>
  <si>
    <t>Work on the automated tests scenarios and automation of the missing ones - SELENIUM</t>
  </si>
  <si>
    <t>OPRESULT-675</t>
  </si>
  <si>
    <t>OPRESULT-648</t>
  </si>
  <si>
    <t>PI8 - Manage Comm. Financing Decision - Test Execution</t>
  </si>
  <si>
    <t>OPSYSIOP-936</t>
  </si>
  <si>
    <t>OPSYSIOP-257</t>
  </si>
  <si>
    <t>Work defining the new architecture and changes on the BEND for the agnostic logframe</t>
  </si>
  <si>
    <t>OPRESULT-674</t>
  </si>
  <si>
    <t>Set up local dev environment for test team</t>
  </si>
  <si>
    <t>OPRESULT-673</t>
  </si>
  <si>
    <t>PI8 - Manage Comm. Financing Decision - Test Preparation</t>
  </si>
  <si>
    <t>OPSYSIOP-931</t>
  </si>
  <si>
    <t>Manual tests execution on local environment in order to verify adding new routings - FEND refactoring</t>
  </si>
  <si>
    <t>OPRESULT-671</t>
  </si>
  <si>
    <t>Allow the user to arrive in Values to be revised mode from Notif or Tasks</t>
  </si>
  <si>
    <t>OPRESULT-667</t>
  </si>
  <si>
    <t>OPRESULT-216, OPRESULT-412, OPRESULT-368, OPRESULT-454, OPRESULT-440, OPRESULT-651</t>
  </si>
  <si>
    <t>Delete logframe</t>
  </si>
  <si>
    <t>OPRESULT-666</t>
  </si>
  <si>
    <t>@opsys/result: 1.25.12, Program Increment 8</t>
  </si>
  <si>
    <t>OPSYS-7288, OPRESULT-12</t>
  </si>
  <si>
    <t>Review chat message entities</t>
  </si>
  <si>
    <t>OPRESULT-665</t>
  </si>
  <si>
    <t>OPRESULT-22</t>
  </si>
  <si>
    <t>[BO] As an Opening Board Member, I can see the tenders ungrouped if there are lots</t>
  </si>
  <si>
    <t>OPPREAWA-506</t>
  </si>
  <si>
    <t>OPPREAWA-1828, OPPREAWA-1812, OPPREAWA-842</t>
  </si>
  <si>
    <t>Unit test for the BEND</t>
  </si>
  <si>
    <t>OPRESULT-664</t>
  </si>
  <si>
    <t>PM manages start/end of sub-process</t>
  </si>
  <si>
    <t>OPPREAWA-494</t>
  </si>
  <si>
    <t>OPPREAWA-1047, OPPREAWA-914, OPPREAWA-105</t>
  </si>
  <si>
    <t>As Shortlist component, I want to provide a method for updating the business context for the shortlist entries for a given sub process.</t>
  </si>
  <si>
    <t>OPPREAWA-492</t>
  </si>
  <si>
    <t>OPPREAWA-1009, OPPREAWA-1144, OPPREAWA-835, OPPREAWA-333</t>
  </si>
  <si>
    <t>As Shortlist component, I want to allow my clients to create/update a shortlist with shortlist entries.</t>
  </si>
  <si>
    <t>OPPREAWA-491</t>
  </si>
  <si>
    <t>EPROCUREMENT-17735, OPPREAWA-1009, OPPREAWA-1144, OPPREAWA-333</t>
  </si>
  <si>
    <t>Define service in CDM to support the generation of the RfS document upon AO approval</t>
  </si>
  <si>
    <t>OPPREAWA-489</t>
  </si>
  <si>
    <t>OPPREAWA-561, OPPREAWA-374, OPPREAWA-563</t>
  </si>
  <si>
    <t>As a tester, I want to be able to test in ACC for the 8th of August</t>
  </si>
  <si>
    <t>OPPREAWA-488</t>
  </si>
  <si>
    <t>EC Opsys Preaward PI8 It1, EC Opsys Preaward PI8 It2, EC Opsys Preaward PI8 It3, EC Opsys Preaward PI8 It4, EC Opsys Preaward PI8 It5, EC Opsys Preaward PI9 It1, EC Opsys Preaward PI9 It2</t>
  </si>
  <si>
    <t>EPROCUREMENT-17833</t>
  </si>
  <si>
    <t>IPD delete service</t>
  </si>
  <si>
    <t>OPSYSIOP-904</t>
  </si>
  <si>
    <t>EC OPSYS IOP PI8 It1, EC OPSYS IOP PI8 It2</t>
  </si>
  <si>
    <t>IPD create in frontend</t>
  </si>
  <si>
    <t>OPSYSIOP-902</t>
  </si>
  <si>
    <t>IPD delete in frontend</t>
  </si>
  <si>
    <t>OPSYSIOP-900</t>
  </si>
  <si>
    <t>OPSYSIOP-897, OPSYSIOP-794</t>
  </si>
  <si>
    <t>IPD create service</t>
  </si>
  <si>
    <t>OPSYSIOP-897</t>
  </si>
  <si>
    <t>OPSYSIOP-900, OPSYSIOP-794</t>
  </si>
  <si>
    <t>Attach and detach actions from CFD</t>
  </si>
  <si>
    <t>OPSYSIOP-895</t>
  </si>
  <si>
    <t>EC OPSYS IOP PI8 It1</t>
  </si>
  <si>
    <t>Logframe to eUI3 - Ensure BEND &amp; FEND integration</t>
  </si>
  <si>
    <t>OPRESULT-663</t>
  </si>
  <si>
    <t>Results PI8 It1, Results PI8 It2, Results PI8 It3, Results PI8 It4, Results PI8 It5</t>
  </si>
  <si>
    <t>OPRESULT-845, OPRESULT-1004, OPRESULT-651, MWP-411, MWP-571</t>
  </si>
  <si>
    <t>CFD delete frontend button</t>
  </si>
  <si>
    <t>OPSYSIOP-893</t>
  </si>
  <si>
    <t>CFD delete service</t>
  </si>
  <si>
    <t>OPSYSIOP-891</t>
  </si>
  <si>
    <t>Support for running authorization in GEM</t>
  </si>
  <si>
    <t>OPSYSIOP-886</t>
  </si>
  <si>
    <t>Expose mock SOAP service for getting intervention and slots</t>
  </si>
  <si>
    <t>OPSYSIOP-881</t>
  </si>
  <si>
    <t>Support issues with the routing</t>
  </si>
  <si>
    <t>OPRESULT-657</t>
  </si>
  <si>
    <t>OPRESULT-649</t>
  </si>
  <si>
    <t>Group the headers for the FEND</t>
  </si>
  <si>
    <t>OPRESULT-656</t>
  </si>
  <si>
    <t>OPRESULT-651, MWP-411</t>
  </si>
  <si>
    <t>HyperCare Mode</t>
  </si>
  <si>
    <t>OPRESULT-650</t>
  </si>
  <si>
    <t xml:space="preserve">Generated at Mon Dec 10 13:12:27 CET 2018 by BEGHAIN Olivier using JIRA 7.9.2#79002-sha1:3bb15b68ecd99a30eb364c4c1a393359bcad6278. </t>
  </si>
  <si>
    <r>
      <t xml:space="preserve">Displaying </t>
    </r>
    <r>
      <rPr>
        <b/>
        <sz val="12"/>
        <color rgb="FF000000"/>
        <rFont val="Arial"/>
        <family val="2"/>
      </rPr>
      <t>445</t>
    </r>
    <r>
      <rPr>
        <sz val="12"/>
        <color rgb="FF000000"/>
        <rFont val="Arial"/>
        <family val="2"/>
      </rPr>
      <t xml:space="preserve"> issues at </t>
    </r>
    <r>
      <rPr>
        <b/>
        <sz val="12"/>
        <color rgb="FF000000"/>
        <rFont val="Arial"/>
        <family val="2"/>
      </rPr>
      <t>10/Dec/18 13:15</t>
    </r>
    <r>
      <rPr>
        <sz val="12"/>
        <color rgb="FF000000"/>
        <rFont val="Arial"/>
        <family val="2"/>
      </rPr>
      <t>.</t>
    </r>
  </si>
  <si>
    <t>Advanced search with filtering</t>
  </si>
  <si>
    <t>MWP-458</t>
  </si>
  <si>
    <t>Implement new file upload eUI component</t>
  </si>
  <si>
    <t>MWP-456</t>
  </si>
  <si>
    <t>MWP-418</t>
  </si>
  <si>
    <t>MWP-455</t>
  </si>
  <si>
    <t>Program Increment 8, COMPCORP-PI3, OPSYS-PROD-HOTFIX</t>
  </si>
  <si>
    <t>MWP-418, OPSYSIOP-1210</t>
  </si>
  <si>
    <t>Update documentation about the full CI/CD pipeline</t>
  </si>
  <si>
    <t>MWP-453</t>
  </si>
  <si>
    <t>Harmonize versioning - maven version from bumped container version</t>
  </si>
  <si>
    <t>MWP-452</t>
  </si>
  <si>
    <t>Program Increment 8, COMPCORP-PI3, eui-3.4.5</t>
  </si>
  <si>
    <t>EC eUI My Workplace PI8 It2, EC eUI My Workplace PI8 It3, EC eUI My Workplace PI8 It4</t>
  </si>
  <si>
    <t>Container build on gitlab - finalization</t>
  </si>
  <si>
    <t>MWP-450</t>
  </si>
  <si>
    <t>UX alignments for Sygma</t>
  </si>
  <si>
    <t>MWP-449</t>
  </si>
  <si>
    <t>EC eUI My Workplace PI8 It3, EC eUI My Workplace PI8 It4, EC eUI My Workplace PI8 It5</t>
  </si>
  <si>
    <t>MWP-478, MWP-479, EUI-1305, MWP-554, MWP-555</t>
  </si>
  <si>
    <t>UX alignments for Opsys T3</t>
  </si>
  <si>
    <t>EC eUI My Workplace PI8 It2, EC eUI My Workplace PI8 It3, EC eUI My Workplace PI8 It4, EC eUI My Workplace PI8 It5</t>
  </si>
  <si>
    <t>MWP-492, OPSYSIOP-1192, EUI-1250, MWP-442</t>
  </si>
  <si>
    <t>[BO] As an AO, I want that all relevant business events and actions occurring the BO are logged</t>
  </si>
  <si>
    <t>OPPREAWA-531</t>
  </si>
  <si>
    <t>[FO] As an EO, I can submit the Tender</t>
  </si>
  <si>
    <t>OPPREAWA-522</t>
  </si>
  <si>
    <t>[FO] As an EO, I can see the Tender Report</t>
  </si>
  <si>
    <t>OPPREAWA-527</t>
  </si>
  <si>
    <t>(Enabler) Retrieve and use the submission subprocess configuration parameters from PM</t>
  </si>
  <si>
    <t>OPPREAWA-701</t>
  </si>
  <si>
    <t>OPPREAWA-1028, OPPREAWA-894</t>
  </si>
  <si>
    <t>Snapshot release included in MWP app container DEV build</t>
  </si>
  <si>
    <t>MWP-438</t>
  </si>
  <si>
    <t>submit tasks for internal user in My Workplace</t>
  </si>
  <si>
    <t>OPPREAWA-466</t>
  </si>
  <si>
    <t>Opsys PI 9, Backlog</t>
  </si>
  <si>
    <t>Evaluation completion in eEval triggers task resolution in SEDIA</t>
  </si>
  <si>
    <t>OPPREAWA-465</t>
  </si>
  <si>
    <t>Ensure that ProcedureProperties are properly read from procedure.xml</t>
  </si>
  <si>
    <t>OPPREAWA-677</t>
  </si>
  <si>
    <t>OPPREAWA-463, OPPREAWA-894</t>
  </si>
  <si>
    <t>As an EO, I would like to be notified at the end of the opening session if my tender is not in order</t>
  </si>
  <si>
    <t>OPPREAWA-525</t>
  </si>
  <si>
    <t>OPPREAWA-909</t>
  </si>
  <si>
    <t>New Request : custom LOGO / ICONS</t>
  </si>
  <si>
    <t>EUI-1210</t>
  </si>
  <si>
    <t>new request - ability to get action buttons added to SIDE BAR displayed in Inner Nav Bar</t>
  </si>
  <si>
    <t>EUI-1209</t>
  </si>
  <si>
    <t>As an EO, I want to see the tender attachments per lot and the submission deadline in the Tender Receipt</t>
  </si>
  <si>
    <t>OPPREAWA-514</t>
  </si>
  <si>
    <t>EC Opsys Preaward PI9 It1, EC Opsys Preaward PI9 It1, EC Opsys Preaward PI9 It2, EC Opsys Preaward PI9 It3, EC Opsys Preaward PI9 It4</t>
  </si>
  <si>
    <t>OPPREAWA-1570, EPROCUREMENT-11316, EPROCUREMENT-16411, EPROCUREMENT-9417, OPPREAWA-1679</t>
  </si>
  <si>
    <t>UX-COMMONS: Dynamic components injection documentation (showcase patterns)</t>
  </si>
  <si>
    <t>EUI-1204</t>
  </si>
  <si>
    <t>EUI-1184</t>
  </si>
  <si>
    <t>(Enabler) Transfer the Tender Withdrawal Receipt to ARES</t>
  </si>
  <si>
    <t>OPPREAWA-539</t>
  </si>
  <si>
    <t>OPSYS-6891, OPPREAWA-1627</t>
  </si>
  <si>
    <t>As user I want to save my dashboard preferences on my profile</t>
  </si>
  <si>
    <t>MWP-435</t>
  </si>
  <si>
    <t>As user I want to save my application preferences on my profile</t>
  </si>
  <si>
    <t>MWP-434</t>
  </si>
  <si>
    <t>Prepare new evaluation steps and grids for SIEA</t>
  </si>
  <si>
    <t>OPPREAWA-457</t>
  </si>
  <si>
    <t>OPPREAWA-179, OPPREAWA-109</t>
  </si>
  <si>
    <t>Adapt PRAG structure xml files and validators to support new procedures</t>
  </si>
  <si>
    <t>OPPREAWA-456</t>
  </si>
  <si>
    <t>Creation/reuse of CCM2 codes in eEval</t>
  </si>
  <si>
    <t>OPPREAWA-455</t>
  </si>
  <si>
    <t>OPPREAWA-241</t>
  </si>
  <si>
    <t>Edit IPD_New Layout - Test Execution</t>
  </si>
  <si>
    <t>OPSYSIOP-866</t>
  </si>
  <si>
    <t>EC OPSYS IOP PI7 It IP</t>
  </si>
  <si>
    <t>OPSYSIOP-256</t>
  </si>
  <si>
    <t>Edit IPD_New Layout - Test Preparation</t>
  </si>
  <si>
    <t>OPSYSIOP-863</t>
  </si>
  <si>
    <t>Edit BA_New Layout - Test Execution</t>
  </si>
  <si>
    <t>OPSYSIOP-860</t>
  </si>
  <si>
    <t>OPSYSIOP-258</t>
  </si>
  <si>
    <t>Edit BA_New Layout - Test Preparation</t>
  </si>
  <si>
    <t>OPSYSIOP-857</t>
  </si>
  <si>
    <t>OPSYS-7237, OPSYS-7239, OPSYS-7283, OPSYS-7284, OPSYS-7285, OPSYS-7286, OPSYSIOP-258</t>
  </si>
  <si>
    <t>Budget Breakdown - upgrade wijmo to latest version</t>
  </si>
  <si>
    <t>OPPREAWA-451</t>
  </si>
  <si>
    <t>EC Opsys Preaward PI8 It1, EC Opsys Preaward PI7 It4, EC Opsys Preaward PI7 It5</t>
  </si>
  <si>
    <t>As an EO, I want to be notified if the tender submission deadline is reached (PNS)</t>
  </si>
  <si>
    <t>OPPREAWA-700</t>
  </si>
  <si>
    <t>OPPREAWA-1056, OPPREAWA-689, OPPREAWA-1679</t>
  </si>
  <si>
    <t>retrieve eSubmission details after submission from eSubmission</t>
  </si>
  <si>
    <t>OPPREAWA-448</t>
  </si>
  <si>
    <t>OPPREAWA-446, OPPREAWA-420</t>
  </si>
  <si>
    <t>POC communication retrieve eSubmission values</t>
  </si>
  <si>
    <t>OPPREAWA-447</t>
  </si>
  <si>
    <t>OPPREAWA-445, OPPREAWA-420</t>
  </si>
  <si>
    <t>retrieve procedure details when starting the evaluation preparation</t>
  </si>
  <si>
    <t>OPPREAWA-446</t>
  </si>
  <si>
    <t>OPPREAWA-445, OPPREAWA-448, OPPREAWA-419</t>
  </si>
  <si>
    <t>POC communication retrieve procedure values</t>
  </si>
  <si>
    <t>OPPREAWA-445</t>
  </si>
  <si>
    <t>OPPREAWA-446, OPPREAWA-447, OPPREAWA-419</t>
  </si>
  <si>
    <t>Adapt the choices of evaluation teams in 'Assessors and deadlines'</t>
  </si>
  <si>
    <t>OPPREAWA-1125, OPPREAWA-1084, OPPREAWA-220</t>
  </si>
  <si>
    <t>UX-COMMONS: ux-panel isHighlighted=true &amp; isSticky=true, allow highlighted panel to be greater than the sticky z-index</t>
  </si>
  <si>
    <t>EUI-1199</t>
  </si>
  <si>
    <t>EC eUI My Workplace PI7 It5</t>
  </si>
  <si>
    <t>CDK Service - Config should be optional</t>
  </si>
  <si>
    <t>EUI-1197</t>
  </si>
  <si>
    <t>Assignment of evaluators generates a task in SEDIA</t>
  </si>
  <si>
    <t>OPPREAWA-442</t>
  </si>
  <si>
    <t>Display visas for internal user in My Workplace 'My tasks'</t>
  </si>
  <si>
    <t>OPPREAWA-441</t>
  </si>
  <si>
    <t>Display tasks for internal user in My Workplace 'My tasks'</t>
  </si>
  <si>
    <t>OPPREAWA-440</t>
  </si>
  <si>
    <t>(Story) As an EO, I would like to receive a confirmation receipt for my tender withdrawal</t>
  </si>
  <si>
    <t>OPPREAWA-518</t>
  </si>
  <si>
    <t>OPPREAWA-619, OPPREAWA-1057, OPPREAWA-1066, OPPREAWA-852, OPPREAWA-904, OPPREAWA-840, OPPREAWA-892</t>
  </si>
  <si>
    <t>Generalise PNS notifications to be used for other procedure types</t>
  </si>
  <si>
    <t>OPPREAWA-515</t>
  </si>
  <si>
    <t>OPPREAWA-1056, OPPREAWA-616, OPPREAWA-617, OPPREAWA-618, OPPREAWA-894</t>
  </si>
  <si>
    <t>Generalise CNS notifications to be used for other procedure types</t>
  </si>
  <si>
    <t>OPPREAWA-513</t>
  </si>
  <si>
    <t>OPPREAWA-1260, OPPREAWA-894</t>
  </si>
  <si>
    <t>CLI - cleanup and review - adjust shell styling and behaviour</t>
  </si>
  <si>
    <t>EUI-1195</t>
  </si>
  <si>
    <t>3.3.9</t>
  </si>
  <si>
    <t>Routing for Logframe View</t>
  </si>
  <si>
    <t>OPRESULT-635</t>
  </si>
  <si>
    <t>EC Opsys Results PI7 It5</t>
  </si>
  <si>
    <t>OPRESULT-12, OPRESULT-619</t>
  </si>
  <si>
    <t>Implement the back-end logic to import a new version of a call from the Connector</t>
  </si>
  <si>
    <t>OPPREAWA-504</t>
  </si>
  <si>
    <t>OPPREAWA-545, OPPREAWA-927, OPPREAWA-926, OPPREAWA-516, OPPREAWA-1394</t>
  </si>
  <si>
    <t>Migrate wiki documentation to doc site - PART 2 - develop an app</t>
  </si>
  <si>
    <t>EUI-1193</t>
  </si>
  <si>
    <t>Interface for application security needs for internal users</t>
  </si>
  <si>
    <t>OPPREAWA-414</t>
  </si>
  <si>
    <t>WIFI4EU : eUI code review</t>
  </si>
  <si>
    <t>EUI-1190</t>
  </si>
  <si>
    <t>EUI-1189</t>
  </si>
  <si>
    <t>Expose evaluation deadline in getProcedure detail</t>
  </si>
  <si>
    <t>OPPREAWA-405</t>
  </si>
  <si>
    <t>OPPREAWA-418, OPPREAWA-402, OPPREAWA-666</t>
  </si>
  <si>
    <t>Expose evaluation deadline in getProcedure Configuration</t>
  </si>
  <si>
    <t>OPPREAWA-404</t>
  </si>
  <si>
    <t>OPPREAWA-402</t>
  </si>
  <si>
    <t>Add evaluation deadline to SIEA template</t>
  </si>
  <si>
    <t>OPPREAWA-403</t>
  </si>
  <si>
    <t>(Enabler) Import the evaluation deadline from the procedure XML</t>
  </si>
  <si>
    <t>OPPREAWA-666</t>
  </si>
  <si>
    <t>EC Opsys Preaward PI8 It3, EC Opsys Preaward PI8 It4, EC Opsys Preaward PI8 It5, EC Opsys Preaward PI9 It1, EC Opsys Preaward PI9 It2</t>
  </si>
  <si>
    <t>OPPREAWA-1315, OPPREAWA-1022, OPPREAWA-402, OPPREAWA-405</t>
  </si>
  <si>
    <t>Migrate to new DocList component in opening session</t>
  </si>
  <si>
    <t>OPPREAWA-395</t>
  </si>
  <si>
    <t>Migrate to new DocList component in eRequest</t>
  </si>
  <si>
    <t>OPPREAWA-393</t>
  </si>
  <si>
    <t>OPPREAWA-1405, OPPREAWA-1469, OPPREAWA-392</t>
  </si>
  <si>
    <t>Angular elements integration</t>
  </si>
  <si>
    <t>EUI-1188</t>
  </si>
  <si>
    <t>EUI-125</t>
  </si>
  <si>
    <t>Ensure multilingual support in eSubmission front office screens</t>
  </si>
  <si>
    <t>OPPREAWA-386</t>
  </si>
  <si>
    <t>OPPREAWA-953, OPPREAWA-376</t>
  </si>
  <si>
    <t>Ensure multilingual support in eRequest screens</t>
  </si>
  <si>
    <t>OPPREAWA-385</t>
  </si>
  <si>
    <t>EC Opsys Preaward PI8 It1, EC Opsys Preaward PI8 It2, EC Opsys Preaward PI8 It3</t>
  </si>
  <si>
    <t>Ensure multilingual support in Shortlist screen</t>
  </si>
  <si>
    <t>OPPREAWA-384</t>
  </si>
  <si>
    <t>Ensure multilingual support in Procedure Manager screen</t>
  </si>
  <si>
    <t>OPPREAWA-383</t>
  </si>
  <si>
    <t>Provide Angular Universal pre-rendering example for Sedia Portal</t>
  </si>
  <si>
    <t>EUI-1187</t>
  </si>
  <si>
    <t>EUI-1203</t>
  </si>
  <si>
    <t>Action Outline - Change status</t>
  </si>
  <si>
    <t>OPSYSIOP-770</t>
  </si>
  <si>
    <t>Integration testing and Prepare Demo PI7</t>
  </si>
  <si>
    <t>OPPREAWA-379</t>
  </si>
  <si>
    <t>[BO] As an Opening Board Member, I can organise the tenders per lot</t>
  </si>
  <si>
    <t>OPPREAWA-665</t>
  </si>
  <si>
    <t>[BO] Implement the back-end for the CONFIDENTIALITY flag in the Opening Session</t>
  </si>
  <si>
    <t>OPPREAWA-664</t>
  </si>
  <si>
    <t>OPPREAWA-846</t>
  </si>
  <si>
    <t>[BO] As an Opening Board Member, I can add/delete/edit comments on a tender</t>
  </si>
  <si>
    <t>OPPREAWA-524</t>
  </si>
  <si>
    <t>ADD Commission Financing Decision - Test Execution</t>
  </si>
  <si>
    <t>OPSYSIOP-761</t>
  </si>
  <si>
    <t>ADD Commission Financing Decision - Test Preparation</t>
  </si>
  <si>
    <t>OPSYSIOP-759</t>
  </si>
  <si>
    <t>ADD Action Components - Test Execution</t>
  </si>
  <si>
    <t>OPSYSIOP-757</t>
  </si>
  <si>
    <t>ADD Action Components - Test Preparation</t>
  </si>
  <si>
    <t>OPSYSIOP-755</t>
  </si>
  <si>
    <t>EC OPSYS IOP PI7 It4</t>
  </si>
  <si>
    <t>Migrate to eUI3</t>
  </si>
  <si>
    <t>OPRESULT-632</t>
  </si>
  <si>
    <t>OPRESULT-651</t>
  </si>
  <si>
    <t>[TECH] MWP container on gitlab - release script issue</t>
  </si>
  <si>
    <t>MWP-407</t>
  </si>
  <si>
    <t>EC eUI My Workplace PI7 It5, EC eUI My Workplace PI8 It1, EC eUI My Workplace PI8 It2, EC eUI My Workplace PI8 It3, EC eUI My Workplace PI8 It4, EC eUI My Workplace PI8 It5</t>
  </si>
  <si>
    <t>MWP-132</t>
  </si>
  <si>
    <t>UX-COMMONS: ux-dynamic-modal - allow to inject the whole modal component with body and footer</t>
  </si>
  <si>
    <t>EUI-1177, EUI-1204, EUI-1201</t>
  </si>
  <si>
    <t>BRIS &amp; IMI Support PI7 It5</t>
  </si>
  <si>
    <t>EUI-1183</t>
  </si>
  <si>
    <t>EUI-1168</t>
  </si>
  <si>
    <t>Unit tests dynamic dashboard</t>
  </si>
  <si>
    <t>MWP-406</t>
  </si>
  <si>
    <t>MWP-342</t>
  </si>
  <si>
    <t>eUI 6 - CLI migration - import latest updates of packages</t>
  </si>
  <si>
    <t>EUI-1182</t>
  </si>
  <si>
    <t>6.0.0-alpha.2</t>
  </si>
  <si>
    <t>EC eUI My Workplace PI7 It4</t>
  </si>
  <si>
    <t>Release 6.0.0-alpha.1 and eUI 6 / NG 6 sample app</t>
  </si>
  <si>
    <t>EUI-1181</t>
  </si>
  <si>
    <t>6.0.0-alpha.1</t>
  </si>
  <si>
    <t>Web services security implementation</t>
  </si>
  <si>
    <t>OPPREAWA-360</t>
  </si>
  <si>
    <t>Unit of Measure for Duration must be displayed on the Request for Service document</t>
  </si>
  <si>
    <t>OPPREAWA-359</t>
  </si>
  <si>
    <t>OPPREAWA-24, OPPREAWA-134</t>
  </si>
  <si>
    <t>Support: assist MITS team with eUI/jQuery hybrid setup</t>
  </si>
  <si>
    <t>EUI-1180</t>
  </si>
  <si>
    <t>Routing Indicator page</t>
  </si>
  <si>
    <t>OPRESULT-622</t>
  </si>
  <si>
    <t>OPRESULT-677, OPRESULT-651</t>
  </si>
  <si>
    <t>Improvement Intervention Logic</t>
  </si>
  <si>
    <t>OPRESULT-621</t>
  </si>
  <si>
    <t>Request interoperability identifier must be used for inter-system communication</t>
  </si>
  <si>
    <t>OPPREAWA-358</t>
  </si>
  <si>
    <t>EC Opsys Preaward PI8 It5, EC Opsys Preaward PI9 It1, EC Opsys Preaward PI9 It2, EC Opsys Preaward PI9 It3</t>
  </si>
  <si>
    <t>Routing Manage Logframe</t>
  </si>
  <si>
    <t>OPRESULT-620</t>
  </si>
  <si>
    <t>OPRESULT-686, OPRESULT-12</t>
  </si>
  <si>
    <t>Routing for Review Values</t>
  </si>
  <si>
    <t>OPRESULT-619</t>
  </si>
  <si>
    <t>OPRESULT-22, OPRESULT-635</t>
  </si>
  <si>
    <t>Routing for Review logframe</t>
  </si>
  <si>
    <t>OPRESULT-618</t>
  </si>
  <si>
    <t>OPRESULT-688, OPRESULT-679, OPRESULT-12</t>
  </si>
  <si>
    <t>Hibernate Envers</t>
  </si>
  <si>
    <t>OPRESULT-614</t>
  </si>
  <si>
    <t>Spring Security</t>
  </si>
  <si>
    <t>OPRESULT-613</t>
  </si>
  <si>
    <t>Mapper configuration</t>
  </si>
  <si>
    <t>OPRESULT-610</t>
  </si>
  <si>
    <t>Program Increment 7, Program Increment 8</t>
  </si>
  <si>
    <t>EC Opsys Results PI7 It5, Results PI8 It1</t>
  </si>
  <si>
    <t>OPRESULT-699, OPRESULT-810, OPRESULT-659</t>
  </si>
  <si>
    <t>Configuration Mapping entity</t>
  </si>
  <si>
    <t>OPRESULT-609</t>
  </si>
  <si>
    <t>Queries replace with spring-data-jpa</t>
  </si>
  <si>
    <t>OPRESULT-608</t>
  </si>
  <si>
    <t>Entity Validation for the business logic</t>
  </si>
  <si>
    <t>OPRESULT-607</t>
  </si>
  <si>
    <t>Move validation and meta to entitiy</t>
  </si>
  <si>
    <t>OPRESULT-606</t>
  </si>
  <si>
    <t>Make DECISION work for the import logframes</t>
  </si>
  <si>
    <t>OPRESULT-605</t>
  </si>
  <si>
    <t>Move OpenID proxy servlet code into IOP project</t>
  </si>
  <si>
    <t>MWP-397</t>
  </si>
  <si>
    <t>Documentation: Using Meta and Title APIs for SEO in eUI SSR</t>
  </si>
  <si>
    <t>MWP-396</t>
  </si>
  <si>
    <t>[TECH] Results: Dynamic Component - Alignment eUI 3.x</t>
  </si>
  <si>
    <t>EUI-1177</t>
  </si>
  <si>
    <t>EUI-1184, MWP-135</t>
  </si>
  <si>
    <t>List of opened ux-message-box and ux-modal</t>
  </si>
  <si>
    <t>EUI-1175</t>
  </si>
  <si>
    <t>Primary action button improvement</t>
  </si>
  <si>
    <t>EUI-1173</t>
  </si>
  <si>
    <t>MWP-442</t>
  </si>
  <si>
    <t>[TECH] Titles/subtitles consistency</t>
  </si>
  <si>
    <t>EUI-1172</t>
  </si>
  <si>
    <t>Results: Export in Excel</t>
  </si>
  <si>
    <t>EUI-1171</t>
  </si>
  <si>
    <t>MWP-409</t>
  </si>
  <si>
    <t>Search/filter fields alignment</t>
  </si>
  <si>
    <t>EUI-1194</t>
  </si>
  <si>
    <t>Labels/warnings alignment</t>
  </si>
  <si>
    <t>MWP-392</t>
  </si>
  <si>
    <t>Program Increment 8, COMPCORP-PI3, 3.4.0</t>
  </si>
  <si>
    <t>as a developer, I want to deploy MWP on AWS for e2e testing with saucelabs, ...</t>
  </si>
  <si>
    <t>MWP-391</t>
  </si>
  <si>
    <t>EC eUI My Workplace PI7 It4, EC eUI My Workplace PI8 It2, EC eUI My Workplace PI8 It3</t>
  </si>
  <si>
    <t>MWP-808, MWP-437</t>
  </si>
  <si>
    <t>DESIGN - Task details look &amp; feel harmonization</t>
  </si>
  <si>
    <t>MWP-390</t>
  </si>
  <si>
    <t>EC eUI My Workplace PI7 It4, EC eUI My Workplace PI8 It2, EC eUI My Workplace PI8 It3, EC eUI My Workplace PI8 It4, EC eUI My Workplace PI8 It5</t>
  </si>
  <si>
    <t>MWP-540, MWP-441</t>
  </si>
  <si>
    <t>DESIGN - UX - tree component - document list harmonization</t>
  </si>
  <si>
    <t>MWP-389</t>
  </si>
  <si>
    <t>EC eUI My Workplace PI7 It4, EC eUI My Workplace PI8 It2, EC eUI My Workplace PI8 It5</t>
  </si>
  <si>
    <t>MWP-441</t>
  </si>
  <si>
    <t>DESIGN - Taxonomy alignments (Task centre / Process Centre)</t>
  </si>
  <si>
    <t>MWP-382</t>
  </si>
  <si>
    <t>Program Increment 8, COMPCORP-PI3, eUI-3.5.0</t>
  </si>
  <si>
    <t>EC eUI My Workplace PI7 It4, EC eUI My Workplace PI8 It4, EC eUI My Workplace PI8 It5</t>
  </si>
  <si>
    <t>CCTASK-412, MWP-441</t>
  </si>
  <si>
    <t>[BO] As a PO, I want that the opening report is generated conform the agreed opening report template</t>
  </si>
  <si>
    <t>OPPREAWA-512</t>
  </si>
  <si>
    <t>OPPREAWA-842, OPPREAWA-897</t>
  </si>
  <si>
    <t>As a user, I want to receive my authorisations granted to me once connected</t>
  </si>
  <si>
    <t>MWP-376</t>
  </si>
  <si>
    <t>Tools / CI/CD - enable release on support/ branches</t>
  </si>
  <si>
    <t>EUI-1166</t>
  </si>
  <si>
    <t>3.3.6</t>
  </si>
  <si>
    <t>Secure PM/Shortlist back-end services</t>
  </si>
  <si>
    <t>OPPREAWA-349</t>
  </si>
  <si>
    <t>Secure eRequest back-end services with open-id</t>
  </si>
  <si>
    <t>OPPREAWA-348</t>
  </si>
  <si>
    <t>Secure eSubmission back-end services / Use of OpenID</t>
  </si>
  <si>
    <t>OPPREAWA-347</t>
  </si>
  <si>
    <t>Create bamboo plans on CSDR for support/1.x branches on UI packages</t>
  </si>
  <si>
    <t>EUI-1165</t>
  </si>
  <si>
    <t>Intervention - Related entities</t>
  </si>
  <si>
    <t>OPSYSIOP-715</t>
  </si>
  <si>
    <t>TRACK3-0.7.0</t>
  </si>
  <si>
    <t>OPSYSIOP-259</t>
  </si>
  <si>
    <t>Intervention - Synopsis</t>
  </si>
  <si>
    <t>OPSYSIOP-713</t>
  </si>
  <si>
    <t>Intervention - Generate from Action (for whole action only)</t>
  </si>
  <si>
    <t>OPSYSIOP-710</t>
  </si>
  <si>
    <t>As a user, I would like to filter assets (basic filtering)</t>
  </si>
  <si>
    <t>MWP-369</t>
  </si>
  <si>
    <t>PFM-28, MWP-264</t>
  </si>
  <si>
    <t>Portfolio: As user, I want to see my assets</t>
  </si>
  <si>
    <t>MWP-368</t>
  </si>
  <si>
    <t>PFM-8, PFM-27, MWP-264</t>
  </si>
  <si>
    <t>Fix calls to rest/web/codes on MyWorkplace UI</t>
  </si>
  <si>
    <t>MWP-367</t>
  </si>
  <si>
    <t>MWP-136</t>
  </si>
  <si>
    <t>Action - Action Components section</t>
  </si>
  <si>
    <t>OPSYSIOP-676</t>
  </si>
  <si>
    <t>TRACK3-0.5.0</t>
  </si>
  <si>
    <t>Commission Financing Decision - Non-Substential Changes section</t>
  </si>
  <si>
    <t>OPSYSIOP-674</t>
  </si>
  <si>
    <t>Commission Financing Decision - Actions section</t>
  </si>
  <si>
    <t>OPSYSIOP-668</t>
  </si>
  <si>
    <t>Commission Financing Decision - Synopsis section</t>
  </si>
  <si>
    <t>OPSYSIOP-666</t>
  </si>
  <si>
    <t>Action - Commission Financing Decision section</t>
  </si>
  <si>
    <t>OPSYSIOP-660</t>
  </si>
  <si>
    <t>Removing Page Redirection Logic From Ux Auth Guard Service</t>
  </si>
  <si>
    <t>EUI-1167</t>
  </si>
  <si>
    <t>EUI-1099</t>
  </si>
  <si>
    <t>GetProcedureDetail V2 update</t>
  </si>
  <si>
    <t>OPPREAWA-322</t>
  </si>
  <si>
    <t>CDM 16.7 upgrade</t>
  </si>
  <si>
    <t>OPPREAWA-319</t>
  </si>
  <si>
    <t>Design the cancel procedure process web service exposed by eRequest</t>
  </si>
  <si>
    <t>OPPREAWA-318</t>
  </si>
  <si>
    <t>EC Opsys Preaward PI7 It4</t>
  </si>
  <si>
    <t>[FO] Using Tender Language Code list of the CDM format for Allowed Tender Languages</t>
  </si>
  <si>
    <t>OPPREAWA-663</t>
  </si>
  <si>
    <t>Create a jira board for Compass Corporate Meeting's</t>
  </si>
  <si>
    <t>MWP-359</t>
  </si>
  <si>
    <t>Dashboard: Delete dashboard</t>
  </si>
  <si>
    <t>MWP-357</t>
  </si>
  <si>
    <t>MWP-316, MWP-342</t>
  </si>
  <si>
    <t>Dashboard: Clone an existing</t>
  </si>
  <si>
    <t>MWP-356</t>
  </si>
  <si>
    <t>MWP-316, MWP-342, MWP-137</t>
  </si>
  <si>
    <t>Dashboard: Create a blank dashboard</t>
  </si>
  <si>
    <t>MWP-355</t>
  </si>
  <si>
    <t>CSDR - Additional repositories setup</t>
  </si>
  <si>
    <t>EUI-1157</t>
  </si>
  <si>
    <t>EC Opsys My Workplace PI7 It3</t>
  </si>
  <si>
    <t>MWP-135</t>
  </si>
  <si>
    <t>[SYG][AMD][new exercise] Create new CCM2 codes for amendments</t>
  </si>
  <si>
    <t>OPPOSTWARD-44</t>
  </si>
  <si>
    <t>OPPOSTWARD-16</t>
  </si>
  <si>
    <t>[SYG][AMD][new exercise] Initialise amendment exercise</t>
  </si>
  <si>
    <t>OPPOSTWARD-43</t>
  </si>
  <si>
    <t>[SYG][AMD][new exercise] Mapper: Export amendment information to CDM XML</t>
  </si>
  <si>
    <t>OPPOSTWARD-42</t>
  </si>
  <si>
    <t>[SYG][AMD][new exercise] CDM: Structure of amendment information on CDM</t>
  </si>
  <si>
    <t>OPPOSTWARD-41</t>
  </si>
  <si>
    <t>[SYG][AMD][new exercise] Support of the e-signature in the amendment exercise</t>
  </si>
  <si>
    <t>OPPOSTWARD-40</t>
  </si>
  <si>
    <t>[SYG][AMD][new exercise] Extract Amendment option models and model items to CSC common</t>
  </si>
  <si>
    <t>OPPOSTWARD-39</t>
  </si>
  <si>
    <t>[SYG][AMD][new exercise] Services for amendments provided by SyGMa</t>
  </si>
  <si>
    <t>OPPOSTWARD-38</t>
  </si>
  <si>
    <t>[SYG][AMD][new exercise] Create basic amendment exercise</t>
  </si>
  <si>
    <t>OPPOSTWARD-37</t>
  </si>
  <si>
    <t>As a user, I want to have my rights/permissions transferred from pre-award</t>
  </si>
  <si>
    <t>OPPOSTWARD-36</t>
  </si>
  <si>
    <t>BRIS &amp; IMI Support PI7 It4</t>
  </si>
  <si>
    <t>EUI-1155</t>
  </si>
  <si>
    <t>As a user, I want to see the contract details in SEDIA (PPCMS)</t>
  </si>
  <si>
    <t>OPPOSTWARD-34</t>
  </si>
  <si>
    <t>[TECH] Documentation: Dynamic Config using Spring Cloud Config</t>
  </si>
  <si>
    <t>EUI-1154</t>
  </si>
  <si>
    <t>Refactoring Angular Universal on UX-COMMONS</t>
  </si>
  <si>
    <t>EUI-1153</t>
  </si>
  <si>
    <t>Program Increment 7, 3.3.6</t>
  </si>
  <si>
    <t>EUI-1152, MWP-144</t>
  </si>
  <si>
    <t>Check SSE client for auto-reconnect and long-polling fallback.</t>
  </si>
  <si>
    <t>MWP-352</t>
  </si>
  <si>
    <t>Refactoring Angular Universal on UX-CORE</t>
  </si>
  <si>
    <t>EUI-1152</t>
  </si>
  <si>
    <t>EUI-1153, MWP-144</t>
  </si>
  <si>
    <t>[TECH] Documentation on GitLab procedure</t>
  </si>
  <si>
    <t>MWP-350</t>
  </si>
  <si>
    <t>EC eUI My Workplace PI7 It4, EC eUI My Workplace PI7 It5</t>
  </si>
  <si>
    <t>Pre-fin JAgate integration - eGrant services - cost claim (SD)</t>
  </si>
  <si>
    <t>OPPOSTWARD-33</t>
  </si>
  <si>
    <t>OPPOSTWARD-8</t>
  </si>
  <si>
    <t>[TECH] AOT Wrapper implementation for package build on gitlab</t>
  </si>
  <si>
    <t>MWP-348</t>
  </si>
  <si>
    <t>[BO] Implement the backend for the TND_INTEGRITY flag in the public Opening Session</t>
  </si>
  <si>
    <t>OPPREAWA-662</t>
  </si>
  <si>
    <t>OPPREAWA-842, OPPREAWA-846</t>
  </si>
  <si>
    <t>[BO] Implement the backend for the TND_ON_TIME flag in the public Opening Session</t>
  </si>
  <si>
    <t>OPPREAWA-661</t>
  </si>
  <si>
    <t>Action Outline - Indicative Budget</t>
  </si>
  <si>
    <t>OPSYSIOP-656</t>
  </si>
  <si>
    <t>(Enabler) Implement the getShortlistInvitations operation (=counter service) of the ShortlistManagementService</t>
  </si>
  <si>
    <t>OPPREAWA-660</t>
  </si>
  <si>
    <t>[BO] Save TendererName in a new column "TND_MAIN_TENDERER" at consolidation time</t>
  </si>
  <si>
    <t>OPPREAWA-659</t>
  </si>
  <si>
    <t>Upgrading Bris Mrt Project</t>
  </si>
  <si>
    <t>EUI-1156</t>
  </si>
  <si>
    <t>Import the list of experts from the tender</t>
  </si>
  <si>
    <t>OPPOSTWARD-31</t>
  </si>
  <si>
    <t>As a user I want to see the list of experts</t>
  </si>
  <si>
    <t>OPPOSTWARD-30</t>
  </si>
  <si>
    <t>As a user, I want to see the Location of the Assignment and Zone/s benefitting in the contract data screens</t>
  </si>
  <si>
    <t>OPPOSTWARD-29</t>
  </si>
  <si>
    <t>CDM - Experts</t>
  </si>
  <si>
    <t>OPPOSTWARD-28</t>
  </si>
  <si>
    <t>[SYGMA][CL2] Support of Budget Line at Edit CL2</t>
  </si>
  <si>
    <t>OPPOSTWARD-9, OPPOSTWARD-124</t>
  </si>
  <si>
    <t>[SYGMA] Specific Contract - CL2 budget planner (separate exercise)</t>
  </si>
  <si>
    <t>OPPOSTWARD-26</t>
  </si>
  <si>
    <t>OPPOSTWARD-9, OPPOSTWARD-321</t>
  </si>
  <si>
    <t>As a user, I want to see in the contract if the bank guarantee is required</t>
  </si>
  <si>
    <t>OPPOSTWARD-25</t>
  </si>
  <si>
    <t>OPPOSTWARD-10</t>
  </si>
  <si>
    <t>Pre-financing - Compass workflow</t>
  </si>
  <si>
    <t>OPPOSTWARD-24</t>
  </si>
  <si>
    <t>[SYGMA][PREFIN] Business Rules Implementation</t>
  </si>
  <si>
    <t>OPPOSTWARD-23</t>
  </si>
  <si>
    <t>[SYGMA] [JAGATE] Prefin-CDM Mapping</t>
  </si>
  <si>
    <t>OPPOSTWARD-22</t>
  </si>
  <si>
    <t>[SYGMA] Prefin Exercise - Payment Planner</t>
  </si>
  <si>
    <t>OPPOSTWARD-21</t>
  </si>
  <si>
    <t>[PPCMS][Formal Notifications] Pre-financing Send notification to externals</t>
  </si>
  <si>
    <t>OPPOSTWARD-20</t>
  </si>
  <si>
    <t>Program Increment 8, Opsys PI 10</t>
  </si>
  <si>
    <t>[SYGMA][Compass] Prefinancing - integration</t>
  </si>
  <si>
    <t>OPPOSTWARD-19</t>
  </si>
  <si>
    <t>[TGS] Prefinancing - letter to be sent to application</t>
  </si>
  <si>
    <t>OPPOSTWARD-18</t>
  </si>
  <si>
    <t>As a Compass user I want to see the EDES status for the contractors</t>
  </si>
  <si>
    <t>OPPOSTWARD-17</t>
  </si>
  <si>
    <t>OPPOSTWARD-7</t>
  </si>
  <si>
    <t>ux-panels - set toolbar initial state if all panels are expanded on init</t>
  </si>
  <si>
    <t>EUI-1144</t>
  </si>
  <si>
    <t>2.5.11, 3.3.5</t>
  </si>
  <si>
    <t>EC eUI PI7 It3</t>
  </si>
  <si>
    <t>OPRESULT-536</t>
  </si>
  <si>
    <t>Tools - add support branch acting like a master branch when releasing a package</t>
  </si>
  <si>
    <t>EUI-1143</t>
  </si>
  <si>
    <t>3.3.5</t>
  </si>
  <si>
    <t>layout sidebar does not render the initialized expanded links</t>
  </si>
  <si>
    <t>EUI-1142</t>
  </si>
  <si>
    <t>adding growl warning auth guard service- samples app</t>
  </si>
  <si>
    <t>EUI-1141</t>
  </si>
  <si>
    <t>New business notifications for 'Committee'</t>
  </si>
  <si>
    <t>OPPREAWA-299</t>
  </si>
  <si>
    <t>EC Opsys Preaward PI7 It3, EC Opsys Preaward PI7 It4, EC Opsys Preaward PI7 It5</t>
  </si>
  <si>
    <t>OPPREAWA-180, OPPREAWA-113</t>
  </si>
  <si>
    <t>ux-growl - allow to define position (bottom-right/left/center - top-right/left/center)</t>
  </si>
  <si>
    <t>EUI-1133</t>
  </si>
  <si>
    <t>3.3.7</t>
  </si>
  <si>
    <t>eUI 2.x : Move Growl few pixel to avoid to hide action in action bar</t>
  </si>
  <si>
    <t>EUI-1132</t>
  </si>
  <si>
    <t>Implement Subprocess Configuration</t>
  </si>
  <si>
    <t>OPPREAWA-295</t>
  </si>
  <si>
    <t>OPPREAWA-331</t>
  </si>
  <si>
    <t>Integrate translations in feedback tool</t>
  </si>
  <si>
    <t>MWP-340</t>
  </si>
  <si>
    <t>MWP-433, OPRESULT-573</t>
  </si>
  <si>
    <t>The Awarding module generates awarding letters according to the awarding results</t>
  </si>
  <si>
    <t>OPPREAWA-289</t>
  </si>
  <si>
    <t>OPPREAWA-191, OPPREAWA-574, OPPREAWA-124</t>
  </si>
  <si>
    <t>The Awarding module is exchanging instructions with the workflow engine system when generating the awarding letters</t>
  </si>
  <si>
    <t>OPPREAWA-286</t>
  </si>
  <si>
    <t>Program Increment 8, Program Increment 7, Opsys PI 9</t>
  </si>
  <si>
    <t>OPPREAWA-124</t>
  </si>
  <si>
    <t>The Awarding module is exchanging instructions with the workflow engine system when determining the awarding results,</t>
  </si>
  <si>
    <t>OPPREAWA-283</t>
  </si>
  <si>
    <t>EC Opsys Preaward PI7 It4, EC Opsys Preaward PI7 It5, EC Opsys Preaward PI9 It1, EC Opsys Preaward PI9 It2, EC Opsys Preaward PI9 It3, EC Opsys Preaward PI9 It4, EC Opsys Preaward PI9 It5</t>
  </si>
  <si>
    <t>Notifications: Refresh automatically notifications in the Notifications list (specific page)</t>
  </si>
  <si>
    <t>MWP-339</t>
  </si>
  <si>
    <t>MWP-129</t>
  </si>
  <si>
    <t>Notifications: Settings (pull delay)</t>
  </si>
  <si>
    <t>MWP-338</t>
  </si>
  <si>
    <t>MWP-253, MWP-129</t>
  </si>
  <si>
    <t>Improved message when user's rights has been revoked from a project in SEDIA</t>
  </si>
  <si>
    <t>OPRESULT-561</t>
  </si>
  <si>
    <t>OPSYS T3 - Action Outline - View Flagship Policies</t>
  </si>
  <si>
    <t>EUI-1128</t>
  </si>
  <si>
    <t>OPSYS T3 - Action Outline - View Indicative Budget</t>
  </si>
  <si>
    <t>EUI-1127</t>
  </si>
  <si>
    <t>OPSYS T3 - Action Outline - View Synopsis</t>
  </si>
  <si>
    <t>EUI-1126</t>
  </si>
  <si>
    <t>OPSYS T3 - Action Outline - View Executive Summary</t>
  </si>
  <si>
    <t>EUI-1125</t>
  </si>
  <si>
    <t>OPSYS T3 - UC-ACT-00100 - Create Action from IPD Sector</t>
  </si>
  <si>
    <t>EUI-1124</t>
  </si>
  <si>
    <t>UX Improvement based on reports and UX based on Taxonomy</t>
  </si>
  <si>
    <t>EUI-1123</t>
  </si>
  <si>
    <t>Refactoring of ux-core services migration and centralization to app related</t>
  </si>
  <si>
    <t>EUI-1122</t>
  </si>
  <si>
    <t>The Awarding module needs to finalize an awarding round</t>
  </si>
  <si>
    <t>OPPREAWA-277</t>
  </si>
  <si>
    <t>OPPREAWA-245, OPPREAWA-141</t>
  </si>
  <si>
    <t>Inform about awarding results</t>
  </si>
  <si>
    <t>OPPREAWA-274</t>
  </si>
  <si>
    <t>OPPREAWA-141</t>
  </si>
  <si>
    <t>The Awarding module needs to gather evaluation results</t>
  </si>
  <si>
    <t>OPPREAWA-272</t>
  </si>
  <si>
    <t>OPPREAWA-276, OPPREAWA-313, OPPREAWA-1021, OPPREAWA-307, OPPREAWA-141</t>
  </si>
  <si>
    <t>Replace uxService location in appStyleguide demo</t>
  </si>
  <si>
    <t>EUI-1120</t>
  </si>
  <si>
    <t>Management Corporate e-Submission</t>
  </si>
  <si>
    <t>OPPREAWA-503</t>
  </si>
  <si>
    <t>Pagination system for long content</t>
  </si>
  <si>
    <t>MWP-334</t>
  </si>
  <si>
    <t>MWP-316</t>
  </si>
  <si>
    <t>Migrate ux-growl from ux-service to ux-app-shell</t>
  </si>
  <si>
    <t>EUI-1116</t>
  </si>
  <si>
    <t>Create Team Dashboard for Task Force</t>
  </si>
  <si>
    <t>OPCITNET-192</t>
  </si>
  <si>
    <t>EC Opsys CITnet PI 7 Iter 3, EC Opsys CITnet PI 7 Iter 4</t>
  </si>
  <si>
    <t>OPCITNET-211, OPCITNET-7</t>
  </si>
  <si>
    <t>(Enabler) Listen to ProcedureNewVersion event coming from Connector</t>
  </si>
  <si>
    <t>OPPREAWA-516</t>
  </si>
  <si>
    <t>OPPREAWA-504, OPPREAWA-843</t>
  </si>
  <si>
    <t>[CON] (Enabler) Send event to e-Submission to notify a new procedure version</t>
  </si>
  <si>
    <t>OPPREAWA-517</t>
  </si>
  <si>
    <t>Notifications - Add growl when new notifications are received</t>
  </si>
  <si>
    <t>MWP-332</t>
  </si>
  <si>
    <t>Update CDM to last available version</t>
  </si>
  <si>
    <t>OPPREAWA-265</t>
  </si>
  <si>
    <t>OPPREAWA-258, OPPREAWA-127, OPPREAWA-251</t>
  </si>
  <si>
    <t>(Improvement) Improve CoRSE filter to restrict calls from all origins</t>
  </si>
  <si>
    <t>OPPREAWA-511</t>
  </si>
  <si>
    <t>New business notifications for 'Assessors and deadlines'</t>
  </si>
  <si>
    <t>OPPREAWA-264</t>
  </si>
  <si>
    <t>OPPREAWA-123, OPPREAWA-261</t>
  </si>
  <si>
    <t>New internal service in eEval for communication with TaskBox</t>
  </si>
  <si>
    <t>OPPREAWA-262</t>
  </si>
  <si>
    <t>Adaptations in 'Assessors and deadlines'</t>
  </si>
  <si>
    <t>OPPREAWA-261</t>
  </si>
  <si>
    <t>EC Opsys Preaward PI7 It2, EC Opsys Preaward PI7 It3, EC Opsys Preaward PI7 It4, EC Opsys Preaward PI7 It5</t>
  </si>
  <si>
    <t>OPPREAWA-123, OPPREAWA-264</t>
  </si>
  <si>
    <t>adding dynamic menu service into eui</t>
  </si>
  <si>
    <t>EUI-1113</t>
  </si>
  <si>
    <t>[BO] As an Opening Board Member, I can click on a tender and update the In Order/Not in Order flag and add a Reason</t>
  </si>
  <si>
    <t>OPPREAWA-501</t>
  </si>
  <si>
    <t>OPPREAWA-842, OPPREAWA-850</t>
  </si>
  <si>
    <t>[BO] As an Opening Board Member, I can click on a tender to expand it</t>
  </si>
  <si>
    <t>OPPREAWA-658</t>
  </si>
  <si>
    <t>Analysis performance issues Opsys</t>
  </si>
  <si>
    <t>EUI-1111</t>
  </si>
  <si>
    <t>Review and improve the performance related to Autosave</t>
  </si>
  <si>
    <t>OPRESULT-514</t>
  </si>
  <si>
    <t>EC Opsys Results PI7 It3</t>
  </si>
  <si>
    <t>[BO] As an Opening Board Member, I may not see the content of "Not in order" tenders in the Opening Session</t>
  </si>
  <si>
    <t>OPPREAWA-656</t>
  </si>
  <si>
    <t>Action Outline - Flagship Policies</t>
  </si>
  <si>
    <t>OPSYSIOP-614</t>
  </si>
  <si>
    <t>Basic act - Alignments</t>
  </si>
  <si>
    <t>OPSYSIOP-597</t>
  </si>
  <si>
    <t>TRACK3-0.4.0</t>
  </si>
  <si>
    <t>EC OPSYS IOP PI7 It3</t>
  </si>
  <si>
    <t>bout your project proposal</t>
  </si>
  <si>
    <t>MWP-328</t>
  </si>
  <si>
    <t>Adding rights to Core-&gt; User Interface and removing menuLinks feature</t>
  </si>
  <si>
    <t>EUI-1109</t>
  </si>
  <si>
    <t>(Enabler) Remove the generation of UBL files (tender, qualification, summary) when consolidating the tender</t>
  </si>
  <si>
    <t>OPPREAWA-655</t>
  </si>
  <si>
    <t>Inverse behavior global error handling</t>
  </si>
  <si>
    <t>EUI-1107</t>
  </si>
  <si>
    <t>3.3.3</t>
  </si>
  <si>
    <t>ecl-listing-navigation - adapt for SEDIA</t>
  </si>
  <si>
    <t>EUI-1106</t>
  </si>
  <si>
    <t>3.3.4</t>
  </si>
  <si>
    <t>EUI-105</t>
  </si>
  <si>
    <t>ECL - adapt eUI components to use default spacing and font scaling</t>
  </si>
  <si>
    <t>EUI-1105</t>
  </si>
  <si>
    <t>(Enabler) Implement the getEvaluationResults operation of the ProposalEvaluationRankingListService</t>
  </si>
  <si>
    <t>OPPREAWA-657</t>
  </si>
  <si>
    <t>Tendering terms in procedure configuration (template)</t>
  </si>
  <si>
    <t>OPPREAWA-252</t>
  </si>
  <si>
    <t>Update to latest CDM version</t>
  </si>
  <si>
    <t>OPPREAWA-251</t>
  </si>
  <si>
    <t>EC Opsys Preaward PI7 It3, EC Opsys Preaward PI7 It4</t>
  </si>
  <si>
    <t>OPPREAWA-290, OPPREAWA-314, OPPREAWA-265</t>
  </si>
  <si>
    <t>Display Actions with orphan contracts in My Portfolio</t>
  </si>
  <si>
    <t>OPSYSIOP-580</t>
  </si>
  <si>
    <t>OPSYSIOP-788</t>
  </si>
  <si>
    <t>Environment preparation for PI demo</t>
  </si>
  <si>
    <t>OPPREAWA-249</t>
  </si>
  <si>
    <t>eSubmission PI7-I4 -Extended</t>
  </si>
  <si>
    <t>OPPREAWA-762</t>
  </si>
  <si>
    <t>removing filter uxlinks from uxpermission service</t>
  </si>
  <si>
    <t>EUI-1104</t>
  </si>
  <si>
    <t>Recalculate the deadlines immediately after sending the invitations</t>
  </si>
  <si>
    <t>OPPREAWA-674</t>
  </si>
  <si>
    <t>The Awarding module determines the awarding results for a procedure in the context of an awarding round</t>
  </si>
  <si>
    <t>OPPREAWA-246</t>
  </si>
  <si>
    <t>OPPREAWA-312, OPPREAWA-313, OPPREAWA-314, OPPREAWA-141</t>
  </si>
  <si>
    <t>The Awarding module needs to establish an awarding round everytime it is asked to determine the awarding results for a procedure</t>
  </si>
  <si>
    <t>OPPREAWA-245</t>
  </si>
  <si>
    <t>OPPREAWA-277, OPPREAWA-141</t>
  </si>
  <si>
    <t>The Awarding module needs to gather tenders and procedure-related data from other modules</t>
  </si>
  <si>
    <t>OPPREAWA-244</t>
  </si>
  <si>
    <t>config-core-user init should resolve handler function in addition to url source</t>
  </si>
  <si>
    <t>EUI-1102</t>
  </si>
  <si>
    <t>EC eUI My Workplace PI7 It5, EC eUI My Workplace PI8 It3</t>
  </si>
  <si>
    <t>Add SMT Problem and Incident as a new types of items to the team configuration</t>
  </si>
  <si>
    <t>OPCITNET-182</t>
  </si>
  <si>
    <t>Import/creation of roles in IAM for eEval</t>
  </si>
  <si>
    <t>OPPREAWA-240</t>
  </si>
  <si>
    <t>OPPREAWA-878, OPPREAWA-117</t>
  </si>
  <si>
    <t>Import of DEVCO xSec groups, roles, tasks to Secunda</t>
  </si>
  <si>
    <t>OPPREAWA-239</t>
  </si>
  <si>
    <t>POC Secunda WS integration - eEval</t>
  </si>
  <si>
    <t>OPPREAWA-238</t>
  </si>
  <si>
    <t>POC IAM WS integration - eEval</t>
  </si>
  <si>
    <t>OPPREAWA-237</t>
  </si>
  <si>
    <t>ANA - Prepare and support Corporate user stories for PI8</t>
  </si>
  <si>
    <t>OPPREAWA-654</t>
  </si>
  <si>
    <t>As a Procurement Officer (PO), I want to have the invitations and declines counters in the SIEA 2018 master shortlist updated</t>
  </si>
  <si>
    <t>OPPREAWA-233</t>
  </si>
  <si>
    <t>OPPREAWA-184, OPPREAWA-398</t>
  </si>
  <si>
    <t>Documentation of UxPermissions,AuthGuard ,Auth and Dynamic Menu Service</t>
  </si>
  <si>
    <t>EUI-1101</t>
  </si>
  <si>
    <t>Update automatically the Resolution code based on the status change.</t>
  </si>
  <si>
    <t>OPCITNET-179</t>
  </si>
  <si>
    <t>Update service for CCM2 in eEval by using the API</t>
  </si>
  <si>
    <t>OPPREAWA-229</t>
  </si>
  <si>
    <t>Rework of CREF to LREF</t>
  </si>
  <si>
    <t>OPPREAWA-228</t>
  </si>
  <si>
    <t>CREF + LREF clean-up</t>
  </si>
  <si>
    <t>OPPREAWA-225</t>
  </si>
  <si>
    <t>Business analysis of CCM2 integration in eEvaluation</t>
  </si>
  <si>
    <t>OPPREAWA-224</t>
  </si>
  <si>
    <t>OPPREAWA-241, OPPREAWA-883</t>
  </si>
  <si>
    <t>Action Outline Management - Test Execution</t>
  </si>
  <si>
    <t>OPSYSIOP-564</t>
  </si>
  <si>
    <t>Action Outline Management - Test Preparation</t>
  </si>
  <si>
    <t>OPSYSIOP-563</t>
  </si>
  <si>
    <t>View IPD_New Layout - Test Execution</t>
  </si>
  <si>
    <t>OPSYSIOP-554</t>
  </si>
  <si>
    <t>View IPD_New Layout - Test Preparation</t>
  </si>
  <si>
    <t>OPSYSIOP-552</t>
  </si>
  <si>
    <t>DB e-Catalogue: load new Excel files in CAT_TB_BUDG_BREAKDOWN_TEMPLATE</t>
  </si>
  <si>
    <t>OPPREAWA-222</t>
  </si>
  <si>
    <t>EC Opsys Preaward PI7 It2, EC Opsys Preaward PI7 It3, EC Opsys Preaward PI7 It4</t>
  </si>
  <si>
    <t>OPPREAWA-131, EPROCUREMENT-16061</t>
  </si>
  <si>
    <t>Notification: use relative link based on absolute link in the notification widget and page</t>
  </si>
  <si>
    <t>MWP-315</t>
  </si>
  <si>
    <t>MWP-253, MWP-304</t>
  </si>
  <si>
    <t>View BA_New Layout - Test Execution</t>
  </si>
  <si>
    <t>OPSYSIOP-553</t>
  </si>
  <si>
    <t>ux-autocomplete - enable as wrapper for ngui/autcomplete</t>
  </si>
  <si>
    <t>EUI-379</t>
  </si>
  <si>
    <t>EC eUI PI7 It2</t>
  </si>
  <si>
    <t>View BA_New Layout - Test Preparation</t>
  </si>
  <si>
    <t>OPSYSIOP-545</t>
  </si>
  <si>
    <t>EC OPSYS IOP PI7 It2</t>
  </si>
  <si>
    <t>OPSYS: Notifications: Update fetch timing</t>
  </si>
  <si>
    <t>MWP-305</t>
  </si>
  <si>
    <t>EC Opsys My Workplace PI7 It2</t>
  </si>
  <si>
    <t>MWP-253</t>
  </si>
  <si>
    <t>Enable the OM to see his Department Portfolio</t>
  </si>
  <si>
    <t>OPSYSIOP-579</t>
  </si>
  <si>
    <t>OPSYSIOP-788, OPSYSIOP-245</t>
  </si>
  <si>
    <t>Investigate why OPSYS is slow with IE and Firefox</t>
  </si>
  <si>
    <t>MWP-302</t>
  </si>
  <si>
    <t>Track 1 - Partial Intervention can't be allowed when no contracts are linked to the Action</t>
  </si>
  <si>
    <t>OPSYSIOP-544</t>
  </si>
  <si>
    <t>OM in charge of CTR can generate INTV</t>
  </si>
  <si>
    <t>OPSYSIOP-535</t>
  </si>
  <si>
    <t>[CON] (Enabler) eSubmission connector environment</t>
  </si>
  <si>
    <t>OPPREAWA-653</t>
  </si>
  <si>
    <t>OPPREAWA-846, CITNET-18932, DEVOPSDIGIT-559</t>
  </si>
  <si>
    <t>Breadcrumb on results portal</t>
  </si>
  <si>
    <t>OPSEDPORT-14</t>
  </si>
  <si>
    <t>EC Opsys Sedia Portal PI7 It1</t>
  </si>
  <si>
    <t>OPSYS-6631, OPSEDPORT-9</t>
  </si>
  <si>
    <t>Implement off-line mode in Results portal</t>
  </si>
  <si>
    <t>OPSEDPORT-13</t>
  </si>
  <si>
    <t>OPSYS-6630, OPSEDPORT-10</t>
  </si>
  <si>
    <t>Performances improvement - cleanup - preparation for eUI 4</t>
  </si>
  <si>
    <t>EUI-392</t>
  </si>
  <si>
    <t>EC eUI PI7 It2, EC eUI PI7 It3</t>
  </si>
  <si>
    <t>ECOPPRMG-150</t>
  </si>
  <si>
    <t>eUI Dynamic Runtime documentation</t>
  </si>
  <si>
    <t>EUI-403</t>
  </si>
  <si>
    <t>EC Opsys My Workplace PI7 It3, EC eUI PI7 It2</t>
  </si>
  <si>
    <t>As an OM I want to be directed to shortlist in MyWorkplace from Compass</t>
  </si>
  <si>
    <t>OPPREAWA-200</t>
  </si>
  <si>
    <t>OPPREAWA-51, OPPREAWA-142</t>
  </si>
  <si>
    <t>As an OM I want to be directed to eRequest in MyWorkplace from Compass</t>
  </si>
  <si>
    <t>OPPREAWA-198</t>
  </si>
  <si>
    <t>EC Opsys Preaward PI7 It2, EC Opsys Preaward PI7 It3</t>
  </si>
  <si>
    <t>OPPREAWA-142</t>
  </si>
  <si>
    <t>As an OM I want the generation letters to be generated following the award decision</t>
  </si>
  <si>
    <t>OPPREAWA-191</t>
  </si>
  <si>
    <t>Program Increment 8, Program Increment 7</t>
  </si>
  <si>
    <t>EC Opsys Preaward PI8 It1, EC Opsys Preaward PI8 It2, EC Opsys Preaward PI7 It4, EC Opsys Preaward PI7 It5, EC Opsys Preaward PI8 It3, EC Opsys Preaward PI8 It4</t>
  </si>
  <si>
    <t>OPPREAWA-289, OPPREAWA-124</t>
  </si>
  <si>
    <t>As OIA I want the invitation counters of the master shortlist to be updated once I have assessed the justification for non-submission provided by the economical operator</t>
  </si>
  <si>
    <t>OPPREAWA-184</t>
  </si>
  <si>
    <t>EC Opsys Preaward PI8 It1, EC Opsys Preaward PI7 It3, EC Opsys Preaward PI8 It2, EC Opsys Preaward PI7 It4, EC Opsys Preaward PI7 It5, EC Opsys Preaward PI8 It3, EC Opsys Preaward PI8 It5, EC Opsys Preaward PI9 It4, EC Opsys Preaward PI9 It5</t>
  </si>
  <si>
    <t>OPPREAWA-233, OPPREAWA-132, OPPREAWA-398</t>
  </si>
  <si>
    <t>Misc. styling alignments</t>
  </si>
  <si>
    <t>EUI-194</t>
  </si>
  <si>
    <t>SyGMa screen</t>
  </si>
  <si>
    <t>OPPOSTWARD-2</t>
  </si>
  <si>
    <t>OPPOSTWARD-1</t>
  </si>
  <si>
    <t>Indicative Programming Document view - Flagship policies</t>
  </si>
  <si>
    <t>EUI-353</t>
  </si>
  <si>
    <t>Indicative Programming Document - General information</t>
  </si>
  <si>
    <t>EUI-402</t>
  </si>
  <si>
    <t>Basic Act View - Components</t>
  </si>
  <si>
    <t>EUI-381</t>
  </si>
  <si>
    <t>Save the tender lines directly in the CDM tender line structure</t>
  </si>
  <si>
    <t>OPPREAWA-157</t>
  </si>
  <si>
    <t>EC Opsys Preaward PI8 It1, EC Opsys Preaward PI7 It2, EC Opsys Preaward PI7 It3, EC Opsys Preaward PI8 It2, EC Opsys Preaward PI7 It4, EC Opsys Preaward PI7 It5, EC Opsys Preaward PI8 It3, EC Opsys Preaward PI8 It4, EC Opsys Preaward PI8 It5, EC Opsys Preaward PI9 It1, EC Opsys Preaward PI9 It2, EC Opsys Preaward PI9 It3, EC Opsys Preaward PI9 It4, EC Opsys Preaward PI9 It5</t>
  </si>
  <si>
    <t>EPROCUREMENT-16832, OPPREAWA-650, OPPREAWA-156</t>
  </si>
  <si>
    <t>Save IDs of the reference data in the catalogue</t>
  </si>
  <si>
    <t>OPPREAWA-155</t>
  </si>
  <si>
    <t>EC Opsys Preaward PI8 It1, EC Opsys Preaward PI7 It2, EC Opsys Preaward PI7 It3, EC Opsys Preaward PI7 It4, EC Opsys Preaward PI7 It5</t>
  </si>
  <si>
    <t>UX report based on user testing</t>
  </si>
  <si>
    <t>EUI-376</t>
  </si>
  <si>
    <t>eUI prototype IE bugs &amp; suggestions</t>
  </si>
  <si>
    <t>EUI-362</t>
  </si>
  <si>
    <t>[TECH] MWP container build on gitLab</t>
  </si>
  <si>
    <t>MWP-292</t>
  </si>
  <si>
    <t>EC Opsys My Workplace PI7 It2, EC eUI My Workplace PI7 It4</t>
  </si>
  <si>
    <t>T1 - Creation of Automation Framework - Part II</t>
  </si>
  <si>
    <t>OPSYSIOP-521</t>
  </si>
  <si>
    <t>OPSYSIOP-245</t>
  </si>
  <si>
    <t>Dynamic Forms POC-Form Groups-Arrays-controls</t>
  </si>
  <si>
    <t>EUI-372</t>
  </si>
  <si>
    <t>EC eUI My Workplace PI7 It5, EC eUI My Workplace PI8 It1</t>
  </si>
  <si>
    <t>As an OM I want the status of the request to be updated when a procedure is cancelled</t>
  </si>
  <si>
    <t>OPPREAWA-153</t>
  </si>
  <si>
    <t>EC Opsys Preaward PI8 It1, EC Opsys Preaward PI7 It3, EC Opsys Preaward PI7 It4, EC Opsys Preaward PI7 It5</t>
  </si>
  <si>
    <t>EPROCUREMENT-17477, OPPREAWA-127, OPPREAWA-152</t>
  </si>
  <si>
    <t>As an OM I want the status of the shortlist to be updated when a procedure is cancelled</t>
  </si>
  <si>
    <t>OPPREAWA-152</t>
  </si>
  <si>
    <t>EPROCUREMENT-17472, OPPREAWA-151, OPPREAWA-127, OPPREAWA-153</t>
  </si>
  <si>
    <t>As an OM I want the status of the subProcess to be updated when a procedure is cancelled</t>
  </si>
  <si>
    <t>OPPREAWA-151</t>
  </si>
  <si>
    <t>OPPREAWA-127, OPPREAWA-152</t>
  </si>
  <si>
    <t>Technical : separate SHL and PM code</t>
  </si>
  <si>
    <t>OPPREAWA-150</t>
  </si>
  <si>
    <t>OPPREAWA-149</t>
  </si>
  <si>
    <t>Split PMG from SHL webapps</t>
  </si>
  <si>
    <t>OPPREAWA-148</t>
  </si>
  <si>
    <t>T3 - PI7 and PI8 Automation</t>
  </si>
  <si>
    <t>OPSYSIOP-512</t>
  </si>
  <si>
    <t>OPSYSIOP-237</t>
  </si>
  <si>
    <t>T3 - Creation of Performance Analysis - Part V</t>
  </si>
  <si>
    <t>OPSYSIOP-511</t>
  </si>
  <si>
    <t>OPSYSIOP-237, OPSYSIOP-1354</t>
  </si>
  <si>
    <t>T3 - Creation of Performance Analysis - Part IV</t>
  </si>
  <si>
    <t>OPSYSIOP-506</t>
  </si>
  <si>
    <t>T3 - Creation of Automation Framework - Part IV</t>
  </si>
  <si>
    <t>OPSYSIOP-502</t>
  </si>
  <si>
    <t>As an OM I want to be able to modify the default deadline summissions</t>
  </si>
  <si>
    <t>OPPREAWA-104</t>
  </si>
  <si>
    <t>OPPREAWA-459, OPPREAWA-436, OPPREAWA-103</t>
  </si>
  <si>
    <t>[ENABLER] Defaults settings</t>
  </si>
  <si>
    <t>MWP-281</t>
  </si>
  <si>
    <t>MWP-205, ECOPPRMG-150</t>
  </si>
  <si>
    <t>T3 - Creation of Automation Framework - Part II</t>
  </si>
  <si>
    <t>OPSYSIOP-461</t>
  </si>
  <si>
    <t>Document the Configuration process of a Team area</t>
  </si>
  <si>
    <t>OPCITNET-173</t>
  </si>
  <si>
    <t>EC Opsys CITnet PI 7 Iter 2</t>
  </si>
  <si>
    <t>T1 - Creation of Automation Framework - Part I</t>
  </si>
  <si>
    <t>OPSYSIOP-446</t>
  </si>
  <si>
    <t>ANA - Prepare and support Opsys user stories for PI8</t>
  </si>
  <si>
    <t>OPPREAWA-652</t>
  </si>
  <si>
    <t>(Enabler) Hardcode the routing for getProcedureDetails</t>
  </si>
  <si>
    <t>OPPREAWA-651</t>
  </si>
  <si>
    <t>OPPREAWA-545, OPPREAWA-1269, OPPREAWA-894</t>
  </si>
  <si>
    <t>T3 - Creation of Automation Framework - Part I</t>
  </si>
  <si>
    <t>OPSYSIOP-439</t>
  </si>
  <si>
    <t>Implementing Partner Management, in the header</t>
  </si>
  <si>
    <t>OPSYSIOP-530</t>
  </si>
  <si>
    <t>Intervention, in the header</t>
  </si>
  <si>
    <t>OPSYSIOP-529</t>
  </si>
  <si>
    <t>T3 - Creation of Automation Framework - Part III</t>
  </si>
  <si>
    <t>OPSYSIOP-433</t>
  </si>
  <si>
    <t>T3 - QA Creation of CRIS SYNC Program</t>
  </si>
  <si>
    <t>OPSYSIOP-415</t>
  </si>
  <si>
    <t>T3 - Creation of GEM Automation Program</t>
  </si>
  <si>
    <t>OPSYSIOP-414</t>
  </si>
  <si>
    <t>T3 - Creation of Performance Analysis - Part III</t>
  </si>
  <si>
    <t>OPSYSIOP-413</t>
  </si>
  <si>
    <t>T3 - Creation of Performance Analysis - Part II</t>
  </si>
  <si>
    <t>OPSYSIOP-412</t>
  </si>
  <si>
    <t>T3 - Creation of Performance Analysis - Part I</t>
  </si>
  <si>
    <t>OPSYSIOP-411</t>
  </si>
  <si>
    <t>BRIS &amp; IMI Support PI7 It2</t>
  </si>
  <si>
    <t>EUI-407</t>
  </si>
  <si>
    <t>Fix Circular Dependencies on build</t>
  </si>
  <si>
    <t>EUI-339</t>
  </si>
  <si>
    <t>[Enabler] Request environment TEST and DEV (VM)</t>
  </si>
  <si>
    <t>MWP-280</t>
  </si>
  <si>
    <t>Create repository mywp-user-profile-backend-redis</t>
  </si>
  <si>
    <t>MWP-278</t>
  </si>
  <si>
    <t>Fix build warning on popover-service</t>
  </si>
  <si>
    <t>EUI-235</t>
  </si>
  <si>
    <t>Create HTML template for ux-control-feedback</t>
  </si>
  <si>
    <t>EUI-536</t>
  </si>
  <si>
    <t>Action track 1 - Allow the Operational managers of the contracts related to the action to create interventions</t>
  </si>
  <si>
    <t>OPSYSIOP-385</t>
  </si>
  <si>
    <t>(Enabler) Provide the list of experts to SyGMa in the ProposalInformation service</t>
  </si>
  <si>
    <t>OPPREAWA-650</t>
  </si>
  <si>
    <t>EPROCUREMENT-16832, OPPREAWA-157, OPPREAWA-155, OPPREAWA-1426</t>
  </si>
  <si>
    <t>Action Oultine - Generate document</t>
  </si>
  <si>
    <t>OPSYSIOP-355</t>
  </si>
  <si>
    <t>TRACK3-0.8.0</t>
  </si>
  <si>
    <t>Action Outline - Delete action</t>
  </si>
  <si>
    <t>OPSYSIOP-352</t>
  </si>
  <si>
    <t>TRACK3-0.6.0</t>
  </si>
  <si>
    <t>Action Outline - Change stage -&gt; INITIAL</t>
  </si>
  <si>
    <t>OPSYSIOP-350</t>
  </si>
  <si>
    <t>Action Outline - Synopsis</t>
  </si>
  <si>
    <t>OPSYSIOP-348</t>
  </si>
  <si>
    <t>Action Outline - Executive summary</t>
  </si>
  <si>
    <t>OPSYSIOP-344</t>
  </si>
  <si>
    <t>Generate Action Outline</t>
  </si>
  <si>
    <t>OPSYSIOP-339</t>
  </si>
  <si>
    <t>OPSYS - [Defect] Logframe View - Open All / Close All</t>
  </si>
  <si>
    <t>EUI-247</t>
  </si>
  <si>
    <t>OPSYS-6705, OPRESULT-380</t>
  </si>
  <si>
    <t>Move common parts into an own module</t>
  </si>
  <si>
    <t>OPPREAWA-38</t>
  </si>
  <si>
    <t>Move shortlst into an own module</t>
  </si>
  <si>
    <t>OPPREAWA-39</t>
  </si>
  <si>
    <t>(Enabler) Send event to Connector to notify the correct import of a call for tender</t>
  </si>
  <si>
    <t>OPPREAWA-699</t>
  </si>
  <si>
    <t>OPPREAWA-545, OPPREAWA-1138, OPPREAWA-528, OPPREAWA-887</t>
  </si>
  <si>
    <t>[CON] Call Submit Application Response e-TrustEx on reception of event to notify the correct import of a call for tender</t>
  </si>
  <si>
    <t>OPPREAWA-526</t>
  </si>
  <si>
    <t>OPPREAWA-887</t>
  </si>
  <si>
    <t>[CON] (Enabler) Listen to ProcedureImported event coming from e-Submission</t>
  </si>
  <si>
    <t>OPPREAWA-528</t>
  </si>
  <si>
    <t>OPPREAWA-699, OPPREAWA-887</t>
  </si>
  <si>
    <t>The system provides facilities to log relevant user and system actions including both business and security events</t>
  </si>
  <si>
    <t>OPPREAWA-508</t>
  </si>
  <si>
    <t>[BO] Use latest version of Document Component to upload the Opening Report</t>
  </si>
  <si>
    <t>OPPREAWA-502</t>
  </si>
  <si>
    <t>OPPREAWA-751, OPPREAWA-843</t>
  </si>
  <si>
    <t>[BO] As a Procurement Officer, i can monitor the status of my Open Procedure call</t>
  </si>
  <si>
    <t>OPPREAWA-509</t>
  </si>
  <si>
    <t>OPPREAWA-906</t>
  </si>
  <si>
    <t>[BO] As a PO, I want that the “four-eyes principle” is enforced by the system when the tenders are opened</t>
  </si>
  <si>
    <t>OPPREAWA-519</t>
  </si>
  <si>
    <t>OPPREAWA-842, OPPREAWA-844</t>
  </si>
  <si>
    <t>As an EO, I can upload the documents for the Technical and Financial Tender</t>
  </si>
  <si>
    <t>OPPREAWA-529</t>
  </si>
  <si>
    <t>OPPREAWA-900</t>
  </si>
  <si>
    <t>As an EO, I can provide the total amount for a tender and per interested lot if there are lots</t>
  </si>
  <si>
    <t>OPPREAWA-521</t>
  </si>
  <si>
    <t>OPPREAWA-901, OPPREAWA-847</t>
  </si>
  <si>
    <t>As a Procurement Officer, I can access the e-Submission backoffice from within MyWorkplace</t>
  </si>
  <si>
    <t>OPPREAWA-698</t>
  </si>
  <si>
    <t>OPPREAWA-142, EPROCPG-66</t>
  </si>
  <si>
    <t>[FO] As a Economic Operator, I can select the lots for which i'm interested in to submit a tender (if procedure includes lots)</t>
  </si>
  <si>
    <t>OPPREAWA-532</t>
  </si>
  <si>
    <t>[FO] As a Economic Operator I can add legal entities to my tender</t>
  </si>
  <si>
    <t>OPPREAWA-523</t>
  </si>
  <si>
    <t>OPPREAWA-839</t>
  </si>
  <si>
    <t>[FO] As a Economic Operator, I can choose between different ways to submit a tender</t>
  </si>
  <si>
    <t>OPPREAWA-697</t>
  </si>
  <si>
    <t>As a Economic Operator, I can view an Open Procedure on the e-Submission first page</t>
  </si>
  <si>
    <t>OPPREAWA-520</t>
  </si>
  <si>
    <t>OPPREAWA-899, OPPREAWA-894</t>
  </si>
  <si>
    <t>[CON] (Enabler) Call Procedure Manager service to initiate procedure</t>
  </si>
  <si>
    <t>OPPREAWA-695</t>
  </si>
  <si>
    <t>OPPREAWA-1566, OPPREAWA-1230, OPPREAWA-1228, OPPREAWA-896</t>
  </si>
  <si>
    <t>[CON] Receive procedure in UBL and transform it into CDM format</t>
  </si>
  <si>
    <t>OPPREAWA-696</t>
  </si>
  <si>
    <t>EPROCPG-25, OPPREAWA-890, OPPREAWA-896</t>
  </si>
  <si>
    <t>Create html template for already tested component</t>
  </si>
  <si>
    <t>EUI-495</t>
  </si>
  <si>
    <t>UxService - sidebarState - windowWidth as observables to be subscribed</t>
  </si>
  <si>
    <t>EUI-185</t>
  </si>
  <si>
    <t>Adapt ODS Service getTenderDetails to new CDM</t>
  </si>
  <si>
    <t>OPPREAWA-649</t>
  </si>
  <si>
    <t>OPPREAWA-644, OPPREAWA-1257</t>
  </si>
  <si>
    <t>Adapt ODS Service getInvitationDetails to new CDM</t>
  </si>
  <si>
    <t>OPPREAWA-648</t>
  </si>
  <si>
    <t>OPPREAWA-644</t>
  </si>
  <si>
    <t>Use the CDM format for ShortlistEntries</t>
  </si>
  <si>
    <t>OPPREAWA-647</t>
  </si>
  <si>
    <t>Add Affect Version to Bug screen</t>
  </si>
  <si>
    <t>OPCITNET-172</t>
  </si>
  <si>
    <t>EC Opsys CITnet PI 7 Iter 1</t>
  </si>
  <si>
    <t>OPCITNET-168</t>
  </si>
  <si>
    <t>As a user, I can sort and filter the data grid in the opening session</t>
  </si>
  <si>
    <t>OPPREAWA-694</t>
  </si>
  <si>
    <t>OPPREAWA-851, OPPREAWA-842</t>
  </si>
  <si>
    <t>ECL: implement navigation-listing component (does not exist yet in ecl)</t>
  </si>
  <si>
    <t>EUI-253</t>
  </si>
  <si>
    <t>ECL: Update ECL/EUI filters showcase to comply with ECL 1.1</t>
  </si>
  <si>
    <t>EUI-224</t>
  </si>
  <si>
    <t>Widget Manager: Save settings</t>
  </si>
  <si>
    <t>MWP-205</t>
  </si>
  <si>
    <t>EC Opsys My Workplace PI7 It2, EC Opsys My Workplace PI7 It3</t>
  </si>
  <si>
    <t>MWP-281, MWP-316, MWP-137</t>
  </si>
  <si>
    <t>Widget Manager: Select widget to display</t>
  </si>
  <si>
    <t>MWP-204</t>
  </si>
  <si>
    <t>MWP-316, MWP-137</t>
  </si>
  <si>
    <t>Widget Manager: Load default widgets</t>
  </si>
  <si>
    <t>MWP-203</t>
  </si>
  <si>
    <t>MWP-316, ECOPPRMG-150, MWP-137</t>
  </si>
  <si>
    <t>Widget Manager: Error Handling</t>
  </si>
  <si>
    <t>MWP-202</t>
  </si>
  <si>
    <t>MWP-139, MWP-316, MWP-137</t>
  </si>
  <si>
    <t>[ENABLER] Widget Manager: Create a basic reusable component for developer</t>
  </si>
  <si>
    <t>MWP-201</t>
  </si>
  <si>
    <t>Widget Manager: Display widgets</t>
  </si>
  <si>
    <t>MWP-200</t>
  </si>
  <si>
    <t>VSD report to be generated for logframes</t>
  </si>
  <si>
    <t>OPRESULT-366</t>
  </si>
  <si>
    <t>@opsys/result: 1.21.0, Results PI7 IT1, Results PI7, Program Increment 7</t>
  </si>
  <si>
    <t>EC Opsys Results PI7 It1</t>
  </si>
  <si>
    <t>PNS notification translations</t>
  </si>
  <si>
    <t>OPRESULT-365</t>
  </si>
  <si>
    <t>FEND Logframe report generation request</t>
  </si>
  <si>
    <t>OPRESULT-362</t>
  </si>
  <si>
    <t>@opsys/result: 1.24.6, Results PI7 IT1, Results PI7, Results PI7 IT2, Program Increment 7</t>
  </si>
  <si>
    <t>Results 7.1, EC Opsys Results PI7 It1, EC Opsys Results PI7 It2, EC Opsys Results PI7 It3</t>
  </si>
  <si>
    <t>Open ID Connect: Adapt my-workplace to use OpenID Connect config</t>
  </si>
  <si>
    <t>MWP-192</t>
  </si>
  <si>
    <t>MWP-182, ECOPPRMG-150</t>
  </si>
  <si>
    <t>OPenID Connect: Deployment on environment to test the configuration</t>
  </si>
  <si>
    <t>MWP-191</t>
  </si>
  <si>
    <t>DB: move Shortlist tables to the dedicated schema</t>
  </si>
  <si>
    <t>OPPREAWA-97</t>
  </si>
  <si>
    <t>OPPREAWA-102, OPPREAWA-149</t>
  </si>
  <si>
    <t>Migration Sygma</t>
  </si>
  <si>
    <t>MWP-152</t>
  </si>
  <si>
    <t>Move awarding to an own module</t>
  </si>
  <si>
    <t>OPPREAWA-41</t>
  </si>
  <si>
    <t>A&amp;D - Change Action status to approved</t>
  </si>
  <si>
    <t>OPSYSIOP-34</t>
  </si>
  <si>
    <t>OPSYSIOP-228</t>
  </si>
  <si>
    <t>Procedure: Intervention to configured INTV-0002242.</t>
  </si>
  <si>
    <t>OPPREAWA-98</t>
  </si>
  <si>
    <t>OPPREAWA-103</t>
  </si>
  <si>
    <t>uxlink passed as home for the navBarTopMenuLinks is ignored</t>
  </si>
  <si>
    <t>EUI-374</t>
  </si>
  <si>
    <t>A&amp;D - CRIS Sync</t>
  </si>
  <si>
    <t>OPSYSIOP-46</t>
  </si>
  <si>
    <t>OPSYSIOP-261, OPSYSIOP-40</t>
  </si>
  <si>
    <t>Add possibility to use custom size ux-dynamic-popover</t>
  </si>
  <si>
    <t>EUI-783</t>
  </si>
  <si>
    <t>3.2.3</t>
  </si>
  <si>
    <t>Implement contract details in SEDIA portal</t>
  </si>
  <si>
    <t>OPSEDPORT-3</t>
  </si>
  <si>
    <t>OPSEDPORT-32</t>
  </si>
  <si>
    <t>Display tender based on tender resource type in IAM</t>
  </si>
  <si>
    <t>OPSEDPORT-5</t>
  </si>
  <si>
    <t>EC Opsys Sedia Portal PI7 It4, EC Opsys Sedia Portal PI8 It4</t>
  </si>
  <si>
    <t>OPSEDPORT-8</t>
  </si>
  <si>
    <t>Display invitations based on invitation resource type in IAM</t>
  </si>
  <si>
    <t>OPSEDPORT-1</t>
  </si>
  <si>
    <t>SEDIA portal CSDR migration</t>
  </si>
  <si>
    <t>OPSEDPORT-4</t>
  </si>
  <si>
    <t>EC Opsys Sedia Portal PI7 It4, EC Opsys Sedia Portal PI9 It1, EC Opsys Sedia Portal PI9 It2, EC Opsys Sedia Portal PI9 It3</t>
  </si>
  <si>
    <t>OPSEDPORT-28</t>
  </si>
  <si>
    <t>Code Review SJ</t>
  </si>
  <si>
    <t>EUI-356</t>
  </si>
  <si>
    <t>A&amp;D - Create Action outline</t>
  </si>
  <si>
    <t>OPSYSIOP-33</t>
  </si>
  <si>
    <t>OPSYSIOP-228, OPSYSIOP-434</t>
  </si>
  <si>
    <t>Disable Notification in development mode</t>
  </si>
  <si>
    <t>MWP-127</t>
  </si>
  <si>
    <t>UX Alignments</t>
  </si>
  <si>
    <t>MWP-102</t>
  </si>
  <si>
    <t>Basic Act View - General information</t>
  </si>
  <si>
    <t>EUI-399</t>
  </si>
  <si>
    <t>EC eUI My Workplace PI7 It4, EC eUI My Workplace PI8 It3</t>
  </si>
  <si>
    <t>Centralize karma config</t>
  </si>
  <si>
    <t>EUI-584</t>
  </si>
  <si>
    <t>Remove My Indicators and My Sectors from My Workplace</t>
  </si>
  <si>
    <t>OPSYSIOP-48</t>
  </si>
  <si>
    <t>OPSYS entity summary component migration to eUI 3</t>
  </si>
  <si>
    <t>OPSYSIOP-44</t>
  </si>
  <si>
    <t>Generic way of importing twig and sub imports</t>
  </si>
  <si>
    <t>EUI-236</t>
  </si>
  <si>
    <t>EUI-101, EUI-103, EUI-106</t>
  </si>
  <si>
    <t>ECL: Footer Component</t>
  </si>
  <si>
    <t>EUI-409</t>
  </si>
  <si>
    <t>3.3.2</t>
  </si>
  <si>
    <t>ECL: Featured items Component</t>
  </si>
  <si>
    <t>EUI-180</t>
  </si>
  <si>
    <t>UX-Sprint-PI7IT1</t>
  </si>
  <si>
    <t>ECL: Migrate Listing Component</t>
  </si>
  <si>
    <t>EUI-368</t>
  </si>
  <si>
    <t>ECL: Migrate Timeline Component</t>
  </si>
  <si>
    <t>EUI-359</t>
  </si>
  <si>
    <t>ECL: Integrate Search Component</t>
  </si>
  <si>
    <t>EUI-231</t>
  </si>
  <si>
    <t>ECL: Integrate Page header Component</t>
  </si>
  <si>
    <t>EUI-197</t>
  </si>
  <si>
    <t>ECL: Integrate Menu Component</t>
  </si>
  <si>
    <t>EUI-355</t>
  </si>
  <si>
    <t>ECL: Integrate Site header Component and ECL application shell</t>
  </si>
  <si>
    <t>EUI-365</t>
  </si>
  <si>
    <t>ECL: Integrate Button Component</t>
  </si>
  <si>
    <t>EUI-340</t>
  </si>
  <si>
    <t>Deletion of Results/ResultsIndicators while in Review Logframe mode</t>
  </si>
  <si>
    <t>OPRESULT-164</t>
  </si>
  <si>
    <t>[Improvement] Save as a Draft in Sedia - Lead IP has been revoked from project - Instead of Server error message something like "You do not have the permissions to perform this action"</t>
  </si>
  <si>
    <t>OPRESULT-98</t>
  </si>
  <si>
    <t>OPRESULT-12, OPSEDPORT-12</t>
  </si>
  <si>
    <t>PKG_PROPERTIES</t>
  </si>
  <si>
    <t>OPPREAWA-175</t>
  </si>
  <si>
    <t>Administration: Jira Preaparation migration to TEAM</t>
  </si>
  <si>
    <t>EUI-240</t>
  </si>
  <si>
    <t>Administration: Prepare migration of space area</t>
  </si>
  <si>
    <t>EUI-230</t>
  </si>
  <si>
    <t>Administration: UX Team Management</t>
  </si>
  <si>
    <t>EUI-214</t>
  </si>
  <si>
    <t>Generic Error Message Handling: Widget level</t>
  </si>
  <si>
    <t>MWP-139</t>
  </si>
  <si>
    <t>MWP-202, MWP-316, ECOPPRMG-150, MWP-137</t>
  </si>
  <si>
    <t>[Defect] Replace Lead IP - Alignment with the expected behavior</t>
  </si>
  <si>
    <t>OPRESULT-344</t>
  </si>
  <si>
    <t>@opsys/result: 1.21.0</t>
  </si>
  <si>
    <t>OPSYS-6735, OPSYS-6960, OPRESULT-22</t>
  </si>
  <si>
    <t>DB: update Procedure Template Configuration data scripts</t>
  </si>
  <si>
    <t>OPPREAWA-91</t>
  </si>
  <si>
    <t>EPROCUREMENT-16273, OPPREAWA-111</t>
  </si>
  <si>
    <t>SHL: switch eHelp endpoint to production</t>
  </si>
  <si>
    <t>OPPREAWA-100</t>
  </si>
  <si>
    <t>PMG: switch eHelp endpoint to production</t>
  </si>
  <si>
    <t>OPPREAWA-90</t>
  </si>
  <si>
    <t>Improve performances issue for timezones gathering / filtering</t>
  </si>
  <si>
    <t>EUI-254</t>
  </si>
  <si>
    <t>SHL: migration to eUI 3.x (latest)</t>
  </si>
  <si>
    <t>OPPREAWA-45</t>
  </si>
  <si>
    <t>OPPREAWA-51, OPPREAWA-121</t>
  </si>
  <si>
    <t>PMG: migration to eUI 3.x (latest)</t>
  </si>
  <si>
    <t>OPPREAWA-50</t>
  </si>
  <si>
    <t>OPPREAWA-47, OPPREAWA-49, OPPREAWA-121</t>
  </si>
  <si>
    <t>Upgrade gitlab</t>
  </si>
  <si>
    <t>MWP-153</t>
  </si>
  <si>
    <t>Migration eSubmission Back Office</t>
  </si>
  <si>
    <t>MWP-151</t>
  </si>
  <si>
    <t>ECOPPRMG-150, MWP-135</t>
  </si>
  <si>
    <t>Notification: OPSYS: Create a new e-mail template</t>
  </si>
  <si>
    <t>MWP-174</t>
  </si>
  <si>
    <t>MWP-421</t>
  </si>
  <si>
    <t>(Enabler) Integrate e-Submission front-office with e-Crypto for the encryption/decryption of tenders</t>
  </si>
  <si>
    <t>OPPREAWA-646</t>
  </si>
  <si>
    <t>OPPREAWA-895</t>
  </si>
  <si>
    <t>Administration: Organise Planning PI7IT1</t>
  </si>
  <si>
    <t>MWP-211</t>
  </si>
  <si>
    <t>Indicative Programming Document - Flagship policies view</t>
  </si>
  <si>
    <t>OPSYSIOP-36</t>
  </si>
  <si>
    <t>Adding Ngrx Samples to the Starter Application</t>
  </si>
  <si>
    <t>EUI-347</t>
  </si>
  <si>
    <t>Indicative Programming Document - Component and sector view</t>
  </si>
  <si>
    <t>OPSYSIOP-42</t>
  </si>
  <si>
    <t>Auth Guard Service Should Be Integrated to the EUI</t>
  </si>
  <si>
    <t>EUI-258</t>
  </si>
  <si>
    <t>Indicative Programming Document - General information view</t>
  </si>
  <si>
    <t>OPSYSIOP-38</t>
  </si>
  <si>
    <t>Permission Service &amp; Directive Should Be Added to the EUI</t>
  </si>
  <si>
    <t>EUI-241</t>
  </si>
  <si>
    <t>Dynamic Forms POC Phase 1</t>
  </si>
  <si>
    <t>EUI-338</t>
  </si>
  <si>
    <t>Basic Act - Component view</t>
  </si>
  <si>
    <t>OPSYSIOP-41</t>
  </si>
  <si>
    <t>OPSYSIOP-546, OPSYSIOP-258</t>
  </si>
  <si>
    <t>Basic Act - General information view</t>
  </si>
  <si>
    <t>OPSYSIOP-37</t>
  </si>
  <si>
    <t>OPSYSIOP-547, OPSYSIOP-258</t>
  </si>
  <si>
    <t>Runtime Configuration</t>
  </si>
  <si>
    <t>MWP-154</t>
  </si>
  <si>
    <t>Update the URLs in e-Submission and SEDIA portal</t>
  </si>
  <si>
    <t>OPPREAWA-645</t>
  </si>
  <si>
    <t>OPPREAWA-606, OPPREAWA-600, OPPREAWA-601, OPPREAWA-623, EPROCUREMENT-16834</t>
  </si>
  <si>
    <t>[TECH] opsys-result-ui</t>
  </si>
  <si>
    <t>MWP-163</t>
  </si>
  <si>
    <t>Migrate Track 1 remaining packages in eUI3</t>
  </si>
  <si>
    <t>MWP-160</t>
  </si>
  <si>
    <t>Status of COMPASS step for 'Impartiality' to start evaluation</t>
  </si>
  <si>
    <t>OPPREAWA-177</t>
  </si>
  <si>
    <t>OPPREAWA-140</t>
  </si>
  <si>
    <t>Create mapping for modular grids (CLTP-EVAL-EVET)</t>
  </si>
  <si>
    <t>OPPREAWA-179</t>
  </si>
  <si>
    <t>OPPREAWA-457, OPPREAWA-109</t>
  </si>
  <si>
    <t>'Assessors &amp; deadlines' new typologies</t>
  </si>
  <si>
    <t>OPPREAWA-181</t>
  </si>
  <si>
    <t>OPPREAWA-125</t>
  </si>
  <si>
    <t>Committee validation (notifications)</t>
  </si>
  <si>
    <t>OPPREAWA-172</t>
  </si>
  <si>
    <t>OPPREAWA-123, OPPREAWA-171</t>
  </si>
  <si>
    <t>Use the CDM format for CFTs</t>
  </si>
  <si>
    <t>OPPREAWA-648, OPPREAWA-649</t>
  </si>
  <si>
    <t>As a user, I want the system to warn if the budget range is not respected in the encoded request</t>
  </si>
  <si>
    <t>OPPREAWA-55</t>
  </si>
  <si>
    <t>OPPREAWA-248, EPROCUREMENT-17601, EPROCUREMENT-17602, EPROCUREMENT-17603, EPROCUREMENT-17604, EPROCUREMENT-17607, EPROCUREMENT-17608, EPROCUREMENT-17605, OPPREAWA-380, OPPREAWA-122, OPPREAWA-562</t>
  </si>
  <si>
    <t>Excel component update</t>
  </si>
  <si>
    <t>OPPREAWA-87</t>
  </si>
  <si>
    <t>OPPREAWA-121</t>
  </si>
  <si>
    <t>PMG: write ProcessServiceTest</t>
  </si>
  <si>
    <t>OPPREAWA-40</t>
  </si>
  <si>
    <t>OPPREAWA-112</t>
  </si>
  <si>
    <t>Investigate Websocket</t>
  </si>
  <si>
    <t>EUI-390</t>
  </si>
  <si>
    <t>[TECH] Migration Sedia - Phase I</t>
  </si>
  <si>
    <t>MWP-141</t>
  </si>
  <si>
    <t>[Defect] Logframe View - TimeLine - Placholder missing when Baseline or Final Target TBD</t>
  </si>
  <si>
    <t>OPRESULT-97</t>
  </si>
  <si>
    <t>@opsys/result: 1.24.6, Results PI7, Results PI7 IT2, Program Increment 7</t>
  </si>
  <si>
    <t>EC Opsys Results PI7 It2</t>
  </si>
  <si>
    <t>OPSYS-6705, OPRESULT-247, OPRESULT-12</t>
  </si>
  <si>
    <t>Moving Results Portal to CSDR</t>
  </si>
  <si>
    <t>EUI-215</t>
  </si>
  <si>
    <t>Document Team Issues Workflows</t>
  </si>
  <si>
    <t>OPCITNET-158</t>
  </si>
  <si>
    <t>EC Opsys CITnet PI 7 Iter 4, EC Opsys CITnet PI 8 It3</t>
  </si>
  <si>
    <t>Document "Relevant Fields"</t>
  </si>
  <si>
    <t>OPCITNET-157</t>
  </si>
  <si>
    <t>EC Opsys CITnet PI 8 It3, EC Opsys CITnet PI 9 It2</t>
  </si>
  <si>
    <t>Document "types of items"</t>
  </si>
  <si>
    <t>OPCITNET-156</t>
  </si>
  <si>
    <t>EC Opsys CITnet PI 8 It2, EC Opsys CITnet PI 8 It3, EC Opsys CITnet PI 9 It2</t>
  </si>
  <si>
    <t>OPRESULT-861, OPCITNET-9</t>
  </si>
  <si>
    <t>ux-pie-chart - doughnut</t>
  </si>
  <si>
    <t>EUI-607</t>
  </si>
  <si>
    <t>EUI-78, EUI-9</t>
  </si>
  <si>
    <t>eHelp - Position of Questions Marks</t>
  </si>
  <si>
    <t>OPRESULT-165</t>
  </si>
  <si>
    <t>EC Opsys Results PI7 It1, EC Opsys Results PI7 It2, EC Opsys Results PI7 It3</t>
  </si>
  <si>
    <t xml:space="preserve">Generated at Mon Dec 10 13:15:05 CET 2018 by BEGHAIN Olivier using JIRA 7.9.2#79002-sha1:3bb15b68ecd99a30eb364c4c1a393359bcad6278. </t>
  </si>
  <si>
    <r>
      <t xml:space="preserve">Displaying </t>
    </r>
    <r>
      <rPr>
        <b/>
        <sz val="12"/>
        <color rgb="FF000000"/>
        <rFont val="Arial"/>
        <family val="2"/>
      </rPr>
      <t>302</t>
    </r>
    <r>
      <rPr>
        <sz val="12"/>
        <color rgb="FF000000"/>
        <rFont val="Arial"/>
        <family val="2"/>
      </rPr>
      <t xml:space="preserve"> issues at </t>
    </r>
    <r>
      <rPr>
        <b/>
        <sz val="12"/>
        <color rgb="FF000000"/>
        <rFont val="Arial"/>
        <family val="2"/>
      </rPr>
      <t>10/Dec/18 13:11</t>
    </r>
    <r>
      <rPr>
        <sz val="12"/>
        <color rgb="FF000000"/>
        <rFont val="Arial"/>
        <family val="2"/>
      </rPr>
      <t>.</t>
    </r>
  </si>
  <si>
    <t xml:space="preserve">Generated at Mon Dec 10 13:11:06 CET 2018 by BEGHAIN Olivier using JIRA 7.9.2#79002-sha1:3bb15b68ecd99a30eb364c4c1a393359bcad6278. </t>
  </si>
  <si>
    <t>PI-9 Features (OPSYS), PI-6 Stories (OPSYS), PI-7 Stories (OPSYS), PI-8 Stories (OPSYS), PI-9 Stories (OPSYS)</t>
  </si>
  <si>
    <t xml:space="preserve">Generated at Wed Dec 12 10:40:58 CET 2018 by BEGHAIN Olivier using JIRA 7.9.2#79002-sha1:3bb15b68ecd99a30eb364c4c1a393359bcad6278. </t>
  </si>
  <si>
    <t>PFM-146, PFM-147, PFM-155, MWP-441, MWP-544, PFM-145</t>
  </si>
  <si>
    <t>CCTASK-537, CCTASK-538, PFM-135</t>
  </si>
  <si>
    <t>COMPCORP-112</t>
  </si>
  <si>
    <t>INTERCOM-89, INTERCOM-56, INTERCOM-57, INTERCOM-58, INTERCOM-64, INTERCOM-90, CCADMIN-50</t>
  </si>
  <si>
    <t>TSKACTION-257, TSKACTION-258, COMPCORP-118</t>
  </si>
  <si>
    <t>CCTASK-291, CCTASK-455, CCTASK-47, COMPCORP-111</t>
  </si>
  <si>
    <t>CCDOCLIST-171, CCTASK-606, CCTASK-540, CCTASK-551, CCTASK-552, CCTASK-553, CCTASK-550, COMPCORP-118</t>
  </si>
  <si>
    <t>CCTASK-561, CCDOCLIST-181, CCTASK-536, COMPCORP-112</t>
  </si>
  <si>
    <t>COMPCORP-114, CCARCHITEC-64, COMPCORP-123, CCARCHITEC-42, MWP-565, MWP-566</t>
  </si>
  <si>
    <t>Readiness for Translation Service</t>
  </si>
  <si>
    <t>CCDOCLIST-203, CCDOCLIST-117, CCDOCLIST-163, CCDOCLIST-169, COMPCORP-102</t>
  </si>
  <si>
    <t>TSKACTION-77, COMPCORP-112</t>
  </si>
  <si>
    <t>TSKACTION-76</t>
  </si>
  <si>
    <t>Config Management</t>
  </si>
  <si>
    <t>CCTASK-423, CCTASK-584, CCTASK-591, COMPCORP-112</t>
  </si>
  <si>
    <t>TSKACTION-260, TSKACTION-261, TSKACTION-262, TSKACTION-263, TSKACTION-264, TSKACTION-259, COMPCORP-118</t>
  </si>
  <si>
    <t>TSKACTION-273, COMPCORP-118</t>
  </si>
  <si>
    <t>TSKACTION-278</t>
  </si>
  <si>
    <t>Action: Deep Link-simple</t>
  </si>
  <si>
    <t>COMPASS-273, COMPASS-270, COMPASS-271, COMPASS-272, TSKACTION-271, CCTASK-605, TSKACTION-216, TSKACTION-237, COMPASS-228, COMPASS-229, TSKACTION-218, COMPCORP-118</t>
  </si>
  <si>
    <r>
      <t xml:space="preserve">Displaying </t>
    </r>
    <r>
      <rPr>
        <b/>
        <sz val="11"/>
        <color rgb="FF000000"/>
        <rFont val="Arial"/>
        <family val="2"/>
      </rPr>
      <t>55</t>
    </r>
    <r>
      <rPr>
        <sz val="11"/>
        <color rgb="FF000000"/>
        <rFont val="Arial"/>
        <family val="2"/>
      </rPr>
      <t xml:space="preserve"> issues at </t>
    </r>
    <r>
      <rPr>
        <b/>
        <sz val="11"/>
        <color rgb="FF000000"/>
        <rFont val="Arial"/>
        <family val="2"/>
      </rPr>
      <t>12/Dec/18 10:40</t>
    </r>
    <r>
      <rPr>
        <sz val="11"/>
        <color rgb="FF000000"/>
        <rFont val="Arial"/>
        <family val="2"/>
      </rPr>
      <t>.</t>
    </r>
  </si>
  <si>
    <t>181207 stories, 181212 Features (COMPCORP)</t>
  </si>
  <si>
    <t>Actual Business Value</t>
  </si>
  <si>
    <t>Planned Business Value</t>
  </si>
  <si>
    <t>Stretch Objective?</t>
  </si>
  <si>
    <t>PI Objective</t>
  </si>
  <si>
    <t>CCADMIN-41</t>
  </si>
  <si>
    <t>CCADMIN-40</t>
  </si>
  <si>
    <t>CCADMIN-39</t>
  </si>
  <si>
    <t>Security Plan</t>
  </si>
  <si>
    <t>CCARCHITEC-46</t>
  </si>
  <si>
    <t>CC PI-4, COMPCORP-PI4</t>
  </si>
  <si>
    <t>Architectural Support for stabilization of the foundation of the CC microservices</t>
  </si>
  <si>
    <t>CCARCHITEC-64</t>
  </si>
  <si>
    <t>CCARCHITEC-59, CCARCHITEC-61, CCARCHITEC-37, CCARCHITEC-49</t>
  </si>
  <si>
    <t>Define a recommendation for authorization</t>
  </si>
  <si>
    <t>CCARCHITEC-62</t>
  </si>
  <si>
    <t>CCARCHITEC-54, CCARCHITEC-27</t>
  </si>
  <si>
    <t>Provide Stress Test environment</t>
  </si>
  <si>
    <t>CCINFRAEC-6</t>
  </si>
  <si>
    <t>Yes</t>
  </si>
  <si>
    <t>Provide Acceptance environment</t>
  </si>
  <si>
    <t>CCINFRAEC-5</t>
  </si>
  <si>
    <t>CCINFRAEC-9, COMPCORP-60</t>
  </si>
  <si>
    <t>INTERCOM-51</t>
  </si>
  <si>
    <t>INTERCOM-93, INTERCOM-91, INTERCOM-92, INTERCOM-59, INTERCOM-71, INTERCOM-75, INTERCOM-76</t>
  </si>
  <si>
    <t>Team-level cheat sheets used by teams</t>
  </si>
  <si>
    <t>CCPMO-68</t>
  </si>
  <si>
    <t>Program-level cheat sheets used by teams</t>
  </si>
  <si>
    <t>CCPMO-69</t>
  </si>
  <si>
    <t>Alpha-based assessment</t>
  </si>
  <si>
    <t>CCPMO-70</t>
  </si>
  <si>
    <t>System team in place, system demos performed</t>
  </si>
  <si>
    <t>CCPMO-67</t>
  </si>
  <si>
    <t>CCTG monitoring progress using basic program metrics</t>
  </si>
  <si>
    <t>CCPMO-66</t>
  </si>
  <si>
    <t>Make the Portfolio µs production ready</t>
  </si>
  <si>
    <t>PFM-137</t>
  </si>
  <si>
    <t>Stabilise the foundation of the Portfolio µs</t>
  </si>
  <si>
    <t>PFM-134</t>
  </si>
  <si>
    <t>Specific attributes for Portfolio Items</t>
  </si>
  <si>
    <t>PFM-136</t>
  </si>
  <si>
    <t>Onboarding of OPSYS portfolio items</t>
  </si>
  <si>
    <t>PFM-135</t>
  </si>
  <si>
    <t>Link Process Centre µs and Portfolio µs</t>
  </si>
  <si>
    <t>PROCESS-105</t>
  </si>
  <si>
    <t>Stabilise the foundation of the Process Centre µs</t>
  </si>
  <si>
    <t>PROCESS-104</t>
  </si>
  <si>
    <t>CC Foundation II readiness</t>
  </si>
  <si>
    <t>CCTASK-544</t>
  </si>
  <si>
    <t>2 way communication between Compass Corporate and Wave</t>
  </si>
  <si>
    <t>WAVECC-39</t>
  </si>
  <si>
    <t>WAVECC-34, WAVECC-42</t>
  </si>
  <si>
    <t>Portfolio Items integration</t>
  </si>
  <si>
    <t>WAVECC-41</t>
  </si>
  <si>
    <t>Consultation</t>
  </si>
  <si>
    <t>CCADMIN-50</t>
  </si>
  <si>
    <t>INTERCOM-55, INTERCOM-54</t>
  </si>
  <si>
    <t>affected by</t>
  </si>
  <si>
    <t>Program  Planning Item</t>
  </si>
  <si>
    <t>Actual BV</t>
  </si>
  <si>
    <t>Planned BV</t>
  </si>
  <si>
    <t>Stretched</t>
  </si>
  <si>
    <t>Objective</t>
  </si>
  <si>
    <t xml:space="preserve">Generated at Mon Dec 17 12:13:32 CET 2018 by BEGHAIN Olivier using JIRA 7.9.2#79002-sha1:3bb15b68ecd99a30eb364c4c1a393359bcad6278. </t>
  </si>
  <si>
    <t>COMPCORP-116, MWP-574, MWP-416</t>
  </si>
  <si>
    <t>MWP-557</t>
  </si>
  <si>
    <t>My Workplace Improvements (SSE, Impersonation, Error Management)</t>
  </si>
  <si>
    <t>MWP-556, MWP-571</t>
  </si>
  <si>
    <t>MWP-558</t>
  </si>
  <si>
    <t>Team Support</t>
  </si>
  <si>
    <t>MWP-577</t>
  </si>
  <si>
    <t>Enforce DevOps Best Practice</t>
  </si>
  <si>
    <t>MWP-580</t>
  </si>
  <si>
    <t>MWP-563</t>
  </si>
  <si>
    <t>CI/CD on INT/ACC/PROD with map of features deployed</t>
  </si>
  <si>
    <t>RDIS2CC-10</t>
  </si>
  <si>
    <t>Adapt RDIS2 to the stabilized micro-services</t>
  </si>
  <si>
    <t>MWP-559</t>
  </si>
  <si>
    <t>EUI 7, Angular 7</t>
  </si>
  <si>
    <t>MWP-576</t>
  </si>
  <si>
    <t>Team Support (DevOps)</t>
  </si>
  <si>
    <r>
      <t xml:space="preserve">Displaying </t>
    </r>
    <r>
      <rPr>
        <b/>
        <sz val="11"/>
        <color rgb="FF000000"/>
        <rFont val="Arial"/>
        <family val="2"/>
      </rPr>
      <t>31</t>
    </r>
    <r>
      <rPr>
        <sz val="11"/>
        <color rgb="FF000000"/>
        <rFont val="Arial"/>
        <family val="2"/>
      </rPr>
      <t xml:space="preserve"> issues at </t>
    </r>
    <r>
      <rPr>
        <b/>
        <sz val="11"/>
        <color rgb="FF000000"/>
        <rFont val="Arial"/>
        <family val="2"/>
      </rPr>
      <t>17/Dec/18 12:13</t>
    </r>
    <r>
      <rPr>
        <sz val="11"/>
        <color rgb="FF000000"/>
        <rFont val="Arial"/>
        <family val="2"/>
      </rPr>
      <t>.</t>
    </r>
  </si>
  <si>
    <t>Description</t>
  </si>
  <si>
    <t>Team Support (DevOps</t>
  </si>
  <si>
    <t>Create a new version of EUI based on Angular 7</t>
  </si>
  <si>
    <t>Request VMS, configure and install tools</t>
  </si>
  <si>
    <t>By the end of the PI, the RDIS2 application will be adapted and integrated with the updated µServices that have undergone the foundation stabilization.</t>
  </si>
  <si>
    <t>During the course of PI-4, the various teams will gradually integrate the usage of the alpha assessment in their iteration retrospectives so that they can expose in the I&amp;A the progress they achieved on these and repeat the assessment as input for the next Pi planning session.</t>
  </si>
  <si>
    <t>Throughout the PI ensure the necessary support for the different micro-services in the ecosystem to be able to adopt the configuration library for the management of their configuration.</t>
  </si>
  <si>
    <t>Update / refactor the micro-service to keep in sync with the architecture decisions.</t>
  </si>
  <si>
    <t>Secure Admin Tool access using OpenID Connect</t>
  </si>
  <si>
    <t>Provide the capability to deploy automatically the app in Production and Acceptance and having the information about what is deployed. </t>
  </si>
  <si>
    <t>Including: 
* UX Alignment 
* DEVOPS 
* Tools Documentation 
* Corporate Print Improvements</t>
  </si>
  <si>
    <t>By the end of week #9 (1st week iteration 4.5), each team will have been through a presentation (possibly a lunch session) where the various program-level ceremonies cheat sheets are presented, their feedback would have been collected and the teams would use them during the innovation and planning iteration for the I&amp;A and PI planning sessions so that these sessions would not require a repetition of the instructions by the Minions. During the Pi Planning, the various teams would present the top-"10" features ranked on the basis of the WSJF. The WSJF concept will have been explained to the various TeCos, PrOw and PMs.</t>
  </si>
  <si>
    <t>Create a consultation from within Compass Corporate and answer to it</t>
  </si>
  <si>
    <t>By the end of the PI, users should be able to browse from their Portfolio to Process Centre and vice versa, with the relevant information displayed by default (Portfolio items in Process Centre and related processes in Portfolio).</t>
  </si>
  <si>
    <t>By the end of the PI, the portfolio µs will support the necessary specific attributes for managing the KPI's that will be displayed in the Opsys dashboards. </t>
  </si>
  <si>
    <t>By the end of week #5 (1st week iteration 4.3), each team will have been through a presentation (possibly a lunch session) where the various team-level ceremonies cheat sheets are presented, their feedback would have been collected and the teams would use them as of iteration 4.3 for the iteration review and iteration 4.4 for the iteration planning so that these sessions would not require a repetition of the instructions by the Minions.</t>
  </si>
  <si>
    <t>My Workplace Improvements (SSE, Impersation, Error Management)</t>
  </si>
  <si>
    <t>By the end of the PI, the necessary Opsys portfolio items will be added in Portfolio. </t>
  </si>
  <si>
    <t>By the end of iteration 4.1, the CCTG will monitor the progress of the features planned for the PI using a cumulative flow diagram and a feature progress report so that eventual data-recording concerns can be detected and improvement actions can proposed. Any proposed improvement action agreed upon the 3rd CCTG will be implemented by the 4th CCTG.</t>
  </si>
  <si>
    <t>Request VMs, configure and install tools 
(Must reach agreement on how to promote microservices from Test to Acceptance)</t>
  </si>
  <si>
    <t>Tasks in the Compass Corporate task list coming from Wave should be opened in a separate tab in Wave.  
Wave tasks claimed / unclaimed from within Compass Corporate's task list are also claimed/unclaimed inside the Wave system.</t>
  </si>
  <si>
    <t>Integrate Wave's CCIs in the Portfolio Items.</t>
  </si>
  <si>
    <t>Adding participants to be configured at a certain level in the taxonomy of the admin tool should be done via a user friendly service catalog that contains information about all the microservices available in the environment.</t>
  </si>
  <si>
    <t>Based on the user microservice and Secunda, a concrete use case will be implemented based on the process visibility. 
From that, some guidelines and recommendations will be made.</t>
  </si>
  <si>
    <t>By the end of the PI, the Portfolio µservice will be installed in production and integrated with the available observability tools in order to support the first live production users.</t>
  </si>
  <si>
    <t>By the end of the PI, the portfolio µs will be adapted to support following: 
* new user/organisation repository 
* new internationalization service 
* user impersonation 
* integration with observability toolset 
in order to stabilize it's foundation for robustness, quality and security before the µs will be put in production.</t>
  </si>
  <si>
    <t>By the end of the PI, the process center µs will be adapted to support following: 
* new user/organisation repository 
* new internationalization service 
* user impersonation 
* integration with observability toolset 
* improved performance 
in order to stabilize it's foundation for robustness, quality and security before the µs will be put in production.  </t>
  </si>
  <si>
    <t>By the end of iteration 4.5, a system team will have been put in place that will have performed system demos on the basis of an integrated validation (demo) script so that the CCTG and the various teams will be informed as of iteration 4.4 how far the ART is in terms of the presentation of an integrated demo by the next I&amp;A session.</t>
  </si>
  <si>
    <t>The Guardians</t>
  </si>
  <si>
    <t>Readiness/Adoption : 
# User/Org repository + security model (Adoption PC &amp; TC)  
# Internationalization (Readiness)  
# Impersonation (Adoption TaskCentre) 
# SSE Bridge (pilot adoption) 
# Observability (pilot adoption)  </t>
  </si>
  <si>
    <t>No</t>
  </si>
  <si>
    <t>Business value</t>
  </si>
  <si>
    <t>=== Objectives ===</t>
  </si>
  <si>
    <t>Actual</t>
  </si>
  <si>
    <t>Planned</t>
  </si>
  <si>
    <t>=== Stretch Objectives ===</t>
  </si>
  <si>
    <t xml:space="preserve">Total: </t>
  </si>
  <si>
    <t xml:space="preserve">% of achievements: </t>
  </si>
  <si>
    <t>Team assessment</t>
  </si>
  <si>
    <t>The Gardians</t>
  </si>
</sst>
</file>

<file path=xl/styles.xml><?xml version="1.0" encoding="utf-8"?>
<styleSheet xmlns="http://schemas.openxmlformats.org/spreadsheetml/2006/main" xmlns:mc="http://schemas.openxmlformats.org/markup-compatibility/2006" xmlns:x14ac="http://schemas.microsoft.com/office/spreadsheetml/2009/9/ac" mc:Ignorable="x14ac">
  <fonts count="39"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6"/>
      <color theme="0"/>
      <name val="Calibri"/>
      <family val="2"/>
      <scheme val="minor"/>
    </font>
    <font>
      <sz val="16"/>
      <color theme="0"/>
      <name val="Calibri"/>
      <family val="2"/>
      <scheme val="minor"/>
    </font>
    <font>
      <b/>
      <sz val="13"/>
      <color theme="3"/>
      <name val="Calibri"/>
      <family val="2"/>
      <scheme val="minor"/>
    </font>
    <font>
      <sz val="7.5"/>
      <color rgb="FF000000"/>
      <name val="Arial"/>
      <family val="2"/>
    </font>
    <font>
      <b/>
      <sz val="10"/>
      <color indexed="48"/>
      <name val="Arial"/>
      <family val="2"/>
    </font>
    <font>
      <b/>
      <sz val="10"/>
      <name val="Arial"/>
      <family val="2"/>
    </font>
    <font>
      <sz val="10"/>
      <name val="Arial"/>
      <family val="2"/>
    </font>
    <font>
      <sz val="12"/>
      <color rgb="FF000000"/>
      <name val="Calibri"/>
      <family val="2"/>
    </font>
    <font>
      <u/>
      <sz val="12"/>
      <color theme="11"/>
      <name val="Calibri"/>
      <family val="2"/>
      <scheme val="minor"/>
    </font>
    <font>
      <u/>
      <sz val="12"/>
      <color theme="10"/>
      <name val="Calibri"/>
      <family val="2"/>
      <scheme val="minor"/>
    </font>
    <font>
      <sz val="11"/>
      <color rgb="FF000000"/>
      <name val="Arial"/>
      <family val="2"/>
    </font>
    <font>
      <sz val="9"/>
      <color rgb="FF000000"/>
      <name val="Arial"/>
      <family val="2"/>
    </font>
    <font>
      <u/>
      <sz val="11"/>
      <color theme="10"/>
      <name val="Calibri"/>
      <family val="2"/>
      <scheme val="minor"/>
    </font>
    <font>
      <b/>
      <sz val="11"/>
      <color rgb="FF000000"/>
      <name val="Arial"/>
      <family val="2"/>
    </font>
    <font>
      <sz val="20"/>
      <color theme="1"/>
      <name val="Calibri"/>
      <family val="2"/>
      <scheme val="minor"/>
    </font>
    <font>
      <sz val="16"/>
      <color theme="1"/>
      <name val="Calibri"/>
      <family val="2"/>
      <scheme val="minor"/>
    </font>
    <font>
      <sz val="10"/>
      <name val="Arial"/>
      <family val="2"/>
    </font>
    <font>
      <sz val="11"/>
      <color rgb="FFFF0000"/>
      <name val="Calibri"/>
      <family val="2"/>
      <scheme val="minor"/>
    </font>
    <font>
      <sz val="14"/>
      <color theme="0"/>
      <name val="Calibri"/>
      <family val="2"/>
      <scheme val="minor"/>
    </font>
    <font>
      <sz val="12"/>
      <color rgb="FF000000"/>
      <name val="Arial"/>
      <family val="2"/>
    </font>
    <font>
      <b/>
      <sz val="12"/>
      <color rgb="FF000000"/>
      <name val="Arial"/>
      <family val="2"/>
    </font>
    <font>
      <sz val="12"/>
      <color theme="1"/>
      <name val="Calibri"/>
      <family val="2"/>
      <scheme val="minor"/>
    </font>
    <font>
      <sz val="11"/>
      <color theme="1"/>
      <name val="Bookman Old Style"/>
      <family val="1"/>
    </font>
    <font>
      <b/>
      <sz val="11"/>
      <color theme="1"/>
      <name val="Bookman Old Style"/>
      <family val="1"/>
    </font>
    <font>
      <i/>
      <u/>
      <sz val="11"/>
      <color theme="1"/>
      <name val="Bookman Old Style"/>
      <family val="1"/>
    </font>
    <font>
      <sz val="14"/>
      <color theme="1"/>
      <name val="Bookman Old Style"/>
      <family val="1"/>
    </font>
    <font>
      <sz val="14"/>
      <color theme="1"/>
      <name val="Calibri"/>
      <family val="2"/>
      <scheme val="minor"/>
    </font>
    <font>
      <b/>
      <sz val="14"/>
      <color theme="1"/>
      <name val="Calibri"/>
      <family val="2"/>
      <scheme val="minor"/>
    </font>
  </fonts>
  <fills count="9">
    <fill>
      <patternFill patternType="none"/>
    </fill>
    <fill>
      <patternFill patternType="gray125"/>
    </fill>
    <fill>
      <patternFill patternType="solid">
        <fgColor theme="9"/>
        <bgColor indexed="64"/>
      </patternFill>
    </fill>
    <fill>
      <patternFill patternType="solid">
        <fgColor rgb="FF205081"/>
        <bgColor indexed="64"/>
      </patternFill>
    </fill>
    <fill>
      <patternFill patternType="solid">
        <fgColor rgb="FFDDDDDD"/>
        <bgColor indexed="64"/>
      </patternFill>
    </fill>
    <fill>
      <patternFill patternType="solid">
        <fgColor indexed="43"/>
        <bgColor indexed="64"/>
      </patternFill>
    </fill>
    <fill>
      <patternFill patternType="solid">
        <fgColor indexed="9"/>
        <bgColor indexed="64"/>
      </patternFill>
    </fill>
    <fill>
      <patternFill patternType="solid">
        <fgColor theme="2"/>
        <bgColor indexed="64"/>
      </patternFill>
    </fill>
    <fill>
      <patternFill patternType="solid">
        <fgColor theme="0" tint="-0.14999847407452621"/>
        <bgColor indexed="64"/>
      </patternFill>
    </fill>
  </fills>
  <borders count="20">
    <border>
      <left/>
      <right/>
      <top/>
      <bottom/>
      <diagonal/>
    </border>
    <border>
      <left/>
      <right/>
      <top/>
      <bottom style="thick">
        <color theme="4" tint="0.49998474074526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right/>
      <top style="dotted">
        <color indexed="64"/>
      </top>
      <bottom style="dotted">
        <color indexed="64"/>
      </bottom>
      <diagonal/>
    </border>
    <border>
      <left/>
      <right/>
      <top style="dotted">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17">
    <xf numFmtId="0" fontId="0" fillId="0" borderId="0"/>
    <xf numFmtId="0" fontId="10" fillId="0" borderId="0"/>
    <xf numFmtId="0" fontId="13" fillId="0" borderId="1" applyNumberFormat="0" applyFill="0" applyAlignment="0" applyProtection="0"/>
    <xf numFmtId="0" fontId="9" fillId="0" borderId="0"/>
    <xf numFmtId="0" fontId="8" fillId="0" borderId="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6" fillId="0" borderId="0"/>
    <xf numFmtId="0" fontId="23" fillId="0" borderId="0" applyNumberFormat="0" applyFill="0" applyBorder="0" applyAlignment="0" applyProtection="0"/>
    <xf numFmtId="0" fontId="27" fillId="0" borderId="0"/>
    <xf numFmtId="0" fontId="5" fillId="0" borderId="0"/>
    <xf numFmtId="0" fontId="4" fillId="0" borderId="0"/>
    <xf numFmtId="0" fontId="3" fillId="0" borderId="0"/>
    <xf numFmtId="0" fontId="20" fillId="0" borderId="0" applyNumberFormat="0" applyFill="0" applyBorder="0" applyAlignment="0" applyProtection="0"/>
    <xf numFmtId="0" fontId="2" fillId="0" borderId="0"/>
    <xf numFmtId="0" fontId="1" fillId="0" borderId="0"/>
  </cellStyleXfs>
  <cellXfs count="179">
    <xf numFmtId="0" fontId="0" fillId="0" borderId="0" xfId="0"/>
    <xf numFmtId="0" fontId="11" fillId="2" borderId="0" xfId="0" applyFont="1" applyFill="1" applyAlignment="1">
      <alignment horizontal="center"/>
    </xf>
    <xf numFmtId="0" fontId="12" fillId="2" borderId="0" xfId="0" applyFont="1" applyFill="1" applyAlignment="1">
      <alignment horizontal="center" wrapText="1"/>
    </xf>
    <xf numFmtId="0" fontId="9" fillId="0" borderId="0" xfId="3"/>
    <xf numFmtId="0" fontId="13" fillId="0" borderId="1" xfId="2"/>
    <xf numFmtId="0" fontId="0" fillId="5" borderId="0" xfId="0" applyFill="1"/>
    <xf numFmtId="0" fontId="15" fillId="5" borderId="0" xfId="0" applyFont="1" applyFill="1" applyAlignment="1">
      <alignment horizontal="right"/>
    </xf>
    <xf numFmtId="0" fontId="16" fillId="6" borderId="6" xfId="0" applyFont="1" applyFill="1" applyBorder="1" applyAlignment="1">
      <alignment horizontal="left"/>
    </xf>
    <xf numFmtId="0" fontId="15" fillId="5" borderId="0" xfId="0" applyFont="1" applyFill="1" applyAlignment="1">
      <alignment horizontal="left"/>
    </xf>
    <xf numFmtId="0" fontId="17" fillId="0" borderId="0" xfId="0" applyNumberFormat="1" applyFont="1" applyFill="1" applyBorder="1" applyAlignment="1" applyProtection="1">
      <alignment horizontal="left"/>
    </xf>
    <xf numFmtId="0" fontId="17" fillId="0" borderId="0" xfId="0" applyNumberFormat="1" applyFont="1" applyFill="1" applyBorder="1" applyAlignment="1" applyProtection="1">
      <alignment horizontal="center" vertical="center"/>
    </xf>
    <xf numFmtId="0" fontId="16" fillId="6" borderId="6" xfId="0" applyFont="1" applyFill="1" applyBorder="1" applyAlignment="1">
      <alignment horizontal="left" wrapText="1"/>
    </xf>
    <xf numFmtId="0" fontId="17" fillId="0" borderId="0" xfId="0" applyNumberFormat="1" applyFont="1" applyFill="1" applyBorder="1" applyAlignment="1" applyProtection="1">
      <alignment horizontal="center"/>
    </xf>
    <xf numFmtId="0" fontId="17" fillId="0" borderId="0" xfId="0" applyNumberFormat="1" applyFont="1" applyFill="1" applyBorder="1" applyAlignment="1" applyProtection="1">
      <alignment horizontal="right"/>
    </xf>
    <xf numFmtId="0" fontId="13" fillId="0" borderId="1" xfId="2" applyAlignment="1">
      <alignment textRotation="75"/>
    </xf>
    <xf numFmtId="0" fontId="7" fillId="0" borderId="0" xfId="3" applyFont="1" applyAlignment="1">
      <alignment horizontal="right"/>
    </xf>
    <xf numFmtId="14" fontId="9" fillId="0" borderId="0" xfId="3" applyNumberFormat="1" applyAlignment="1">
      <alignment horizontal="left"/>
    </xf>
    <xf numFmtId="0" fontId="22" fillId="0" borderId="0" xfId="8" applyFont="1"/>
    <xf numFmtId="0" fontId="24" fillId="0" borderId="5" xfId="8" applyFont="1" applyBorder="1" applyAlignment="1">
      <alignment horizontal="center" vertical="top" wrapText="1"/>
    </xf>
    <xf numFmtId="0" fontId="21" fillId="0" borderId="5" xfId="8" applyFont="1" applyBorder="1" applyAlignment="1">
      <alignment vertical="top" wrapText="1"/>
    </xf>
    <xf numFmtId="49" fontId="23" fillId="0" borderId="5" xfId="9" applyNumberFormat="1" applyBorder="1" applyAlignment="1">
      <alignment horizontal="left" vertical="top" wrapText="1"/>
    </xf>
    <xf numFmtId="49" fontId="21" fillId="0" borderId="5" xfId="8" applyNumberFormat="1" applyFont="1" applyBorder="1" applyAlignment="1">
      <alignment horizontal="left" vertical="top" wrapText="1"/>
    </xf>
    <xf numFmtId="0" fontId="9" fillId="0" borderId="0" xfId="3" applyAlignment="1">
      <alignment vertical="center"/>
    </xf>
    <xf numFmtId="0" fontId="0" fillId="0" borderId="0" xfId="0" quotePrefix="1"/>
    <xf numFmtId="0" fontId="26" fillId="0" borderId="0" xfId="0" applyFont="1"/>
    <xf numFmtId="0" fontId="27" fillId="0" borderId="0" xfId="10" applyAlignment="1">
      <alignment horizontal="center" vertical="top"/>
    </xf>
    <xf numFmtId="0" fontId="27" fillId="0" borderId="0" xfId="10"/>
    <xf numFmtId="0" fontId="17" fillId="0" borderId="0" xfId="10" applyFont="1" applyAlignment="1">
      <alignment horizontal="center" vertical="top"/>
    </xf>
    <xf numFmtId="0" fontId="27" fillId="0" borderId="0" xfId="10" applyAlignment="1">
      <alignment horizontal="right"/>
    </xf>
    <xf numFmtId="1" fontId="9" fillId="0" borderId="0" xfId="3" applyNumberFormat="1" applyAlignment="1">
      <alignment horizontal="right"/>
    </xf>
    <xf numFmtId="0" fontId="22" fillId="0" borderId="0" xfId="11" applyFont="1"/>
    <xf numFmtId="0" fontId="24" fillId="0" borderId="5" xfId="11" applyFont="1" applyBorder="1" applyAlignment="1">
      <alignment horizontal="center" vertical="top" wrapText="1"/>
    </xf>
    <xf numFmtId="49" fontId="21" fillId="0" borderId="5" xfId="11" applyNumberFormat="1" applyFont="1" applyBorder="1" applyAlignment="1">
      <alignment horizontal="left" vertical="top" wrapText="1"/>
    </xf>
    <xf numFmtId="0" fontId="21" fillId="0" borderId="5" xfId="11" applyFont="1" applyBorder="1" applyAlignment="1">
      <alignment vertical="top" wrapText="1"/>
    </xf>
    <xf numFmtId="0" fontId="22" fillId="0" borderId="0" xfId="12" applyFont="1"/>
    <xf numFmtId="0" fontId="21" fillId="0" borderId="5" xfId="12" applyFont="1" applyBorder="1" applyAlignment="1">
      <alignment vertical="top" wrapText="1"/>
    </xf>
    <xf numFmtId="49" fontId="21" fillId="0" borderId="5" xfId="12" applyNumberFormat="1" applyFont="1" applyBorder="1" applyAlignment="1">
      <alignment horizontal="left" vertical="top" wrapText="1"/>
    </xf>
    <xf numFmtId="0" fontId="24" fillId="0" borderId="5" xfId="12" applyFont="1" applyBorder="1" applyAlignment="1">
      <alignment horizontal="center" vertical="top" wrapText="1"/>
    </xf>
    <xf numFmtId="0" fontId="0" fillId="0" borderId="0" xfId="0" applyAlignment="1">
      <alignment horizontal="center"/>
    </xf>
    <xf numFmtId="9" fontId="0" fillId="0" borderId="0" xfId="0" applyNumberFormat="1"/>
    <xf numFmtId="0" fontId="12" fillId="2" borderId="0" xfId="0" applyFont="1" applyFill="1" applyAlignment="1">
      <alignment horizontal="center"/>
    </xf>
    <xf numFmtId="0" fontId="22" fillId="0" borderId="0" xfId="13" applyFont="1"/>
    <xf numFmtId="0" fontId="24" fillId="0" borderId="5" xfId="13" applyFont="1" applyBorder="1" applyAlignment="1">
      <alignment horizontal="center" vertical="top" wrapText="1"/>
    </xf>
    <xf numFmtId="49" fontId="21" fillId="0" borderId="5" xfId="13" applyNumberFormat="1" applyFont="1" applyBorder="1" applyAlignment="1">
      <alignment horizontal="left" vertical="top" wrapText="1"/>
    </xf>
    <xf numFmtId="0" fontId="21" fillId="0" borderId="5" xfId="13" applyFont="1" applyBorder="1" applyAlignment="1">
      <alignment vertical="top" wrapText="1"/>
    </xf>
    <xf numFmtId="0" fontId="12" fillId="2" borderId="0" xfId="0" applyFont="1" applyFill="1" applyAlignment="1">
      <alignment horizontal="center" vertical="center"/>
    </xf>
    <xf numFmtId="0" fontId="0" fillId="0" borderId="0" xfId="0" applyAlignment="1">
      <alignment vertical="center"/>
    </xf>
    <xf numFmtId="0" fontId="12" fillId="2" borderId="0" xfId="0" applyFont="1" applyFill="1" applyAlignment="1">
      <alignment vertical="center"/>
    </xf>
    <xf numFmtId="0" fontId="0" fillId="0" borderId="0" xfId="0" applyAlignment="1">
      <alignment horizontal="center" vertical="center"/>
    </xf>
    <xf numFmtId="0" fontId="29" fillId="2" borderId="0" xfId="0" applyFont="1" applyFill="1" applyAlignment="1">
      <alignment horizontal="center" textRotation="90" wrapText="1"/>
    </xf>
    <xf numFmtId="0" fontId="28" fillId="0" borderId="0" xfId="0" applyFont="1" applyFill="1" applyAlignment="1">
      <alignment horizontal="center" wrapText="1"/>
    </xf>
    <xf numFmtId="0" fontId="30" fillId="0" borderId="0" xfId="0" applyFont="1"/>
    <xf numFmtId="0" fontId="31" fillId="0" borderId="5" xfId="0" applyFont="1" applyBorder="1" applyAlignment="1">
      <alignment horizontal="center" vertical="top" wrapText="1"/>
    </xf>
    <xf numFmtId="49" fontId="30" fillId="0" borderId="5" xfId="0" applyNumberFormat="1" applyFont="1" applyBorder="1" applyAlignment="1">
      <alignment horizontal="left" vertical="top" wrapText="1"/>
    </xf>
    <xf numFmtId="0" fontId="30" fillId="0" borderId="5" xfId="0" applyFont="1" applyBorder="1" applyAlignment="1">
      <alignment vertical="top" wrapText="1"/>
    </xf>
    <xf numFmtId="49" fontId="20" fillId="0" borderId="5" xfId="14" applyNumberFormat="1" applyBorder="1" applyAlignment="1">
      <alignment horizontal="left" vertical="top" wrapText="1"/>
    </xf>
    <xf numFmtId="0" fontId="22" fillId="0" borderId="0" xfId="15" applyFont="1"/>
    <xf numFmtId="0" fontId="21" fillId="0" borderId="5" xfId="15" applyFont="1" applyBorder="1" applyAlignment="1">
      <alignment vertical="top" wrapText="1"/>
    </xf>
    <xf numFmtId="49" fontId="21" fillId="0" borderId="5" xfId="15" applyNumberFormat="1" applyFont="1" applyBorder="1" applyAlignment="1">
      <alignment horizontal="left" vertical="top" wrapText="1"/>
    </xf>
    <xf numFmtId="0" fontId="24" fillId="0" borderId="5" xfId="15" applyFont="1" applyBorder="1" applyAlignment="1">
      <alignment horizontal="center" vertical="top" wrapText="1"/>
    </xf>
    <xf numFmtId="0" fontId="11" fillId="2" borderId="0" xfId="0" quotePrefix="1" applyFont="1" applyFill="1" applyAlignment="1">
      <alignment horizontal="center"/>
    </xf>
    <xf numFmtId="0" fontId="30" fillId="3" borderId="2" xfId="0" applyFont="1" applyFill="1" applyBorder="1" applyAlignment="1">
      <alignment vertical="top" wrapText="1"/>
    </xf>
    <xf numFmtId="0" fontId="30" fillId="3" borderId="3" xfId="0" applyFont="1" applyFill="1" applyBorder="1" applyAlignment="1">
      <alignment vertical="top" wrapText="1"/>
    </xf>
    <xf numFmtId="0" fontId="30" fillId="3" borderId="4" xfId="0" applyFont="1" applyFill="1" applyBorder="1" applyAlignment="1">
      <alignment vertical="top" wrapText="1"/>
    </xf>
    <xf numFmtId="0" fontId="20" fillId="0" borderId="2" xfId="14" applyBorder="1" applyAlignment="1">
      <alignment vertical="top" wrapText="1"/>
    </xf>
    <xf numFmtId="0" fontId="20" fillId="0" borderId="3" xfId="14" applyBorder="1" applyAlignment="1">
      <alignment vertical="top" wrapText="1"/>
    </xf>
    <xf numFmtId="0" fontId="20" fillId="0" borderId="4" xfId="14" applyBorder="1" applyAlignment="1">
      <alignment vertical="top" wrapText="1"/>
    </xf>
    <xf numFmtId="0" fontId="30" fillId="0" borderId="2" xfId="0" applyFont="1" applyBorder="1" applyAlignment="1">
      <alignment vertical="top" wrapText="1"/>
    </xf>
    <xf numFmtId="0" fontId="30" fillId="0" borderId="3" xfId="0" applyFont="1" applyBorder="1" applyAlignment="1">
      <alignment vertical="top" wrapText="1"/>
    </xf>
    <xf numFmtId="0" fontId="30" fillId="0" borderId="4" xfId="0" applyFont="1" applyBorder="1" applyAlignment="1">
      <alignment vertical="top" wrapText="1"/>
    </xf>
    <xf numFmtId="0" fontId="14" fillId="4" borderId="2" xfId="0" applyFont="1" applyFill="1" applyBorder="1" applyAlignment="1">
      <alignment vertical="top" wrapText="1"/>
    </xf>
    <xf numFmtId="0" fontId="14" fillId="4" borderId="3" xfId="0" applyFont="1" applyFill="1" applyBorder="1" applyAlignment="1">
      <alignment vertical="top" wrapText="1"/>
    </xf>
    <xf numFmtId="0" fontId="14" fillId="4" borderId="4" xfId="0" applyFont="1" applyFill="1" applyBorder="1" applyAlignment="1">
      <alignment vertical="top" wrapText="1"/>
    </xf>
    <xf numFmtId="0" fontId="21" fillId="3" borderId="2" xfId="15" applyFont="1" applyFill="1" applyBorder="1" applyAlignment="1">
      <alignment vertical="top" wrapText="1"/>
    </xf>
    <xf numFmtId="0" fontId="21" fillId="3" borderId="3" xfId="15" applyFont="1" applyFill="1" applyBorder="1" applyAlignment="1">
      <alignment vertical="top" wrapText="1"/>
    </xf>
    <xf numFmtId="0" fontId="21" fillId="3" borderId="4" xfId="15" applyFont="1" applyFill="1" applyBorder="1" applyAlignment="1">
      <alignment vertical="top" wrapText="1"/>
    </xf>
    <xf numFmtId="0" fontId="23" fillId="0" borderId="2" xfId="9" applyBorder="1" applyAlignment="1">
      <alignment vertical="top" wrapText="1"/>
    </xf>
    <xf numFmtId="0" fontId="23" fillId="0" borderId="3" xfId="9" applyBorder="1" applyAlignment="1">
      <alignment vertical="top" wrapText="1"/>
    </xf>
    <xf numFmtId="0" fontId="23" fillId="0" borderId="4" xfId="9" applyBorder="1" applyAlignment="1">
      <alignment vertical="top" wrapText="1"/>
    </xf>
    <xf numFmtId="0" fontId="21" fillId="0" borderId="2" xfId="15" applyFont="1" applyBorder="1" applyAlignment="1">
      <alignment vertical="top" wrapText="1"/>
    </xf>
    <xf numFmtId="0" fontId="21" fillId="0" borderId="3" xfId="15" applyFont="1" applyBorder="1" applyAlignment="1">
      <alignment vertical="top" wrapText="1"/>
    </xf>
    <xf numFmtId="0" fontId="21" fillId="0" borderId="4" xfId="15" applyFont="1" applyBorder="1" applyAlignment="1">
      <alignment vertical="top" wrapText="1"/>
    </xf>
    <xf numFmtId="0" fontId="14" fillId="4" borderId="2" xfId="15" applyFont="1" applyFill="1" applyBorder="1" applyAlignment="1">
      <alignment vertical="top" wrapText="1"/>
    </xf>
    <xf numFmtId="0" fontId="14" fillId="4" borderId="3" xfId="15" applyFont="1" applyFill="1" applyBorder="1" applyAlignment="1">
      <alignment vertical="top" wrapText="1"/>
    </xf>
    <xf numFmtId="0" fontId="14" fillId="4" borderId="4" xfId="15" applyFont="1" applyFill="1" applyBorder="1" applyAlignment="1">
      <alignment vertical="top" wrapText="1"/>
    </xf>
    <xf numFmtId="0" fontId="21" fillId="3" borderId="2" xfId="13" applyFont="1" applyFill="1" applyBorder="1" applyAlignment="1">
      <alignment vertical="top" wrapText="1"/>
    </xf>
    <xf numFmtId="0" fontId="21" fillId="3" borderId="3" xfId="13" applyFont="1" applyFill="1" applyBorder="1" applyAlignment="1">
      <alignment vertical="top" wrapText="1"/>
    </xf>
    <xf numFmtId="0" fontId="21" fillId="3" borderId="4" xfId="13" applyFont="1" applyFill="1" applyBorder="1" applyAlignment="1">
      <alignment vertical="top" wrapText="1"/>
    </xf>
    <xf numFmtId="0" fontId="21" fillId="0" borderId="2" xfId="13" applyFont="1" applyBorder="1" applyAlignment="1">
      <alignment vertical="top" wrapText="1"/>
    </xf>
    <xf numFmtId="0" fontId="21" fillId="0" borderId="3" xfId="13" applyFont="1" applyBorder="1" applyAlignment="1">
      <alignment vertical="top" wrapText="1"/>
    </xf>
    <xf numFmtId="0" fontId="21" fillId="0" borderId="4" xfId="13" applyFont="1" applyBorder="1" applyAlignment="1">
      <alignment vertical="top" wrapText="1"/>
    </xf>
    <xf numFmtId="0" fontId="14" fillId="4" borderId="2" xfId="13" applyFont="1" applyFill="1" applyBorder="1" applyAlignment="1">
      <alignment vertical="top" wrapText="1"/>
    </xf>
    <xf numFmtId="0" fontId="14" fillId="4" borderId="3" xfId="13" applyFont="1" applyFill="1" applyBorder="1" applyAlignment="1">
      <alignment vertical="top" wrapText="1"/>
    </xf>
    <xf numFmtId="0" fontId="14" fillId="4" borderId="4" xfId="13" applyFont="1" applyFill="1" applyBorder="1" applyAlignment="1">
      <alignment vertical="top" wrapText="1"/>
    </xf>
    <xf numFmtId="0" fontId="21" fillId="3" borderId="2" xfId="12" applyFont="1" applyFill="1" applyBorder="1" applyAlignment="1">
      <alignment vertical="top" wrapText="1"/>
    </xf>
    <xf numFmtId="0" fontId="21" fillId="3" borderId="3" xfId="12" applyFont="1" applyFill="1" applyBorder="1" applyAlignment="1">
      <alignment vertical="top" wrapText="1"/>
    </xf>
    <xf numFmtId="0" fontId="21" fillId="3" borderId="4" xfId="12" applyFont="1" applyFill="1" applyBorder="1" applyAlignment="1">
      <alignment vertical="top" wrapText="1"/>
    </xf>
    <xf numFmtId="0" fontId="21" fillId="0" borderId="2" xfId="12" applyFont="1" applyBorder="1" applyAlignment="1">
      <alignment vertical="top" wrapText="1"/>
    </xf>
    <xf numFmtId="0" fontId="21" fillId="0" borderId="3" xfId="12" applyFont="1" applyBorder="1" applyAlignment="1">
      <alignment vertical="top" wrapText="1"/>
    </xf>
    <xf numFmtId="0" fontId="21" fillId="0" borderId="4" xfId="12" applyFont="1" applyBorder="1" applyAlignment="1">
      <alignment vertical="top" wrapText="1"/>
    </xf>
    <xf numFmtId="0" fontId="14" fillId="4" borderId="2" xfId="12" applyFont="1" applyFill="1" applyBorder="1" applyAlignment="1">
      <alignment vertical="top" wrapText="1"/>
    </xf>
    <xf numFmtId="0" fontId="14" fillId="4" borderId="3" xfId="12" applyFont="1" applyFill="1" applyBorder="1" applyAlignment="1">
      <alignment vertical="top" wrapText="1"/>
    </xf>
    <xf numFmtId="0" fontId="14" fillId="4" borderId="4" xfId="12" applyFont="1" applyFill="1" applyBorder="1" applyAlignment="1">
      <alignment vertical="top" wrapText="1"/>
    </xf>
    <xf numFmtId="0" fontId="21" fillId="3" borderId="2" xfId="11" applyFont="1" applyFill="1" applyBorder="1" applyAlignment="1">
      <alignment vertical="top" wrapText="1"/>
    </xf>
    <xf numFmtId="0" fontId="21" fillId="3" borderId="3" xfId="11" applyFont="1" applyFill="1" applyBorder="1" applyAlignment="1">
      <alignment vertical="top" wrapText="1"/>
    </xf>
    <xf numFmtId="0" fontId="21" fillId="3" borderId="4" xfId="11" applyFont="1" applyFill="1" applyBorder="1" applyAlignment="1">
      <alignment vertical="top" wrapText="1"/>
    </xf>
    <xf numFmtId="0" fontId="21" fillId="0" borderId="2" xfId="11" applyFont="1" applyBorder="1" applyAlignment="1">
      <alignment vertical="top" wrapText="1"/>
    </xf>
    <xf numFmtId="0" fontId="21" fillId="0" borderId="3" xfId="11" applyFont="1" applyBorder="1" applyAlignment="1">
      <alignment vertical="top" wrapText="1"/>
    </xf>
    <xf numFmtId="0" fontId="21" fillId="0" borderId="4" xfId="11" applyFont="1" applyBorder="1" applyAlignment="1">
      <alignment vertical="top" wrapText="1"/>
    </xf>
    <xf numFmtId="0" fontId="14" fillId="4" borderId="2" xfId="11" applyFont="1" applyFill="1" applyBorder="1" applyAlignment="1">
      <alignment vertical="top" wrapText="1"/>
    </xf>
    <xf numFmtId="0" fontId="14" fillId="4" borderId="3" xfId="11" applyFont="1" applyFill="1" applyBorder="1" applyAlignment="1">
      <alignment vertical="top" wrapText="1"/>
    </xf>
    <xf numFmtId="0" fontId="14" fillId="4" borderId="4" xfId="11" applyFont="1" applyFill="1" applyBorder="1" applyAlignment="1">
      <alignment vertical="top" wrapText="1"/>
    </xf>
    <xf numFmtId="0" fontId="21" fillId="3" borderId="2" xfId="8" applyFont="1" applyFill="1" applyBorder="1" applyAlignment="1">
      <alignment vertical="top" wrapText="1"/>
    </xf>
    <xf numFmtId="0" fontId="21" fillId="3" borderId="3" xfId="8" applyFont="1" applyFill="1" applyBorder="1" applyAlignment="1">
      <alignment vertical="top" wrapText="1"/>
    </xf>
    <xf numFmtId="0" fontId="21" fillId="3" borderId="4" xfId="8" applyFont="1" applyFill="1" applyBorder="1" applyAlignment="1">
      <alignment vertical="top" wrapText="1"/>
    </xf>
    <xf numFmtId="0" fontId="21" fillId="0" borderId="2" xfId="8" applyFont="1" applyBorder="1" applyAlignment="1">
      <alignment vertical="top" wrapText="1"/>
    </xf>
    <xf numFmtId="0" fontId="21" fillId="0" borderId="3" xfId="8" applyFont="1" applyBorder="1" applyAlignment="1">
      <alignment vertical="top" wrapText="1"/>
    </xf>
    <xf numFmtId="0" fontId="21" fillId="0" borderId="4" xfId="8" applyFont="1" applyBorder="1" applyAlignment="1">
      <alignment vertical="top" wrapText="1"/>
    </xf>
    <xf numFmtId="0" fontId="14" fillId="4" borderId="2" xfId="8" applyFont="1" applyFill="1" applyBorder="1" applyAlignment="1">
      <alignment vertical="top" wrapText="1"/>
    </xf>
    <xf numFmtId="0" fontId="14" fillId="4" borderId="3" xfId="8" applyFont="1" applyFill="1" applyBorder="1" applyAlignment="1">
      <alignment vertical="top" wrapText="1"/>
    </xf>
    <xf numFmtId="0" fontId="14" fillId="4" borderId="4" xfId="8" applyFont="1" applyFill="1" applyBorder="1" applyAlignment="1">
      <alignment vertical="top" wrapText="1"/>
    </xf>
    <xf numFmtId="0" fontId="25" fillId="0" borderId="0" xfId="0" applyFont="1" applyAlignment="1">
      <alignment horizontal="center" vertical="center" textRotation="90"/>
    </xf>
    <xf numFmtId="0" fontId="21" fillId="3" borderId="2" xfId="16" applyFont="1" applyFill="1" applyBorder="1" applyAlignment="1">
      <alignment vertical="top" wrapText="1"/>
    </xf>
    <xf numFmtId="0" fontId="21" fillId="3" borderId="3" xfId="16" applyFont="1" applyFill="1" applyBorder="1" applyAlignment="1">
      <alignment vertical="top" wrapText="1"/>
    </xf>
    <xf numFmtId="0" fontId="21" fillId="3" borderId="4" xfId="16" applyFont="1" applyFill="1" applyBorder="1" applyAlignment="1">
      <alignment vertical="top" wrapText="1"/>
    </xf>
    <xf numFmtId="0" fontId="22" fillId="0" borderId="0" xfId="16" applyFont="1"/>
    <xf numFmtId="0" fontId="21" fillId="0" borderId="2" xfId="16" applyFont="1" applyBorder="1" applyAlignment="1">
      <alignment vertical="top" wrapText="1"/>
    </xf>
    <xf numFmtId="0" fontId="21" fillId="0" borderId="3" xfId="16" applyFont="1" applyBorder="1" applyAlignment="1">
      <alignment vertical="top" wrapText="1"/>
    </xf>
    <xf numFmtId="0" fontId="21" fillId="0" borderId="4" xfId="16" applyFont="1" applyBorder="1" applyAlignment="1">
      <alignment vertical="top" wrapText="1"/>
    </xf>
    <xf numFmtId="0" fontId="24" fillId="0" borderId="5" xfId="16" applyFont="1" applyBorder="1" applyAlignment="1">
      <alignment horizontal="center" vertical="top" wrapText="1"/>
    </xf>
    <xf numFmtId="49" fontId="21" fillId="0" borderId="5" xfId="16" applyNumberFormat="1" applyFont="1" applyBorder="1" applyAlignment="1">
      <alignment horizontal="left" vertical="top" wrapText="1"/>
    </xf>
    <xf numFmtId="0" fontId="21" fillId="0" borderId="5" xfId="16" applyFont="1" applyBorder="1" applyAlignment="1">
      <alignment vertical="top" wrapText="1"/>
    </xf>
    <xf numFmtId="0" fontId="14" fillId="4" borderId="2" xfId="16" applyFont="1" applyFill="1" applyBorder="1" applyAlignment="1">
      <alignment vertical="top" wrapText="1"/>
    </xf>
    <xf numFmtId="0" fontId="14" fillId="4" borderId="3" xfId="16" applyFont="1" applyFill="1" applyBorder="1" applyAlignment="1">
      <alignment vertical="top" wrapText="1"/>
    </xf>
    <xf numFmtId="0" fontId="14" fillId="4" borderId="4" xfId="16" applyFont="1" applyFill="1" applyBorder="1" applyAlignment="1">
      <alignment vertical="top" wrapText="1"/>
    </xf>
    <xf numFmtId="0" fontId="12" fillId="2" borderId="0" xfId="0" applyFont="1" applyFill="1" applyAlignment="1">
      <alignment horizontal="center" vertical="center" wrapText="1"/>
    </xf>
    <xf numFmtId="0" fontId="21" fillId="0" borderId="0" xfId="16" applyFont="1" applyBorder="1" applyAlignment="1">
      <alignment vertical="top" wrapText="1"/>
    </xf>
    <xf numFmtId="0" fontId="0" fillId="0" borderId="0" xfId="0" applyBorder="1"/>
    <xf numFmtId="49" fontId="23" fillId="0" borderId="0" xfId="9" applyNumberFormat="1" applyBorder="1" applyAlignment="1">
      <alignment horizontal="left" vertical="top" wrapText="1"/>
    </xf>
    <xf numFmtId="49" fontId="21" fillId="0" borderId="0" xfId="16" applyNumberFormat="1" applyFont="1" applyBorder="1" applyAlignment="1">
      <alignment horizontal="left" vertical="top" wrapText="1"/>
    </xf>
    <xf numFmtId="0" fontId="0" fillId="0" borderId="0" xfId="0" applyBorder="1" applyAlignment="1">
      <alignment horizontal="center" vertical="center"/>
    </xf>
    <xf numFmtId="0" fontId="21" fillId="0" borderId="0" xfId="16" applyFont="1" applyBorder="1" applyAlignment="1">
      <alignment horizontal="center" vertical="top" wrapText="1"/>
    </xf>
    <xf numFmtId="0" fontId="1" fillId="0" borderId="0" xfId="16"/>
    <xf numFmtId="0" fontId="33" fillId="0" borderId="0" xfId="16" applyFont="1" applyAlignment="1">
      <alignment horizontal="center" vertical="center"/>
    </xf>
    <xf numFmtId="0" fontId="34" fillId="0" borderId="0" xfId="16" quotePrefix="1" applyFont="1" applyAlignment="1">
      <alignment horizontal="center" vertical="center"/>
    </xf>
    <xf numFmtId="0" fontId="34" fillId="0" borderId="15" xfId="16" quotePrefix="1" applyFont="1" applyBorder="1" applyAlignment="1">
      <alignment horizontal="center" vertical="center"/>
    </xf>
    <xf numFmtId="0" fontId="26" fillId="0" borderId="16" xfId="16" applyFont="1" applyBorder="1" applyAlignment="1">
      <alignment horizontal="center"/>
    </xf>
    <xf numFmtId="0" fontId="34" fillId="0" borderId="17" xfId="16" quotePrefix="1" applyFont="1" applyBorder="1" applyAlignment="1">
      <alignment horizontal="center" vertical="center"/>
    </xf>
    <xf numFmtId="0" fontId="1" fillId="0" borderId="0" xfId="16" applyAlignment="1">
      <alignment horizontal="center"/>
    </xf>
    <xf numFmtId="0" fontId="33" fillId="0" borderId="0" xfId="16" applyFont="1" applyAlignment="1">
      <alignment horizontal="right" vertical="center"/>
    </xf>
    <xf numFmtId="0" fontId="33" fillId="0" borderId="0" xfId="16" applyFont="1" applyAlignment="1">
      <alignment horizontal="center"/>
    </xf>
    <xf numFmtId="0" fontId="37" fillId="0" borderId="16" xfId="16" applyFont="1" applyBorder="1" applyAlignment="1">
      <alignment horizontal="center"/>
    </xf>
    <xf numFmtId="0" fontId="37" fillId="0" borderId="0" xfId="16" applyFont="1" applyAlignment="1">
      <alignment horizontal="center" vertical="center"/>
    </xf>
    <xf numFmtId="0" fontId="37" fillId="0" borderId="16" xfId="16" applyFont="1" applyBorder="1" applyAlignment="1">
      <alignment horizontal="center" vertical="center"/>
    </xf>
    <xf numFmtId="0" fontId="37" fillId="0" borderId="0" xfId="16" applyFont="1" applyAlignment="1">
      <alignment horizontal="center" vertical="center"/>
    </xf>
    <xf numFmtId="0" fontId="1" fillId="0" borderId="0" xfId="16" applyAlignment="1">
      <alignment vertical="center"/>
    </xf>
    <xf numFmtId="9" fontId="38" fillId="0" borderId="0" xfId="16" applyNumberFormat="1" applyFont="1" applyAlignment="1">
      <alignment horizontal="center" vertical="center"/>
    </xf>
    <xf numFmtId="0" fontId="36" fillId="0" borderId="8" xfId="16" applyFont="1" applyBorder="1" applyAlignment="1">
      <alignment horizontal="center" vertical="center" wrapText="1"/>
    </xf>
    <xf numFmtId="0" fontId="36" fillId="0" borderId="9" xfId="16" applyFont="1" applyBorder="1" applyAlignment="1">
      <alignment horizontal="center" vertical="center" wrapText="1"/>
    </xf>
    <xf numFmtId="0" fontId="36" fillId="0" borderId="0" xfId="16" applyFont="1" applyBorder="1" applyAlignment="1">
      <alignment horizontal="center" vertical="center" wrapText="1"/>
    </xf>
    <xf numFmtId="0" fontId="36" fillId="0" borderId="11" xfId="16" applyFont="1" applyBorder="1" applyAlignment="1">
      <alignment horizontal="center" vertical="center" wrapText="1"/>
    </xf>
    <xf numFmtId="0" fontId="36" fillId="0" borderId="13" xfId="16" applyFont="1" applyBorder="1" applyAlignment="1">
      <alignment horizontal="center" vertical="center" wrapText="1"/>
    </xf>
    <xf numFmtId="0" fontId="36" fillId="0" borderId="14" xfId="16" applyFont="1" applyBorder="1" applyAlignment="1">
      <alignment horizontal="center" vertical="center" wrapText="1"/>
    </xf>
    <xf numFmtId="0" fontId="33" fillId="0" borderId="7" xfId="16" applyFont="1" applyBorder="1" applyAlignment="1">
      <alignment horizontal="center" vertical="center" wrapText="1"/>
    </xf>
    <xf numFmtId="0" fontId="33" fillId="0" borderId="8" xfId="16" applyFont="1" applyBorder="1" applyAlignment="1">
      <alignment horizontal="center" vertical="center" wrapText="1"/>
    </xf>
    <xf numFmtId="0" fontId="33" fillId="0" borderId="10" xfId="16" applyFont="1" applyBorder="1" applyAlignment="1">
      <alignment horizontal="center" vertical="center" wrapText="1"/>
    </xf>
    <xf numFmtId="0" fontId="33" fillId="0" borderId="0" xfId="16" applyFont="1" applyBorder="1" applyAlignment="1">
      <alignment horizontal="center" vertical="center" wrapText="1"/>
    </xf>
    <xf numFmtId="0" fontId="33" fillId="0" borderId="12" xfId="16" applyFont="1" applyBorder="1" applyAlignment="1">
      <alignment horizontal="center" vertical="center" wrapText="1"/>
    </xf>
    <xf numFmtId="0" fontId="33" fillId="0" borderId="13" xfId="16" applyFont="1" applyBorder="1" applyAlignment="1">
      <alignment horizontal="center" vertical="center" wrapText="1"/>
    </xf>
    <xf numFmtId="0" fontId="35" fillId="0" borderId="0" xfId="16" applyFont="1" applyAlignment="1">
      <alignment horizontal="center" vertical="center"/>
    </xf>
    <xf numFmtId="0" fontId="32" fillId="0" borderId="16" xfId="16" applyFont="1" applyBorder="1" applyAlignment="1">
      <alignment horizontal="center"/>
    </xf>
    <xf numFmtId="0" fontId="37" fillId="0" borderId="16" xfId="16" applyFont="1" applyBorder="1" applyAlignment="1">
      <alignment horizontal="center" vertical="center"/>
    </xf>
    <xf numFmtId="0" fontId="1" fillId="0" borderId="16" xfId="16" applyFont="1" applyBorder="1" applyAlignment="1">
      <alignment horizontal="center" vertical="center" wrapText="1"/>
    </xf>
    <xf numFmtId="0" fontId="32" fillId="0" borderId="16" xfId="16" applyFont="1" applyBorder="1" applyAlignment="1">
      <alignment horizontal="center" vertical="center" wrapText="1"/>
    </xf>
    <xf numFmtId="0" fontId="37" fillId="0" borderId="16" xfId="16" applyFont="1" applyBorder="1" applyAlignment="1">
      <alignment horizontal="center" vertical="center" wrapText="1"/>
    </xf>
    <xf numFmtId="0" fontId="37" fillId="7" borderId="16" xfId="16" applyFont="1" applyFill="1" applyBorder="1" applyAlignment="1">
      <alignment horizontal="center" vertical="center"/>
    </xf>
    <xf numFmtId="0" fontId="37" fillId="8" borderId="16" xfId="16" applyFont="1" applyFill="1" applyBorder="1" applyAlignment="1">
      <alignment horizontal="center" vertical="center"/>
    </xf>
    <xf numFmtId="9" fontId="38" fillId="0" borderId="18" xfId="16" applyNumberFormat="1" applyFont="1" applyBorder="1" applyAlignment="1">
      <alignment horizontal="center" vertical="center"/>
    </xf>
    <xf numFmtId="9" fontId="38" fillId="0" borderId="19" xfId="16" applyNumberFormat="1" applyFont="1" applyBorder="1" applyAlignment="1">
      <alignment horizontal="center" vertical="center"/>
    </xf>
  </cellXfs>
  <cellStyles count="17">
    <cellStyle name="Followed Hyperlink" xfId="5" builtinId="9" hidden="1"/>
    <cellStyle name="Followed Hyperlink" xfId="7" builtinId="9" hidden="1"/>
    <cellStyle name="Heading 2" xfId="2" builtinId="17"/>
    <cellStyle name="Hyperlink" xfId="14" builtinId="8"/>
    <cellStyle name="Hyperlink 2" xfId="6"/>
    <cellStyle name="Hyperlink 3" xfId="9"/>
    <cellStyle name="Normal" xfId="0" builtinId="0"/>
    <cellStyle name="Normal 10" xfId="15"/>
    <cellStyle name="Normal 11" xfId="16"/>
    <cellStyle name="Normal 2" xfId="1"/>
    <cellStyle name="Normal 3" xfId="3"/>
    <cellStyle name="Normal 4" xfId="4"/>
    <cellStyle name="Normal 5" xfId="8"/>
    <cellStyle name="Normal 6" xfId="10"/>
    <cellStyle name="Normal 7" xfId="11"/>
    <cellStyle name="Normal 8" xfId="12"/>
    <cellStyle name="Normal 9" xfId="13"/>
  </cellStyles>
  <dxfs count="0"/>
  <tableStyles count="0" defaultTableStyle="TableStyleMedium9" defaultPivotStyle="PivotStyleMedium7"/>
  <colors>
    <mruColors>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1.xml"/><Relationship Id="rId66"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3"/>
          <c:order val="0"/>
          <c:tx>
            <c:strRef>
              <c:f>'CF (Features #)'!$K$1</c:f>
              <c:strCache>
                <c:ptCount val="1"/>
                <c:pt idx="0">
                  <c:v>Done</c:v>
                </c:pt>
              </c:strCache>
            </c:strRef>
          </c:tx>
          <c:spPr>
            <a:solidFill>
              <a:schemeClr val="tx2">
                <a:lumMod val="60000"/>
                <a:lumOff val="40000"/>
              </a:schemeClr>
            </a:solidFill>
          </c:spPr>
          <c:cat>
            <c:numRef>
              <c:f>'CF (Features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(Features #)'!$K$2:$K$51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9</c:v>
                </c:pt>
                <c:pt idx="37">
                  <c:v>9</c:v>
                </c:pt>
                <c:pt idx="38">
                  <c:v>9</c:v>
                </c:pt>
                <c:pt idx="39">
                  <c:v>10</c:v>
                </c:pt>
                <c:pt idx="40">
                  <c:v>10</c:v>
                </c:pt>
                <c:pt idx="41">
                  <c:v>10</c:v>
                </c:pt>
                <c:pt idx="42">
                  <c:v>14</c:v>
                </c:pt>
                <c:pt idx="43">
                  <c:v>14</c:v>
                </c:pt>
                <c:pt idx="44">
                  <c:v>14</c:v>
                </c:pt>
                <c:pt idx="45">
                  <c:v>14</c:v>
                </c:pt>
                <c:pt idx="46">
                  <c:v>14</c:v>
                </c:pt>
                <c:pt idx="47">
                  <c:v>14</c:v>
                </c:pt>
                <c:pt idx="48">
                  <c:v>14</c:v>
                </c:pt>
                <c:pt idx="49">
                  <c:v>14</c:v>
                </c:pt>
              </c:numCache>
            </c:numRef>
          </c:val>
          <c:extLst xmlns:c16r2="http://schemas.microsoft.com/office/drawing/2015/06/chart">
            <c:ext xmlns:c16="http://schemas.microsoft.com/office/drawing/2014/chart" uri="{C3380CC4-5D6E-409C-BE32-E72D297353CC}">
              <c16:uniqueId val="{00000000-968C-4753-94AE-6B08DFBE7C56}"/>
            </c:ext>
          </c:extLst>
        </c:ser>
        <c:ser>
          <c:idx val="7"/>
          <c:order val="1"/>
          <c:tx>
            <c:strRef>
              <c:f>'CF (Features #)'!$J$1</c:f>
              <c:strCache>
                <c:ptCount val="1"/>
                <c:pt idx="0">
                  <c:v>Releasing</c:v>
                </c:pt>
              </c:strCache>
            </c:strRef>
          </c:tx>
          <c:spPr>
            <a:ln w="25400">
              <a:noFill/>
            </a:ln>
          </c:spPr>
          <c:val>
            <c:numRef>
              <c:f>'CF (Features #)'!$J$2:$J$51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1-968C-4753-94AE-6B08DFBE7C56}"/>
            </c:ext>
          </c:extLst>
        </c:ser>
        <c:ser>
          <c:idx val="6"/>
          <c:order val="2"/>
          <c:tx>
            <c:strRef>
              <c:f>'CF (Features #)'!$I$1</c:f>
              <c:strCache>
                <c:ptCount val="1"/>
                <c:pt idx="0">
                  <c:v>Deploying to production</c:v>
                </c:pt>
              </c:strCache>
            </c:strRef>
          </c:tx>
          <c:spPr>
            <a:ln w="25400">
              <a:noFill/>
            </a:ln>
          </c:spPr>
          <c:val>
            <c:numRef>
              <c:f>'CF (Features #)'!$I$2:$I$51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2-968C-4753-94AE-6B08DFBE7C56}"/>
            </c:ext>
          </c:extLst>
        </c:ser>
        <c:ser>
          <c:idx val="5"/>
          <c:order val="3"/>
          <c:tx>
            <c:strRef>
              <c:f>'CF (Features #)'!$H$1</c:f>
              <c:strCache>
                <c:ptCount val="1"/>
                <c:pt idx="0">
                  <c:v>Validating on Staging</c:v>
                </c:pt>
              </c:strCache>
            </c:strRef>
          </c:tx>
          <c:spPr>
            <a:solidFill>
              <a:srgbClr val="FFFF00"/>
            </a:solidFill>
            <a:ln w="25400">
              <a:noFill/>
            </a:ln>
          </c:spPr>
          <c:val>
            <c:numRef>
              <c:f>'CF (Features #)'!$H$2:$H$51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2</c:v>
                </c:pt>
                <c:pt idx="43">
                  <c:v>2</c:v>
                </c:pt>
                <c:pt idx="44">
                  <c:v>2</c:v>
                </c:pt>
                <c:pt idx="45">
                  <c:v>2</c:v>
                </c:pt>
                <c:pt idx="46">
                  <c:v>2</c:v>
                </c:pt>
                <c:pt idx="47">
                  <c:v>2</c:v>
                </c:pt>
                <c:pt idx="48">
                  <c:v>2</c:v>
                </c:pt>
                <c:pt idx="49">
                  <c:v>2</c:v>
                </c:pt>
              </c:numCache>
            </c:numRef>
          </c:val>
          <c:extLst xmlns:c16r2="http://schemas.microsoft.com/office/drawing/2015/06/chart">
            <c:ext xmlns:c16="http://schemas.microsoft.com/office/drawing/2014/chart" uri="{C3380CC4-5D6E-409C-BE32-E72D297353CC}">
              <c16:uniqueId val="{00000003-968C-4753-94AE-6B08DFBE7C56}"/>
            </c:ext>
          </c:extLst>
        </c:ser>
        <c:ser>
          <c:idx val="4"/>
          <c:order val="4"/>
          <c:tx>
            <c:strRef>
              <c:f>'CF (Features #)'!$G$1</c:f>
              <c:strCache>
                <c:ptCount val="1"/>
                <c:pt idx="0">
                  <c:v>Implementing</c:v>
                </c:pt>
              </c:strCache>
            </c:strRef>
          </c:tx>
          <c:spPr>
            <a:solidFill>
              <a:srgbClr val="00B0F0"/>
            </a:solidFill>
            <a:ln w="25400">
              <a:noFill/>
            </a:ln>
          </c:spPr>
          <c:val>
            <c:numRef>
              <c:f>'CF (Features #)'!$G$2:$G$51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19</c:v>
                </c:pt>
                <c:pt idx="37">
                  <c:v>19</c:v>
                </c:pt>
                <c:pt idx="38">
                  <c:v>19</c:v>
                </c:pt>
                <c:pt idx="39">
                  <c:v>19</c:v>
                </c:pt>
                <c:pt idx="40">
                  <c:v>19</c:v>
                </c:pt>
                <c:pt idx="41">
                  <c:v>19</c:v>
                </c:pt>
                <c:pt idx="42">
                  <c:v>15</c:v>
                </c:pt>
                <c:pt idx="43">
                  <c:v>15</c:v>
                </c:pt>
                <c:pt idx="44">
                  <c:v>15</c:v>
                </c:pt>
                <c:pt idx="45">
                  <c:v>15</c:v>
                </c:pt>
                <c:pt idx="46">
                  <c:v>15</c:v>
                </c:pt>
                <c:pt idx="47">
                  <c:v>15</c:v>
                </c:pt>
                <c:pt idx="48">
                  <c:v>15</c:v>
                </c:pt>
                <c:pt idx="49">
                  <c:v>15</c:v>
                </c:pt>
              </c:numCache>
            </c:numRef>
          </c:val>
          <c:extLst xmlns:c16r2="http://schemas.microsoft.com/office/drawing/2015/06/chart">
            <c:ext xmlns:c16="http://schemas.microsoft.com/office/drawing/2014/chart" uri="{C3380CC4-5D6E-409C-BE32-E72D297353CC}">
              <c16:uniqueId val="{00000004-968C-4753-94AE-6B08DFBE7C56}"/>
            </c:ext>
          </c:extLst>
        </c:ser>
        <c:ser>
          <c:idx val="2"/>
          <c:order val="5"/>
          <c:tx>
            <c:strRef>
              <c:f>'CF (Features #)'!$F$1</c:f>
              <c:strCache>
                <c:ptCount val="1"/>
                <c:pt idx="0">
                  <c:v>Backlog</c:v>
                </c:pt>
              </c:strCache>
            </c:strRef>
          </c:tx>
          <c:spPr>
            <a:solidFill>
              <a:schemeClr val="accent6"/>
            </a:solidFill>
          </c:spPr>
          <c:cat>
            <c:numRef>
              <c:f>'CF (Features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(Features #)'!$F$2:$F$51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9</c:v>
                </c:pt>
                <c:pt idx="37">
                  <c:v>9</c:v>
                </c:pt>
                <c:pt idx="38">
                  <c:v>9</c:v>
                </c:pt>
                <c:pt idx="39">
                  <c:v>9</c:v>
                </c:pt>
                <c:pt idx="40">
                  <c:v>9</c:v>
                </c:pt>
                <c:pt idx="41">
                  <c:v>9</c:v>
                </c:pt>
                <c:pt idx="42">
                  <c:v>9</c:v>
                </c:pt>
                <c:pt idx="43">
                  <c:v>9</c:v>
                </c:pt>
                <c:pt idx="44">
                  <c:v>9</c:v>
                </c:pt>
                <c:pt idx="45">
                  <c:v>9</c:v>
                </c:pt>
                <c:pt idx="46">
                  <c:v>9</c:v>
                </c:pt>
                <c:pt idx="47">
                  <c:v>9</c:v>
                </c:pt>
                <c:pt idx="48">
                  <c:v>9</c:v>
                </c:pt>
                <c:pt idx="49">
                  <c:v>9</c:v>
                </c:pt>
              </c:numCache>
            </c:numRef>
          </c:val>
          <c:extLst xmlns:c16r2="http://schemas.microsoft.com/office/drawing/2015/06/chart">
            <c:ext xmlns:c16="http://schemas.microsoft.com/office/drawing/2014/chart" uri="{C3380CC4-5D6E-409C-BE32-E72D297353CC}">
              <c16:uniqueId val="{00000005-968C-4753-94AE-6B08DFBE7C56}"/>
            </c:ext>
          </c:extLst>
        </c:ser>
        <c:ser>
          <c:idx val="1"/>
          <c:order val="6"/>
          <c:tx>
            <c:strRef>
              <c:f>'CF (Features #)'!$E$1</c:f>
              <c:strCache>
                <c:ptCount val="1"/>
                <c:pt idx="0">
                  <c:v>Analyzing</c:v>
                </c:pt>
              </c:strCache>
            </c:strRef>
          </c:tx>
          <c:spPr>
            <a:solidFill>
              <a:srgbClr val="7030A0"/>
            </a:solidFill>
          </c:spPr>
          <c:cat>
            <c:numRef>
              <c:f>'CF (Features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(Features #)'!$E$2:$E$51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c:v>
                </c:pt>
                <c:pt idx="37">
                  <c:v>2</c:v>
                </c:pt>
                <c:pt idx="38">
                  <c:v>2</c:v>
                </c:pt>
                <c:pt idx="39">
                  <c:v>2</c:v>
                </c:pt>
                <c:pt idx="40">
                  <c:v>2</c:v>
                </c:pt>
                <c:pt idx="41">
                  <c:v>2</c:v>
                </c:pt>
                <c:pt idx="42">
                  <c:v>1</c:v>
                </c:pt>
                <c:pt idx="43">
                  <c:v>1</c:v>
                </c:pt>
                <c:pt idx="44">
                  <c:v>1</c:v>
                </c:pt>
                <c:pt idx="45">
                  <c:v>1</c:v>
                </c:pt>
                <c:pt idx="46">
                  <c:v>1</c:v>
                </c:pt>
                <c:pt idx="47">
                  <c:v>1</c:v>
                </c:pt>
                <c:pt idx="48">
                  <c:v>1</c:v>
                </c:pt>
                <c:pt idx="49">
                  <c:v>1</c:v>
                </c:pt>
              </c:numCache>
            </c:numRef>
          </c:val>
          <c:extLst xmlns:c16r2="http://schemas.microsoft.com/office/drawing/2015/06/chart">
            <c:ext xmlns:c16="http://schemas.microsoft.com/office/drawing/2014/chart" uri="{C3380CC4-5D6E-409C-BE32-E72D297353CC}">
              <c16:uniqueId val="{00000006-968C-4753-94AE-6B08DFBE7C56}"/>
            </c:ext>
          </c:extLst>
        </c:ser>
        <c:ser>
          <c:idx val="0"/>
          <c:order val="7"/>
          <c:tx>
            <c:strRef>
              <c:f>'CF (Features #)'!$D$1</c:f>
              <c:strCache>
                <c:ptCount val="1"/>
                <c:pt idx="0">
                  <c:v>Funnel</c:v>
                </c:pt>
              </c:strCache>
            </c:strRef>
          </c:tx>
          <c:spPr>
            <a:solidFill>
              <a:srgbClr val="CC6600"/>
            </a:solidFill>
          </c:spPr>
          <c:cat>
            <c:numRef>
              <c:f>'CF (Features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(Features #)'!$D$2:$D$51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4</c:v>
                </c:pt>
                <c:pt idx="37">
                  <c:v>4</c:v>
                </c:pt>
                <c:pt idx="38">
                  <c:v>4</c:v>
                </c:pt>
                <c:pt idx="39">
                  <c:v>4</c:v>
                </c:pt>
                <c:pt idx="40">
                  <c:v>4</c:v>
                </c:pt>
                <c:pt idx="41">
                  <c:v>4</c:v>
                </c:pt>
                <c:pt idx="42">
                  <c:v>4</c:v>
                </c:pt>
                <c:pt idx="43">
                  <c:v>4</c:v>
                </c:pt>
                <c:pt idx="44">
                  <c:v>4</c:v>
                </c:pt>
                <c:pt idx="45">
                  <c:v>4</c:v>
                </c:pt>
                <c:pt idx="46">
                  <c:v>4</c:v>
                </c:pt>
                <c:pt idx="47">
                  <c:v>4</c:v>
                </c:pt>
                <c:pt idx="48">
                  <c:v>4</c:v>
                </c:pt>
                <c:pt idx="49">
                  <c:v>4</c:v>
                </c:pt>
              </c:numCache>
            </c:numRef>
          </c:val>
          <c:extLst xmlns:c16r2="http://schemas.microsoft.com/office/drawing/2015/06/chart">
            <c:ext xmlns:c16="http://schemas.microsoft.com/office/drawing/2014/chart" uri="{C3380CC4-5D6E-409C-BE32-E72D297353CC}">
              <c16:uniqueId val="{00000007-968C-4753-94AE-6B08DFBE7C56}"/>
            </c:ext>
          </c:extLst>
        </c:ser>
        <c:dLbls>
          <c:showLegendKey val="0"/>
          <c:showVal val="0"/>
          <c:showCatName val="0"/>
          <c:showSerName val="0"/>
          <c:showPercent val="0"/>
          <c:showBubbleSize val="0"/>
        </c:dLbls>
        <c:axId val="151076864"/>
        <c:axId val="151078400"/>
      </c:areaChart>
      <c:dateAx>
        <c:axId val="151076864"/>
        <c:scaling>
          <c:orientation val="minMax"/>
        </c:scaling>
        <c:delete val="0"/>
        <c:axPos val="b"/>
        <c:numFmt formatCode="m/d/yyyy" sourceLinked="1"/>
        <c:majorTickMark val="out"/>
        <c:minorTickMark val="none"/>
        <c:tickLblPos val="nextTo"/>
        <c:crossAx val="151078400"/>
        <c:crosses val="autoZero"/>
        <c:auto val="1"/>
        <c:lblOffset val="100"/>
        <c:baseTimeUnit val="days"/>
      </c:dateAx>
      <c:valAx>
        <c:axId val="151078400"/>
        <c:scaling>
          <c:orientation val="minMax"/>
        </c:scaling>
        <c:delete val="0"/>
        <c:axPos val="l"/>
        <c:majorGridlines/>
        <c:numFmt formatCode="General" sourceLinked="1"/>
        <c:majorTickMark val="out"/>
        <c:minorTickMark val="none"/>
        <c:tickLblPos val="nextTo"/>
        <c:crossAx val="151076864"/>
        <c:crosses val="autoZero"/>
        <c:crossBetween val="midCat"/>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3"/>
          <c:order val="0"/>
          <c:tx>
            <c:strRef>
              <c:f>'CF (Enablers #)'!$K$1</c:f>
              <c:strCache>
                <c:ptCount val="1"/>
                <c:pt idx="0">
                  <c:v>Done</c:v>
                </c:pt>
              </c:strCache>
            </c:strRef>
          </c:tx>
          <c:spPr>
            <a:solidFill>
              <a:schemeClr val="tx2">
                <a:lumMod val="60000"/>
                <a:lumOff val="40000"/>
              </a:schemeClr>
            </a:solidFill>
          </c:spPr>
          <c:cat>
            <c:numRef>
              <c:f>'CF (Enablers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(Enablers #)'!$K$2:$K$51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0-AAE0-4C20-9AAC-3C5BF50F8C4B}"/>
            </c:ext>
          </c:extLst>
        </c:ser>
        <c:ser>
          <c:idx val="7"/>
          <c:order val="1"/>
          <c:tx>
            <c:strRef>
              <c:f>'CF (Enablers #)'!$J$1</c:f>
              <c:strCache>
                <c:ptCount val="1"/>
                <c:pt idx="0">
                  <c:v>Releasing</c:v>
                </c:pt>
              </c:strCache>
            </c:strRef>
          </c:tx>
          <c:spPr>
            <a:ln w="25400">
              <a:noFill/>
            </a:ln>
          </c:spPr>
          <c:val>
            <c:numRef>
              <c:f>'CF (Enablers #)'!$J$2:$J$51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1-AAE0-4C20-9AAC-3C5BF50F8C4B}"/>
            </c:ext>
          </c:extLst>
        </c:ser>
        <c:ser>
          <c:idx val="6"/>
          <c:order val="2"/>
          <c:tx>
            <c:strRef>
              <c:f>'CF (Enablers #)'!$I$1</c:f>
              <c:strCache>
                <c:ptCount val="1"/>
                <c:pt idx="0">
                  <c:v>Deploying to production</c:v>
                </c:pt>
              </c:strCache>
            </c:strRef>
          </c:tx>
          <c:spPr>
            <a:ln w="25400">
              <a:noFill/>
            </a:ln>
          </c:spPr>
          <c:val>
            <c:numRef>
              <c:f>'CF (Enablers #)'!$I$2:$I$51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2-AAE0-4C20-9AAC-3C5BF50F8C4B}"/>
            </c:ext>
          </c:extLst>
        </c:ser>
        <c:ser>
          <c:idx val="5"/>
          <c:order val="3"/>
          <c:tx>
            <c:strRef>
              <c:f>'CF (Enablers #)'!$H$1</c:f>
              <c:strCache>
                <c:ptCount val="1"/>
                <c:pt idx="0">
                  <c:v>Validating on Staging</c:v>
                </c:pt>
              </c:strCache>
            </c:strRef>
          </c:tx>
          <c:spPr>
            <a:solidFill>
              <a:srgbClr val="FFFF00"/>
            </a:solidFill>
            <a:ln w="25400">
              <a:noFill/>
            </a:ln>
          </c:spPr>
          <c:val>
            <c:numRef>
              <c:f>'CF (Enablers #)'!$H$2:$H$51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3-AAE0-4C20-9AAC-3C5BF50F8C4B}"/>
            </c:ext>
          </c:extLst>
        </c:ser>
        <c:ser>
          <c:idx val="4"/>
          <c:order val="4"/>
          <c:tx>
            <c:strRef>
              <c:f>'CF (Enablers #)'!$G$1</c:f>
              <c:strCache>
                <c:ptCount val="1"/>
                <c:pt idx="0">
                  <c:v>Implementing</c:v>
                </c:pt>
              </c:strCache>
            </c:strRef>
          </c:tx>
          <c:spPr>
            <a:solidFill>
              <a:srgbClr val="00B0F0"/>
            </a:solidFill>
            <a:ln w="25400">
              <a:noFill/>
            </a:ln>
          </c:spPr>
          <c:val>
            <c:numRef>
              <c:f>'CF (Enablers #)'!$G$2:$G$51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4</c:v>
                </c:pt>
                <c:pt idx="36">
                  <c:v>4</c:v>
                </c:pt>
                <c:pt idx="37">
                  <c:v>4</c:v>
                </c:pt>
                <c:pt idx="38">
                  <c:v>4</c:v>
                </c:pt>
                <c:pt idx="39">
                  <c:v>3</c:v>
                </c:pt>
                <c:pt idx="40">
                  <c:v>3</c:v>
                </c:pt>
                <c:pt idx="41">
                  <c:v>3</c:v>
                </c:pt>
                <c:pt idx="42">
                  <c:v>3</c:v>
                </c:pt>
                <c:pt idx="43">
                  <c:v>3</c:v>
                </c:pt>
                <c:pt idx="44">
                  <c:v>3</c:v>
                </c:pt>
                <c:pt idx="45">
                  <c:v>3</c:v>
                </c:pt>
                <c:pt idx="46">
                  <c:v>3</c:v>
                </c:pt>
                <c:pt idx="47">
                  <c:v>3</c:v>
                </c:pt>
                <c:pt idx="48">
                  <c:v>3</c:v>
                </c:pt>
                <c:pt idx="49">
                  <c:v>3</c:v>
                </c:pt>
              </c:numCache>
            </c:numRef>
          </c:val>
          <c:extLst xmlns:c16r2="http://schemas.microsoft.com/office/drawing/2015/06/chart">
            <c:ext xmlns:c16="http://schemas.microsoft.com/office/drawing/2014/chart" uri="{C3380CC4-5D6E-409C-BE32-E72D297353CC}">
              <c16:uniqueId val="{00000004-AAE0-4C20-9AAC-3C5BF50F8C4B}"/>
            </c:ext>
          </c:extLst>
        </c:ser>
        <c:ser>
          <c:idx val="2"/>
          <c:order val="5"/>
          <c:tx>
            <c:strRef>
              <c:f>'CF (Enablers #)'!$F$1</c:f>
              <c:strCache>
                <c:ptCount val="1"/>
                <c:pt idx="0">
                  <c:v>Backlog</c:v>
                </c:pt>
              </c:strCache>
            </c:strRef>
          </c:tx>
          <c:spPr>
            <a:solidFill>
              <a:schemeClr val="accent6"/>
            </a:solidFill>
          </c:spPr>
          <c:cat>
            <c:numRef>
              <c:f>'CF (Enablers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(Enablers #)'!$F$2:$F$51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numCache>
            </c:numRef>
          </c:val>
          <c:extLst xmlns:c16r2="http://schemas.microsoft.com/office/drawing/2015/06/chart">
            <c:ext xmlns:c16="http://schemas.microsoft.com/office/drawing/2014/chart" uri="{C3380CC4-5D6E-409C-BE32-E72D297353CC}">
              <c16:uniqueId val="{00000005-AAE0-4C20-9AAC-3C5BF50F8C4B}"/>
            </c:ext>
          </c:extLst>
        </c:ser>
        <c:ser>
          <c:idx val="1"/>
          <c:order val="6"/>
          <c:tx>
            <c:strRef>
              <c:f>'CF (Enablers #)'!$E$1</c:f>
              <c:strCache>
                <c:ptCount val="1"/>
                <c:pt idx="0">
                  <c:v>Analyzing</c:v>
                </c:pt>
              </c:strCache>
            </c:strRef>
          </c:tx>
          <c:spPr>
            <a:solidFill>
              <a:srgbClr val="7030A0"/>
            </a:solidFill>
          </c:spPr>
          <c:cat>
            <c:numRef>
              <c:f>'CF (Enablers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(Enablers #)'!$E$2:$E$51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6-AAE0-4C20-9AAC-3C5BF50F8C4B}"/>
            </c:ext>
          </c:extLst>
        </c:ser>
        <c:ser>
          <c:idx val="0"/>
          <c:order val="7"/>
          <c:tx>
            <c:strRef>
              <c:f>'CF (Enablers #)'!$D$1</c:f>
              <c:strCache>
                <c:ptCount val="1"/>
                <c:pt idx="0">
                  <c:v>Funnel</c:v>
                </c:pt>
              </c:strCache>
            </c:strRef>
          </c:tx>
          <c:spPr>
            <a:solidFill>
              <a:srgbClr val="CC6600"/>
            </a:solidFill>
          </c:spPr>
          <c:cat>
            <c:numRef>
              <c:f>'CF (Enablers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(Enablers #)'!$D$2:$D$51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7-AAE0-4C20-9AAC-3C5BF50F8C4B}"/>
            </c:ext>
          </c:extLst>
        </c:ser>
        <c:dLbls>
          <c:showLegendKey val="0"/>
          <c:showVal val="0"/>
          <c:showCatName val="0"/>
          <c:showSerName val="0"/>
          <c:showPercent val="0"/>
          <c:showBubbleSize val="0"/>
        </c:dLbls>
        <c:axId val="159926528"/>
        <c:axId val="159936512"/>
      </c:areaChart>
      <c:dateAx>
        <c:axId val="159926528"/>
        <c:scaling>
          <c:orientation val="minMax"/>
        </c:scaling>
        <c:delete val="0"/>
        <c:axPos val="b"/>
        <c:numFmt formatCode="m/d/yyyy" sourceLinked="1"/>
        <c:majorTickMark val="out"/>
        <c:minorTickMark val="none"/>
        <c:tickLblPos val="nextTo"/>
        <c:crossAx val="159936512"/>
        <c:crosses val="autoZero"/>
        <c:auto val="1"/>
        <c:lblOffset val="100"/>
        <c:baseTimeUnit val="days"/>
      </c:dateAx>
      <c:valAx>
        <c:axId val="159936512"/>
        <c:scaling>
          <c:orientation val="minMax"/>
        </c:scaling>
        <c:delete val="0"/>
        <c:axPos val="l"/>
        <c:majorGridlines/>
        <c:numFmt formatCode="General" sourceLinked="1"/>
        <c:majorTickMark val="out"/>
        <c:minorTickMark val="none"/>
        <c:tickLblPos val="nextTo"/>
        <c:crossAx val="159926528"/>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3"/>
          <c:order val="0"/>
          <c:tx>
            <c:strRef>
              <c:f>'CF (Enablers #)'!$K$1</c:f>
              <c:strCache>
                <c:ptCount val="1"/>
                <c:pt idx="0">
                  <c:v>Done</c:v>
                </c:pt>
              </c:strCache>
            </c:strRef>
          </c:tx>
          <c:spPr>
            <a:solidFill>
              <a:schemeClr val="tx2">
                <a:lumMod val="60000"/>
                <a:lumOff val="40000"/>
              </a:schemeClr>
            </a:solidFill>
          </c:spPr>
          <c:cat>
            <c:numRef>
              <c:f>'CF (Enablers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(Enablers #)'!$K$2:$K$51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0-7C3B-4B52-BF51-C51808EFD94F}"/>
            </c:ext>
          </c:extLst>
        </c:ser>
        <c:ser>
          <c:idx val="7"/>
          <c:order val="1"/>
          <c:tx>
            <c:strRef>
              <c:f>'CF (Enablers #)'!$J$1</c:f>
              <c:strCache>
                <c:ptCount val="1"/>
                <c:pt idx="0">
                  <c:v>Releasing</c:v>
                </c:pt>
              </c:strCache>
            </c:strRef>
          </c:tx>
          <c:spPr>
            <a:ln w="25400">
              <a:noFill/>
            </a:ln>
          </c:spPr>
          <c:val>
            <c:numRef>
              <c:f>'CF (Enablers #)'!$J$2:$J$51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1-7C3B-4B52-BF51-C51808EFD94F}"/>
            </c:ext>
          </c:extLst>
        </c:ser>
        <c:ser>
          <c:idx val="6"/>
          <c:order val="2"/>
          <c:tx>
            <c:strRef>
              <c:f>'CF (Enablers #)'!$I$1</c:f>
              <c:strCache>
                <c:ptCount val="1"/>
                <c:pt idx="0">
                  <c:v>Deploying to production</c:v>
                </c:pt>
              </c:strCache>
            </c:strRef>
          </c:tx>
          <c:spPr>
            <a:ln w="25400">
              <a:noFill/>
            </a:ln>
          </c:spPr>
          <c:val>
            <c:numRef>
              <c:f>'CF (Enablers #)'!$I$2:$I$51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2-7C3B-4B52-BF51-C51808EFD94F}"/>
            </c:ext>
          </c:extLst>
        </c:ser>
        <c:ser>
          <c:idx val="5"/>
          <c:order val="3"/>
          <c:tx>
            <c:strRef>
              <c:f>'CF (Enablers #)'!$H$1</c:f>
              <c:strCache>
                <c:ptCount val="1"/>
                <c:pt idx="0">
                  <c:v>Validating on Staging</c:v>
                </c:pt>
              </c:strCache>
            </c:strRef>
          </c:tx>
          <c:spPr>
            <a:solidFill>
              <a:srgbClr val="FFFF00"/>
            </a:solidFill>
            <a:ln w="25400">
              <a:noFill/>
            </a:ln>
          </c:spPr>
          <c:val>
            <c:numRef>
              <c:f>'CF (Enablers #)'!$H$2:$H$51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3-7C3B-4B52-BF51-C51808EFD94F}"/>
            </c:ext>
          </c:extLst>
        </c:ser>
        <c:ser>
          <c:idx val="4"/>
          <c:order val="4"/>
          <c:tx>
            <c:strRef>
              <c:f>'CF (Enablers #)'!$G$1</c:f>
              <c:strCache>
                <c:ptCount val="1"/>
                <c:pt idx="0">
                  <c:v>Implementing</c:v>
                </c:pt>
              </c:strCache>
            </c:strRef>
          </c:tx>
          <c:spPr>
            <a:solidFill>
              <a:srgbClr val="00B0F0"/>
            </a:solidFill>
            <a:ln w="25400">
              <a:noFill/>
            </a:ln>
          </c:spPr>
          <c:val>
            <c:numRef>
              <c:f>'CF (Enablers #)'!$G$2:$G$51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4</c:v>
                </c:pt>
                <c:pt idx="36">
                  <c:v>4</c:v>
                </c:pt>
                <c:pt idx="37">
                  <c:v>4</c:v>
                </c:pt>
                <c:pt idx="38">
                  <c:v>4</c:v>
                </c:pt>
                <c:pt idx="39">
                  <c:v>3</c:v>
                </c:pt>
                <c:pt idx="40">
                  <c:v>3</c:v>
                </c:pt>
                <c:pt idx="41">
                  <c:v>3</c:v>
                </c:pt>
                <c:pt idx="42">
                  <c:v>3</c:v>
                </c:pt>
                <c:pt idx="43">
                  <c:v>3</c:v>
                </c:pt>
                <c:pt idx="44">
                  <c:v>3</c:v>
                </c:pt>
                <c:pt idx="45">
                  <c:v>3</c:v>
                </c:pt>
                <c:pt idx="46">
                  <c:v>3</c:v>
                </c:pt>
                <c:pt idx="47">
                  <c:v>3</c:v>
                </c:pt>
                <c:pt idx="48">
                  <c:v>3</c:v>
                </c:pt>
                <c:pt idx="49">
                  <c:v>3</c:v>
                </c:pt>
              </c:numCache>
            </c:numRef>
          </c:val>
          <c:extLst xmlns:c16r2="http://schemas.microsoft.com/office/drawing/2015/06/chart">
            <c:ext xmlns:c16="http://schemas.microsoft.com/office/drawing/2014/chart" uri="{C3380CC4-5D6E-409C-BE32-E72D297353CC}">
              <c16:uniqueId val="{00000004-7C3B-4B52-BF51-C51808EFD94F}"/>
            </c:ext>
          </c:extLst>
        </c:ser>
        <c:ser>
          <c:idx val="2"/>
          <c:order val="5"/>
          <c:tx>
            <c:strRef>
              <c:f>'CF (Enablers #)'!$F$1</c:f>
              <c:strCache>
                <c:ptCount val="1"/>
                <c:pt idx="0">
                  <c:v>Backlog</c:v>
                </c:pt>
              </c:strCache>
            </c:strRef>
          </c:tx>
          <c:spPr>
            <a:solidFill>
              <a:schemeClr val="accent6"/>
            </a:solidFill>
          </c:spPr>
          <c:cat>
            <c:numRef>
              <c:f>'CF (Enablers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(Enablers #)'!$F$2:$F$51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numCache>
            </c:numRef>
          </c:val>
          <c:extLst xmlns:c16r2="http://schemas.microsoft.com/office/drawing/2015/06/chart">
            <c:ext xmlns:c16="http://schemas.microsoft.com/office/drawing/2014/chart" uri="{C3380CC4-5D6E-409C-BE32-E72D297353CC}">
              <c16:uniqueId val="{00000005-7C3B-4B52-BF51-C51808EFD94F}"/>
            </c:ext>
          </c:extLst>
        </c:ser>
        <c:ser>
          <c:idx val="1"/>
          <c:order val="6"/>
          <c:tx>
            <c:strRef>
              <c:f>'CF (Enablers #)'!$E$1</c:f>
              <c:strCache>
                <c:ptCount val="1"/>
                <c:pt idx="0">
                  <c:v>Analyzing</c:v>
                </c:pt>
              </c:strCache>
            </c:strRef>
          </c:tx>
          <c:spPr>
            <a:solidFill>
              <a:srgbClr val="7030A0"/>
            </a:solidFill>
          </c:spPr>
          <c:cat>
            <c:numRef>
              <c:f>'CF (Enablers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(Enablers #)'!$E$2:$E$51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6-7C3B-4B52-BF51-C51808EFD94F}"/>
            </c:ext>
          </c:extLst>
        </c:ser>
        <c:ser>
          <c:idx val="0"/>
          <c:order val="7"/>
          <c:tx>
            <c:strRef>
              <c:f>'CF (Enablers #)'!$D$1</c:f>
              <c:strCache>
                <c:ptCount val="1"/>
                <c:pt idx="0">
                  <c:v>Funnel</c:v>
                </c:pt>
              </c:strCache>
            </c:strRef>
          </c:tx>
          <c:spPr>
            <a:solidFill>
              <a:srgbClr val="CC6600"/>
            </a:solidFill>
          </c:spPr>
          <c:cat>
            <c:numRef>
              <c:f>'CF (Enablers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(Enablers #)'!$D$2:$D$51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7-7C3B-4B52-BF51-C51808EFD94F}"/>
            </c:ext>
          </c:extLst>
        </c:ser>
        <c:dLbls>
          <c:showLegendKey val="0"/>
          <c:showVal val="0"/>
          <c:showCatName val="0"/>
          <c:showSerName val="0"/>
          <c:showPercent val="0"/>
          <c:showBubbleSize val="0"/>
        </c:dLbls>
        <c:axId val="159471104"/>
        <c:axId val="159472640"/>
      </c:areaChart>
      <c:dateAx>
        <c:axId val="159471104"/>
        <c:scaling>
          <c:orientation val="minMax"/>
        </c:scaling>
        <c:delete val="0"/>
        <c:axPos val="b"/>
        <c:numFmt formatCode="m/d/yyyy" sourceLinked="1"/>
        <c:majorTickMark val="out"/>
        <c:minorTickMark val="none"/>
        <c:tickLblPos val="nextTo"/>
        <c:crossAx val="159472640"/>
        <c:crosses val="autoZero"/>
        <c:auto val="1"/>
        <c:lblOffset val="100"/>
        <c:baseTimeUnit val="days"/>
      </c:dateAx>
      <c:valAx>
        <c:axId val="159472640"/>
        <c:scaling>
          <c:orientation val="minMax"/>
        </c:scaling>
        <c:delete val="0"/>
        <c:axPos val="l"/>
        <c:majorGridlines/>
        <c:numFmt formatCode="General" sourceLinked="1"/>
        <c:majorTickMark val="out"/>
        <c:minorTickMark val="none"/>
        <c:tickLblPos val="nextTo"/>
        <c:crossAx val="159471104"/>
        <c:crosses val="autoZero"/>
        <c:crossBetween val="midCat"/>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3"/>
          <c:order val="0"/>
          <c:tx>
            <c:strRef>
              <c:f>'CF (Enablers SP)'!$K$1</c:f>
              <c:strCache>
                <c:ptCount val="1"/>
                <c:pt idx="0">
                  <c:v>Done</c:v>
                </c:pt>
              </c:strCache>
            </c:strRef>
          </c:tx>
          <c:spPr>
            <a:solidFill>
              <a:schemeClr val="tx2">
                <a:lumMod val="60000"/>
                <a:lumOff val="40000"/>
              </a:schemeClr>
            </a:solidFill>
          </c:spPr>
          <c:cat>
            <c:numRef>
              <c:f>'CF (Enablers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(Enablers SP)'!$K$2:$K$51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10</c:v>
                </c:pt>
                <c:pt idx="34">
                  <c:v>10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0-C064-4EBA-B647-B4A65D72A64F}"/>
            </c:ext>
          </c:extLst>
        </c:ser>
        <c:ser>
          <c:idx val="7"/>
          <c:order val="1"/>
          <c:tx>
            <c:strRef>
              <c:f>'CF (Enablers SP)'!$J$1</c:f>
              <c:strCache>
                <c:ptCount val="1"/>
                <c:pt idx="0">
                  <c:v>Releasing</c:v>
                </c:pt>
              </c:strCache>
            </c:strRef>
          </c:tx>
          <c:spPr>
            <a:ln w="25400">
              <a:noFill/>
            </a:ln>
          </c:spPr>
          <c:val>
            <c:numRef>
              <c:f>'CF (Enablers SP)'!$J$2:$J$51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1-C064-4EBA-B647-B4A65D72A64F}"/>
            </c:ext>
          </c:extLst>
        </c:ser>
        <c:ser>
          <c:idx val="6"/>
          <c:order val="2"/>
          <c:tx>
            <c:strRef>
              <c:f>'CF (Enablers SP)'!$I$1</c:f>
              <c:strCache>
                <c:ptCount val="1"/>
                <c:pt idx="0">
                  <c:v>Deploying to production</c:v>
                </c:pt>
              </c:strCache>
            </c:strRef>
          </c:tx>
          <c:spPr>
            <a:ln w="25400">
              <a:noFill/>
            </a:ln>
          </c:spPr>
          <c:val>
            <c:numRef>
              <c:f>'CF (Enablers SP)'!$I$2:$I$51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2-C064-4EBA-B647-B4A65D72A64F}"/>
            </c:ext>
          </c:extLst>
        </c:ser>
        <c:ser>
          <c:idx val="5"/>
          <c:order val="3"/>
          <c:tx>
            <c:strRef>
              <c:f>'CF (Enablers SP)'!$H$1</c:f>
              <c:strCache>
                <c:ptCount val="1"/>
                <c:pt idx="0">
                  <c:v>Validating on Staging</c:v>
                </c:pt>
              </c:strCache>
            </c:strRef>
          </c:tx>
          <c:spPr>
            <a:solidFill>
              <a:srgbClr val="FFFF00"/>
            </a:solidFill>
            <a:ln w="25400">
              <a:noFill/>
            </a:ln>
          </c:spPr>
          <c:val>
            <c:numRef>
              <c:f>'CF (Enablers SP)'!$H$2:$H$51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1</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3-C064-4EBA-B647-B4A65D72A64F}"/>
            </c:ext>
          </c:extLst>
        </c:ser>
        <c:ser>
          <c:idx val="4"/>
          <c:order val="4"/>
          <c:tx>
            <c:strRef>
              <c:f>'CF (Enablers SP)'!$G$1</c:f>
              <c:strCache>
                <c:ptCount val="1"/>
                <c:pt idx="0">
                  <c:v>Implementing</c:v>
                </c:pt>
              </c:strCache>
            </c:strRef>
          </c:tx>
          <c:spPr>
            <a:solidFill>
              <a:srgbClr val="00B0F0"/>
            </a:solidFill>
            <a:ln w="25400">
              <a:noFill/>
            </a:ln>
          </c:spPr>
          <c:val>
            <c:numRef>
              <c:f>'CF (Enablers SP)'!$G$2:$G$51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18</c:v>
                </c:pt>
                <c:pt idx="34">
                  <c:v>18</c:v>
                </c:pt>
                <c:pt idx="35">
                  <c:v>1</c:v>
                </c:pt>
                <c:pt idx="36">
                  <c:v>5</c:v>
                </c:pt>
                <c:pt idx="37">
                  <c:v>5</c:v>
                </c:pt>
                <c:pt idx="38">
                  <c:v>5</c:v>
                </c:pt>
                <c:pt idx="39">
                  <c:v>1</c:v>
                </c:pt>
                <c:pt idx="40">
                  <c:v>1</c:v>
                </c:pt>
                <c:pt idx="41">
                  <c:v>1</c:v>
                </c:pt>
                <c:pt idx="42">
                  <c:v>1</c:v>
                </c:pt>
                <c:pt idx="43">
                  <c:v>1</c:v>
                </c:pt>
                <c:pt idx="44">
                  <c:v>1</c:v>
                </c:pt>
                <c:pt idx="45">
                  <c:v>1</c:v>
                </c:pt>
                <c:pt idx="46">
                  <c:v>1</c:v>
                </c:pt>
                <c:pt idx="47">
                  <c:v>1</c:v>
                </c:pt>
                <c:pt idx="48">
                  <c:v>1</c:v>
                </c:pt>
                <c:pt idx="49">
                  <c:v>1</c:v>
                </c:pt>
              </c:numCache>
            </c:numRef>
          </c:val>
          <c:extLst xmlns:c16r2="http://schemas.microsoft.com/office/drawing/2015/06/chart">
            <c:ext xmlns:c16="http://schemas.microsoft.com/office/drawing/2014/chart" uri="{C3380CC4-5D6E-409C-BE32-E72D297353CC}">
              <c16:uniqueId val="{00000004-C064-4EBA-B647-B4A65D72A64F}"/>
            </c:ext>
          </c:extLst>
        </c:ser>
        <c:ser>
          <c:idx val="2"/>
          <c:order val="5"/>
          <c:tx>
            <c:strRef>
              <c:f>'CF (Enablers SP)'!$F$1</c:f>
              <c:strCache>
                <c:ptCount val="1"/>
                <c:pt idx="0">
                  <c:v>Backlog</c:v>
                </c:pt>
              </c:strCache>
            </c:strRef>
          </c:tx>
          <c:spPr>
            <a:solidFill>
              <a:schemeClr val="accent6"/>
            </a:solidFill>
          </c:spPr>
          <c:cat>
            <c:numRef>
              <c:f>'CF (Enablers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(Enablers SP)'!$F$2:$F$51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9</c:v>
                </c:pt>
                <c:pt idx="34">
                  <c:v>9</c:v>
                </c:pt>
                <c:pt idx="35">
                  <c:v>0</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numCache>
            </c:numRef>
          </c:val>
          <c:extLst xmlns:c16r2="http://schemas.microsoft.com/office/drawing/2015/06/chart">
            <c:ext xmlns:c16="http://schemas.microsoft.com/office/drawing/2014/chart" uri="{C3380CC4-5D6E-409C-BE32-E72D297353CC}">
              <c16:uniqueId val="{00000005-C064-4EBA-B647-B4A65D72A64F}"/>
            </c:ext>
          </c:extLst>
        </c:ser>
        <c:ser>
          <c:idx val="1"/>
          <c:order val="6"/>
          <c:tx>
            <c:strRef>
              <c:f>'CF (Enablers SP)'!$E$1</c:f>
              <c:strCache>
                <c:ptCount val="1"/>
                <c:pt idx="0">
                  <c:v>Analyzing</c:v>
                </c:pt>
              </c:strCache>
            </c:strRef>
          </c:tx>
          <c:spPr>
            <a:solidFill>
              <a:srgbClr val="7030A0"/>
            </a:solidFill>
          </c:spPr>
          <c:cat>
            <c:numRef>
              <c:f>'CF (Enablers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(Enablers SP)'!$E$2:$E$51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2</c:v>
                </c:pt>
                <c:pt idx="34">
                  <c:v>2</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6-C064-4EBA-B647-B4A65D72A64F}"/>
            </c:ext>
          </c:extLst>
        </c:ser>
        <c:ser>
          <c:idx val="0"/>
          <c:order val="7"/>
          <c:tx>
            <c:strRef>
              <c:f>'CF (Enablers SP)'!$D$1</c:f>
              <c:strCache>
                <c:ptCount val="1"/>
                <c:pt idx="0">
                  <c:v>Funnel</c:v>
                </c:pt>
              </c:strCache>
            </c:strRef>
          </c:tx>
          <c:spPr>
            <a:solidFill>
              <a:srgbClr val="CC6600"/>
            </a:solidFill>
          </c:spPr>
          <c:cat>
            <c:numRef>
              <c:f>'CF (Enablers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(Enablers SP)'!$D$2:$D$51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4</c:v>
                </c:pt>
                <c:pt idx="34">
                  <c:v>4</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7-C064-4EBA-B647-B4A65D72A64F}"/>
            </c:ext>
          </c:extLst>
        </c:ser>
        <c:dLbls>
          <c:showLegendKey val="0"/>
          <c:showVal val="0"/>
          <c:showCatName val="0"/>
          <c:showSerName val="0"/>
          <c:showPercent val="0"/>
          <c:showBubbleSize val="0"/>
        </c:dLbls>
        <c:axId val="159985024"/>
        <c:axId val="159990912"/>
      </c:areaChart>
      <c:dateAx>
        <c:axId val="159985024"/>
        <c:scaling>
          <c:orientation val="minMax"/>
        </c:scaling>
        <c:delete val="0"/>
        <c:axPos val="b"/>
        <c:numFmt formatCode="m/d/yyyy" sourceLinked="1"/>
        <c:majorTickMark val="out"/>
        <c:minorTickMark val="none"/>
        <c:tickLblPos val="nextTo"/>
        <c:crossAx val="159990912"/>
        <c:crosses val="autoZero"/>
        <c:auto val="1"/>
        <c:lblOffset val="100"/>
        <c:baseTimeUnit val="days"/>
      </c:dateAx>
      <c:valAx>
        <c:axId val="159990912"/>
        <c:scaling>
          <c:orientation val="minMax"/>
        </c:scaling>
        <c:delete val="0"/>
        <c:axPos val="l"/>
        <c:majorGridlines/>
        <c:numFmt formatCode="General" sourceLinked="1"/>
        <c:majorTickMark val="out"/>
        <c:minorTickMark val="none"/>
        <c:tickLblPos val="nextTo"/>
        <c:crossAx val="159985024"/>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5"/>
          <c:order val="0"/>
          <c:tx>
            <c:strRef>
              <c:f>'CF (Stories #)'!$H$1</c:f>
              <c:strCache>
                <c:ptCount val="1"/>
                <c:pt idx="0">
                  <c:v>Done</c:v>
                </c:pt>
              </c:strCache>
            </c:strRef>
          </c:tx>
          <c:spPr>
            <a:solidFill>
              <a:srgbClr val="FFFF00"/>
            </a:solidFill>
            <a:ln w="25400">
              <a:noFill/>
            </a:ln>
          </c:spPr>
          <c:val>
            <c:numRef>
              <c:f>'CF (Stories #)'!$H$2:$H$51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79</c:v>
                </c:pt>
                <c:pt idx="36">
                  <c:v>82</c:v>
                </c:pt>
                <c:pt idx="37">
                  <c:v>82</c:v>
                </c:pt>
                <c:pt idx="38">
                  <c:v>82</c:v>
                </c:pt>
                <c:pt idx="39">
                  <c:v>82</c:v>
                </c:pt>
                <c:pt idx="40">
                  <c:v>82</c:v>
                </c:pt>
                <c:pt idx="41">
                  <c:v>82</c:v>
                </c:pt>
                <c:pt idx="42">
                  <c:v>82</c:v>
                </c:pt>
                <c:pt idx="43">
                  <c:v>82</c:v>
                </c:pt>
                <c:pt idx="44">
                  <c:v>82</c:v>
                </c:pt>
                <c:pt idx="45">
                  <c:v>82</c:v>
                </c:pt>
                <c:pt idx="46">
                  <c:v>82</c:v>
                </c:pt>
                <c:pt idx="47">
                  <c:v>82</c:v>
                </c:pt>
                <c:pt idx="48">
                  <c:v>82</c:v>
                </c:pt>
                <c:pt idx="49">
                  <c:v>82</c:v>
                </c:pt>
              </c:numCache>
            </c:numRef>
          </c:val>
          <c:extLst xmlns:c16r2="http://schemas.microsoft.com/office/drawing/2015/06/chart">
            <c:ext xmlns:c16="http://schemas.microsoft.com/office/drawing/2014/chart" uri="{C3380CC4-5D6E-409C-BE32-E72D297353CC}">
              <c16:uniqueId val="{00000000-2FFA-4982-AD84-52E66D86D800}"/>
            </c:ext>
          </c:extLst>
        </c:ser>
        <c:ser>
          <c:idx val="4"/>
          <c:order val="1"/>
          <c:tx>
            <c:strRef>
              <c:f>'CF (Stories #)'!$G$1</c:f>
              <c:strCache>
                <c:ptCount val="1"/>
                <c:pt idx="0">
                  <c:v>Close</c:v>
                </c:pt>
              </c:strCache>
            </c:strRef>
          </c:tx>
          <c:spPr>
            <a:solidFill>
              <a:srgbClr val="00B0F0"/>
            </a:solidFill>
            <a:ln w="25400">
              <a:noFill/>
            </a:ln>
          </c:spPr>
          <c:val>
            <c:numRef>
              <c:f>'CF (Stories #)'!$G$2:$G$51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26</c:v>
                </c:pt>
                <c:pt idx="36">
                  <c:v>27</c:v>
                </c:pt>
                <c:pt idx="37">
                  <c:v>27</c:v>
                </c:pt>
                <c:pt idx="38">
                  <c:v>27</c:v>
                </c:pt>
                <c:pt idx="39">
                  <c:v>30</c:v>
                </c:pt>
                <c:pt idx="40">
                  <c:v>30</c:v>
                </c:pt>
                <c:pt idx="41">
                  <c:v>30</c:v>
                </c:pt>
                <c:pt idx="42">
                  <c:v>30</c:v>
                </c:pt>
                <c:pt idx="43">
                  <c:v>30</c:v>
                </c:pt>
                <c:pt idx="44">
                  <c:v>30</c:v>
                </c:pt>
                <c:pt idx="45">
                  <c:v>30</c:v>
                </c:pt>
                <c:pt idx="46">
                  <c:v>30</c:v>
                </c:pt>
                <c:pt idx="47">
                  <c:v>30</c:v>
                </c:pt>
                <c:pt idx="48">
                  <c:v>30</c:v>
                </c:pt>
                <c:pt idx="49">
                  <c:v>30</c:v>
                </c:pt>
              </c:numCache>
            </c:numRef>
          </c:val>
          <c:extLst xmlns:c16r2="http://schemas.microsoft.com/office/drawing/2015/06/chart">
            <c:ext xmlns:c16="http://schemas.microsoft.com/office/drawing/2014/chart" uri="{C3380CC4-5D6E-409C-BE32-E72D297353CC}">
              <c16:uniqueId val="{00000001-2FFA-4982-AD84-52E66D86D800}"/>
            </c:ext>
          </c:extLst>
        </c:ser>
        <c:ser>
          <c:idx val="2"/>
          <c:order val="2"/>
          <c:tx>
            <c:strRef>
              <c:f>'CF (Stories #)'!$F$1</c:f>
              <c:strCache>
                <c:ptCount val="1"/>
                <c:pt idx="0">
                  <c:v>In review</c:v>
                </c:pt>
              </c:strCache>
            </c:strRef>
          </c:tx>
          <c:spPr>
            <a:solidFill>
              <a:schemeClr val="accent6"/>
            </a:solidFill>
          </c:spPr>
          <c:cat>
            <c:numRef>
              <c:f>'CF (Stories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(Stories #)'!$F$2:$F$51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4</c:v>
                </c:pt>
                <c:pt idx="36">
                  <c:v>8</c:v>
                </c:pt>
                <c:pt idx="37">
                  <c:v>8</c:v>
                </c:pt>
                <c:pt idx="38">
                  <c:v>8</c:v>
                </c:pt>
                <c:pt idx="39">
                  <c:v>9</c:v>
                </c:pt>
                <c:pt idx="40">
                  <c:v>9</c:v>
                </c:pt>
                <c:pt idx="41">
                  <c:v>9</c:v>
                </c:pt>
                <c:pt idx="42">
                  <c:v>9</c:v>
                </c:pt>
                <c:pt idx="43">
                  <c:v>9</c:v>
                </c:pt>
                <c:pt idx="44">
                  <c:v>9</c:v>
                </c:pt>
                <c:pt idx="45">
                  <c:v>9</c:v>
                </c:pt>
                <c:pt idx="46">
                  <c:v>9</c:v>
                </c:pt>
                <c:pt idx="47">
                  <c:v>9</c:v>
                </c:pt>
                <c:pt idx="48">
                  <c:v>9</c:v>
                </c:pt>
                <c:pt idx="49">
                  <c:v>9</c:v>
                </c:pt>
              </c:numCache>
            </c:numRef>
          </c:val>
          <c:extLst xmlns:c16r2="http://schemas.microsoft.com/office/drawing/2015/06/chart">
            <c:ext xmlns:c16="http://schemas.microsoft.com/office/drawing/2014/chart" uri="{C3380CC4-5D6E-409C-BE32-E72D297353CC}">
              <c16:uniqueId val="{00000002-2FFA-4982-AD84-52E66D86D800}"/>
            </c:ext>
          </c:extLst>
        </c:ser>
        <c:ser>
          <c:idx val="1"/>
          <c:order val="3"/>
          <c:tx>
            <c:strRef>
              <c:f>'CF (Stories #)'!$E$1</c:f>
              <c:strCache>
                <c:ptCount val="1"/>
                <c:pt idx="0">
                  <c:v>In Progress</c:v>
                </c:pt>
              </c:strCache>
            </c:strRef>
          </c:tx>
          <c:spPr>
            <a:solidFill>
              <a:srgbClr val="7030A0"/>
            </a:solidFill>
          </c:spPr>
          <c:cat>
            <c:numRef>
              <c:f>'CF (Stories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(Stories #)'!$E$2:$E$51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7</c:v>
                </c:pt>
                <c:pt idx="36">
                  <c:v>20</c:v>
                </c:pt>
                <c:pt idx="37">
                  <c:v>20</c:v>
                </c:pt>
                <c:pt idx="38">
                  <c:v>20</c:v>
                </c:pt>
                <c:pt idx="39">
                  <c:v>20</c:v>
                </c:pt>
                <c:pt idx="40">
                  <c:v>20</c:v>
                </c:pt>
                <c:pt idx="41">
                  <c:v>20</c:v>
                </c:pt>
                <c:pt idx="42">
                  <c:v>20</c:v>
                </c:pt>
                <c:pt idx="43">
                  <c:v>20</c:v>
                </c:pt>
                <c:pt idx="44">
                  <c:v>20</c:v>
                </c:pt>
                <c:pt idx="45">
                  <c:v>20</c:v>
                </c:pt>
                <c:pt idx="46">
                  <c:v>20</c:v>
                </c:pt>
                <c:pt idx="47">
                  <c:v>20</c:v>
                </c:pt>
                <c:pt idx="48">
                  <c:v>20</c:v>
                </c:pt>
                <c:pt idx="49">
                  <c:v>20</c:v>
                </c:pt>
              </c:numCache>
            </c:numRef>
          </c:val>
          <c:extLst xmlns:c16r2="http://schemas.microsoft.com/office/drawing/2015/06/chart">
            <c:ext xmlns:c16="http://schemas.microsoft.com/office/drawing/2014/chart" uri="{C3380CC4-5D6E-409C-BE32-E72D297353CC}">
              <c16:uniqueId val="{00000003-2FFA-4982-AD84-52E66D86D800}"/>
            </c:ext>
          </c:extLst>
        </c:ser>
        <c:ser>
          <c:idx val="0"/>
          <c:order val="4"/>
          <c:tx>
            <c:strRef>
              <c:f>'CF (Stories #)'!$D$1</c:f>
              <c:strCache>
                <c:ptCount val="1"/>
                <c:pt idx="0">
                  <c:v>Open</c:v>
                </c:pt>
              </c:strCache>
            </c:strRef>
          </c:tx>
          <c:spPr>
            <a:solidFill>
              <a:srgbClr val="CC6600"/>
            </a:solidFill>
          </c:spPr>
          <c:cat>
            <c:numRef>
              <c:f>'CF (Stories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(Stories #)'!$D$2:$D$51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3</c:v>
                </c:pt>
                <c:pt idx="36">
                  <c:v>47</c:v>
                </c:pt>
                <c:pt idx="37">
                  <c:v>47</c:v>
                </c:pt>
                <c:pt idx="38">
                  <c:v>47</c:v>
                </c:pt>
                <c:pt idx="39">
                  <c:v>42</c:v>
                </c:pt>
                <c:pt idx="40">
                  <c:v>42</c:v>
                </c:pt>
                <c:pt idx="41">
                  <c:v>42</c:v>
                </c:pt>
                <c:pt idx="42">
                  <c:v>42</c:v>
                </c:pt>
                <c:pt idx="43">
                  <c:v>42</c:v>
                </c:pt>
                <c:pt idx="44">
                  <c:v>42</c:v>
                </c:pt>
                <c:pt idx="45">
                  <c:v>42</c:v>
                </c:pt>
                <c:pt idx="46">
                  <c:v>42</c:v>
                </c:pt>
                <c:pt idx="47">
                  <c:v>42</c:v>
                </c:pt>
                <c:pt idx="48">
                  <c:v>42</c:v>
                </c:pt>
                <c:pt idx="49">
                  <c:v>42</c:v>
                </c:pt>
              </c:numCache>
            </c:numRef>
          </c:val>
          <c:extLst xmlns:c16r2="http://schemas.microsoft.com/office/drawing/2015/06/chart">
            <c:ext xmlns:c16="http://schemas.microsoft.com/office/drawing/2014/chart" uri="{C3380CC4-5D6E-409C-BE32-E72D297353CC}">
              <c16:uniqueId val="{00000004-2FFA-4982-AD84-52E66D86D800}"/>
            </c:ext>
          </c:extLst>
        </c:ser>
        <c:dLbls>
          <c:showLegendKey val="0"/>
          <c:showVal val="0"/>
          <c:showCatName val="0"/>
          <c:showSerName val="0"/>
          <c:showPercent val="0"/>
          <c:showBubbleSize val="0"/>
        </c:dLbls>
        <c:axId val="160028928"/>
        <c:axId val="162406400"/>
      </c:areaChart>
      <c:catAx>
        <c:axId val="160028928"/>
        <c:scaling>
          <c:orientation val="minMax"/>
        </c:scaling>
        <c:delete val="0"/>
        <c:axPos val="b"/>
        <c:numFmt formatCode="m/d/yyyy" sourceLinked="1"/>
        <c:majorTickMark val="out"/>
        <c:minorTickMark val="none"/>
        <c:tickLblPos val="nextTo"/>
        <c:crossAx val="162406400"/>
        <c:crosses val="autoZero"/>
        <c:auto val="1"/>
        <c:lblAlgn val="ctr"/>
        <c:lblOffset val="100"/>
        <c:noMultiLvlLbl val="0"/>
      </c:catAx>
      <c:valAx>
        <c:axId val="162406400"/>
        <c:scaling>
          <c:orientation val="minMax"/>
        </c:scaling>
        <c:delete val="0"/>
        <c:axPos val="l"/>
        <c:majorGridlines/>
        <c:numFmt formatCode="General" sourceLinked="1"/>
        <c:majorTickMark val="out"/>
        <c:minorTickMark val="none"/>
        <c:tickLblPos val="nextTo"/>
        <c:crossAx val="160028928"/>
        <c:crosses val="autoZero"/>
        <c:crossBetween val="midCat"/>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5"/>
          <c:order val="0"/>
          <c:tx>
            <c:strRef>
              <c:f>'CF (Stories SP)'!$H$1</c:f>
              <c:strCache>
                <c:ptCount val="1"/>
                <c:pt idx="0">
                  <c:v>Done</c:v>
                </c:pt>
              </c:strCache>
            </c:strRef>
          </c:tx>
          <c:spPr>
            <a:solidFill>
              <a:srgbClr val="FFFF00"/>
            </a:solidFill>
            <a:ln w="25400">
              <a:noFill/>
            </a:ln>
          </c:spPr>
          <c:val>
            <c:numRef>
              <c:f>'CF (Stories SP)'!$H$2:$H$51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185</c:v>
                </c:pt>
                <c:pt idx="36">
                  <c:v>311</c:v>
                </c:pt>
                <c:pt idx="37">
                  <c:v>311</c:v>
                </c:pt>
                <c:pt idx="38">
                  <c:v>311</c:v>
                </c:pt>
                <c:pt idx="39">
                  <c:v>311</c:v>
                </c:pt>
                <c:pt idx="40">
                  <c:v>311</c:v>
                </c:pt>
                <c:pt idx="41">
                  <c:v>311</c:v>
                </c:pt>
                <c:pt idx="42">
                  <c:v>311</c:v>
                </c:pt>
                <c:pt idx="43">
                  <c:v>311</c:v>
                </c:pt>
                <c:pt idx="44">
                  <c:v>311</c:v>
                </c:pt>
                <c:pt idx="45">
                  <c:v>311</c:v>
                </c:pt>
                <c:pt idx="46">
                  <c:v>311</c:v>
                </c:pt>
                <c:pt idx="47">
                  <c:v>311</c:v>
                </c:pt>
                <c:pt idx="48">
                  <c:v>311</c:v>
                </c:pt>
                <c:pt idx="49">
                  <c:v>311</c:v>
                </c:pt>
              </c:numCache>
            </c:numRef>
          </c:val>
          <c:extLst xmlns:c16r2="http://schemas.microsoft.com/office/drawing/2015/06/chart">
            <c:ext xmlns:c16="http://schemas.microsoft.com/office/drawing/2014/chart" uri="{C3380CC4-5D6E-409C-BE32-E72D297353CC}">
              <c16:uniqueId val="{00000000-E699-4D05-A6AB-16C61D3C2C47}"/>
            </c:ext>
          </c:extLst>
        </c:ser>
        <c:ser>
          <c:idx val="4"/>
          <c:order val="1"/>
          <c:tx>
            <c:strRef>
              <c:f>'CF (Stories SP)'!$G$1</c:f>
              <c:strCache>
                <c:ptCount val="1"/>
                <c:pt idx="0">
                  <c:v>Close</c:v>
                </c:pt>
              </c:strCache>
            </c:strRef>
          </c:tx>
          <c:spPr>
            <a:solidFill>
              <a:srgbClr val="00B0F0"/>
            </a:solidFill>
            <a:ln w="25400">
              <a:noFill/>
            </a:ln>
          </c:spPr>
          <c:val>
            <c:numRef>
              <c:f>'CF (Stories SP)'!$G$2:$G$51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99</c:v>
                </c:pt>
                <c:pt idx="36">
                  <c:v>120</c:v>
                </c:pt>
                <c:pt idx="37">
                  <c:v>120</c:v>
                </c:pt>
                <c:pt idx="38">
                  <c:v>120</c:v>
                </c:pt>
                <c:pt idx="39">
                  <c:v>143</c:v>
                </c:pt>
                <c:pt idx="40">
                  <c:v>143</c:v>
                </c:pt>
                <c:pt idx="41">
                  <c:v>143</c:v>
                </c:pt>
                <c:pt idx="42">
                  <c:v>143</c:v>
                </c:pt>
                <c:pt idx="43">
                  <c:v>143</c:v>
                </c:pt>
                <c:pt idx="44">
                  <c:v>143</c:v>
                </c:pt>
                <c:pt idx="45">
                  <c:v>143</c:v>
                </c:pt>
                <c:pt idx="46">
                  <c:v>143</c:v>
                </c:pt>
                <c:pt idx="47">
                  <c:v>143</c:v>
                </c:pt>
                <c:pt idx="48">
                  <c:v>143</c:v>
                </c:pt>
                <c:pt idx="49">
                  <c:v>143</c:v>
                </c:pt>
              </c:numCache>
            </c:numRef>
          </c:val>
          <c:extLst xmlns:c16r2="http://schemas.microsoft.com/office/drawing/2015/06/chart">
            <c:ext xmlns:c16="http://schemas.microsoft.com/office/drawing/2014/chart" uri="{C3380CC4-5D6E-409C-BE32-E72D297353CC}">
              <c16:uniqueId val="{00000001-E699-4D05-A6AB-16C61D3C2C47}"/>
            </c:ext>
          </c:extLst>
        </c:ser>
        <c:ser>
          <c:idx val="2"/>
          <c:order val="2"/>
          <c:tx>
            <c:strRef>
              <c:f>'CF (Stories SP)'!$F$1</c:f>
              <c:strCache>
                <c:ptCount val="1"/>
                <c:pt idx="0">
                  <c:v>In review</c:v>
                </c:pt>
              </c:strCache>
            </c:strRef>
          </c:tx>
          <c:spPr>
            <a:solidFill>
              <a:schemeClr val="accent6"/>
            </a:solidFill>
          </c:spPr>
          <c:cat>
            <c:numRef>
              <c:f>'CF (Stories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(Stories SP)'!$F$2:$F$51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23</c:v>
                </c:pt>
                <c:pt idx="36">
                  <c:v>60</c:v>
                </c:pt>
                <c:pt idx="37">
                  <c:v>60</c:v>
                </c:pt>
                <c:pt idx="38">
                  <c:v>60</c:v>
                </c:pt>
                <c:pt idx="39">
                  <c:v>68</c:v>
                </c:pt>
                <c:pt idx="40">
                  <c:v>68</c:v>
                </c:pt>
                <c:pt idx="41">
                  <c:v>68</c:v>
                </c:pt>
                <c:pt idx="42">
                  <c:v>68</c:v>
                </c:pt>
                <c:pt idx="43">
                  <c:v>68</c:v>
                </c:pt>
                <c:pt idx="44">
                  <c:v>68</c:v>
                </c:pt>
                <c:pt idx="45">
                  <c:v>68</c:v>
                </c:pt>
                <c:pt idx="46">
                  <c:v>68</c:v>
                </c:pt>
                <c:pt idx="47">
                  <c:v>68</c:v>
                </c:pt>
                <c:pt idx="48">
                  <c:v>68</c:v>
                </c:pt>
                <c:pt idx="49">
                  <c:v>68</c:v>
                </c:pt>
              </c:numCache>
            </c:numRef>
          </c:val>
          <c:extLst xmlns:c16r2="http://schemas.microsoft.com/office/drawing/2015/06/chart">
            <c:ext xmlns:c16="http://schemas.microsoft.com/office/drawing/2014/chart" uri="{C3380CC4-5D6E-409C-BE32-E72D297353CC}">
              <c16:uniqueId val="{00000002-E699-4D05-A6AB-16C61D3C2C47}"/>
            </c:ext>
          </c:extLst>
        </c:ser>
        <c:ser>
          <c:idx val="1"/>
          <c:order val="3"/>
          <c:tx>
            <c:strRef>
              <c:f>'CF (Stories SP)'!$E$1</c:f>
              <c:strCache>
                <c:ptCount val="1"/>
                <c:pt idx="0">
                  <c:v>In Progress</c:v>
                </c:pt>
              </c:strCache>
            </c:strRef>
          </c:tx>
          <c:spPr>
            <a:solidFill>
              <a:srgbClr val="7030A0"/>
            </a:solidFill>
          </c:spPr>
          <c:cat>
            <c:numRef>
              <c:f>'CF (Stories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(Stories SP)'!$E$2:$E$51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65</c:v>
                </c:pt>
                <c:pt idx="36">
                  <c:v>130</c:v>
                </c:pt>
                <c:pt idx="37">
                  <c:v>130</c:v>
                </c:pt>
                <c:pt idx="38">
                  <c:v>130</c:v>
                </c:pt>
                <c:pt idx="39">
                  <c:v>122</c:v>
                </c:pt>
                <c:pt idx="40">
                  <c:v>122</c:v>
                </c:pt>
                <c:pt idx="41">
                  <c:v>122</c:v>
                </c:pt>
                <c:pt idx="42">
                  <c:v>122</c:v>
                </c:pt>
                <c:pt idx="43">
                  <c:v>122</c:v>
                </c:pt>
                <c:pt idx="44">
                  <c:v>122</c:v>
                </c:pt>
                <c:pt idx="45">
                  <c:v>122</c:v>
                </c:pt>
                <c:pt idx="46">
                  <c:v>122</c:v>
                </c:pt>
                <c:pt idx="47">
                  <c:v>122</c:v>
                </c:pt>
                <c:pt idx="48">
                  <c:v>122</c:v>
                </c:pt>
                <c:pt idx="49">
                  <c:v>122</c:v>
                </c:pt>
              </c:numCache>
            </c:numRef>
          </c:val>
          <c:extLst xmlns:c16r2="http://schemas.microsoft.com/office/drawing/2015/06/chart">
            <c:ext xmlns:c16="http://schemas.microsoft.com/office/drawing/2014/chart" uri="{C3380CC4-5D6E-409C-BE32-E72D297353CC}">
              <c16:uniqueId val="{00000003-E699-4D05-A6AB-16C61D3C2C47}"/>
            </c:ext>
          </c:extLst>
        </c:ser>
        <c:ser>
          <c:idx val="0"/>
          <c:order val="4"/>
          <c:tx>
            <c:strRef>
              <c:f>'CF (Stories SP)'!$D$1</c:f>
              <c:strCache>
                <c:ptCount val="1"/>
                <c:pt idx="0">
                  <c:v>Open</c:v>
                </c:pt>
              </c:strCache>
            </c:strRef>
          </c:tx>
          <c:spPr>
            <a:solidFill>
              <a:srgbClr val="CC6600"/>
            </a:solidFill>
          </c:spPr>
          <c:cat>
            <c:numRef>
              <c:f>'CF (Stories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(Stories SP)'!$D$2:$D$51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195</c:v>
                </c:pt>
                <c:pt idx="37">
                  <c:v>195</c:v>
                </c:pt>
                <c:pt idx="38">
                  <c:v>195</c:v>
                </c:pt>
                <c:pt idx="39">
                  <c:v>170</c:v>
                </c:pt>
                <c:pt idx="40">
                  <c:v>170</c:v>
                </c:pt>
                <c:pt idx="41">
                  <c:v>170</c:v>
                </c:pt>
                <c:pt idx="42">
                  <c:v>170</c:v>
                </c:pt>
                <c:pt idx="43">
                  <c:v>170</c:v>
                </c:pt>
                <c:pt idx="44">
                  <c:v>170</c:v>
                </c:pt>
                <c:pt idx="45">
                  <c:v>170</c:v>
                </c:pt>
                <c:pt idx="46">
                  <c:v>170</c:v>
                </c:pt>
                <c:pt idx="47">
                  <c:v>170</c:v>
                </c:pt>
                <c:pt idx="48">
                  <c:v>170</c:v>
                </c:pt>
                <c:pt idx="49">
                  <c:v>170</c:v>
                </c:pt>
              </c:numCache>
            </c:numRef>
          </c:val>
          <c:extLst xmlns:c16r2="http://schemas.microsoft.com/office/drawing/2015/06/chart">
            <c:ext xmlns:c16="http://schemas.microsoft.com/office/drawing/2014/chart" uri="{C3380CC4-5D6E-409C-BE32-E72D297353CC}">
              <c16:uniqueId val="{00000004-E699-4D05-A6AB-16C61D3C2C47}"/>
            </c:ext>
          </c:extLst>
        </c:ser>
        <c:dLbls>
          <c:showLegendKey val="0"/>
          <c:showVal val="0"/>
          <c:showCatName val="0"/>
          <c:showSerName val="0"/>
          <c:showPercent val="0"/>
          <c:showBubbleSize val="0"/>
        </c:dLbls>
        <c:axId val="162435840"/>
        <c:axId val="162437376"/>
      </c:areaChart>
      <c:catAx>
        <c:axId val="162435840"/>
        <c:scaling>
          <c:orientation val="minMax"/>
        </c:scaling>
        <c:delete val="0"/>
        <c:axPos val="b"/>
        <c:numFmt formatCode="m/d/yyyy" sourceLinked="1"/>
        <c:majorTickMark val="out"/>
        <c:minorTickMark val="none"/>
        <c:tickLblPos val="nextTo"/>
        <c:crossAx val="162437376"/>
        <c:crosses val="autoZero"/>
        <c:auto val="1"/>
        <c:lblAlgn val="ctr"/>
        <c:lblOffset val="100"/>
        <c:noMultiLvlLbl val="0"/>
      </c:catAx>
      <c:valAx>
        <c:axId val="162437376"/>
        <c:scaling>
          <c:orientation val="minMax"/>
        </c:scaling>
        <c:delete val="0"/>
        <c:axPos val="l"/>
        <c:majorGridlines/>
        <c:numFmt formatCode="General" sourceLinked="1"/>
        <c:majorTickMark val="out"/>
        <c:minorTickMark val="none"/>
        <c:tickLblPos val="nextTo"/>
        <c:crossAx val="162435840"/>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'Features Progress'!$E$3</c:f>
              <c:strCache>
                <c:ptCount val="1"/>
                <c:pt idx="0">
                  <c:v>Completed Story Points</c:v>
                </c:pt>
              </c:strCache>
            </c:strRef>
          </c:tx>
          <c:spPr>
            <a:solidFill>
              <a:srgbClr val="A9D18E"/>
            </a:solidFill>
            <a:ln>
              <a:noFill/>
            </a:ln>
            <a:effectLst/>
          </c:spPr>
          <c:invertIfNegative val="1"/>
          <c:cat>
            <c:strRef>
              <c:f>'Features Progress'!$D$4:$D$48</c:f>
              <c:strCache>
                <c:ptCount val="45"/>
                <c:pt idx="0">
                  <c:v>[COMPCORP-114] Internationalization of the ap … he data provided by the system / ART</c:v>
                </c:pt>
                <c:pt idx="1">
                  <c:v>[PROCESS-44] Filter processes based on user …  on user portfolio assignments / Busy Bees</c:v>
                </c:pt>
                <c:pt idx="2">
                  <c:v>[PROCESS-92] Improve search performance (elastic search) / Busy Bees</c:v>
                </c:pt>
                <c:pt idx="3">
                  <c:v>[PROCESS-75] Support specific attributes based on taxonomy / Busy Bees</c:v>
                </c:pt>
                <c:pt idx="4">
                  <c:v>[PROCESS-98] Filter process by "my" active tasks / Busy Bees</c:v>
                </c:pt>
                <c:pt idx="5">
                  <c:v>[PFM-125] Foundation stabilization / Busy Bees</c:v>
                </c:pt>
                <c:pt idx="6">
                  <c:v>[PROCESS-95] Foundation stabilization / Busy Bees</c:v>
                </c:pt>
                <c:pt idx="7">
                  <c:v>[PROCESS-33] Harmonization of User Experience / Busy Bees</c:v>
                </c:pt>
                <c:pt idx="8">
                  <c:v>[PROCESS-125] Secure Process Centre by filte … esses according to logged user / Busy Bees</c:v>
                </c:pt>
                <c:pt idx="9">
                  <c:v>[PFM-131] UX harmonisation / Busy Bees</c:v>
                </c:pt>
                <c:pt idx="10">
                  <c:v>[INTERCOM-55] Answer Consultation / Pink Panthers</c:v>
                </c:pt>
                <c:pt idx="11">
                  <c:v>[WAVECC-42] Claim/unclaim Wave tasks from Compass Corporate / Pink Panthers</c:v>
                </c:pt>
                <c:pt idx="12">
                  <c:v>[CCADMIN-42] Configuration library adoption support / Pink Panthers</c:v>
                </c:pt>
                <c:pt idx="13">
                  <c:v>[INTERCOM-54] Create Consultations / Pink Panthers</c:v>
                </c:pt>
                <c:pt idx="14">
                  <c:v>[INTERCOM-71] Externalize configuration / Pink Panthers</c:v>
                </c:pt>
                <c:pt idx="15">
                  <c:v>[WAVECC-34] Open Wave tasks / Pink Panthers</c:v>
                </c:pt>
                <c:pt idx="16">
                  <c:v>[INTERCOM-75] Read only mode for Consultations / Pink Panthers</c:v>
                </c:pt>
                <c:pt idx="17">
                  <c:v>[CCADMIN-55] Secure Admin Tool / Pink Panthers</c:v>
                </c:pt>
                <c:pt idx="18">
                  <c:v>[CCADMIN-44] Service catalog / Pink Panthers</c:v>
                </c:pt>
                <c:pt idx="19">
                  <c:v>[INTERCOM-76] Services interoperability / Pink Panthers</c:v>
                </c:pt>
                <c:pt idx="20">
                  <c:v>[INTERCOM-59] Show full user name / Pink Panthers</c:v>
                </c:pt>
                <c:pt idx="21">
                  <c:v>[INTERCOM-72] Support for parallel tasks / Pink Panthers</c:v>
                </c:pt>
                <c:pt idx="22">
                  <c:v>[INTERCOM-52] Update the maven archetype for microservices / Pink Panthers</c:v>
                </c:pt>
                <c:pt idx="23">
                  <c:v>[TSKACTION-217] Action: Session Management / RTD</c:v>
                </c:pt>
                <c:pt idx="24">
                  <c:v>[CCDOCLIST-165] Provide pre/post operation cal … peration callbacks to business / RTD</c:v>
                </c:pt>
                <c:pt idx="25">
                  <c:v>[TSKACTION-278] Action: Deep Link-simple / RTD</c:v>
                </c:pt>
                <c:pt idx="26">
                  <c:v>[TSKACTION-245] Action: Parallel Actors / Support task / RTD</c:v>
                </c:pt>
                <c:pt idx="27">
                  <c:v>[CCTASK-533] Adoption of OpenID security model / RTD</c:v>
                </c:pt>
                <c:pt idx="28">
                  <c:v>[TSKACTION-76] Config Management / RTD</c:v>
                </c:pt>
                <c:pt idx="29">
                  <c:v>[CCDOCLIST-156] Configuration of presentation - compact view / RTD</c:v>
                </c:pt>
                <c:pt idx="30">
                  <c:v>[CCDOCLIST-19] Document list read-only mode / RTD</c:v>
                </c:pt>
                <c:pt idx="31">
                  <c:v>[CCDOCLIST-157] Filter the Document List at ru … ment List at runtime (backend) / RTD</c:v>
                </c:pt>
                <c:pt idx="32">
                  <c:v>[CCTASK-534] Readiness for Translation Service / RTD</c:v>
                </c:pt>
                <c:pt idx="33">
                  <c:v>[CCDOCLIST-17] Configuration management / RTD</c:v>
                </c:pt>
                <c:pt idx="34">
                  <c:v>[CCDOCLIST-27] Configuration override / RTD</c:v>
                </c:pt>
                <c:pt idx="35">
                  <c:v>[CCTASK-579] Integration with Config Admin / RTD</c:v>
                </c:pt>
                <c:pt idx="36">
                  <c:v>[CCDOCLIST-25] Manage document encryption / RTD</c:v>
                </c:pt>
                <c:pt idx="37">
                  <c:v>[CCTASK-272] Signature on Outcome / RTD</c:v>
                </c:pt>
                <c:pt idx="38">
                  <c:v>[CCTASK-519] Taxonomy multiple references a … and events (for ProcessCentre) / RTD</c:v>
                </c:pt>
                <c:pt idx="39">
                  <c:v>[CCDOCLIST-174] The client should be able to r … en a business variable changes / RTD</c:v>
                </c:pt>
                <c:pt idx="40">
                  <c:v>[CCTASK-476] UX - Post Checks (error handli … ror handling on task complete) / RTD</c:v>
                </c:pt>
                <c:pt idx="41">
                  <c:v>[TSKACTION-56] Action: Document review/download link / RTD</c:v>
                </c:pt>
                <c:pt idx="42">
                  <c:v>[CCTASK-532] Impersonation / RTD</c:v>
                </c:pt>
                <c:pt idx="43">
                  <c:v>[CCDOCLIST-181] Integration with Config Admin / RTD</c:v>
                </c:pt>
                <c:pt idx="44">
                  <c:v>[CCDOCLIST-116] Mandatory documents / RTD</c:v>
                </c:pt>
              </c:strCache>
            </c:strRef>
          </c:cat>
          <c:val>
            <c:numRef>
              <c:f>'Features Progress'!$E$4:$E$48</c:f>
              <c:numCache>
                <c:formatCode>General</c:formatCode>
                <c:ptCount val="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numCache>
            </c:numRef>
          </c:val>
          <c:extLst xmlns:c16r2="http://schemas.microsoft.com/office/drawing/2015/06/chart">
            <c:ext xmlns:c16="http://schemas.microsoft.com/office/drawing/2014/chart" uri="{C3380CC4-5D6E-409C-BE32-E72D297353CC}">
              <c16:uniqueId val="{00000000-2896-4B51-82BE-1AFB61A041C6}"/>
            </c:ex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Lst>
        </c:ser>
        <c:ser>
          <c:idx val="1"/>
          <c:order val="1"/>
          <c:tx>
            <c:strRef>
              <c:f>'Features Progress'!$F$3</c:f>
              <c:strCache>
                <c:ptCount val="1"/>
                <c:pt idx="0">
                  <c:v>Planned Story Points</c:v>
                </c:pt>
              </c:strCache>
            </c:strRef>
          </c:tx>
          <c:spPr>
            <a:solidFill>
              <a:schemeClr val="bg1">
                <a:lumMod val="50000"/>
              </a:schemeClr>
            </a:solidFill>
            <a:ln>
              <a:noFill/>
            </a:ln>
            <a:effectLst/>
          </c:spPr>
          <c:invertIfNegative val="0"/>
          <c:cat>
            <c:strRef>
              <c:f>'Features Progress'!$D$4:$D$48</c:f>
              <c:strCache>
                <c:ptCount val="45"/>
                <c:pt idx="0">
                  <c:v>[COMPCORP-114] Internationalization of the ap … he data provided by the system / ART</c:v>
                </c:pt>
                <c:pt idx="1">
                  <c:v>[PROCESS-44] Filter processes based on user …  on user portfolio assignments / Busy Bees</c:v>
                </c:pt>
                <c:pt idx="2">
                  <c:v>[PROCESS-92] Improve search performance (elastic search) / Busy Bees</c:v>
                </c:pt>
                <c:pt idx="3">
                  <c:v>[PROCESS-75] Support specific attributes based on taxonomy / Busy Bees</c:v>
                </c:pt>
                <c:pt idx="4">
                  <c:v>[PROCESS-98] Filter process by "my" active tasks / Busy Bees</c:v>
                </c:pt>
                <c:pt idx="5">
                  <c:v>[PFM-125] Foundation stabilization / Busy Bees</c:v>
                </c:pt>
                <c:pt idx="6">
                  <c:v>[PROCESS-95] Foundation stabilization / Busy Bees</c:v>
                </c:pt>
                <c:pt idx="7">
                  <c:v>[PROCESS-33] Harmonization of User Experience / Busy Bees</c:v>
                </c:pt>
                <c:pt idx="8">
                  <c:v>[PROCESS-125] Secure Process Centre by filte … esses according to logged user / Busy Bees</c:v>
                </c:pt>
                <c:pt idx="9">
                  <c:v>[PFM-131] UX harmonisation / Busy Bees</c:v>
                </c:pt>
                <c:pt idx="10">
                  <c:v>[INTERCOM-55] Answer Consultation / Pink Panthers</c:v>
                </c:pt>
                <c:pt idx="11">
                  <c:v>[WAVECC-42] Claim/unclaim Wave tasks from Compass Corporate / Pink Panthers</c:v>
                </c:pt>
                <c:pt idx="12">
                  <c:v>[CCADMIN-42] Configuration library adoption support / Pink Panthers</c:v>
                </c:pt>
                <c:pt idx="13">
                  <c:v>[INTERCOM-54] Create Consultations / Pink Panthers</c:v>
                </c:pt>
                <c:pt idx="14">
                  <c:v>[INTERCOM-71] Externalize configuration / Pink Panthers</c:v>
                </c:pt>
                <c:pt idx="15">
                  <c:v>[WAVECC-34] Open Wave tasks / Pink Panthers</c:v>
                </c:pt>
                <c:pt idx="16">
                  <c:v>[INTERCOM-75] Read only mode for Consultations / Pink Panthers</c:v>
                </c:pt>
                <c:pt idx="17">
                  <c:v>[CCADMIN-55] Secure Admin Tool / Pink Panthers</c:v>
                </c:pt>
                <c:pt idx="18">
                  <c:v>[CCADMIN-44] Service catalog / Pink Panthers</c:v>
                </c:pt>
                <c:pt idx="19">
                  <c:v>[INTERCOM-76] Services interoperability / Pink Panthers</c:v>
                </c:pt>
                <c:pt idx="20">
                  <c:v>[INTERCOM-59] Show full user name / Pink Panthers</c:v>
                </c:pt>
                <c:pt idx="21">
                  <c:v>[INTERCOM-72] Support for parallel tasks / Pink Panthers</c:v>
                </c:pt>
                <c:pt idx="22">
                  <c:v>[INTERCOM-52] Update the maven archetype for microservices / Pink Panthers</c:v>
                </c:pt>
                <c:pt idx="23">
                  <c:v>[TSKACTION-217] Action: Session Management / RTD</c:v>
                </c:pt>
                <c:pt idx="24">
                  <c:v>[CCDOCLIST-165] Provide pre/post operation cal … peration callbacks to business / RTD</c:v>
                </c:pt>
                <c:pt idx="25">
                  <c:v>[TSKACTION-278] Action: Deep Link-simple / RTD</c:v>
                </c:pt>
                <c:pt idx="26">
                  <c:v>[TSKACTION-245] Action: Parallel Actors / Support task / RTD</c:v>
                </c:pt>
                <c:pt idx="27">
                  <c:v>[CCTASK-533] Adoption of OpenID security model / RTD</c:v>
                </c:pt>
                <c:pt idx="28">
                  <c:v>[TSKACTION-76] Config Management / RTD</c:v>
                </c:pt>
                <c:pt idx="29">
                  <c:v>[CCDOCLIST-156] Configuration of presentation - compact view / RTD</c:v>
                </c:pt>
                <c:pt idx="30">
                  <c:v>[CCDOCLIST-19] Document list read-only mode / RTD</c:v>
                </c:pt>
                <c:pt idx="31">
                  <c:v>[CCDOCLIST-157] Filter the Document List at ru … ment List at runtime (backend) / RTD</c:v>
                </c:pt>
                <c:pt idx="32">
                  <c:v>[CCTASK-534] Readiness for Translation Service / RTD</c:v>
                </c:pt>
                <c:pt idx="33">
                  <c:v>[CCDOCLIST-17] Configuration management / RTD</c:v>
                </c:pt>
                <c:pt idx="34">
                  <c:v>[CCDOCLIST-27] Configuration override / RTD</c:v>
                </c:pt>
                <c:pt idx="35">
                  <c:v>[CCTASK-579] Integration with Config Admin / RTD</c:v>
                </c:pt>
                <c:pt idx="36">
                  <c:v>[CCDOCLIST-25] Manage document encryption / RTD</c:v>
                </c:pt>
                <c:pt idx="37">
                  <c:v>[CCTASK-272] Signature on Outcome / RTD</c:v>
                </c:pt>
                <c:pt idx="38">
                  <c:v>[CCTASK-519] Taxonomy multiple references a … and events (for ProcessCentre) / RTD</c:v>
                </c:pt>
                <c:pt idx="39">
                  <c:v>[CCDOCLIST-174] The client should be able to r … en a business variable changes / RTD</c:v>
                </c:pt>
                <c:pt idx="40">
                  <c:v>[CCTASK-476] UX - Post Checks (error handli … ror handling on task complete) / RTD</c:v>
                </c:pt>
                <c:pt idx="41">
                  <c:v>[TSKACTION-56] Action: Document review/download link / RTD</c:v>
                </c:pt>
                <c:pt idx="42">
                  <c:v>[CCTASK-532] Impersonation / RTD</c:v>
                </c:pt>
                <c:pt idx="43">
                  <c:v>[CCDOCLIST-181] Integration with Config Admin / RTD</c:v>
                </c:pt>
                <c:pt idx="44">
                  <c:v>[CCDOCLIST-116] Mandatory documents / RTD</c:v>
                </c:pt>
              </c:strCache>
            </c:strRef>
          </c:cat>
          <c:val>
            <c:numRef>
              <c:f>'Features Progress'!$F$4:$F$48</c:f>
              <c:numCache>
                <c:formatCode>General</c:formatCode>
                <c:ptCount val="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numCache>
            </c:numRef>
          </c:val>
          <c:extLst xmlns:c16r2="http://schemas.microsoft.com/office/drawing/2015/06/chart">
            <c:ext xmlns:c16="http://schemas.microsoft.com/office/drawing/2014/chart" uri="{C3380CC4-5D6E-409C-BE32-E72D297353CC}">
              <c16:uniqueId val="{00000001-2896-4B51-82BE-1AFB61A041C6}"/>
            </c:ext>
          </c:extLst>
        </c:ser>
        <c:dLbls>
          <c:showLegendKey val="0"/>
          <c:showVal val="0"/>
          <c:showCatName val="0"/>
          <c:showSerName val="0"/>
          <c:showPercent val="0"/>
          <c:showBubbleSize val="0"/>
        </c:dLbls>
        <c:gapWidth val="182"/>
        <c:axId val="162372224"/>
        <c:axId val="162378112"/>
      </c:barChart>
      <c:catAx>
        <c:axId val="1623722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378112"/>
        <c:crosses val="autoZero"/>
        <c:auto val="1"/>
        <c:lblAlgn val="ctr"/>
        <c:lblOffset val="100"/>
        <c:noMultiLvlLbl val="0"/>
      </c:catAx>
      <c:valAx>
        <c:axId val="1623781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3722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'Enablers Progress'!$E$3</c:f>
              <c:strCache>
                <c:ptCount val="1"/>
                <c:pt idx="0">
                  <c:v>Completed Story Points</c:v>
                </c:pt>
              </c:strCache>
            </c:strRef>
          </c:tx>
          <c:spPr>
            <a:solidFill>
              <a:srgbClr val="A9D18E"/>
            </a:solidFill>
            <a:ln>
              <a:noFill/>
            </a:ln>
            <a:effectLst/>
          </c:spPr>
          <c:invertIfNegative val="1"/>
          <c:cat>
            <c:strRef>
              <c:f>'Enablers Progress'!$D$4:$D$10</c:f>
              <c:strCache>
                <c:ptCount val="7"/>
                <c:pt idx="0">
                  <c:v>[CCPMO-129] Automated Program Metrics Update / Minions</c:v>
                </c:pt>
                <c:pt idx="1">
                  <c:v>[CCPMO-77] Cheat Sheet (Program) / Minions</c:v>
                </c:pt>
                <c:pt idx="2">
                  <c:v>[CCPMO-63] Cheat Sheets (Team) / Minions</c:v>
                </c:pt>
                <c:pt idx="3">
                  <c:v>[CCPMO-76] Program Monitoring Dashboard / Minions</c:v>
                </c:pt>
                <c:pt idx="4">
                  <c:v>[CCTASK-527] SSE Bridge / RTD</c:v>
                </c:pt>
                <c:pt idx="5">
                  <c:v>[CCARCHITEC-37] Internationalization / Scape Goats</c:v>
                </c:pt>
                <c:pt idx="6">
                  <c:v>[CCARCHITEC-49] Translation Service / Scape Goats</c:v>
                </c:pt>
              </c:strCache>
            </c:strRef>
          </c:cat>
          <c:val>
            <c:numRef>
              <c:f>'Enablers Progress'!$E$4:$E$10</c:f>
              <c:numCache>
                <c:formatCode>General</c:formatCode>
                <c:ptCount val="7"/>
                <c:pt idx="0">
                  <c:v>0</c:v>
                </c:pt>
                <c:pt idx="1">
                  <c:v>0</c:v>
                </c:pt>
                <c:pt idx="2">
                  <c:v>0</c:v>
                </c:pt>
                <c:pt idx="3">
                  <c:v>0</c:v>
                </c:pt>
                <c:pt idx="4">
                  <c:v>0</c:v>
                </c:pt>
                <c:pt idx="5">
                  <c:v>0</c:v>
                </c:pt>
                <c:pt idx="6">
                  <c:v>0</c:v>
                </c:pt>
              </c:numCache>
            </c:numRef>
          </c:val>
          <c:extLst xmlns:c16r2="http://schemas.microsoft.com/office/drawing/2015/06/chart">
            <c:ext xmlns:c16="http://schemas.microsoft.com/office/drawing/2014/chart" uri="{C3380CC4-5D6E-409C-BE32-E72D297353CC}">
              <c16:uniqueId val="{00000000-1129-4FD6-AD7A-64777D6C2382}"/>
            </c:ex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Lst>
        </c:ser>
        <c:ser>
          <c:idx val="1"/>
          <c:order val="1"/>
          <c:tx>
            <c:strRef>
              <c:f>'Enablers Progress'!$F$3</c:f>
              <c:strCache>
                <c:ptCount val="1"/>
                <c:pt idx="0">
                  <c:v>Planned Story Points</c:v>
                </c:pt>
              </c:strCache>
            </c:strRef>
          </c:tx>
          <c:spPr>
            <a:solidFill>
              <a:schemeClr val="bg1">
                <a:lumMod val="50000"/>
              </a:schemeClr>
            </a:solidFill>
            <a:ln>
              <a:noFill/>
            </a:ln>
            <a:effectLst/>
          </c:spPr>
          <c:invertIfNegative val="0"/>
          <c:cat>
            <c:strRef>
              <c:f>'Enablers Progress'!$D$4:$D$10</c:f>
              <c:strCache>
                <c:ptCount val="7"/>
                <c:pt idx="0">
                  <c:v>[CCPMO-129] Automated Program Metrics Update / Minions</c:v>
                </c:pt>
                <c:pt idx="1">
                  <c:v>[CCPMO-77] Cheat Sheet (Program) / Minions</c:v>
                </c:pt>
                <c:pt idx="2">
                  <c:v>[CCPMO-63] Cheat Sheets (Team) / Minions</c:v>
                </c:pt>
                <c:pt idx="3">
                  <c:v>[CCPMO-76] Program Monitoring Dashboard / Minions</c:v>
                </c:pt>
                <c:pt idx="4">
                  <c:v>[CCTASK-527] SSE Bridge / RTD</c:v>
                </c:pt>
                <c:pt idx="5">
                  <c:v>[CCARCHITEC-37] Internationalization / Scape Goats</c:v>
                </c:pt>
                <c:pt idx="6">
                  <c:v>[CCARCHITEC-49] Translation Service / Scape Goats</c:v>
                </c:pt>
              </c:strCache>
            </c:strRef>
          </c:cat>
          <c:val>
            <c:numRef>
              <c:f>'Enablers Progress'!$F$4:$F$10</c:f>
              <c:numCache>
                <c:formatCode>General</c:formatCode>
                <c:ptCount val="7"/>
                <c:pt idx="0">
                  <c:v>13</c:v>
                </c:pt>
                <c:pt idx="1">
                  <c:v>8</c:v>
                </c:pt>
                <c:pt idx="2">
                  <c:v>8</c:v>
                </c:pt>
                <c:pt idx="3">
                  <c:v>30</c:v>
                </c:pt>
                <c:pt idx="4">
                  <c:v>18</c:v>
                </c:pt>
                <c:pt idx="5">
                  <c:v>0</c:v>
                </c:pt>
                <c:pt idx="6">
                  <c:v>0</c:v>
                </c:pt>
              </c:numCache>
            </c:numRef>
          </c:val>
          <c:extLst xmlns:c16r2="http://schemas.microsoft.com/office/drawing/2015/06/chart">
            <c:ext xmlns:c16="http://schemas.microsoft.com/office/drawing/2014/chart" uri="{C3380CC4-5D6E-409C-BE32-E72D297353CC}">
              <c16:uniqueId val="{00000001-1129-4FD6-AD7A-64777D6C2382}"/>
            </c:ext>
          </c:extLst>
        </c:ser>
        <c:dLbls>
          <c:showLegendKey val="0"/>
          <c:showVal val="0"/>
          <c:showCatName val="0"/>
          <c:showSerName val="0"/>
          <c:showPercent val="0"/>
          <c:showBubbleSize val="0"/>
        </c:dLbls>
        <c:gapWidth val="182"/>
        <c:axId val="162739328"/>
        <c:axId val="162740864"/>
      </c:barChart>
      <c:catAx>
        <c:axId val="1627393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740864"/>
        <c:crosses val="autoZero"/>
        <c:auto val="1"/>
        <c:lblAlgn val="ctr"/>
        <c:lblOffset val="100"/>
        <c:noMultiLvlLbl val="0"/>
      </c:catAx>
      <c:valAx>
        <c:axId val="1627408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7393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'Features Progress'!$E$3</c:f>
              <c:strCache>
                <c:ptCount val="1"/>
                <c:pt idx="0">
                  <c:v>Completed Story Points</c:v>
                </c:pt>
              </c:strCache>
            </c:strRef>
          </c:tx>
          <c:spPr>
            <a:solidFill>
              <a:srgbClr val="A9D18E"/>
            </a:solidFill>
            <a:ln>
              <a:noFill/>
            </a:ln>
            <a:effectLst/>
          </c:spPr>
          <c:invertIfNegative val="1"/>
          <c:cat>
            <c:strRef>
              <c:f>'Features Progress'!$D$4:$D$49</c:f>
              <c:strCache>
                <c:ptCount val="46"/>
                <c:pt idx="0">
                  <c:v>[COMPCORP-114] Internationalization of the ap … he data provided by the system / ART</c:v>
                </c:pt>
                <c:pt idx="1">
                  <c:v>[PROCESS-44] Filter processes based on user …  on user portfolio assignments / Busy Bees</c:v>
                </c:pt>
                <c:pt idx="2">
                  <c:v>[PROCESS-92] Improve search performance (elastic search) / Busy Bees</c:v>
                </c:pt>
                <c:pt idx="3">
                  <c:v>[PROCESS-75] Support specific attributes based on taxonomy / Busy Bees</c:v>
                </c:pt>
                <c:pt idx="4">
                  <c:v>[PROCESS-98] Filter process by "my" active tasks / Busy Bees</c:v>
                </c:pt>
                <c:pt idx="5">
                  <c:v>[PFM-125] Foundation stabilization / Busy Bees</c:v>
                </c:pt>
                <c:pt idx="6">
                  <c:v>[PROCESS-95] Foundation stabilization / Busy Bees</c:v>
                </c:pt>
                <c:pt idx="7">
                  <c:v>[PROCESS-33] Harmonization of User Experience / Busy Bees</c:v>
                </c:pt>
                <c:pt idx="8">
                  <c:v>[PROCESS-125] Secure Process Centre by filte … esses according to logged user / Busy Bees</c:v>
                </c:pt>
                <c:pt idx="9">
                  <c:v>[PFM-131] UX harmonisation / Busy Bees</c:v>
                </c:pt>
                <c:pt idx="10">
                  <c:v>[INTERCOM-55] Answer Consultation / Pink Panthers</c:v>
                </c:pt>
                <c:pt idx="11">
                  <c:v>[WAVECC-42] Claim/unclaim Wave tasks from Compass Corporate / Pink Panthers</c:v>
                </c:pt>
                <c:pt idx="12">
                  <c:v>[CCADMIN-42] Configuration library adoption support / Pink Panthers</c:v>
                </c:pt>
                <c:pt idx="13">
                  <c:v>[INTERCOM-54] Create Consultations / Pink Panthers</c:v>
                </c:pt>
                <c:pt idx="14">
                  <c:v>[INTERCOM-71] Externalize configuration / Pink Panthers</c:v>
                </c:pt>
                <c:pt idx="15">
                  <c:v>[WAVECC-34] Open Wave tasks / Pink Panthers</c:v>
                </c:pt>
                <c:pt idx="16">
                  <c:v>[INTERCOM-75] Read only mode for Consultations / Pink Panthers</c:v>
                </c:pt>
                <c:pt idx="17">
                  <c:v>[CCADMIN-55] Secure Admin Tool / Pink Panthers</c:v>
                </c:pt>
                <c:pt idx="18">
                  <c:v>[CCADMIN-44] Service catalog / Pink Panthers</c:v>
                </c:pt>
                <c:pt idx="19">
                  <c:v>[INTERCOM-76] Services interoperability / Pink Panthers</c:v>
                </c:pt>
                <c:pt idx="20">
                  <c:v>[INTERCOM-59] Show full user name / Pink Panthers</c:v>
                </c:pt>
                <c:pt idx="21">
                  <c:v>[INTERCOM-72] Support for parallel tasks / Pink Panthers</c:v>
                </c:pt>
                <c:pt idx="22">
                  <c:v>[INTERCOM-52] Update the maven archetype for microservices / Pink Panthers</c:v>
                </c:pt>
                <c:pt idx="23">
                  <c:v>[TSKACTION-217] Action: Session Management / RTD</c:v>
                </c:pt>
                <c:pt idx="24">
                  <c:v>[CCDOCLIST-165] Provide pre/post operation cal … peration callbacks to business / RTD</c:v>
                </c:pt>
                <c:pt idx="25">
                  <c:v>[TSKACTION-278] Action: Deep Link-simple / RTD</c:v>
                </c:pt>
                <c:pt idx="26">
                  <c:v>[TSKACTION-245] Action: Parallel Actors / Support task / RTD</c:v>
                </c:pt>
                <c:pt idx="27">
                  <c:v>[CCTASK-533] Adoption of OpenID security model / RTD</c:v>
                </c:pt>
                <c:pt idx="28">
                  <c:v>[TSKACTION-76] Config Management / RTD</c:v>
                </c:pt>
                <c:pt idx="29">
                  <c:v>[CCDOCLIST-156] Configuration of presentation - compact view / RTD</c:v>
                </c:pt>
                <c:pt idx="30">
                  <c:v>[CCDOCLIST-19] Document list read-only mode / RTD</c:v>
                </c:pt>
                <c:pt idx="31">
                  <c:v>[CCDOCLIST-157] Filter the Document List at ru … ment List at runtime (backend) / RTD</c:v>
                </c:pt>
                <c:pt idx="32">
                  <c:v>[CCTASK-534] Readiness for Translation Service / RTD</c:v>
                </c:pt>
                <c:pt idx="33">
                  <c:v>[CCDOCLIST-17] Configuration management / RTD</c:v>
                </c:pt>
                <c:pt idx="34">
                  <c:v>[CCDOCLIST-27] Configuration override / RTD</c:v>
                </c:pt>
                <c:pt idx="35">
                  <c:v>[CCTASK-579] Integration with Config Admin / RTD</c:v>
                </c:pt>
                <c:pt idx="36">
                  <c:v>[CCDOCLIST-25] Manage document encryption / RTD</c:v>
                </c:pt>
                <c:pt idx="37">
                  <c:v>[CCTASK-272] Signature on Outcome / RTD</c:v>
                </c:pt>
                <c:pt idx="38">
                  <c:v>[CCTASK-519] Taxonomy multiple references a … and events (for ProcessCentre) / RTD</c:v>
                </c:pt>
                <c:pt idx="39">
                  <c:v>[CCDOCLIST-174] The client should be able to r … en a business variable changes / RTD</c:v>
                </c:pt>
                <c:pt idx="40">
                  <c:v>[CCTASK-476] UX - Post Checks (error handli … ror handling on task complete) / RTD</c:v>
                </c:pt>
                <c:pt idx="41">
                  <c:v>[TSKACTION-56] Action: Document review/download link / RTD</c:v>
                </c:pt>
                <c:pt idx="42">
                  <c:v>[CCTASK-532] Impersonation / RTD</c:v>
                </c:pt>
                <c:pt idx="43">
                  <c:v>[CCDOCLIST-181] Integration with Config Admin / RTD</c:v>
                </c:pt>
                <c:pt idx="44">
                  <c:v>[CCDOCLIST-116] Mandatory documents / RTD</c:v>
                </c:pt>
                <c:pt idx="45">
                  <c:v>[CCTASK-518] Taxonomy link to CCM2 / RTD</c:v>
                </c:pt>
              </c:strCache>
            </c:strRef>
          </c:cat>
          <c:val>
            <c:numRef>
              <c:f>'Features Progress'!$E$4:$E$49</c:f>
              <c:numCache>
                <c:formatCode>General</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xmlns:c16r2="http://schemas.microsoft.com/office/drawing/2015/06/chart">
            <c:ext xmlns:c16="http://schemas.microsoft.com/office/drawing/2014/chart" uri="{C3380CC4-5D6E-409C-BE32-E72D297353CC}">
              <c16:uniqueId val="{00000000-B837-4DC1-B8ED-AADFF9595E45}"/>
            </c:ex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Lst>
        </c:ser>
        <c:ser>
          <c:idx val="1"/>
          <c:order val="1"/>
          <c:tx>
            <c:strRef>
              <c:f>'Features Progress'!$F$3</c:f>
              <c:strCache>
                <c:ptCount val="1"/>
                <c:pt idx="0">
                  <c:v>Planned Story Points</c:v>
                </c:pt>
              </c:strCache>
            </c:strRef>
          </c:tx>
          <c:spPr>
            <a:solidFill>
              <a:schemeClr val="bg1">
                <a:lumMod val="50000"/>
              </a:schemeClr>
            </a:solidFill>
            <a:ln>
              <a:noFill/>
            </a:ln>
            <a:effectLst/>
          </c:spPr>
          <c:invertIfNegative val="0"/>
          <c:cat>
            <c:strRef>
              <c:f>'Features Progress'!$D$4:$D$49</c:f>
              <c:strCache>
                <c:ptCount val="46"/>
                <c:pt idx="0">
                  <c:v>[COMPCORP-114] Internationalization of the ap … he data provided by the system / ART</c:v>
                </c:pt>
                <c:pt idx="1">
                  <c:v>[PROCESS-44] Filter processes based on user …  on user portfolio assignments / Busy Bees</c:v>
                </c:pt>
                <c:pt idx="2">
                  <c:v>[PROCESS-92] Improve search performance (elastic search) / Busy Bees</c:v>
                </c:pt>
                <c:pt idx="3">
                  <c:v>[PROCESS-75] Support specific attributes based on taxonomy / Busy Bees</c:v>
                </c:pt>
                <c:pt idx="4">
                  <c:v>[PROCESS-98] Filter process by "my" active tasks / Busy Bees</c:v>
                </c:pt>
                <c:pt idx="5">
                  <c:v>[PFM-125] Foundation stabilization / Busy Bees</c:v>
                </c:pt>
                <c:pt idx="6">
                  <c:v>[PROCESS-95] Foundation stabilization / Busy Bees</c:v>
                </c:pt>
                <c:pt idx="7">
                  <c:v>[PROCESS-33] Harmonization of User Experience / Busy Bees</c:v>
                </c:pt>
                <c:pt idx="8">
                  <c:v>[PROCESS-125] Secure Process Centre by filte … esses according to logged user / Busy Bees</c:v>
                </c:pt>
                <c:pt idx="9">
                  <c:v>[PFM-131] UX harmonisation / Busy Bees</c:v>
                </c:pt>
                <c:pt idx="10">
                  <c:v>[INTERCOM-55] Answer Consultation / Pink Panthers</c:v>
                </c:pt>
                <c:pt idx="11">
                  <c:v>[WAVECC-42] Claim/unclaim Wave tasks from Compass Corporate / Pink Panthers</c:v>
                </c:pt>
                <c:pt idx="12">
                  <c:v>[CCADMIN-42] Configuration library adoption support / Pink Panthers</c:v>
                </c:pt>
                <c:pt idx="13">
                  <c:v>[INTERCOM-54] Create Consultations / Pink Panthers</c:v>
                </c:pt>
                <c:pt idx="14">
                  <c:v>[INTERCOM-71] Externalize configuration / Pink Panthers</c:v>
                </c:pt>
                <c:pt idx="15">
                  <c:v>[WAVECC-34] Open Wave tasks / Pink Panthers</c:v>
                </c:pt>
                <c:pt idx="16">
                  <c:v>[INTERCOM-75] Read only mode for Consultations / Pink Panthers</c:v>
                </c:pt>
                <c:pt idx="17">
                  <c:v>[CCADMIN-55] Secure Admin Tool / Pink Panthers</c:v>
                </c:pt>
                <c:pt idx="18">
                  <c:v>[CCADMIN-44] Service catalog / Pink Panthers</c:v>
                </c:pt>
                <c:pt idx="19">
                  <c:v>[INTERCOM-76] Services interoperability / Pink Panthers</c:v>
                </c:pt>
                <c:pt idx="20">
                  <c:v>[INTERCOM-59] Show full user name / Pink Panthers</c:v>
                </c:pt>
                <c:pt idx="21">
                  <c:v>[INTERCOM-72] Support for parallel tasks / Pink Panthers</c:v>
                </c:pt>
                <c:pt idx="22">
                  <c:v>[INTERCOM-52] Update the maven archetype for microservices / Pink Panthers</c:v>
                </c:pt>
                <c:pt idx="23">
                  <c:v>[TSKACTION-217] Action: Session Management / RTD</c:v>
                </c:pt>
                <c:pt idx="24">
                  <c:v>[CCDOCLIST-165] Provide pre/post operation cal … peration callbacks to business / RTD</c:v>
                </c:pt>
                <c:pt idx="25">
                  <c:v>[TSKACTION-278] Action: Deep Link-simple / RTD</c:v>
                </c:pt>
                <c:pt idx="26">
                  <c:v>[TSKACTION-245] Action: Parallel Actors / Support task / RTD</c:v>
                </c:pt>
                <c:pt idx="27">
                  <c:v>[CCTASK-533] Adoption of OpenID security model / RTD</c:v>
                </c:pt>
                <c:pt idx="28">
                  <c:v>[TSKACTION-76] Config Management / RTD</c:v>
                </c:pt>
                <c:pt idx="29">
                  <c:v>[CCDOCLIST-156] Configuration of presentation - compact view / RTD</c:v>
                </c:pt>
                <c:pt idx="30">
                  <c:v>[CCDOCLIST-19] Document list read-only mode / RTD</c:v>
                </c:pt>
                <c:pt idx="31">
                  <c:v>[CCDOCLIST-157] Filter the Document List at ru … ment List at runtime (backend) / RTD</c:v>
                </c:pt>
                <c:pt idx="32">
                  <c:v>[CCTASK-534] Readiness for Translation Service / RTD</c:v>
                </c:pt>
                <c:pt idx="33">
                  <c:v>[CCDOCLIST-17] Configuration management / RTD</c:v>
                </c:pt>
                <c:pt idx="34">
                  <c:v>[CCDOCLIST-27] Configuration override / RTD</c:v>
                </c:pt>
                <c:pt idx="35">
                  <c:v>[CCTASK-579] Integration with Config Admin / RTD</c:v>
                </c:pt>
                <c:pt idx="36">
                  <c:v>[CCDOCLIST-25] Manage document encryption / RTD</c:v>
                </c:pt>
                <c:pt idx="37">
                  <c:v>[CCTASK-272] Signature on Outcome / RTD</c:v>
                </c:pt>
                <c:pt idx="38">
                  <c:v>[CCTASK-519] Taxonomy multiple references a … and events (for ProcessCentre) / RTD</c:v>
                </c:pt>
                <c:pt idx="39">
                  <c:v>[CCDOCLIST-174] The client should be able to r … en a business variable changes / RTD</c:v>
                </c:pt>
                <c:pt idx="40">
                  <c:v>[CCTASK-476] UX - Post Checks (error handli … ror handling on task complete) / RTD</c:v>
                </c:pt>
                <c:pt idx="41">
                  <c:v>[TSKACTION-56] Action: Document review/download link / RTD</c:v>
                </c:pt>
                <c:pt idx="42">
                  <c:v>[CCTASK-532] Impersonation / RTD</c:v>
                </c:pt>
                <c:pt idx="43">
                  <c:v>[CCDOCLIST-181] Integration with Config Admin / RTD</c:v>
                </c:pt>
                <c:pt idx="44">
                  <c:v>[CCDOCLIST-116] Mandatory documents / RTD</c:v>
                </c:pt>
                <c:pt idx="45">
                  <c:v>[CCTASK-518] Taxonomy link to CCM2 / RTD</c:v>
                </c:pt>
              </c:strCache>
            </c:strRef>
          </c:cat>
          <c:val>
            <c:numRef>
              <c:f>'Features Progress'!$F$4:$F$49</c:f>
              <c:numCache>
                <c:formatCode>General</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val>
          <c:extLst xmlns:c16r2="http://schemas.microsoft.com/office/drawing/2015/06/chart">
            <c:ext xmlns:c16="http://schemas.microsoft.com/office/drawing/2014/chart" uri="{C3380CC4-5D6E-409C-BE32-E72D297353CC}">
              <c16:uniqueId val="{00000001-B837-4DC1-B8ED-AADFF9595E45}"/>
            </c:ext>
          </c:extLst>
        </c:ser>
        <c:dLbls>
          <c:showLegendKey val="0"/>
          <c:showVal val="0"/>
          <c:showCatName val="0"/>
          <c:showSerName val="0"/>
          <c:showPercent val="0"/>
          <c:showBubbleSize val="0"/>
        </c:dLbls>
        <c:gapWidth val="182"/>
        <c:axId val="162498048"/>
        <c:axId val="162499584"/>
      </c:barChart>
      <c:catAx>
        <c:axId val="1624980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499584"/>
        <c:crosses val="autoZero"/>
        <c:auto val="1"/>
        <c:lblAlgn val="ctr"/>
        <c:lblOffset val="100"/>
        <c:noMultiLvlLbl val="0"/>
      </c:catAx>
      <c:valAx>
        <c:axId val="1624995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4980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'Enablers Progress'!$E$3</c:f>
              <c:strCache>
                <c:ptCount val="1"/>
                <c:pt idx="0">
                  <c:v>Completed Story Points</c:v>
                </c:pt>
              </c:strCache>
            </c:strRef>
          </c:tx>
          <c:spPr>
            <a:solidFill>
              <a:srgbClr val="A9D18E"/>
            </a:solidFill>
            <a:ln>
              <a:noFill/>
            </a:ln>
            <a:effectLst/>
          </c:spPr>
          <c:invertIfNegative val="1"/>
          <c:cat>
            <c:strRef>
              <c:f>'Enablers Progress'!$D$4:$D$10</c:f>
              <c:strCache>
                <c:ptCount val="7"/>
                <c:pt idx="0">
                  <c:v>[CCPMO-129] Automated Program Metrics Update / Minions</c:v>
                </c:pt>
                <c:pt idx="1">
                  <c:v>[CCPMO-77] Cheat Sheet (Program) / Minions</c:v>
                </c:pt>
                <c:pt idx="2">
                  <c:v>[CCPMO-63] Cheat Sheets (Team) / Minions</c:v>
                </c:pt>
                <c:pt idx="3">
                  <c:v>[CCPMO-76] Program Monitoring Dashboard / Minions</c:v>
                </c:pt>
                <c:pt idx="4">
                  <c:v>[CCTASK-527] SSE Bridge / RTD</c:v>
                </c:pt>
                <c:pt idx="5">
                  <c:v>[CCARCHITEC-37] Internationalization / Scape Goats</c:v>
                </c:pt>
                <c:pt idx="6">
                  <c:v>[CCARCHITEC-49] Translation Service / Scape Goats</c:v>
                </c:pt>
              </c:strCache>
            </c:strRef>
          </c:cat>
          <c:val>
            <c:numRef>
              <c:f>'Enablers Progress'!$E$4:$E$10</c:f>
              <c:numCache>
                <c:formatCode>General</c:formatCode>
                <c:ptCount val="7"/>
                <c:pt idx="0">
                  <c:v>0</c:v>
                </c:pt>
                <c:pt idx="1">
                  <c:v>0</c:v>
                </c:pt>
                <c:pt idx="2">
                  <c:v>0</c:v>
                </c:pt>
                <c:pt idx="3">
                  <c:v>0</c:v>
                </c:pt>
                <c:pt idx="4">
                  <c:v>0</c:v>
                </c:pt>
                <c:pt idx="5">
                  <c:v>0</c:v>
                </c:pt>
                <c:pt idx="6">
                  <c:v>0</c:v>
                </c:pt>
              </c:numCache>
            </c:numRef>
          </c:val>
          <c:extLst xmlns:c16r2="http://schemas.microsoft.com/office/drawing/2015/06/chart">
            <c:ext xmlns:c16="http://schemas.microsoft.com/office/drawing/2014/chart" uri="{C3380CC4-5D6E-409C-BE32-E72D297353CC}">
              <c16:uniqueId val="{00000000-3743-419F-AD31-CDD2751A87C5}"/>
            </c:ex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Lst>
        </c:ser>
        <c:ser>
          <c:idx val="1"/>
          <c:order val="1"/>
          <c:tx>
            <c:strRef>
              <c:f>'Enablers Progress'!$F$3</c:f>
              <c:strCache>
                <c:ptCount val="1"/>
                <c:pt idx="0">
                  <c:v>Planned Story Points</c:v>
                </c:pt>
              </c:strCache>
            </c:strRef>
          </c:tx>
          <c:spPr>
            <a:solidFill>
              <a:schemeClr val="bg1">
                <a:lumMod val="50000"/>
              </a:schemeClr>
            </a:solidFill>
            <a:ln>
              <a:noFill/>
            </a:ln>
            <a:effectLst/>
          </c:spPr>
          <c:invertIfNegative val="0"/>
          <c:cat>
            <c:strRef>
              <c:f>'Enablers Progress'!$D$4:$D$10</c:f>
              <c:strCache>
                <c:ptCount val="7"/>
                <c:pt idx="0">
                  <c:v>[CCPMO-129] Automated Program Metrics Update / Minions</c:v>
                </c:pt>
                <c:pt idx="1">
                  <c:v>[CCPMO-77] Cheat Sheet (Program) / Minions</c:v>
                </c:pt>
                <c:pt idx="2">
                  <c:v>[CCPMO-63] Cheat Sheets (Team) / Minions</c:v>
                </c:pt>
                <c:pt idx="3">
                  <c:v>[CCPMO-76] Program Monitoring Dashboard / Minions</c:v>
                </c:pt>
                <c:pt idx="4">
                  <c:v>[CCTASK-527] SSE Bridge / RTD</c:v>
                </c:pt>
                <c:pt idx="5">
                  <c:v>[CCARCHITEC-37] Internationalization / Scape Goats</c:v>
                </c:pt>
                <c:pt idx="6">
                  <c:v>[CCARCHITEC-49] Translation Service / Scape Goats</c:v>
                </c:pt>
              </c:strCache>
            </c:strRef>
          </c:cat>
          <c:val>
            <c:numRef>
              <c:f>'Enablers Progress'!$F$4:$F$10</c:f>
              <c:numCache>
                <c:formatCode>General</c:formatCode>
                <c:ptCount val="7"/>
                <c:pt idx="0">
                  <c:v>13</c:v>
                </c:pt>
                <c:pt idx="1">
                  <c:v>8</c:v>
                </c:pt>
                <c:pt idx="2">
                  <c:v>8</c:v>
                </c:pt>
                <c:pt idx="3">
                  <c:v>30</c:v>
                </c:pt>
                <c:pt idx="4">
                  <c:v>18</c:v>
                </c:pt>
                <c:pt idx="5">
                  <c:v>0</c:v>
                </c:pt>
                <c:pt idx="6">
                  <c:v>0</c:v>
                </c:pt>
              </c:numCache>
            </c:numRef>
          </c:val>
          <c:extLst xmlns:c16r2="http://schemas.microsoft.com/office/drawing/2015/06/chart">
            <c:ext xmlns:c16="http://schemas.microsoft.com/office/drawing/2014/chart" uri="{C3380CC4-5D6E-409C-BE32-E72D297353CC}">
              <c16:uniqueId val="{00000001-3743-419F-AD31-CDD2751A87C5}"/>
            </c:ext>
          </c:extLst>
        </c:ser>
        <c:dLbls>
          <c:showLegendKey val="0"/>
          <c:showVal val="0"/>
          <c:showCatName val="0"/>
          <c:showSerName val="0"/>
          <c:showPercent val="0"/>
          <c:showBubbleSize val="0"/>
        </c:dLbls>
        <c:gapWidth val="182"/>
        <c:axId val="162235136"/>
        <c:axId val="162236672"/>
      </c:barChart>
      <c:catAx>
        <c:axId val="1622351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236672"/>
        <c:crosses val="autoZero"/>
        <c:auto val="1"/>
        <c:lblAlgn val="ctr"/>
        <c:lblOffset val="100"/>
        <c:noMultiLvlLbl val="0"/>
      </c:catAx>
      <c:valAx>
        <c:axId val="1622366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2351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3"/>
          <c:order val="0"/>
          <c:tx>
            <c:strRef>
              <c:f>'CF (Features #)'!$K$1</c:f>
              <c:strCache>
                <c:ptCount val="1"/>
                <c:pt idx="0">
                  <c:v>Done</c:v>
                </c:pt>
              </c:strCache>
            </c:strRef>
          </c:tx>
          <c:spPr>
            <a:solidFill>
              <a:schemeClr val="tx2">
                <a:lumMod val="60000"/>
                <a:lumOff val="40000"/>
              </a:schemeClr>
            </a:solidFill>
          </c:spPr>
          <c:cat>
            <c:numRef>
              <c:f>'CF (Features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(Features #)'!$K$2:$K$51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9</c:v>
                </c:pt>
                <c:pt idx="37">
                  <c:v>9</c:v>
                </c:pt>
                <c:pt idx="38">
                  <c:v>9</c:v>
                </c:pt>
                <c:pt idx="39">
                  <c:v>10</c:v>
                </c:pt>
                <c:pt idx="40">
                  <c:v>10</c:v>
                </c:pt>
                <c:pt idx="41">
                  <c:v>10</c:v>
                </c:pt>
                <c:pt idx="42">
                  <c:v>14</c:v>
                </c:pt>
                <c:pt idx="43">
                  <c:v>14</c:v>
                </c:pt>
                <c:pt idx="44">
                  <c:v>14</c:v>
                </c:pt>
                <c:pt idx="45">
                  <c:v>14</c:v>
                </c:pt>
                <c:pt idx="46">
                  <c:v>14</c:v>
                </c:pt>
                <c:pt idx="47">
                  <c:v>14</c:v>
                </c:pt>
                <c:pt idx="48">
                  <c:v>14</c:v>
                </c:pt>
                <c:pt idx="49">
                  <c:v>14</c:v>
                </c:pt>
              </c:numCache>
            </c:numRef>
          </c:val>
          <c:extLst xmlns:c16r2="http://schemas.microsoft.com/office/drawing/2015/06/chart">
            <c:ext xmlns:c16="http://schemas.microsoft.com/office/drawing/2014/chart" uri="{C3380CC4-5D6E-409C-BE32-E72D297353CC}">
              <c16:uniqueId val="{00000000-AA7A-42A5-9B5A-9CE6C19AABEB}"/>
            </c:ext>
          </c:extLst>
        </c:ser>
        <c:ser>
          <c:idx val="7"/>
          <c:order val="1"/>
          <c:tx>
            <c:strRef>
              <c:f>'CF (Features #)'!$J$1</c:f>
              <c:strCache>
                <c:ptCount val="1"/>
                <c:pt idx="0">
                  <c:v>Releasing</c:v>
                </c:pt>
              </c:strCache>
            </c:strRef>
          </c:tx>
          <c:spPr>
            <a:ln w="25400">
              <a:noFill/>
            </a:ln>
          </c:spPr>
          <c:val>
            <c:numRef>
              <c:f>'CF (Features #)'!$J$2:$J$51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1-AA7A-42A5-9B5A-9CE6C19AABEB}"/>
            </c:ext>
          </c:extLst>
        </c:ser>
        <c:ser>
          <c:idx val="6"/>
          <c:order val="2"/>
          <c:tx>
            <c:strRef>
              <c:f>'CF (Features #)'!$I$1</c:f>
              <c:strCache>
                <c:ptCount val="1"/>
                <c:pt idx="0">
                  <c:v>Deploying to production</c:v>
                </c:pt>
              </c:strCache>
            </c:strRef>
          </c:tx>
          <c:spPr>
            <a:ln w="25400">
              <a:noFill/>
            </a:ln>
          </c:spPr>
          <c:val>
            <c:numRef>
              <c:f>'CF (Features #)'!$I$2:$I$51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2-AA7A-42A5-9B5A-9CE6C19AABEB}"/>
            </c:ext>
          </c:extLst>
        </c:ser>
        <c:ser>
          <c:idx val="5"/>
          <c:order val="3"/>
          <c:tx>
            <c:strRef>
              <c:f>'CF (Features #)'!$H$1</c:f>
              <c:strCache>
                <c:ptCount val="1"/>
                <c:pt idx="0">
                  <c:v>Validating on Staging</c:v>
                </c:pt>
              </c:strCache>
            </c:strRef>
          </c:tx>
          <c:spPr>
            <a:solidFill>
              <a:srgbClr val="FFFF00"/>
            </a:solidFill>
            <a:ln w="25400">
              <a:noFill/>
            </a:ln>
          </c:spPr>
          <c:val>
            <c:numRef>
              <c:f>'CF (Features #)'!$H$2:$H$51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2</c:v>
                </c:pt>
                <c:pt idx="43">
                  <c:v>2</c:v>
                </c:pt>
                <c:pt idx="44">
                  <c:v>2</c:v>
                </c:pt>
                <c:pt idx="45">
                  <c:v>2</c:v>
                </c:pt>
                <c:pt idx="46">
                  <c:v>2</c:v>
                </c:pt>
                <c:pt idx="47">
                  <c:v>2</c:v>
                </c:pt>
                <c:pt idx="48">
                  <c:v>2</c:v>
                </c:pt>
                <c:pt idx="49">
                  <c:v>2</c:v>
                </c:pt>
              </c:numCache>
            </c:numRef>
          </c:val>
          <c:extLst xmlns:c16r2="http://schemas.microsoft.com/office/drawing/2015/06/chart">
            <c:ext xmlns:c16="http://schemas.microsoft.com/office/drawing/2014/chart" uri="{C3380CC4-5D6E-409C-BE32-E72D297353CC}">
              <c16:uniqueId val="{00000003-AA7A-42A5-9B5A-9CE6C19AABEB}"/>
            </c:ext>
          </c:extLst>
        </c:ser>
        <c:ser>
          <c:idx val="4"/>
          <c:order val="4"/>
          <c:tx>
            <c:strRef>
              <c:f>'CF (Features #)'!$G$1</c:f>
              <c:strCache>
                <c:ptCount val="1"/>
                <c:pt idx="0">
                  <c:v>Implementing</c:v>
                </c:pt>
              </c:strCache>
            </c:strRef>
          </c:tx>
          <c:spPr>
            <a:solidFill>
              <a:srgbClr val="00B0F0"/>
            </a:solidFill>
            <a:ln w="25400">
              <a:noFill/>
            </a:ln>
          </c:spPr>
          <c:val>
            <c:numRef>
              <c:f>'CF (Features #)'!$G$2:$G$51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19</c:v>
                </c:pt>
                <c:pt idx="37">
                  <c:v>19</c:v>
                </c:pt>
                <c:pt idx="38">
                  <c:v>19</c:v>
                </c:pt>
                <c:pt idx="39">
                  <c:v>19</c:v>
                </c:pt>
                <c:pt idx="40">
                  <c:v>19</c:v>
                </c:pt>
                <c:pt idx="41">
                  <c:v>19</c:v>
                </c:pt>
                <c:pt idx="42">
                  <c:v>15</c:v>
                </c:pt>
                <c:pt idx="43">
                  <c:v>15</c:v>
                </c:pt>
                <c:pt idx="44">
                  <c:v>15</c:v>
                </c:pt>
                <c:pt idx="45">
                  <c:v>15</c:v>
                </c:pt>
                <c:pt idx="46">
                  <c:v>15</c:v>
                </c:pt>
                <c:pt idx="47">
                  <c:v>15</c:v>
                </c:pt>
                <c:pt idx="48">
                  <c:v>15</c:v>
                </c:pt>
                <c:pt idx="49">
                  <c:v>15</c:v>
                </c:pt>
              </c:numCache>
            </c:numRef>
          </c:val>
          <c:extLst xmlns:c16r2="http://schemas.microsoft.com/office/drawing/2015/06/chart">
            <c:ext xmlns:c16="http://schemas.microsoft.com/office/drawing/2014/chart" uri="{C3380CC4-5D6E-409C-BE32-E72D297353CC}">
              <c16:uniqueId val="{00000004-AA7A-42A5-9B5A-9CE6C19AABEB}"/>
            </c:ext>
          </c:extLst>
        </c:ser>
        <c:ser>
          <c:idx val="2"/>
          <c:order val="5"/>
          <c:tx>
            <c:strRef>
              <c:f>'CF (Features #)'!$F$1</c:f>
              <c:strCache>
                <c:ptCount val="1"/>
                <c:pt idx="0">
                  <c:v>Backlog</c:v>
                </c:pt>
              </c:strCache>
            </c:strRef>
          </c:tx>
          <c:spPr>
            <a:solidFill>
              <a:schemeClr val="accent6"/>
            </a:solidFill>
          </c:spPr>
          <c:cat>
            <c:numRef>
              <c:f>'CF (Features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(Features #)'!$F$2:$F$51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9</c:v>
                </c:pt>
                <c:pt idx="37">
                  <c:v>9</c:v>
                </c:pt>
                <c:pt idx="38">
                  <c:v>9</c:v>
                </c:pt>
                <c:pt idx="39">
                  <c:v>9</c:v>
                </c:pt>
                <c:pt idx="40">
                  <c:v>9</c:v>
                </c:pt>
                <c:pt idx="41">
                  <c:v>9</c:v>
                </c:pt>
                <c:pt idx="42">
                  <c:v>9</c:v>
                </c:pt>
                <c:pt idx="43">
                  <c:v>9</c:v>
                </c:pt>
                <c:pt idx="44">
                  <c:v>9</c:v>
                </c:pt>
                <c:pt idx="45">
                  <c:v>9</c:v>
                </c:pt>
                <c:pt idx="46">
                  <c:v>9</c:v>
                </c:pt>
                <c:pt idx="47">
                  <c:v>9</c:v>
                </c:pt>
                <c:pt idx="48">
                  <c:v>9</c:v>
                </c:pt>
                <c:pt idx="49">
                  <c:v>9</c:v>
                </c:pt>
              </c:numCache>
            </c:numRef>
          </c:val>
          <c:extLst xmlns:c16r2="http://schemas.microsoft.com/office/drawing/2015/06/chart">
            <c:ext xmlns:c16="http://schemas.microsoft.com/office/drawing/2014/chart" uri="{C3380CC4-5D6E-409C-BE32-E72D297353CC}">
              <c16:uniqueId val="{00000005-AA7A-42A5-9B5A-9CE6C19AABEB}"/>
            </c:ext>
          </c:extLst>
        </c:ser>
        <c:ser>
          <c:idx val="1"/>
          <c:order val="6"/>
          <c:tx>
            <c:strRef>
              <c:f>'CF (Features #)'!$E$1</c:f>
              <c:strCache>
                <c:ptCount val="1"/>
                <c:pt idx="0">
                  <c:v>Analyzing</c:v>
                </c:pt>
              </c:strCache>
            </c:strRef>
          </c:tx>
          <c:spPr>
            <a:solidFill>
              <a:srgbClr val="7030A0"/>
            </a:solidFill>
          </c:spPr>
          <c:cat>
            <c:numRef>
              <c:f>'CF (Features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(Features #)'!$E$2:$E$51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c:v>
                </c:pt>
                <c:pt idx="37">
                  <c:v>2</c:v>
                </c:pt>
                <c:pt idx="38">
                  <c:v>2</c:v>
                </c:pt>
                <c:pt idx="39">
                  <c:v>2</c:v>
                </c:pt>
                <c:pt idx="40">
                  <c:v>2</c:v>
                </c:pt>
                <c:pt idx="41">
                  <c:v>2</c:v>
                </c:pt>
                <c:pt idx="42">
                  <c:v>1</c:v>
                </c:pt>
                <c:pt idx="43">
                  <c:v>1</c:v>
                </c:pt>
                <c:pt idx="44">
                  <c:v>1</c:v>
                </c:pt>
                <c:pt idx="45">
                  <c:v>1</c:v>
                </c:pt>
                <c:pt idx="46">
                  <c:v>1</c:v>
                </c:pt>
                <c:pt idx="47">
                  <c:v>1</c:v>
                </c:pt>
                <c:pt idx="48">
                  <c:v>1</c:v>
                </c:pt>
                <c:pt idx="49">
                  <c:v>1</c:v>
                </c:pt>
              </c:numCache>
            </c:numRef>
          </c:val>
          <c:extLst xmlns:c16r2="http://schemas.microsoft.com/office/drawing/2015/06/chart">
            <c:ext xmlns:c16="http://schemas.microsoft.com/office/drawing/2014/chart" uri="{C3380CC4-5D6E-409C-BE32-E72D297353CC}">
              <c16:uniqueId val="{00000006-AA7A-42A5-9B5A-9CE6C19AABEB}"/>
            </c:ext>
          </c:extLst>
        </c:ser>
        <c:ser>
          <c:idx val="0"/>
          <c:order val="7"/>
          <c:tx>
            <c:strRef>
              <c:f>'CF (Features #)'!$D$1</c:f>
              <c:strCache>
                <c:ptCount val="1"/>
                <c:pt idx="0">
                  <c:v>Funnel</c:v>
                </c:pt>
              </c:strCache>
            </c:strRef>
          </c:tx>
          <c:spPr>
            <a:solidFill>
              <a:srgbClr val="CC6600"/>
            </a:solidFill>
          </c:spPr>
          <c:cat>
            <c:numRef>
              <c:f>'CF (Features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(Features #)'!$D$2:$D$51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4</c:v>
                </c:pt>
                <c:pt idx="37">
                  <c:v>4</c:v>
                </c:pt>
                <c:pt idx="38">
                  <c:v>4</c:v>
                </c:pt>
                <c:pt idx="39">
                  <c:v>4</c:v>
                </c:pt>
                <c:pt idx="40">
                  <c:v>4</c:v>
                </c:pt>
                <c:pt idx="41">
                  <c:v>4</c:v>
                </c:pt>
                <c:pt idx="42">
                  <c:v>4</c:v>
                </c:pt>
                <c:pt idx="43">
                  <c:v>4</c:v>
                </c:pt>
                <c:pt idx="44">
                  <c:v>4</c:v>
                </c:pt>
                <c:pt idx="45">
                  <c:v>4</c:v>
                </c:pt>
                <c:pt idx="46">
                  <c:v>4</c:v>
                </c:pt>
                <c:pt idx="47">
                  <c:v>4</c:v>
                </c:pt>
                <c:pt idx="48">
                  <c:v>4</c:v>
                </c:pt>
                <c:pt idx="49">
                  <c:v>4</c:v>
                </c:pt>
              </c:numCache>
            </c:numRef>
          </c:val>
          <c:extLst xmlns:c16r2="http://schemas.microsoft.com/office/drawing/2015/06/chart">
            <c:ext xmlns:c16="http://schemas.microsoft.com/office/drawing/2014/chart" uri="{C3380CC4-5D6E-409C-BE32-E72D297353CC}">
              <c16:uniqueId val="{00000007-AA7A-42A5-9B5A-9CE6C19AABEB}"/>
            </c:ext>
          </c:extLst>
        </c:ser>
        <c:dLbls>
          <c:showLegendKey val="0"/>
          <c:showVal val="0"/>
          <c:showCatName val="0"/>
          <c:showSerName val="0"/>
          <c:showPercent val="0"/>
          <c:showBubbleSize val="0"/>
        </c:dLbls>
        <c:axId val="162585984"/>
        <c:axId val="162616448"/>
      </c:areaChart>
      <c:dateAx>
        <c:axId val="162585984"/>
        <c:scaling>
          <c:orientation val="minMax"/>
        </c:scaling>
        <c:delete val="0"/>
        <c:axPos val="b"/>
        <c:numFmt formatCode="m/d/yyyy" sourceLinked="1"/>
        <c:majorTickMark val="out"/>
        <c:minorTickMark val="none"/>
        <c:tickLblPos val="nextTo"/>
        <c:crossAx val="162616448"/>
        <c:crosses val="autoZero"/>
        <c:auto val="1"/>
        <c:lblOffset val="100"/>
        <c:baseTimeUnit val="days"/>
      </c:dateAx>
      <c:valAx>
        <c:axId val="162616448"/>
        <c:scaling>
          <c:orientation val="minMax"/>
        </c:scaling>
        <c:delete val="0"/>
        <c:axPos val="l"/>
        <c:majorGridlines/>
        <c:numFmt formatCode="General" sourceLinked="1"/>
        <c:majorTickMark val="out"/>
        <c:minorTickMark val="none"/>
        <c:tickLblPos val="nextTo"/>
        <c:crossAx val="162585984"/>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3"/>
          <c:order val="0"/>
          <c:tx>
            <c:strRef>
              <c:f>'CF (Enablers #)'!$K$1</c:f>
              <c:strCache>
                <c:ptCount val="1"/>
                <c:pt idx="0">
                  <c:v>Done</c:v>
                </c:pt>
              </c:strCache>
            </c:strRef>
          </c:tx>
          <c:spPr>
            <a:solidFill>
              <a:schemeClr val="tx2">
                <a:lumMod val="60000"/>
                <a:lumOff val="40000"/>
              </a:schemeClr>
            </a:solidFill>
          </c:spPr>
          <c:cat>
            <c:numRef>
              <c:f>'CF (Enablers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(Enablers #)'!$K$2:$K$51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0-408B-4458-B6C3-11154BF74616}"/>
            </c:ext>
          </c:extLst>
        </c:ser>
        <c:ser>
          <c:idx val="7"/>
          <c:order val="1"/>
          <c:tx>
            <c:strRef>
              <c:f>'CF (Enablers #)'!$J$1</c:f>
              <c:strCache>
                <c:ptCount val="1"/>
                <c:pt idx="0">
                  <c:v>Releasing</c:v>
                </c:pt>
              </c:strCache>
            </c:strRef>
          </c:tx>
          <c:spPr>
            <a:ln w="25400">
              <a:noFill/>
            </a:ln>
          </c:spPr>
          <c:val>
            <c:numRef>
              <c:f>'CF (Enablers #)'!$J$2:$J$51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1-408B-4458-B6C3-11154BF74616}"/>
            </c:ext>
          </c:extLst>
        </c:ser>
        <c:ser>
          <c:idx val="6"/>
          <c:order val="2"/>
          <c:tx>
            <c:strRef>
              <c:f>'CF (Enablers #)'!$I$1</c:f>
              <c:strCache>
                <c:ptCount val="1"/>
                <c:pt idx="0">
                  <c:v>Deploying to production</c:v>
                </c:pt>
              </c:strCache>
            </c:strRef>
          </c:tx>
          <c:spPr>
            <a:ln w="25400">
              <a:noFill/>
            </a:ln>
          </c:spPr>
          <c:val>
            <c:numRef>
              <c:f>'CF (Enablers #)'!$I$2:$I$51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2-408B-4458-B6C3-11154BF74616}"/>
            </c:ext>
          </c:extLst>
        </c:ser>
        <c:ser>
          <c:idx val="5"/>
          <c:order val="3"/>
          <c:tx>
            <c:strRef>
              <c:f>'CF (Enablers #)'!$H$1</c:f>
              <c:strCache>
                <c:ptCount val="1"/>
                <c:pt idx="0">
                  <c:v>Validating on Staging</c:v>
                </c:pt>
              </c:strCache>
            </c:strRef>
          </c:tx>
          <c:spPr>
            <a:solidFill>
              <a:srgbClr val="FFFF00"/>
            </a:solidFill>
            <a:ln w="25400">
              <a:noFill/>
            </a:ln>
          </c:spPr>
          <c:val>
            <c:numRef>
              <c:f>'CF (Enablers #)'!$H$2:$H$51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3-408B-4458-B6C3-11154BF74616}"/>
            </c:ext>
          </c:extLst>
        </c:ser>
        <c:ser>
          <c:idx val="4"/>
          <c:order val="4"/>
          <c:tx>
            <c:strRef>
              <c:f>'CF (Enablers #)'!$G$1</c:f>
              <c:strCache>
                <c:ptCount val="1"/>
                <c:pt idx="0">
                  <c:v>Implementing</c:v>
                </c:pt>
              </c:strCache>
            </c:strRef>
          </c:tx>
          <c:spPr>
            <a:solidFill>
              <a:srgbClr val="00B0F0"/>
            </a:solidFill>
            <a:ln w="25400">
              <a:noFill/>
            </a:ln>
          </c:spPr>
          <c:val>
            <c:numRef>
              <c:f>'CF (Enablers #)'!$G$2:$G$51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4</c:v>
                </c:pt>
                <c:pt idx="36">
                  <c:v>4</c:v>
                </c:pt>
                <c:pt idx="37">
                  <c:v>4</c:v>
                </c:pt>
                <c:pt idx="38">
                  <c:v>4</c:v>
                </c:pt>
                <c:pt idx="39">
                  <c:v>3</c:v>
                </c:pt>
                <c:pt idx="40">
                  <c:v>3</c:v>
                </c:pt>
                <c:pt idx="41">
                  <c:v>3</c:v>
                </c:pt>
                <c:pt idx="42">
                  <c:v>3</c:v>
                </c:pt>
                <c:pt idx="43">
                  <c:v>3</c:v>
                </c:pt>
                <c:pt idx="44">
                  <c:v>3</c:v>
                </c:pt>
                <c:pt idx="45">
                  <c:v>3</c:v>
                </c:pt>
                <c:pt idx="46">
                  <c:v>3</c:v>
                </c:pt>
                <c:pt idx="47">
                  <c:v>3</c:v>
                </c:pt>
                <c:pt idx="48">
                  <c:v>3</c:v>
                </c:pt>
                <c:pt idx="49">
                  <c:v>3</c:v>
                </c:pt>
              </c:numCache>
            </c:numRef>
          </c:val>
          <c:extLst xmlns:c16r2="http://schemas.microsoft.com/office/drawing/2015/06/chart">
            <c:ext xmlns:c16="http://schemas.microsoft.com/office/drawing/2014/chart" uri="{C3380CC4-5D6E-409C-BE32-E72D297353CC}">
              <c16:uniqueId val="{00000004-408B-4458-B6C3-11154BF74616}"/>
            </c:ext>
          </c:extLst>
        </c:ser>
        <c:ser>
          <c:idx val="2"/>
          <c:order val="5"/>
          <c:tx>
            <c:strRef>
              <c:f>'CF (Enablers #)'!$F$1</c:f>
              <c:strCache>
                <c:ptCount val="1"/>
                <c:pt idx="0">
                  <c:v>Backlog</c:v>
                </c:pt>
              </c:strCache>
            </c:strRef>
          </c:tx>
          <c:spPr>
            <a:solidFill>
              <a:schemeClr val="accent6"/>
            </a:solidFill>
          </c:spPr>
          <c:cat>
            <c:numRef>
              <c:f>'CF (Enablers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(Enablers #)'!$F$2:$F$51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numCache>
            </c:numRef>
          </c:val>
          <c:extLst xmlns:c16r2="http://schemas.microsoft.com/office/drawing/2015/06/chart">
            <c:ext xmlns:c16="http://schemas.microsoft.com/office/drawing/2014/chart" uri="{C3380CC4-5D6E-409C-BE32-E72D297353CC}">
              <c16:uniqueId val="{00000005-408B-4458-B6C3-11154BF74616}"/>
            </c:ext>
          </c:extLst>
        </c:ser>
        <c:ser>
          <c:idx val="1"/>
          <c:order val="6"/>
          <c:tx>
            <c:strRef>
              <c:f>'CF (Enablers #)'!$E$1</c:f>
              <c:strCache>
                <c:ptCount val="1"/>
                <c:pt idx="0">
                  <c:v>Analyzing</c:v>
                </c:pt>
              </c:strCache>
            </c:strRef>
          </c:tx>
          <c:spPr>
            <a:solidFill>
              <a:srgbClr val="7030A0"/>
            </a:solidFill>
          </c:spPr>
          <c:cat>
            <c:numRef>
              <c:f>'CF (Enablers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(Enablers #)'!$E$2:$E$51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6-408B-4458-B6C3-11154BF74616}"/>
            </c:ext>
          </c:extLst>
        </c:ser>
        <c:ser>
          <c:idx val="0"/>
          <c:order val="7"/>
          <c:tx>
            <c:strRef>
              <c:f>'CF (Enablers #)'!$D$1</c:f>
              <c:strCache>
                <c:ptCount val="1"/>
                <c:pt idx="0">
                  <c:v>Funnel</c:v>
                </c:pt>
              </c:strCache>
            </c:strRef>
          </c:tx>
          <c:spPr>
            <a:solidFill>
              <a:srgbClr val="CC6600"/>
            </a:solidFill>
          </c:spPr>
          <c:cat>
            <c:numRef>
              <c:f>'CF (Enablers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(Enablers #)'!$D$2:$D$51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7-408B-4458-B6C3-11154BF74616}"/>
            </c:ext>
          </c:extLst>
        </c:ser>
        <c:dLbls>
          <c:showLegendKey val="0"/>
          <c:showVal val="0"/>
          <c:showCatName val="0"/>
          <c:showSerName val="0"/>
          <c:showPercent val="0"/>
          <c:showBubbleSize val="0"/>
        </c:dLbls>
        <c:axId val="162695424"/>
        <c:axId val="162717696"/>
      </c:areaChart>
      <c:dateAx>
        <c:axId val="162695424"/>
        <c:scaling>
          <c:orientation val="minMax"/>
        </c:scaling>
        <c:delete val="0"/>
        <c:axPos val="b"/>
        <c:numFmt formatCode="m/d/yyyy" sourceLinked="1"/>
        <c:majorTickMark val="out"/>
        <c:minorTickMark val="none"/>
        <c:tickLblPos val="nextTo"/>
        <c:crossAx val="162717696"/>
        <c:crosses val="autoZero"/>
        <c:auto val="1"/>
        <c:lblOffset val="100"/>
        <c:baseTimeUnit val="days"/>
      </c:dateAx>
      <c:valAx>
        <c:axId val="162717696"/>
        <c:scaling>
          <c:orientation val="minMax"/>
        </c:scaling>
        <c:delete val="0"/>
        <c:axPos val="l"/>
        <c:majorGridlines/>
        <c:numFmt formatCode="General" sourceLinked="1"/>
        <c:majorTickMark val="out"/>
        <c:minorTickMark val="none"/>
        <c:tickLblPos val="nextTo"/>
        <c:crossAx val="162695424"/>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5"/>
          <c:order val="0"/>
          <c:tx>
            <c:strRef>
              <c:f>'CF (Stories #)'!$H$1</c:f>
              <c:strCache>
                <c:ptCount val="1"/>
                <c:pt idx="0">
                  <c:v>Done</c:v>
                </c:pt>
              </c:strCache>
            </c:strRef>
          </c:tx>
          <c:spPr>
            <a:solidFill>
              <a:srgbClr val="FFFF00"/>
            </a:solidFill>
            <a:ln w="25400">
              <a:noFill/>
            </a:ln>
          </c:spPr>
          <c:val>
            <c:numRef>
              <c:f>'CF (Stories #)'!$H$2:$H$51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79</c:v>
                </c:pt>
                <c:pt idx="36">
                  <c:v>82</c:v>
                </c:pt>
                <c:pt idx="37">
                  <c:v>82</c:v>
                </c:pt>
                <c:pt idx="38">
                  <c:v>82</c:v>
                </c:pt>
                <c:pt idx="39">
                  <c:v>82</c:v>
                </c:pt>
                <c:pt idx="40">
                  <c:v>82</c:v>
                </c:pt>
                <c:pt idx="41">
                  <c:v>82</c:v>
                </c:pt>
                <c:pt idx="42">
                  <c:v>82</c:v>
                </c:pt>
                <c:pt idx="43">
                  <c:v>82</c:v>
                </c:pt>
                <c:pt idx="44">
                  <c:v>82</c:v>
                </c:pt>
                <c:pt idx="45">
                  <c:v>82</c:v>
                </c:pt>
                <c:pt idx="46">
                  <c:v>82</c:v>
                </c:pt>
                <c:pt idx="47">
                  <c:v>82</c:v>
                </c:pt>
                <c:pt idx="48">
                  <c:v>82</c:v>
                </c:pt>
                <c:pt idx="49">
                  <c:v>82</c:v>
                </c:pt>
              </c:numCache>
            </c:numRef>
          </c:val>
          <c:extLst xmlns:c16r2="http://schemas.microsoft.com/office/drawing/2015/06/chart">
            <c:ext xmlns:c16="http://schemas.microsoft.com/office/drawing/2014/chart" uri="{C3380CC4-5D6E-409C-BE32-E72D297353CC}">
              <c16:uniqueId val="{00000000-8343-42CA-871E-D2EE1E94FB74}"/>
            </c:ext>
          </c:extLst>
        </c:ser>
        <c:ser>
          <c:idx val="4"/>
          <c:order val="1"/>
          <c:tx>
            <c:strRef>
              <c:f>'CF (Stories #)'!$G$1</c:f>
              <c:strCache>
                <c:ptCount val="1"/>
                <c:pt idx="0">
                  <c:v>Close</c:v>
                </c:pt>
              </c:strCache>
            </c:strRef>
          </c:tx>
          <c:spPr>
            <a:solidFill>
              <a:srgbClr val="00B0F0"/>
            </a:solidFill>
            <a:ln w="25400">
              <a:noFill/>
            </a:ln>
          </c:spPr>
          <c:val>
            <c:numRef>
              <c:f>'CF (Stories #)'!$G$2:$G$51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26</c:v>
                </c:pt>
                <c:pt idx="36">
                  <c:v>27</c:v>
                </c:pt>
                <c:pt idx="37">
                  <c:v>27</c:v>
                </c:pt>
                <c:pt idx="38">
                  <c:v>27</c:v>
                </c:pt>
                <c:pt idx="39">
                  <c:v>30</c:v>
                </c:pt>
                <c:pt idx="40">
                  <c:v>30</c:v>
                </c:pt>
                <c:pt idx="41">
                  <c:v>30</c:v>
                </c:pt>
                <c:pt idx="42">
                  <c:v>30</c:v>
                </c:pt>
                <c:pt idx="43">
                  <c:v>30</c:v>
                </c:pt>
                <c:pt idx="44">
                  <c:v>30</c:v>
                </c:pt>
                <c:pt idx="45">
                  <c:v>30</c:v>
                </c:pt>
                <c:pt idx="46">
                  <c:v>30</c:v>
                </c:pt>
                <c:pt idx="47">
                  <c:v>30</c:v>
                </c:pt>
                <c:pt idx="48">
                  <c:v>30</c:v>
                </c:pt>
                <c:pt idx="49">
                  <c:v>30</c:v>
                </c:pt>
              </c:numCache>
            </c:numRef>
          </c:val>
          <c:extLst xmlns:c16r2="http://schemas.microsoft.com/office/drawing/2015/06/chart">
            <c:ext xmlns:c16="http://schemas.microsoft.com/office/drawing/2014/chart" uri="{C3380CC4-5D6E-409C-BE32-E72D297353CC}">
              <c16:uniqueId val="{00000001-8343-42CA-871E-D2EE1E94FB74}"/>
            </c:ext>
          </c:extLst>
        </c:ser>
        <c:ser>
          <c:idx val="2"/>
          <c:order val="2"/>
          <c:tx>
            <c:strRef>
              <c:f>'CF (Stories #)'!$F$1</c:f>
              <c:strCache>
                <c:ptCount val="1"/>
                <c:pt idx="0">
                  <c:v>In review</c:v>
                </c:pt>
              </c:strCache>
            </c:strRef>
          </c:tx>
          <c:spPr>
            <a:solidFill>
              <a:schemeClr val="accent6"/>
            </a:solidFill>
          </c:spPr>
          <c:cat>
            <c:numRef>
              <c:f>'CF (Stories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(Stories #)'!$F$2:$F$51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4</c:v>
                </c:pt>
                <c:pt idx="36">
                  <c:v>8</c:v>
                </c:pt>
                <c:pt idx="37">
                  <c:v>8</c:v>
                </c:pt>
                <c:pt idx="38">
                  <c:v>8</c:v>
                </c:pt>
                <c:pt idx="39">
                  <c:v>9</c:v>
                </c:pt>
                <c:pt idx="40">
                  <c:v>9</c:v>
                </c:pt>
                <c:pt idx="41">
                  <c:v>9</c:v>
                </c:pt>
                <c:pt idx="42">
                  <c:v>9</c:v>
                </c:pt>
                <c:pt idx="43">
                  <c:v>9</c:v>
                </c:pt>
                <c:pt idx="44">
                  <c:v>9</c:v>
                </c:pt>
                <c:pt idx="45">
                  <c:v>9</c:v>
                </c:pt>
                <c:pt idx="46">
                  <c:v>9</c:v>
                </c:pt>
                <c:pt idx="47">
                  <c:v>9</c:v>
                </c:pt>
                <c:pt idx="48">
                  <c:v>9</c:v>
                </c:pt>
                <c:pt idx="49">
                  <c:v>9</c:v>
                </c:pt>
              </c:numCache>
            </c:numRef>
          </c:val>
          <c:extLst xmlns:c16r2="http://schemas.microsoft.com/office/drawing/2015/06/chart">
            <c:ext xmlns:c16="http://schemas.microsoft.com/office/drawing/2014/chart" uri="{C3380CC4-5D6E-409C-BE32-E72D297353CC}">
              <c16:uniqueId val="{00000002-8343-42CA-871E-D2EE1E94FB74}"/>
            </c:ext>
          </c:extLst>
        </c:ser>
        <c:ser>
          <c:idx val="1"/>
          <c:order val="3"/>
          <c:tx>
            <c:strRef>
              <c:f>'CF (Stories #)'!$E$1</c:f>
              <c:strCache>
                <c:ptCount val="1"/>
                <c:pt idx="0">
                  <c:v>In Progress</c:v>
                </c:pt>
              </c:strCache>
            </c:strRef>
          </c:tx>
          <c:spPr>
            <a:solidFill>
              <a:srgbClr val="7030A0"/>
            </a:solidFill>
          </c:spPr>
          <c:cat>
            <c:numRef>
              <c:f>'CF (Stories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(Stories #)'!$E$2:$E$51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7</c:v>
                </c:pt>
                <c:pt idx="36">
                  <c:v>20</c:v>
                </c:pt>
                <c:pt idx="37">
                  <c:v>20</c:v>
                </c:pt>
                <c:pt idx="38">
                  <c:v>20</c:v>
                </c:pt>
                <c:pt idx="39">
                  <c:v>20</c:v>
                </c:pt>
                <c:pt idx="40">
                  <c:v>20</c:v>
                </c:pt>
                <c:pt idx="41">
                  <c:v>20</c:v>
                </c:pt>
                <c:pt idx="42">
                  <c:v>20</c:v>
                </c:pt>
                <c:pt idx="43">
                  <c:v>20</c:v>
                </c:pt>
                <c:pt idx="44">
                  <c:v>20</c:v>
                </c:pt>
                <c:pt idx="45">
                  <c:v>20</c:v>
                </c:pt>
                <c:pt idx="46">
                  <c:v>20</c:v>
                </c:pt>
                <c:pt idx="47">
                  <c:v>20</c:v>
                </c:pt>
                <c:pt idx="48">
                  <c:v>20</c:v>
                </c:pt>
                <c:pt idx="49">
                  <c:v>20</c:v>
                </c:pt>
              </c:numCache>
            </c:numRef>
          </c:val>
          <c:extLst xmlns:c16r2="http://schemas.microsoft.com/office/drawing/2015/06/chart">
            <c:ext xmlns:c16="http://schemas.microsoft.com/office/drawing/2014/chart" uri="{C3380CC4-5D6E-409C-BE32-E72D297353CC}">
              <c16:uniqueId val="{00000003-8343-42CA-871E-D2EE1E94FB74}"/>
            </c:ext>
          </c:extLst>
        </c:ser>
        <c:ser>
          <c:idx val="0"/>
          <c:order val="4"/>
          <c:tx>
            <c:strRef>
              <c:f>'CF (Stories #)'!$D$1</c:f>
              <c:strCache>
                <c:ptCount val="1"/>
                <c:pt idx="0">
                  <c:v>Open</c:v>
                </c:pt>
              </c:strCache>
            </c:strRef>
          </c:tx>
          <c:spPr>
            <a:solidFill>
              <a:srgbClr val="CC6600"/>
            </a:solidFill>
          </c:spPr>
          <c:cat>
            <c:numRef>
              <c:f>'CF (Stories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(Stories #)'!$D$2:$D$51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3</c:v>
                </c:pt>
                <c:pt idx="36">
                  <c:v>47</c:v>
                </c:pt>
                <c:pt idx="37">
                  <c:v>47</c:v>
                </c:pt>
                <c:pt idx="38">
                  <c:v>47</c:v>
                </c:pt>
                <c:pt idx="39">
                  <c:v>42</c:v>
                </c:pt>
                <c:pt idx="40">
                  <c:v>42</c:v>
                </c:pt>
                <c:pt idx="41">
                  <c:v>42</c:v>
                </c:pt>
                <c:pt idx="42">
                  <c:v>42</c:v>
                </c:pt>
                <c:pt idx="43">
                  <c:v>42</c:v>
                </c:pt>
                <c:pt idx="44">
                  <c:v>42</c:v>
                </c:pt>
                <c:pt idx="45">
                  <c:v>42</c:v>
                </c:pt>
                <c:pt idx="46">
                  <c:v>42</c:v>
                </c:pt>
                <c:pt idx="47">
                  <c:v>42</c:v>
                </c:pt>
                <c:pt idx="48">
                  <c:v>42</c:v>
                </c:pt>
                <c:pt idx="49">
                  <c:v>42</c:v>
                </c:pt>
              </c:numCache>
            </c:numRef>
          </c:val>
          <c:extLst xmlns:c16r2="http://schemas.microsoft.com/office/drawing/2015/06/chart">
            <c:ext xmlns:c16="http://schemas.microsoft.com/office/drawing/2014/chart" uri="{C3380CC4-5D6E-409C-BE32-E72D297353CC}">
              <c16:uniqueId val="{00000004-8343-42CA-871E-D2EE1E94FB74}"/>
            </c:ext>
          </c:extLst>
        </c:ser>
        <c:dLbls>
          <c:showLegendKey val="0"/>
          <c:showVal val="0"/>
          <c:showCatName val="0"/>
          <c:showSerName val="0"/>
          <c:showPercent val="0"/>
          <c:showBubbleSize val="0"/>
        </c:dLbls>
        <c:axId val="162842112"/>
        <c:axId val="162843648"/>
      </c:areaChart>
      <c:catAx>
        <c:axId val="162842112"/>
        <c:scaling>
          <c:orientation val="minMax"/>
        </c:scaling>
        <c:delete val="0"/>
        <c:axPos val="b"/>
        <c:numFmt formatCode="m/d/yyyy" sourceLinked="1"/>
        <c:majorTickMark val="out"/>
        <c:minorTickMark val="none"/>
        <c:tickLblPos val="nextTo"/>
        <c:crossAx val="162843648"/>
        <c:crosses val="autoZero"/>
        <c:auto val="1"/>
        <c:lblAlgn val="ctr"/>
        <c:lblOffset val="100"/>
        <c:noMultiLvlLbl val="0"/>
      </c:catAx>
      <c:valAx>
        <c:axId val="162843648"/>
        <c:scaling>
          <c:orientation val="minMax"/>
        </c:scaling>
        <c:delete val="0"/>
        <c:axPos val="l"/>
        <c:majorGridlines/>
        <c:numFmt formatCode="General" sourceLinked="1"/>
        <c:majorTickMark val="out"/>
        <c:minorTickMark val="none"/>
        <c:tickLblPos val="nextTo"/>
        <c:crossAx val="162842112"/>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3"/>
          <c:order val="0"/>
          <c:tx>
            <c:strRef>
              <c:f>'CF (Features SP)'!$K$1</c:f>
              <c:strCache>
                <c:ptCount val="1"/>
                <c:pt idx="0">
                  <c:v>Done</c:v>
                </c:pt>
              </c:strCache>
            </c:strRef>
          </c:tx>
          <c:spPr>
            <a:solidFill>
              <a:schemeClr val="tx2">
                <a:lumMod val="60000"/>
                <a:lumOff val="40000"/>
              </a:schemeClr>
            </a:solidFill>
          </c:spPr>
          <c:cat>
            <c:numRef>
              <c:f>'CF (Features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(Features SP)'!$K$2:$K$51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10</c:v>
                </c:pt>
                <c:pt idx="34">
                  <c:v>10</c:v>
                </c:pt>
                <c:pt idx="35">
                  <c:v>5</c:v>
                </c:pt>
                <c:pt idx="36">
                  <c:v>11</c:v>
                </c:pt>
                <c:pt idx="37">
                  <c:v>11</c:v>
                </c:pt>
                <c:pt idx="38">
                  <c:v>11</c:v>
                </c:pt>
                <c:pt idx="39">
                  <c:v>12</c:v>
                </c:pt>
                <c:pt idx="40">
                  <c:v>12</c:v>
                </c:pt>
                <c:pt idx="41">
                  <c:v>12</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0-EF36-4B26-B825-0AEF0248DCF6}"/>
            </c:ext>
          </c:extLst>
        </c:ser>
        <c:ser>
          <c:idx val="7"/>
          <c:order val="1"/>
          <c:tx>
            <c:strRef>
              <c:f>'CF (Features SP)'!$J$1</c:f>
              <c:strCache>
                <c:ptCount val="1"/>
                <c:pt idx="0">
                  <c:v>Releasing</c:v>
                </c:pt>
              </c:strCache>
            </c:strRef>
          </c:tx>
          <c:spPr>
            <a:ln w="25400">
              <a:noFill/>
            </a:ln>
          </c:spPr>
          <c:val>
            <c:numRef>
              <c:f>'CF (Features SP)'!$J$2:$J$51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1-EF36-4B26-B825-0AEF0248DCF6}"/>
            </c:ext>
          </c:extLst>
        </c:ser>
        <c:ser>
          <c:idx val="6"/>
          <c:order val="2"/>
          <c:tx>
            <c:strRef>
              <c:f>'CF (Features SP)'!$I$1</c:f>
              <c:strCache>
                <c:ptCount val="1"/>
                <c:pt idx="0">
                  <c:v>Deploying to production</c:v>
                </c:pt>
              </c:strCache>
            </c:strRef>
          </c:tx>
          <c:spPr>
            <a:ln w="25400">
              <a:noFill/>
            </a:ln>
          </c:spPr>
          <c:val>
            <c:numRef>
              <c:f>'CF (Features SP)'!$I$2:$I$51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2-EF36-4B26-B825-0AEF0248DCF6}"/>
            </c:ext>
          </c:extLst>
        </c:ser>
        <c:ser>
          <c:idx val="5"/>
          <c:order val="3"/>
          <c:tx>
            <c:strRef>
              <c:f>'CF (Features SP)'!$H$1</c:f>
              <c:strCache>
                <c:ptCount val="1"/>
                <c:pt idx="0">
                  <c:v>Validating on Staging</c:v>
                </c:pt>
              </c:strCache>
            </c:strRef>
          </c:tx>
          <c:spPr>
            <a:solidFill>
              <a:srgbClr val="FFFF00"/>
            </a:solidFill>
            <a:ln w="25400">
              <a:noFill/>
            </a:ln>
          </c:spPr>
          <c:val>
            <c:numRef>
              <c:f>'CF (Features SP)'!$H$2:$H$51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1</c:v>
                </c:pt>
                <c:pt idx="34">
                  <c:v>1</c:v>
                </c:pt>
                <c:pt idx="35">
                  <c:v>1</c:v>
                </c:pt>
                <c:pt idx="36">
                  <c:v>2</c:v>
                </c:pt>
                <c:pt idx="37">
                  <c:v>2</c:v>
                </c:pt>
                <c:pt idx="38">
                  <c:v>2</c:v>
                </c:pt>
                <c:pt idx="39">
                  <c:v>2</c:v>
                </c:pt>
                <c:pt idx="40">
                  <c:v>2</c:v>
                </c:pt>
                <c:pt idx="41">
                  <c:v>2</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3-EF36-4B26-B825-0AEF0248DCF6}"/>
            </c:ext>
          </c:extLst>
        </c:ser>
        <c:ser>
          <c:idx val="4"/>
          <c:order val="4"/>
          <c:tx>
            <c:strRef>
              <c:f>'CF (Features SP)'!$G$1</c:f>
              <c:strCache>
                <c:ptCount val="1"/>
                <c:pt idx="0">
                  <c:v>Implementing</c:v>
                </c:pt>
              </c:strCache>
            </c:strRef>
          </c:tx>
          <c:spPr>
            <a:solidFill>
              <a:srgbClr val="00B0F0"/>
            </a:solidFill>
            <a:ln w="25400">
              <a:noFill/>
            </a:ln>
          </c:spPr>
          <c:val>
            <c:numRef>
              <c:f>'CF (Features SP)'!$G$2:$G$51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18</c:v>
                </c:pt>
                <c:pt idx="34">
                  <c:v>18</c:v>
                </c:pt>
                <c:pt idx="35">
                  <c:v>29</c:v>
                </c:pt>
                <c:pt idx="36">
                  <c:v>49</c:v>
                </c:pt>
                <c:pt idx="37">
                  <c:v>49</c:v>
                </c:pt>
                <c:pt idx="38">
                  <c:v>49</c:v>
                </c:pt>
                <c:pt idx="39">
                  <c:v>50</c:v>
                </c:pt>
                <c:pt idx="40">
                  <c:v>50</c:v>
                </c:pt>
                <c:pt idx="41">
                  <c:v>50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4-EF36-4B26-B825-0AEF0248DCF6}"/>
            </c:ext>
          </c:extLst>
        </c:ser>
        <c:ser>
          <c:idx val="2"/>
          <c:order val="5"/>
          <c:tx>
            <c:strRef>
              <c:f>'CF (Features SP)'!$F$1</c:f>
              <c:strCache>
                <c:ptCount val="1"/>
                <c:pt idx="0">
                  <c:v>Backlog</c:v>
                </c:pt>
              </c:strCache>
            </c:strRef>
          </c:tx>
          <c:spPr>
            <a:solidFill>
              <a:schemeClr val="accent6"/>
            </a:solidFill>
          </c:spPr>
          <c:cat>
            <c:numRef>
              <c:f>'CF (Features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(Features SP)'!$F$2:$F$51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9</c:v>
                </c:pt>
                <c:pt idx="34">
                  <c:v>9</c:v>
                </c:pt>
                <c:pt idx="35">
                  <c:v>0</c:v>
                </c:pt>
                <c:pt idx="36">
                  <c:v>12</c:v>
                </c:pt>
                <c:pt idx="37">
                  <c:v>12</c:v>
                </c:pt>
                <c:pt idx="38">
                  <c:v>12</c:v>
                </c:pt>
                <c:pt idx="39">
                  <c:v>12</c:v>
                </c:pt>
                <c:pt idx="40">
                  <c:v>12</c:v>
                </c:pt>
                <c:pt idx="41">
                  <c:v>12</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5-EF36-4B26-B825-0AEF0248DCF6}"/>
            </c:ext>
          </c:extLst>
        </c:ser>
        <c:ser>
          <c:idx val="1"/>
          <c:order val="6"/>
          <c:tx>
            <c:strRef>
              <c:f>'CF (Features SP)'!$E$1</c:f>
              <c:strCache>
                <c:ptCount val="1"/>
                <c:pt idx="0">
                  <c:v>Analyzing</c:v>
                </c:pt>
              </c:strCache>
            </c:strRef>
          </c:tx>
          <c:spPr>
            <a:solidFill>
              <a:srgbClr val="7030A0"/>
            </a:solidFill>
          </c:spPr>
          <c:cat>
            <c:numRef>
              <c:f>'CF (Features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(Features SP)'!$E$2:$E$51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2</c:v>
                </c:pt>
                <c:pt idx="34">
                  <c:v>2</c:v>
                </c:pt>
                <c:pt idx="35">
                  <c:v>2</c:v>
                </c:pt>
                <c:pt idx="36">
                  <c:v>3</c:v>
                </c:pt>
                <c:pt idx="37">
                  <c:v>3</c:v>
                </c:pt>
                <c:pt idx="38">
                  <c:v>3</c:v>
                </c:pt>
                <c:pt idx="39">
                  <c:v>3</c:v>
                </c:pt>
                <c:pt idx="40">
                  <c:v>3</c:v>
                </c:pt>
                <c:pt idx="41">
                  <c:v>3</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6-EF36-4B26-B825-0AEF0248DCF6}"/>
            </c:ext>
          </c:extLst>
        </c:ser>
        <c:ser>
          <c:idx val="0"/>
          <c:order val="7"/>
          <c:tx>
            <c:strRef>
              <c:f>'CF (Features SP)'!$D$1</c:f>
              <c:strCache>
                <c:ptCount val="1"/>
                <c:pt idx="0">
                  <c:v>Funnel</c:v>
                </c:pt>
              </c:strCache>
            </c:strRef>
          </c:tx>
          <c:spPr>
            <a:solidFill>
              <a:srgbClr val="CC6600"/>
            </a:solidFill>
          </c:spPr>
          <c:cat>
            <c:numRef>
              <c:f>'CF (Features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(Features SP)'!$D$2:$D$51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4</c:v>
                </c:pt>
                <c:pt idx="34">
                  <c:v>4</c:v>
                </c:pt>
                <c:pt idx="35">
                  <c:v>2</c:v>
                </c:pt>
                <c:pt idx="36">
                  <c:v>5</c:v>
                </c:pt>
                <c:pt idx="37">
                  <c:v>5</c:v>
                </c:pt>
                <c:pt idx="38">
                  <c:v>5</c:v>
                </c:pt>
                <c:pt idx="39">
                  <c:v>5</c:v>
                </c:pt>
                <c:pt idx="40">
                  <c:v>5</c:v>
                </c:pt>
                <c:pt idx="41">
                  <c:v>5</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7-EF36-4B26-B825-0AEF0248DCF6}"/>
            </c:ext>
          </c:extLst>
        </c:ser>
        <c:dLbls>
          <c:showLegendKey val="0"/>
          <c:showVal val="0"/>
          <c:showCatName val="0"/>
          <c:showSerName val="0"/>
          <c:showPercent val="0"/>
          <c:showBubbleSize val="0"/>
        </c:dLbls>
        <c:axId val="165360000"/>
        <c:axId val="165361536"/>
      </c:areaChart>
      <c:dateAx>
        <c:axId val="165360000"/>
        <c:scaling>
          <c:orientation val="minMax"/>
        </c:scaling>
        <c:delete val="0"/>
        <c:axPos val="b"/>
        <c:numFmt formatCode="m/d/yyyy" sourceLinked="1"/>
        <c:majorTickMark val="out"/>
        <c:minorTickMark val="none"/>
        <c:tickLblPos val="nextTo"/>
        <c:crossAx val="165361536"/>
        <c:crosses val="autoZero"/>
        <c:auto val="1"/>
        <c:lblOffset val="100"/>
        <c:baseTimeUnit val="days"/>
      </c:dateAx>
      <c:valAx>
        <c:axId val="165361536"/>
        <c:scaling>
          <c:orientation val="minMax"/>
        </c:scaling>
        <c:delete val="0"/>
        <c:axPos val="l"/>
        <c:majorGridlines/>
        <c:numFmt formatCode="General" sourceLinked="1"/>
        <c:majorTickMark val="out"/>
        <c:minorTickMark val="none"/>
        <c:tickLblPos val="nextTo"/>
        <c:crossAx val="165360000"/>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3"/>
          <c:order val="0"/>
          <c:tx>
            <c:strRef>
              <c:f>'CF (Enablers SP)'!$K$1</c:f>
              <c:strCache>
                <c:ptCount val="1"/>
                <c:pt idx="0">
                  <c:v>Done</c:v>
                </c:pt>
              </c:strCache>
            </c:strRef>
          </c:tx>
          <c:spPr>
            <a:solidFill>
              <a:schemeClr val="tx2">
                <a:lumMod val="60000"/>
                <a:lumOff val="40000"/>
              </a:schemeClr>
            </a:solidFill>
          </c:spPr>
          <c:cat>
            <c:numRef>
              <c:f>'CF (Enablers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(Enablers SP)'!$K$2:$K$51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10</c:v>
                </c:pt>
                <c:pt idx="34">
                  <c:v>10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0-13B9-4B85-AC0C-DCF42B75487B}"/>
            </c:ext>
          </c:extLst>
        </c:ser>
        <c:ser>
          <c:idx val="7"/>
          <c:order val="1"/>
          <c:tx>
            <c:strRef>
              <c:f>'CF (Enablers SP)'!$J$1</c:f>
              <c:strCache>
                <c:ptCount val="1"/>
                <c:pt idx="0">
                  <c:v>Releasing</c:v>
                </c:pt>
              </c:strCache>
            </c:strRef>
          </c:tx>
          <c:spPr>
            <a:ln w="25400">
              <a:noFill/>
            </a:ln>
          </c:spPr>
          <c:val>
            <c:numRef>
              <c:f>'CF (Enablers SP)'!$J$2:$J$51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1-13B9-4B85-AC0C-DCF42B75487B}"/>
            </c:ext>
          </c:extLst>
        </c:ser>
        <c:ser>
          <c:idx val="6"/>
          <c:order val="2"/>
          <c:tx>
            <c:strRef>
              <c:f>'CF (Enablers SP)'!$I$1</c:f>
              <c:strCache>
                <c:ptCount val="1"/>
                <c:pt idx="0">
                  <c:v>Deploying to production</c:v>
                </c:pt>
              </c:strCache>
            </c:strRef>
          </c:tx>
          <c:spPr>
            <a:ln w="25400">
              <a:noFill/>
            </a:ln>
          </c:spPr>
          <c:val>
            <c:numRef>
              <c:f>'CF (Enablers SP)'!$I$2:$I$51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2-13B9-4B85-AC0C-DCF42B75487B}"/>
            </c:ext>
          </c:extLst>
        </c:ser>
        <c:ser>
          <c:idx val="5"/>
          <c:order val="3"/>
          <c:tx>
            <c:strRef>
              <c:f>'CF (Enablers SP)'!$H$1</c:f>
              <c:strCache>
                <c:ptCount val="1"/>
                <c:pt idx="0">
                  <c:v>Validating on Staging</c:v>
                </c:pt>
              </c:strCache>
            </c:strRef>
          </c:tx>
          <c:spPr>
            <a:solidFill>
              <a:srgbClr val="FFFF00"/>
            </a:solidFill>
            <a:ln w="25400">
              <a:noFill/>
            </a:ln>
          </c:spPr>
          <c:val>
            <c:numRef>
              <c:f>'CF (Enablers SP)'!$H$2:$H$51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1</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3-13B9-4B85-AC0C-DCF42B75487B}"/>
            </c:ext>
          </c:extLst>
        </c:ser>
        <c:ser>
          <c:idx val="4"/>
          <c:order val="4"/>
          <c:tx>
            <c:strRef>
              <c:f>'CF (Enablers SP)'!$G$1</c:f>
              <c:strCache>
                <c:ptCount val="1"/>
                <c:pt idx="0">
                  <c:v>Implementing</c:v>
                </c:pt>
              </c:strCache>
            </c:strRef>
          </c:tx>
          <c:spPr>
            <a:solidFill>
              <a:srgbClr val="00B0F0"/>
            </a:solidFill>
            <a:ln w="25400">
              <a:noFill/>
            </a:ln>
          </c:spPr>
          <c:val>
            <c:numRef>
              <c:f>'CF (Enablers SP)'!$G$2:$G$51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18</c:v>
                </c:pt>
                <c:pt idx="34">
                  <c:v>18</c:v>
                </c:pt>
                <c:pt idx="35">
                  <c:v>1</c:v>
                </c:pt>
                <c:pt idx="36">
                  <c:v>5</c:v>
                </c:pt>
                <c:pt idx="37">
                  <c:v>5</c:v>
                </c:pt>
                <c:pt idx="38">
                  <c:v>5</c:v>
                </c:pt>
                <c:pt idx="39">
                  <c:v>1</c:v>
                </c:pt>
                <c:pt idx="40">
                  <c:v>1</c:v>
                </c:pt>
                <c:pt idx="41">
                  <c:v>1</c:v>
                </c:pt>
                <c:pt idx="42">
                  <c:v>1</c:v>
                </c:pt>
                <c:pt idx="43">
                  <c:v>1</c:v>
                </c:pt>
                <c:pt idx="44">
                  <c:v>1</c:v>
                </c:pt>
                <c:pt idx="45">
                  <c:v>1</c:v>
                </c:pt>
                <c:pt idx="46">
                  <c:v>1</c:v>
                </c:pt>
                <c:pt idx="47">
                  <c:v>1</c:v>
                </c:pt>
                <c:pt idx="48">
                  <c:v>1</c:v>
                </c:pt>
                <c:pt idx="49">
                  <c:v>1</c:v>
                </c:pt>
              </c:numCache>
            </c:numRef>
          </c:val>
          <c:extLst xmlns:c16r2="http://schemas.microsoft.com/office/drawing/2015/06/chart">
            <c:ext xmlns:c16="http://schemas.microsoft.com/office/drawing/2014/chart" uri="{C3380CC4-5D6E-409C-BE32-E72D297353CC}">
              <c16:uniqueId val="{00000004-13B9-4B85-AC0C-DCF42B75487B}"/>
            </c:ext>
          </c:extLst>
        </c:ser>
        <c:ser>
          <c:idx val="2"/>
          <c:order val="5"/>
          <c:tx>
            <c:strRef>
              <c:f>'CF (Enablers SP)'!$F$1</c:f>
              <c:strCache>
                <c:ptCount val="1"/>
                <c:pt idx="0">
                  <c:v>Backlog</c:v>
                </c:pt>
              </c:strCache>
            </c:strRef>
          </c:tx>
          <c:spPr>
            <a:solidFill>
              <a:schemeClr val="accent6"/>
            </a:solidFill>
          </c:spPr>
          <c:cat>
            <c:numRef>
              <c:f>'CF (Enablers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(Enablers SP)'!$F$2:$F$51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9</c:v>
                </c:pt>
                <c:pt idx="34">
                  <c:v>9</c:v>
                </c:pt>
                <c:pt idx="35">
                  <c:v>0</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numCache>
            </c:numRef>
          </c:val>
          <c:extLst xmlns:c16r2="http://schemas.microsoft.com/office/drawing/2015/06/chart">
            <c:ext xmlns:c16="http://schemas.microsoft.com/office/drawing/2014/chart" uri="{C3380CC4-5D6E-409C-BE32-E72D297353CC}">
              <c16:uniqueId val="{00000005-13B9-4B85-AC0C-DCF42B75487B}"/>
            </c:ext>
          </c:extLst>
        </c:ser>
        <c:ser>
          <c:idx val="1"/>
          <c:order val="6"/>
          <c:tx>
            <c:strRef>
              <c:f>'CF (Enablers SP)'!$E$1</c:f>
              <c:strCache>
                <c:ptCount val="1"/>
                <c:pt idx="0">
                  <c:v>Analyzing</c:v>
                </c:pt>
              </c:strCache>
            </c:strRef>
          </c:tx>
          <c:spPr>
            <a:solidFill>
              <a:srgbClr val="7030A0"/>
            </a:solidFill>
          </c:spPr>
          <c:cat>
            <c:numRef>
              <c:f>'CF (Enablers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(Enablers SP)'!$E$2:$E$51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2</c:v>
                </c:pt>
                <c:pt idx="34">
                  <c:v>2</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6-13B9-4B85-AC0C-DCF42B75487B}"/>
            </c:ext>
          </c:extLst>
        </c:ser>
        <c:ser>
          <c:idx val="0"/>
          <c:order val="7"/>
          <c:tx>
            <c:strRef>
              <c:f>'CF (Enablers SP)'!$D$1</c:f>
              <c:strCache>
                <c:ptCount val="1"/>
                <c:pt idx="0">
                  <c:v>Funnel</c:v>
                </c:pt>
              </c:strCache>
            </c:strRef>
          </c:tx>
          <c:spPr>
            <a:solidFill>
              <a:srgbClr val="CC6600"/>
            </a:solidFill>
          </c:spPr>
          <c:cat>
            <c:numRef>
              <c:f>'CF (Enablers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(Enablers SP)'!$D$2:$D$51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4</c:v>
                </c:pt>
                <c:pt idx="34">
                  <c:v>4</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7-13B9-4B85-AC0C-DCF42B75487B}"/>
            </c:ext>
          </c:extLst>
        </c:ser>
        <c:dLbls>
          <c:showLegendKey val="0"/>
          <c:showVal val="0"/>
          <c:showCatName val="0"/>
          <c:showSerName val="0"/>
          <c:showPercent val="0"/>
          <c:showBubbleSize val="0"/>
        </c:dLbls>
        <c:axId val="165448704"/>
        <c:axId val="165454592"/>
      </c:areaChart>
      <c:dateAx>
        <c:axId val="165448704"/>
        <c:scaling>
          <c:orientation val="minMax"/>
        </c:scaling>
        <c:delete val="0"/>
        <c:axPos val="b"/>
        <c:numFmt formatCode="m/d/yyyy" sourceLinked="1"/>
        <c:majorTickMark val="out"/>
        <c:minorTickMark val="none"/>
        <c:tickLblPos val="nextTo"/>
        <c:crossAx val="165454592"/>
        <c:crosses val="autoZero"/>
        <c:auto val="1"/>
        <c:lblOffset val="100"/>
        <c:baseTimeUnit val="days"/>
      </c:dateAx>
      <c:valAx>
        <c:axId val="165454592"/>
        <c:scaling>
          <c:orientation val="minMax"/>
        </c:scaling>
        <c:delete val="0"/>
        <c:axPos val="l"/>
        <c:majorGridlines/>
        <c:numFmt formatCode="General" sourceLinked="1"/>
        <c:majorTickMark val="out"/>
        <c:minorTickMark val="none"/>
        <c:tickLblPos val="nextTo"/>
        <c:crossAx val="165448704"/>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5"/>
          <c:order val="0"/>
          <c:tx>
            <c:strRef>
              <c:f>'CF (Stories SP)'!$H$1</c:f>
              <c:strCache>
                <c:ptCount val="1"/>
                <c:pt idx="0">
                  <c:v>Done</c:v>
                </c:pt>
              </c:strCache>
            </c:strRef>
          </c:tx>
          <c:spPr>
            <a:solidFill>
              <a:srgbClr val="FFFF00"/>
            </a:solidFill>
            <a:ln w="25400">
              <a:noFill/>
            </a:ln>
          </c:spPr>
          <c:val>
            <c:numRef>
              <c:f>'CF (Stories SP)'!$H$2:$H$51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185</c:v>
                </c:pt>
                <c:pt idx="36">
                  <c:v>311</c:v>
                </c:pt>
                <c:pt idx="37">
                  <c:v>311</c:v>
                </c:pt>
                <c:pt idx="38">
                  <c:v>311</c:v>
                </c:pt>
                <c:pt idx="39">
                  <c:v>311</c:v>
                </c:pt>
                <c:pt idx="40">
                  <c:v>311</c:v>
                </c:pt>
                <c:pt idx="41">
                  <c:v>311</c:v>
                </c:pt>
                <c:pt idx="42">
                  <c:v>311</c:v>
                </c:pt>
                <c:pt idx="43">
                  <c:v>311</c:v>
                </c:pt>
                <c:pt idx="44">
                  <c:v>311</c:v>
                </c:pt>
                <c:pt idx="45">
                  <c:v>311</c:v>
                </c:pt>
                <c:pt idx="46">
                  <c:v>311</c:v>
                </c:pt>
                <c:pt idx="47">
                  <c:v>311</c:v>
                </c:pt>
                <c:pt idx="48">
                  <c:v>311</c:v>
                </c:pt>
                <c:pt idx="49">
                  <c:v>311</c:v>
                </c:pt>
              </c:numCache>
            </c:numRef>
          </c:val>
          <c:extLst xmlns:c16r2="http://schemas.microsoft.com/office/drawing/2015/06/chart">
            <c:ext xmlns:c16="http://schemas.microsoft.com/office/drawing/2014/chart" uri="{C3380CC4-5D6E-409C-BE32-E72D297353CC}">
              <c16:uniqueId val="{00000000-918F-4997-872A-9E5134855229}"/>
            </c:ext>
          </c:extLst>
        </c:ser>
        <c:ser>
          <c:idx val="4"/>
          <c:order val="1"/>
          <c:tx>
            <c:strRef>
              <c:f>'CF (Stories SP)'!$G$1</c:f>
              <c:strCache>
                <c:ptCount val="1"/>
                <c:pt idx="0">
                  <c:v>Close</c:v>
                </c:pt>
              </c:strCache>
            </c:strRef>
          </c:tx>
          <c:spPr>
            <a:solidFill>
              <a:srgbClr val="00B0F0"/>
            </a:solidFill>
            <a:ln w="25400">
              <a:noFill/>
            </a:ln>
          </c:spPr>
          <c:val>
            <c:numRef>
              <c:f>'CF (Stories SP)'!$G$2:$G$51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99</c:v>
                </c:pt>
                <c:pt idx="36">
                  <c:v>120</c:v>
                </c:pt>
                <c:pt idx="37">
                  <c:v>120</c:v>
                </c:pt>
                <c:pt idx="38">
                  <c:v>120</c:v>
                </c:pt>
                <c:pt idx="39">
                  <c:v>143</c:v>
                </c:pt>
                <c:pt idx="40">
                  <c:v>143</c:v>
                </c:pt>
                <c:pt idx="41">
                  <c:v>143</c:v>
                </c:pt>
                <c:pt idx="42">
                  <c:v>143</c:v>
                </c:pt>
                <c:pt idx="43">
                  <c:v>143</c:v>
                </c:pt>
                <c:pt idx="44">
                  <c:v>143</c:v>
                </c:pt>
                <c:pt idx="45">
                  <c:v>143</c:v>
                </c:pt>
                <c:pt idx="46">
                  <c:v>143</c:v>
                </c:pt>
                <c:pt idx="47">
                  <c:v>143</c:v>
                </c:pt>
                <c:pt idx="48">
                  <c:v>143</c:v>
                </c:pt>
                <c:pt idx="49">
                  <c:v>143</c:v>
                </c:pt>
              </c:numCache>
            </c:numRef>
          </c:val>
          <c:extLst xmlns:c16r2="http://schemas.microsoft.com/office/drawing/2015/06/chart">
            <c:ext xmlns:c16="http://schemas.microsoft.com/office/drawing/2014/chart" uri="{C3380CC4-5D6E-409C-BE32-E72D297353CC}">
              <c16:uniqueId val="{00000001-918F-4997-872A-9E5134855229}"/>
            </c:ext>
          </c:extLst>
        </c:ser>
        <c:ser>
          <c:idx val="2"/>
          <c:order val="2"/>
          <c:tx>
            <c:strRef>
              <c:f>'CF (Stories SP)'!$F$1</c:f>
              <c:strCache>
                <c:ptCount val="1"/>
                <c:pt idx="0">
                  <c:v>In review</c:v>
                </c:pt>
              </c:strCache>
            </c:strRef>
          </c:tx>
          <c:spPr>
            <a:solidFill>
              <a:schemeClr val="accent6"/>
            </a:solidFill>
          </c:spPr>
          <c:cat>
            <c:numRef>
              <c:f>'CF (Stories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(Stories SP)'!$F$2:$F$51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23</c:v>
                </c:pt>
                <c:pt idx="36">
                  <c:v>60</c:v>
                </c:pt>
                <c:pt idx="37">
                  <c:v>60</c:v>
                </c:pt>
                <c:pt idx="38">
                  <c:v>60</c:v>
                </c:pt>
                <c:pt idx="39">
                  <c:v>68</c:v>
                </c:pt>
                <c:pt idx="40">
                  <c:v>68</c:v>
                </c:pt>
                <c:pt idx="41">
                  <c:v>68</c:v>
                </c:pt>
                <c:pt idx="42">
                  <c:v>68</c:v>
                </c:pt>
                <c:pt idx="43">
                  <c:v>68</c:v>
                </c:pt>
                <c:pt idx="44">
                  <c:v>68</c:v>
                </c:pt>
                <c:pt idx="45">
                  <c:v>68</c:v>
                </c:pt>
                <c:pt idx="46">
                  <c:v>68</c:v>
                </c:pt>
                <c:pt idx="47">
                  <c:v>68</c:v>
                </c:pt>
                <c:pt idx="48">
                  <c:v>68</c:v>
                </c:pt>
                <c:pt idx="49">
                  <c:v>68</c:v>
                </c:pt>
              </c:numCache>
            </c:numRef>
          </c:val>
          <c:extLst xmlns:c16r2="http://schemas.microsoft.com/office/drawing/2015/06/chart">
            <c:ext xmlns:c16="http://schemas.microsoft.com/office/drawing/2014/chart" uri="{C3380CC4-5D6E-409C-BE32-E72D297353CC}">
              <c16:uniqueId val="{00000002-918F-4997-872A-9E5134855229}"/>
            </c:ext>
          </c:extLst>
        </c:ser>
        <c:ser>
          <c:idx val="1"/>
          <c:order val="3"/>
          <c:tx>
            <c:strRef>
              <c:f>'CF (Stories SP)'!$E$1</c:f>
              <c:strCache>
                <c:ptCount val="1"/>
                <c:pt idx="0">
                  <c:v>In Progress</c:v>
                </c:pt>
              </c:strCache>
            </c:strRef>
          </c:tx>
          <c:spPr>
            <a:solidFill>
              <a:srgbClr val="7030A0"/>
            </a:solidFill>
          </c:spPr>
          <c:cat>
            <c:numRef>
              <c:f>'CF (Stories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(Stories SP)'!$E$2:$E$51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65</c:v>
                </c:pt>
                <c:pt idx="36">
                  <c:v>130</c:v>
                </c:pt>
                <c:pt idx="37">
                  <c:v>130</c:v>
                </c:pt>
                <c:pt idx="38">
                  <c:v>130</c:v>
                </c:pt>
                <c:pt idx="39">
                  <c:v>122</c:v>
                </c:pt>
                <c:pt idx="40">
                  <c:v>122</c:v>
                </c:pt>
                <c:pt idx="41">
                  <c:v>122</c:v>
                </c:pt>
                <c:pt idx="42">
                  <c:v>122</c:v>
                </c:pt>
                <c:pt idx="43">
                  <c:v>122</c:v>
                </c:pt>
                <c:pt idx="44">
                  <c:v>122</c:v>
                </c:pt>
                <c:pt idx="45">
                  <c:v>122</c:v>
                </c:pt>
                <c:pt idx="46">
                  <c:v>122</c:v>
                </c:pt>
                <c:pt idx="47">
                  <c:v>122</c:v>
                </c:pt>
                <c:pt idx="48">
                  <c:v>122</c:v>
                </c:pt>
                <c:pt idx="49">
                  <c:v>122</c:v>
                </c:pt>
              </c:numCache>
            </c:numRef>
          </c:val>
          <c:extLst xmlns:c16r2="http://schemas.microsoft.com/office/drawing/2015/06/chart">
            <c:ext xmlns:c16="http://schemas.microsoft.com/office/drawing/2014/chart" uri="{C3380CC4-5D6E-409C-BE32-E72D297353CC}">
              <c16:uniqueId val="{00000003-918F-4997-872A-9E5134855229}"/>
            </c:ext>
          </c:extLst>
        </c:ser>
        <c:ser>
          <c:idx val="0"/>
          <c:order val="4"/>
          <c:tx>
            <c:strRef>
              <c:f>'CF (Stories SP)'!$D$1</c:f>
              <c:strCache>
                <c:ptCount val="1"/>
                <c:pt idx="0">
                  <c:v>Open</c:v>
                </c:pt>
              </c:strCache>
            </c:strRef>
          </c:tx>
          <c:spPr>
            <a:solidFill>
              <a:srgbClr val="CC6600"/>
            </a:solidFill>
          </c:spPr>
          <c:cat>
            <c:numRef>
              <c:f>'CF (Stories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'CF (Stories SP)'!$D$2:$D$51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195</c:v>
                </c:pt>
                <c:pt idx="37">
                  <c:v>195</c:v>
                </c:pt>
                <c:pt idx="38">
                  <c:v>195</c:v>
                </c:pt>
                <c:pt idx="39">
                  <c:v>170</c:v>
                </c:pt>
                <c:pt idx="40">
                  <c:v>170</c:v>
                </c:pt>
                <c:pt idx="41">
                  <c:v>170</c:v>
                </c:pt>
                <c:pt idx="42">
                  <c:v>170</c:v>
                </c:pt>
                <c:pt idx="43">
                  <c:v>170</c:v>
                </c:pt>
                <c:pt idx="44">
                  <c:v>170</c:v>
                </c:pt>
                <c:pt idx="45">
                  <c:v>170</c:v>
                </c:pt>
                <c:pt idx="46">
                  <c:v>170</c:v>
                </c:pt>
                <c:pt idx="47">
                  <c:v>170</c:v>
                </c:pt>
                <c:pt idx="48">
                  <c:v>170</c:v>
                </c:pt>
                <c:pt idx="49">
                  <c:v>170</c:v>
                </c:pt>
              </c:numCache>
            </c:numRef>
          </c:val>
          <c:extLst xmlns:c16r2="http://schemas.microsoft.com/office/drawing/2015/06/chart">
            <c:ext xmlns:c16="http://schemas.microsoft.com/office/drawing/2014/chart" uri="{C3380CC4-5D6E-409C-BE32-E72D297353CC}">
              <c16:uniqueId val="{00000004-918F-4997-872A-9E5134855229}"/>
            </c:ext>
          </c:extLst>
        </c:ser>
        <c:dLbls>
          <c:showLegendKey val="0"/>
          <c:showVal val="0"/>
          <c:showCatName val="0"/>
          <c:showSerName val="0"/>
          <c:showPercent val="0"/>
          <c:showBubbleSize val="0"/>
        </c:dLbls>
        <c:axId val="165529856"/>
        <c:axId val="165548032"/>
      </c:areaChart>
      <c:catAx>
        <c:axId val="165529856"/>
        <c:scaling>
          <c:orientation val="minMax"/>
        </c:scaling>
        <c:delete val="0"/>
        <c:axPos val="b"/>
        <c:numFmt formatCode="m/d/yyyy" sourceLinked="1"/>
        <c:majorTickMark val="out"/>
        <c:minorTickMark val="none"/>
        <c:tickLblPos val="nextTo"/>
        <c:crossAx val="165548032"/>
        <c:crosses val="autoZero"/>
        <c:auto val="1"/>
        <c:lblAlgn val="ctr"/>
        <c:lblOffset val="100"/>
        <c:noMultiLvlLbl val="0"/>
      </c:catAx>
      <c:valAx>
        <c:axId val="165548032"/>
        <c:scaling>
          <c:orientation val="minMax"/>
        </c:scaling>
        <c:delete val="0"/>
        <c:axPos val="l"/>
        <c:majorGridlines/>
        <c:numFmt formatCode="General" sourceLinked="1"/>
        <c:majorTickMark val="out"/>
        <c:minorTickMark val="none"/>
        <c:tickLblPos val="nextTo"/>
        <c:crossAx val="165529856"/>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3"/>
          <c:order val="0"/>
          <c:tx>
            <c:strRef>
              <c:f>'A - CF (Features #)'!$K$1</c:f>
              <c:strCache>
                <c:ptCount val="1"/>
                <c:pt idx="0">
                  <c:v>Done</c:v>
                </c:pt>
              </c:strCache>
            </c:strRef>
          </c:tx>
          <c:spPr>
            <a:solidFill>
              <a:schemeClr val="tx2">
                <a:lumMod val="60000"/>
                <a:lumOff val="40000"/>
              </a:schemeClr>
            </a:solidFill>
          </c:spPr>
          <c:cat>
            <c:numRef>
              <c:f>'A - CF (Features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(Features #)'!$K$2:$K$51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1</c:v>
                </c:pt>
                <c:pt idx="40">
                  <c:v>1</c:v>
                </c:pt>
                <c:pt idx="41">
                  <c:v>1</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0-E931-4861-8E27-DA20AD7BD44D}"/>
            </c:ext>
          </c:extLst>
        </c:ser>
        <c:ser>
          <c:idx val="7"/>
          <c:order val="1"/>
          <c:tx>
            <c:strRef>
              <c:f>'A - CF (Features #)'!$J$1</c:f>
              <c:strCache>
                <c:ptCount val="1"/>
                <c:pt idx="0">
                  <c:v>Releasing</c:v>
                </c:pt>
              </c:strCache>
            </c:strRef>
          </c:tx>
          <c:spPr>
            <a:ln w="25400">
              <a:noFill/>
            </a:ln>
          </c:spPr>
          <c:val>
            <c:numRef>
              <c:f>'A - CF (Features #)'!$J$2:$J$51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1-E931-4861-8E27-DA20AD7BD44D}"/>
            </c:ext>
          </c:extLst>
        </c:ser>
        <c:ser>
          <c:idx val="6"/>
          <c:order val="2"/>
          <c:tx>
            <c:strRef>
              <c:f>'A - CF (Features #)'!$I$1</c:f>
              <c:strCache>
                <c:ptCount val="1"/>
                <c:pt idx="0">
                  <c:v>Deploying to production</c:v>
                </c:pt>
              </c:strCache>
            </c:strRef>
          </c:tx>
          <c:spPr>
            <a:ln w="25400">
              <a:noFill/>
            </a:ln>
          </c:spPr>
          <c:val>
            <c:numRef>
              <c:f>'A - CF (Features #)'!$I$2:$I$51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2-E931-4861-8E27-DA20AD7BD44D}"/>
            </c:ext>
          </c:extLst>
        </c:ser>
        <c:ser>
          <c:idx val="5"/>
          <c:order val="3"/>
          <c:tx>
            <c:strRef>
              <c:f>'A - CF (Features #)'!$H$1</c:f>
              <c:strCache>
                <c:ptCount val="1"/>
                <c:pt idx="0">
                  <c:v>Validating on Staging</c:v>
                </c:pt>
              </c:strCache>
            </c:strRef>
          </c:tx>
          <c:spPr>
            <a:solidFill>
              <a:srgbClr val="FFFF00"/>
            </a:solidFill>
            <a:ln w="25400">
              <a:noFill/>
            </a:ln>
          </c:spPr>
          <c:val>
            <c:numRef>
              <c:f>'A - CF (Features #)'!$H$2:$H$51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3-E931-4861-8E27-DA20AD7BD44D}"/>
            </c:ext>
          </c:extLst>
        </c:ser>
        <c:ser>
          <c:idx val="4"/>
          <c:order val="4"/>
          <c:tx>
            <c:strRef>
              <c:f>'A - CF (Features #)'!$G$1</c:f>
              <c:strCache>
                <c:ptCount val="1"/>
                <c:pt idx="0">
                  <c:v>Implementing</c:v>
                </c:pt>
              </c:strCache>
            </c:strRef>
          </c:tx>
          <c:spPr>
            <a:solidFill>
              <a:srgbClr val="00B0F0"/>
            </a:solidFill>
            <a:ln w="25400">
              <a:noFill/>
            </a:ln>
          </c:spPr>
          <c:val>
            <c:numRef>
              <c:f>'A - CF (Features #)'!$G$2:$G$51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6</c:v>
                </c:pt>
                <c:pt idx="37">
                  <c:v>6</c:v>
                </c:pt>
                <c:pt idx="38">
                  <c:v>6</c:v>
                </c:pt>
                <c:pt idx="39">
                  <c:v>6</c:v>
                </c:pt>
                <c:pt idx="40">
                  <c:v>6</c:v>
                </c:pt>
                <c:pt idx="41">
                  <c:v>6</c:v>
                </c:pt>
                <c:pt idx="42">
                  <c:v>5</c:v>
                </c:pt>
                <c:pt idx="43">
                  <c:v>5</c:v>
                </c:pt>
                <c:pt idx="44">
                  <c:v>5</c:v>
                </c:pt>
                <c:pt idx="45">
                  <c:v>5</c:v>
                </c:pt>
                <c:pt idx="46">
                  <c:v>5</c:v>
                </c:pt>
                <c:pt idx="47">
                  <c:v>5</c:v>
                </c:pt>
                <c:pt idx="48">
                  <c:v>5</c:v>
                </c:pt>
                <c:pt idx="49">
                  <c:v>5</c:v>
                </c:pt>
              </c:numCache>
            </c:numRef>
          </c:val>
          <c:extLst xmlns:c16r2="http://schemas.microsoft.com/office/drawing/2015/06/chart">
            <c:ext xmlns:c16="http://schemas.microsoft.com/office/drawing/2014/chart" uri="{C3380CC4-5D6E-409C-BE32-E72D297353CC}">
              <c16:uniqueId val="{00000004-E931-4861-8E27-DA20AD7BD44D}"/>
            </c:ext>
          </c:extLst>
        </c:ser>
        <c:ser>
          <c:idx val="2"/>
          <c:order val="5"/>
          <c:tx>
            <c:strRef>
              <c:f>'A - CF (Features #)'!$F$1</c:f>
              <c:strCache>
                <c:ptCount val="1"/>
                <c:pt idx="0">
                  <c:v>Backlog</c:v>
                </c:pt>
              </c:strCache>
            </c:strRef>
          </c:tx>
          <c:spPr>
            <a:solidFill>
              <a:schemeClr val="accent6"/>
            </a:solidFill>
          </c:spPr>
          <c:cat>
            <c:numRef>
              <c:f>'A - CF (Features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(Features #)'!$F$2:$F$51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4</c:v>
                </c:pt>
                <c:pt idx="37">
                  <c:v>4</c:v>
                </c:pt>
                <c:pt idx="38">
                  <c:v>4</c:v>
                </c:pt>
                <c:pt idx="39">
                  <c:v>4</c:v>
                </c:pt>
                <c:pt idx="40">
                  <c:v>4</c:v>
                </c:pt>
                <c:pt idx="41">
                  <c:v>4</c:v>
                </c:pt>
                <c:pt idx="42">
                  <c:v>4</c:v>
                </c:pt>
                <c:pt idx="43">
                  <c:v>4</c:v>
                </c:pt>
                <c:pt idx="44">
                  <c:v>4</c:v>
                </c:pt>
                <c:pt idx="45">
                  <c:v>4</c:v>
                </c:pt>
                <c:pt idx="46">
                  <c:v>4</c:v>
                </c:pt>
                <c:pt idx="47">
                  <c:v>4</c:v>
                </c:pt>
                <c:pt idx="48">
                  <c:v>4</c:v>
                </c:pt>
                <c:pt idx="49">
                  <c:v>4</c:v>
                </c:pt>
              </c:numCache>
            </c:numRef>
          </c:val>
          <c:extLst xmlns:c16r2="http://schemas.microsoft.com/office/drawing/2015/06/chart">
            <c:ext xmlns:c16="http://schemas.microsoft.com/office/drawing/2014/chart" uri="{C3380CC4-5D6E-409C-BE32-E72D297353CC}">
              <c16:uniqueId val="{00000005-E931-4861-8E27-DA20AD7BD44D}"/>
            </c:ext>
          </c:extLst>
        </c:ser>
        <c:ser>
          <c:idx val="1"/>
          <c:order val="6"/>
          <c:tx>
            <c:strRef>
              <c:f>'A - CF (Features #)'!$E$1</c:f>
              <c:strCache>
                <c:ptCount val="1"/>
                <c:pt idx="0">
                  <c:v>Analyzing</c:v>
                </c:pt>
              </c:strCache>
            </c:strRef>
          </c:tx>
          <c:spPr>
            <a:solidFill>
              <a:srgbClr val="7030A0"/>
            </a:solidFill>
          </c:spPr>
          <c:cat>
            <c:numRef>
              <c:f>'A - CF (Features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(Features #)'!$E$2:$E$51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6-E931-4861-8E27-DA20AD7BD44D}"/>
            </c:ext>
          </c:extLst>
        </c:ser>
        <c:ser>
          <c:idx val="0"/>
          <c:order val="7"/>
          <c:tx>
            <c:strRef>
              <c:f>'A - CF (Features #)'!$D$1</c:f>
              <c:strCache>
                <c:ptCount val="1"/>
                <c:pt idx="0">
                  <c:v>Funnel</c:v>
                </c:pt>
              </c:strCache>
            </c:strRef>
          </c:tx>
          <c:spPr>
            <a:solidFill>
              <a:srgbClr val="CC6600"/>
            </a:solidFill>
          </c:spPr>
          <c:cat>
            <c:numRef>
              <c:f>'A - CF (Features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(Features #)'!$D$2:$D$51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7-E931-4861-8E27-DA20AD7BD44D}"/>
            </c:ext>
          </c:extLst>
        </c:ser>
        <c:dLbls>
          <c:showLegendKey val="0"/>
          <c:showVal val="0"/>
          <c:showCatName val="0"/>
          <c:showSerName val="0"/>
          <c:showPercent val="0"/>
          <c:showBubbleSize val="0"/>
        </c:dLbls>
        <c:axId val="165119488"/>
        <c:axId val="165121024"/>
      </c:areaChart>
      <c:dateAx>
        <c:axId val="165119488"/>
        <c:scaling>
          <c:orientation val="minMax"/>
        </c:scaling>
        <c:delete val="0"/>
        <c:axPos val="b"/>
        <c:numFmt formatCode="m/d/yyyy" sourceLinked="1"/>
        <c:majorTickMark val="out"/>
        <c:minorTickMark val="none"/>
        <c:tickLblPos val="nextTo"/>
        <c:crossAx val="165121024"/>
        <c:crosses val="autoZero"/>
        <c:auto val="1"/>
        <c:lblOffset val="100"/>
        <c:baseTimeUnit val="days"/>
      </c:dateAx>
      <c:valAx>
        <c:axId val="165121024"/>
        <c:scaling>
          <c:orientation val="minMax"/>
        </c:scaling>
        <c:delete val="0"/>
        <c:axPos val="l"/>
        <c:majorGridlines/>
        <c:numFmt formatCode="General" sourceLinked="1"/>
        <c:majorTickMark val="out"/>
        <c:minorTickMark val="none"/>
        <c:tickLblPos val="nextTo"/>
        <c:crossAx val="165119488"/>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3"/>
          <c:order val="0"/>
          <c:tx>
            <c:strRef>
              <c:f>'A - CF (Enablers #)'!$K$1</c:f>
              <c:strCache>
                <c:ptCount val="1"/>
                <c:pt idx="0">
                  <c:v>Done</c:v>
                </c:pt>
              </c:strCache>
            </c:strRef>
          </c:tx>
          <c:spPr>
            <a:solidFill>
              <a:schemeClr val="tx2">
                <a:lumMod val="60000"/>
                <a:lumOff val="40000"/>
              </a:schemeClr>
            </a:solidFill>
          </c:spPr>
          <c:cat>
            <c:numRef>
              <c:f>'A - CF (Enablers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(Enablers #)'!$K$2:$K$51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0-DE05-4A8D-A57F-1D76695D138B}"/>
            </c:ext>
          </c:extLst>
        </c:ser>
        <c:ser>
          <c:idx val="7"/>
          <c:order val="1"/>
          <c:tx>
            <c:strRef>
              <c:f>'A - CF (Enablers #)'!$J$1</c:f>
              <c:strCache>
                <c:ptCount val="1"/>
                <c:pt idx="0">
                  <c:v>Releasing</c:v>
                </c:pt>
              </c:strCache>
            </c:strRef>
          </c:tx>
          <c:spPr>
            <a:ln w="25400">
              <a:noFill/>
            </a:ln>
          </c:spPr>
          <c:val>
            <c:numRef>
              <c:f>'A - CF (Enablers #)'!$J$2:$J$51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1-DE05-4A8D-A57F-1D76695D138B}"/>
            </c:ext>
          </c:extLst>
        </c:ser>
        <c:ser>
          <c:idx val="6"/>
          <c:order val="2"/>
          <c:tx>
            <c:strRef>
              <c:f>'A - CF (Enablers #)'!$I$1</c:f>
              <c:strCache>
                <c:ptCount val="1"/>
                <c:pt idx="0">
                  <c:v>Deploying to production</c:v>
                </c:pt>
              </c:strCache>
            </c:strRef>
          </c:tx>
          <c:spPr>
            <a:ln w="25400">
              <a:noFill/>
            </a:ln>
          </c:spPr>
          <c:val>
            <c:numRef>
              <c:f>'A - CF (Enablers #)'!$I$2:$I$51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2-DE05-4A8D-A57F-1D76695D138B}"/>
            </c:ext>
          </c:extLst>
        </c:ser>
        <c:ser>
          <c:idx val="5"/>
          <c:order val="3"/>
          <c:tx>
            <c:strRef>
              <c:f>'A - CF (Enablers #)'!$H$1</c:f>
              <c:strCache>
                <c:ptCount val="1"/>
                <c:pt idx="0">
                  <c:v>Validating on Staging</c:v>
                </c:pt>
              </c:strCache>
            </c:strRef>
          </c:tx>
          <c:spPr>
            <a:solidFill>
              <a:srgbClr val="FFFF00"/>
            </a:solidFill>
            <a:ln w="25400">
              <a:noFill/>
            </a:ln>
          </c:spPr>
          <c:val>
            <c:numRef>
              <c:f>'A - CF (Enablers #)'!$H$2:$H$51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3-DE05-4A8D-A57F-1D76695D138B}"/>
            </c:ext>
          </c:extLst>
        </c:ser>
        <c:ser>
          <c:idx val="4"/>
          <c:order val="4"/>
          <c:tx>
            <c:strRef>
              <c:f>'A - CF (Enablers #)'!$G$1</c:f>
              <c:strCache>
                <c:ptCount val="1"/>
                <c:pt idx="0">
                  <c:v>Implementing</c:v>
                </c:pt>
              </c:strCache>
            </c:strRef>
          </c:tx>
          <c:spPr>
            <a:solidFill>
              <a:srgbClr val="00B0F0"/>
            </a:solidFill>
            <a:ln w="25400">
              <a:noFill/>
            </a:ln>
          </c:spPr>
          <c:val>
            <c:numRef>
              <c:f>'A - CF (Enablers #)'!$G$2:$G$51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4</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4-DE05-4A8D-A57F-1D76695D138B}"/>
            </c:ext>
          </c:extLst>
        </c:ser>
        <c:ser>
          <c:idx val="2"/>
          <c:order val="5"/>
          <c:tx>
            <c:strRef>
              <c:f>'A - CF (Enablers #)'!$F$1</c:f>
              <c:strCache>
                <c:ptCount val="1"/>
                <c:pt idx="0">
                  <c:v>Backlog</c:v>
                </c:pt>
              </c:strCache>
            </c:strRef>
          </c:tx>
          <c:spPr>
            <a:solidFill>
              <a:schemeClr val="accent6"/>
            </a:solidFill>
          </c:spPr>
          <c:cat>
            <c:numRef>
              <c:f>'A - CF (Enablers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(Enablers #)'!$F$2:$F$51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2</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5-DE05-4A8D-A57F-1D76695D138B}"/>
            </c:ext>
          </c:extLst>
        </c:ser>
        <c:ser>
          <c:idx val="1"/>
          <c:order val="6"/>
          <c:tx>
            <c:strRef>
              <c:f>'A - CF (Enablers #)'!$E$1</c:f>
              <c:strCache>
                <c:ptCount val="1"/>
                <c:pt idx="0">
                  <c:v>Analyzing</c:v>
                </c:pt>
              </c:strCache>
            </c:strRef>
          </c:tx>
          <c:spPr>
            <a:solidFill>
              <a:srgbClr val="7030A0"/>
            </a:solidFill>
          </c:spPr>
          <c:cat>
            <c:numRef>
              <c:f>'A - CF (Enablers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(Enablers #)'!$E$2:$E$51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6-DE05-4A8D-A57F-1D76695D138B}"/>
            </c:ext>
          </c:extLst>
        </c:ser>
        <c:ser>
          <c:idx val="0"/>
          <c:order val="7"/>
          <c:tx>
            <c:strRef>
              <c:f>'A - CF (Enablers #)'!$D$1</c:f>
              <c:strCache>
                <c:ptCount val="1"/>
                <c:pt idx="0">
                  <c:v>Funnel</c:v>
                </c:pt>
              </c:strCache>
            </c:strRef>
          </c:tx>
          <c:spPr>
            <a:solidFill>
              <a:srgbClr val="CC6600"/>
            </a:solidFill>
          </c:spPr>
          <c:cat>
            <c:numRef>
              <c:f>'A - CF (Enablers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(Enablers #)'!$D$2:$D$51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7-DE05-4A8D-A57F-1D76695D138B}"/>
            </c:ext>
          </c:extLst>
        </c:ser>
        <c:dLbls>
          <c:showLegendKey val="0"/>
          <c:showVal val="0"/>
          <c:showCatName val="0"/>
          <c:showSerName val="0"/>
          <c:showPercent val="0"/>
          <c:showBubbleSize val="0"/>
        </c:dLbls>
        <c:axId val="165584256"/>
        <c:axId val="165168256"/>
      </c:areaChart>
      <c:dateAx>
        <c:axId val="165584256"/>
        <c:scaling>
          <c:orientation val="minMax"/>
        </c:scaling>
        <c:delete val="0"/>
        <c:axPos val="b"/>
        <c:numFmt formatCode="m/d/yyyy" sourceLinked="1"/>
        <c:majorTickMark val="out"/>
        <c:minorTickMark val="none"/>
        <c:tickLblPos val="nextTo"/>
        <c:crossAx val="165168256"/>
        <c:crosses val="autoZero"/>
        <c:auto val="1"/>
        <c:lblOffset val="100"/>
        <c:baseTimeUnit val="days"/>
      </c:dateAx>
      <c:valAx>
        <c:axId val="165168256"/>
        <c:scaling>
          <c:orientation val="minMax"/>
        </c:scaling>
        <c:delete val="0"/>
        <c:axPos val="l"/>
        <c:majorGridlines/>
        <c:numFmt formatCode="General" sourceLinked="1"/>
        <c:majorTickMark val="out"/>
        <c:minorTickMark val="none"/>
        <c:tickLblPos val="nextTo"/>
        <c:crossAx val="165584256"/>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5"/>
          <c:order val="0"/>
          <c:tx>
            <c:strRef>
              <c:f>'A - CF (Stories #)'!$H$1</c:f>
              <c:strCache>
                <c:ptCount val="1"/>
                <c:pt idx="0">
                  <c:v>Done</c:v>
                </c:pt>
              </c:strCache>
            </c:strRef>
          </c:tx>
          <c:spPr>
            <a:solidFill>
              <a:srgbClr val="FFFF00"/>
            </a:solidFill>
            <a:ln w="25400">
              <a:noFill/>
            </a:ln>
          </c:spPr>
          <c:val>
            <c:numRef>
              <c:f>'A - CF (Stories #)'!$H$2:$H$51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15</c:v>
                </c:pt>
                <c:pt idx="37">
                  <c:v>15</c:v>
                </c:pt>
                <c:pt idx="38">
                  <c:v>15</c:v>
                </c:pt>
                <c:pt idx="39">
                  <c:v>15</c:v>
                </c:pt>
                <c:pt idx="40">
                  <c:v>15</c:v>
                </c:pt>
                <c:pt idx="41">
                  <c:v>15</c:v>
                </c:pt>
                <c:pt idx="42">
                  <c:v>15</c:v>
                </c:pt>
                <c:pt idx="43">
                  <c:v>15</c:v>
                </c:pt>
                <c:pt idx="44">
                  <c:v>15</c:v>
                </c:pt>
                <c:pt idx="45">
                  <c:v>15</c:v>
                </c:pt>
                <c:pt idx="46">
                  <c:v>15</c:v>
                </c:pt>
                <c:pt idx="47">
                  <c:v>15</c:v>
                </c:pt>
                <c:pt idx="48">
                  <c:v>15</c:v>
                </c:pt>
                <c:pt idx="49">
                  <c:v>15</c:v>
                </c:pt>
              </c:numCache>
            </c:numRef>
          </c:val>
          <c:extLst xmlns:c16r2="http://schemas.microsoft.com/office/drawing/2015/06/chart">
            <c:ext xmlns:c16="http://schemas.microsoft.com/office/drawing/2014/chart" uri="{C3380CC4-5D6E-409C-BE32-E72D297353CC}">
              <c16:uniqueId val="{00000000-CE0E-4C31-B1E5-D9E1050C97DD}"/>
            </c:ext>
          </c:extLst>
        </c:ser>
        <c:ser>
          <c:idx val="4"/>
          <c:order val="1"/>
          <c:tx>
            <c:strRef>
              <c:f>'A - CF (Stories #)'!$G$1</c:f>
              <c:strCache>
                <c:ptCount val="1"/>
                <c:pt idx="0">
                  <c:v>Close</c:v>
                </c:pt>
              </c:strCache>
            </c:strRef>
          </c:tx>
          <c:spPr>
            <a:solidFill>
              <a:srgbClr val="00B0F0"/>
            </a:solidFill>
            <a:ln w="25400">
              <a:noFill/>
            </a:ln>
          </c:spPr>
          <c:val>
            <c:numRef>
              <c:f>'A - CF (Stories #)'!$G$2:$G$51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20</c:v>
                </c:pt>
                <c:pt idx="37">
                  <c:v>20</c:v>
                </c:pt>
                <c:pt idx="38">
                  <c:v>20</c:v>
                </c:pt>
                <c:pt idx="39">
                  <c:v>23</c:v>
                </c:pt>
                <c:pt idx="40">
                  <c:v>23</c:v>
                </c:pt>
                <c:pt idx="41">
                  <c:v>23</c:v>
                </c:pt>
                <c:pt idx="42">
                  <c:v>23</c:v>
                </c:pt>
                <c:pt idx="43">
                  <c:v>23</c:v>
                </c:pt>
                <c:pt idx="44">
                  <c:v>23</c:v>
                </c:pt>
                <c:pt idx="45">
                  <c:v>23</c:v>
                </c:pt>
                <c:pt idx="46">
                  <c:v>23</c:v>
                </c:pt>
                <c:pt idx="47">
                  <c:v>23</c:v>
                </c:pt>
                <c:pt idx="48">
                  <c:v>23</c:v>
                </c:pt>
                <c:pt idx="49">
                  <c:v>23</c:v>
                </c:pt>
              </c:numCache>
            </c:numRef>
          </c:val>
          <c:extLst xmlns:c16r2="http://schemas.microsoft.com/office/drawing/2015/06/chart">
            <c:ext xmlns:c16="http://schemas.microsoft.com/office/drawing/2014/chart" uri="{C3380CC4-5D6E-409C-BE32-E72D297353CC}">
              <c16:uniqueId val="{00000001-CE0E-4C31-B1E5-D9E1050C97DD}"/>
            </c:ext>
          </c:extLst>
        </c:ser>
        <c:ser>
          <c:idx val="2"/>
          <c:order val="2"/>
          <c:tx>
            <c:strRef>
              <c:f>'A - CF (Stories #)'!$F$1</c:f>
              <c:strCache>
                <c:ptCount val="1"/>
                <c:pt idx="0">
                  <c:v>In review</c:v>
                </c:pt>
              </c:strCache>
            </c:strRef>
          </c:tx>
          <c:spPr>
            <a:solidFill>
              <a:schemeClr val="accent6"/>
            </a:solidFill>
          </c:spPr>
          <c:cat>
            <c:numRef>
              <c:f>'A - CF (Stories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(Stories #)'!$F$2:$F$51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2-CE0E-4C31-B1E5-D9E1050C97DD}"/>
            </c:ext>
          </c:extLst>
        </c:ser>
        <c:ser>
          <c:idx val="1"/>
          <c:order val="3"/>
          <c:tx>
            <c:strRef>
              <c:f>'A - CF (Stories #)'!$E$1</c:f>
              <c:strCache>
                <c:ptCount val="1"/>
                <c:pt idx="0">
                  <c:v>In Progress</c:v>
                </c:pt>
              </c:strCache>
            </c:strRef>
          </c:tx>
          <c:spPr>
            <a:solidFill>
              <a:srgbClr val="7030A0"/>
            </a:solidFill>
          </c:spPr>
          <c:cat>
            <c:numRef>
              <c:f>'A - CF (Stories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(Stories #)'!$E$2:$E$51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c:v>
                </c:pt>
                <c:pt idx="37">
                  <c:v>2</c:v>
                </c:pt>
                <c:pt idx="38">
                  <c:v>2</c:v>
                </c:pt>
                <c:pt idx="39">
                  <c:v>1</c:v>
                </c:pt>
                <c:pt idx="40">
                  <c:v>1</c:v>
                </c:pt>
                <c:pt idx="41">
                  <c:v>1</c:v>
                </c:pt>
                <c:pt idx="42">
                  <c:v>1</c:v>
                </c:pt>
                <c:pt idx="43">
                  <c:v>1</c:v>
                </c:pt>
                <c:pt idx="44">
                  <c:v>1</c:v>
                </c:pt>
                <c:pt idx="45">
                  <c:v>1</c:v>
                </c:pt>
                <c:pt idx="46">
                  <c:v>1</c:v>
                </c:pt>
                <c:pt idx="47">
                  <c:v>1</c:v>
                </c:pt>
                <c:pt idx="48">
                  <c:v>1</c:v>
                </c:pt>
                <c:pt idx="49">
                  <c:v>1</c:v>
                </c:pt>
              </c:numCache>
            </c:numRef>
          </c:val>
          <c:extLst xmlns:c16r2="http://schemas.microsoft.com/office/drawing/2015/06/chart">
            <c:ext xmlns:c16="http://schemas.microsoft.com/office/drawing/2014/chart" uri="{C3380CC4-5D6E-409C-BE32-E72D297353CC}">
              <c16:uniqueId val="{00000003-CE0E-4C31-B1E5-D9E1050C97DD}"/>
            </c:ext>
          </c:extLst>
        </c:ser>
        <c:ser>
          <c:idx val="0"/>
          <c:order val="4"/>
          <c:tx>
            <c:strRef>
              <c:f>'A - CF (Stories #)'!$D$1</c:f>
              <c:strCache>
                <c:ptCount val="1"/>
                <c:pt idx="0">
                  <c:v>Open</c:v>
                </c:pt>
              </c:strCache>
            </c:strRef>
          </c:tx>
          <c:spPr>
            <a:solidFill>
              <a:srgbClr val="CC6600"/>
            </a:solidFill>
          </c:spPr>
          <c:cat>
            <c:numRef>
              <c:f>'A - CF (Stories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(Stories #)'!$D$2:$D$51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22</c:v>
                </c:pt>
                <c:pt idx="37">
                  <c:v>22</c:v>
                </c:pt>
                <c:pt idx="38">
                  <c:v>22</c:v>
                </c:pt>
                <c:pt idx="39">
                  <c:v>18</c:v>
                </c:pt>
                <c:pt idx="40">
                  <c:v>18</c:v>
                </c:pt>
                <c:pt idx="41">
                  <c:v>18</c:v>
                </c:pt>
                <c:pt idx="42">
                  <c:v>18</c:v>
                </c:pt>
                <c:pt idx="43">
                  <c:v>18</c:v>
                </c:pt>
                <c:pt idx="44">
                  <c:v>18</c:v>
                </c:pt>
                <c:pt idx="45">
                  <c:v>18</c:v>
                </c:pt>
                <c:pt idx="46">
                  <c:v>18</c:v>
                </c:pt>
                <c:pt idx="47">
                  <c:v>18</c:v>
                </c:pt>
                <c:pt idx="48">
                  <c:v>18</c:v>
                </c:pt>
                <c:pt idx="49">
                  <c:v>18</c:v>
                </c:pt>
              </c:numCache>
            </c:numRef>
          </c:val>
          <c:extLst xmlns:c16r2="http://schemas.microsoft.com/office/drawing/2015/06/chart">
            <c:ext xmlns:c16="http://schemas.microsoft.com/office/drawing/2014/chart" uri="{C3380CC4-5D6E-409C-BE32-E72D297353CC}">
              <c16:uniqueId val="{00000004-CE0E-4C31-B1E5-D9E1050C97DD}"/>
            </c:ext>
          </c:extLst>
        </c:ser>
        <c:dLbls>
          <c:showLegendKey val="0"/>
          <c:showVal val="0"/>
          <c:showCatName val="0"/>
          <c:showSerName val="0"/>
          <c:showPercent val="0"/>
          <c:showBubbleSize val="0"/>
        </c:dLbls>
        <c:axId val="159262592"/>
        <c:axId val="159264128"/>
      </c:areaChart>
      <c:catAx>
        <c:axId val="159262592"/>
        <c:scaling>
          <c:orientation val="minMax"/>
        </c:scaling>
        <c:delete val="0"/>
        <c:axPos val="b"/>
        <c:numFmt formatCode="m/d/yyyy" sourceLinked="1"/>
        <c:majorTickMark val="out"/>
        <c:minorTickMark val="none"/>
        <c:tickLblPos val="nextTo"/>
        <c:crossAx val="159264128"/>
        <c:crosses val="autoZero"/>
        <c:auto val="1"/>
        <c:lblAlgn val="ctr"/>
        <c:lblOffset val="100"/>
        <c:noMultiLvlLbl val="0"/>
      </c:catAx>
      <c:valAx>
        <c:axId val="159264128"/>
        <c:scaling>
          <c:orientation val="minMax"/>
        </c:scaling>
        <c:delete val="0"/>
        <c:axPos val="l"/>
        <c:majorGridlines/>
        <c:numFmt formatCode="General" sourceLinked="1"/>
        <c:majorTickMark val="out"/>
        <c:minorTickMark val="none"/>
        <c:tickLblPos val="nextTo"/>
        <c:crossAx val="159262592"/>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3"/>
          <c:order val="0"/>
          <c:tx>
            <c:strRef>
              <c:f>'A - CF (Features SP)'!$K$1</c:f>
              <c:strCache>
                <c:ptCount val="1"/>
                <c:pt idx="0">
                  <c:v>Done</c:v>
                </c:pt>
              </c:strCache>
            </c:strRef>
          </c:tx>
          <c:spPr>
            <a:solidFill>
              <a:schemeClr val="tx2">
                <a:lumMod val="60000"/>
                <a:lumOff val="40000"/>
              </a:schemeClr>
            </a:solidFill>
          </c:spPr>
          <c:cat>
            <c:numRef>
              <c:f>'A - CF (Features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(Features SP)'!$K$2:$K$51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1</c:v>
                </c:pt>
                <c:pt idx="40">
                  <c:v>1</c:v>
                </c:pt>
                <c:pt idx="41">
                  <c:v>1</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0-2279-4162-8FBE-87BAC8A2DD43}"/>
            </c:ext>
          </c:extLst>
        </c:ser>
        <c:ser>
          <c:idx val="7"/>
          <c:order val="1"/>
          <c:tx>
            <c:strRef>
              <c:f>'A - CF (Features SP)'!$J$1</c:f>
              <c:strCache>
                <c:ptCount val="1"/>
                <c:pt idx="0">
                  <c:v>Releasing</c:v>
                </c:pt>
              </c:strCache>
            </c:strRef>
          </c:tx>
          <c:spPr>
            <a:ln w="25400">
              <a:noFill/>
            </a:ln>
          </c:spPr>
          <c:val>
            <c:numRef>
              <c:f>'A - CF (Features SP)'!$J$2:$J$51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1-2279-4162-8FBE-87BAC8A2DD43}"/>
            </c:ext>
          </c:extLst>
        </c:ser>
        <c:ser>
          <c:idx val="6"/>
          <c:order val="2"/>
          <c:tx>
            <c:strRef>
              <c:f>'A - CF (Features SP)'!$I$1</c:f>
              <c:strCache>
                <c:ptCount val="1"/>
                <c:pt idx="0">
                  <c:v>Deploying to production</c:v>
                </c:pt>
              </c:strCache>
            </c:strRef>
          </c:tx>
          <c:spPr>
            <a:ln w="25400">
              <a:noFill/>
            </a:ln>
          </c:spPr>
          <c:val>
            <c:numRef>
              <c:f>'A - CF (Features SP)'!$I$2:$I$51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2-2279-4162-8FBE-87BAC8A2DD43}"/>
            </c:ext>
          </c:extLst>
        </c:ser>
        <c:ser>
          <c:idx val="5"/>
          <c:order val="3"/>
          <c:tx>
            <c:strRef>
              <c:f>'A - CF (Features SP)'!$H$1</c:f>
              <c:strCache>
                <c:ptCount val="1"/>
                <c:pt idx="0">
                  <c:v>Validating on Staging</c:v>
                </c:pt>
              </c:strCache>
            </c:strRef>
          </c:tx>
          <c:spPr>
            <a:solidFill>
              <a:srgbClr val="FFFF00"/>
            </a:solidFill>
            <a:ln w="25400">
              <a:noFill/>
            </a:ln>
          </c:spPr>
          <c:val>
            <c:numRef>
              <c:f>'A - CF (Features SP)'!$H$2:$H$51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3-2279-4162-8FBE-87BAC8A2DD43}"/>
            </c:ext>
          </c:extLst>
        </c:ser>
        <c:ser>
          <c:idx val="4"/>
          <c:order val="4"/>
          <c:tx>
            <c:strRef>
              <c:f>'A - CF (Features SP)'!$G$1</c:f>
              <c:strCache>
                <c:ptCount val="1"/>
                <c:pt idx="0">
                  <c:v>Implementing</c:v>
                </c:pt>
              </c:strCache>
            </c:strRef>
          </c:tx>
          <c:spPr>
            <a:solidFill>
              <a:srgbClr val="00B0F0"/>
            </a:solidFill>
            <a:ln w="25400">
              <a:noFill/>
            </a:ln>
          </c:spPr>
          <c:val>
            <c:numRef>
              <c:f>'A - CF (Features SP)'!$G$2:$G$51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15</c:v>
                </c:pt>
                <c:pt idx="37">
                  <c:v>15</c:v>
                </c:pt>
                <c:pt idx="38">
                  <c:v>15</c:v>
                </c:pt>
                <c:pt idx="39">
                  <c:v>15</c:v>
                </c:pt>
                <c:pt idx="40">
                  <c:v>15</c:v>
                </c:pt>
                <c:pt idx="41">
                  <c:v>15</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4-2279-4162-8FBE-87BAC8A2DD43}"/>
            </c:ext>
          </c:extLst>
        </c:ser>
        <c:ser>
          <c:idx val="2"/>
          <c:order val="5"/>
          <c:tx>
            <c:strRef>
              <c:f>'A - CF (Features SP)'!$F$1</c:f>
              <c:strCache>
                <c:ptCount val="1"/>
                <c:pt idx="0">
                  <c:v>Backlog</c:v>
                </c:pt>
              </c:strCache>
            </c:strRef>
          </c:tx>
          <c:spPr>
            <a:solidFill>
              <a:schemeClr val="accent6"/>
            </a:solidFill>
          </c:spPr>
          <c:cat>
            <c:numRef>
              <c:f>'A - CF (Features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(Features SP)'!$F$2:$F$51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9</c:v>
                </c:pt>
                <c:pt idx="37">
                  <c:v>9</c:v>
                </c:pt>
                <c:pt idx="38">
                  <c:v>9</c:v>
                </c:pt>
                <c:pt idx="39">
                  <c:v>9</c:v>
                </c:pt>
                <c:pt idx="40">
                  <c:v>9</c:v>
                </c:pt>
                <c:pt idx="41">
                  <c:v>9</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5-2279-4162-8FBE-87BAC8A2DD43}"/>
            </c:ext>
          </c:extLst>
        </c:ser>
        <c:ser>
          <c:idx val="1"/>
          <c:order val="6"/>
          <c:tx>
            <c:strRef>
              <c:f>'A - CF (Features SP)'!$E$1</c:f>
              <c:strCache>
                <c:ptCount val="1"/>
                <c:pt idx="0">
                  <c:v>Analyzing</c:v>
                </c:pt>
              </c:strCache>
            </c:strRef>
          </c:tx>
          <c:spPr>
            <a:solidFill>
              <a:srgbClr val="7030A0"/>
            </a:solidFill>
          </c:spPr>
          <c:cat>
            <c:numRef>
              <c:f>'A - CF (Features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(Features SP)'!$E$2:$E$51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6-2279-4162-8FBE-87BAC8A2DD43}"/>
            </c:ext>
          </c:extLst>
        </c:ser>
        <c:ser>
          <c:idx val="0"/>
          <c:order val="7"/>
          <c:tx>
            <c:strRef>
              <c:f>'A - CF (Features SP)'!$D$1</c:f>
              <c:strCache>
                <c:ptCount val="1"/>
                <c:pt idx="0">
                  <c:v>Funnel</c:v>
                </c:pt>
              </c:strCache>
            </c:strRef>
          </c:tx>
          <c:spPr>
            <a:solidFill>
              <a:srgbClr val="CC6600"/>
            </a:solidFill>
          </c:spPr>
          <c:cat>
            <c:numRef>
              <c:f>'A - CF (Features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(Features SP)'!$D$2:$D$51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7-2279-4162-8FBE-87BAC8A2DD43}"/>
            </c:ext>
          </c:extLst>
        </c:ser>
        <c:dLbls>
          <c:showLegendKey val="0"/>
          <c:showVal val="0"/>
          <c:showCatName val="0"/>
          <c:showSerName val="0"/>
          <c:showPercent val="0"/>
          <c:showBubbleSize val="0"/>
        </c:dLbls>
        <c:axId val="166797312"/>
        <c:axId val="166798848"/>
      </c:areaChart>
      <c:dateAx>
        <c:axId val="166797312"/>
        <c:scaling>
          <c:orientation val="minMax"/>
        </c:scaling>
        <c:delete val="0"/>
        <c:axPos val="b"/>
        <c:numFmt formatCode="m/d/yyyy" sourceLinked="1"/>
        <c:majorTickMark val="out"/>
        <c:minorTickMark val="none"/>
        <c:tickLblPos val="nextTo"/>
        <c:crossAx val="166798848"/>
        <c:crosses val="autoZero"/>
        <c:auto val="1"/>
        <c:lblOffset val="100"/>
        <c:baseTimeUnit val="days"/>
      </c:dateAx>
      <c:valAx>
        <c:axId val="166798848"/>
        <c:scaling>
          <c:orientation val="minMax"/>
        </c:scaling>
        <c:delete val="0"/>
        <c:axPos val="l"/>
        <c:majorGridlines/>
        <c:numFmt formatCode="General" sourceLinked="1"/>
        <c:majorTickMark val="out"/>
        <c:minorTickMark val="none"/>
        <c:tickLblPos val="nextTo"/>
        <c:crossAx val="166797312"/>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3"/>
          <c:order val="0"/>
          <c:tx>
            <c:strRef>
              <c:f>'A - CF (Enablers SP)'!$K$1</c:f>
              <c:strCache>
                <c:ptCount val="1"/>
                <c:pt idx="0">
                  <c:v>Done</c:v>
                </c:pt>
              </c:strCache>
            </c:strRef>
          </c:tx>
          <c:spPr>
            <a:solidFill>
              <a:schemeClr val="tx2">
                <a:lumMod val="60000"/>
                <a:lumOff val="40000"/>
              </a:schemeClr>
            </a:solidFill>
          </c:spPr>
          <c:cat>
            <c:numRef>
              <c:f>'A - CF (Enablers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(Enablers SP)'!$K$2:$K$51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0-123B-47A3-BEF2-AA83DBE39FDA}"/>
            </c:ext>
          </c:extLst>
        </c:ser>
        <c:ser>
          <c:idx val="7"/>
          <c:order val="1"/>
          <c:tx>
            <c:strRef>
              <c:f>'A - CF (Enablers SP)'!$J$1</c:f>
              <c:strCache>
                <c:ptCount val="1"/>
                <c:pt idx="0">
                  <c:v>Releasing</c:v>
                </c:pt>
              </c:strCache>
            </c:strRef>
          </c:tx>
          <c:spPr>
            <a:ln w="25400">
              <a:noFill/>
            </a:ln>
          </c:spPr>
          <c:val>
            <c:numRef>
              <c:f>'A - CF (Enablers SP)'!$J$2:$J$51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1-123B-47A3-BEF2-AA83DBE39FDA}"/>
            </c:ext>
          </c:extLst>
        </c:ser>
        <c:ser>
          <c:idx val="6"/>
          <c:order val="2"/>
          <c:tx>
            <c:strRef>
              <c:f>'A - CF (Enablers SP)'!$I$1</c:f>
              <c:strCache>
                <c:ptCount val="1"/>
                <c:pt idx="0">
                  <c:v>Deploying to production</c:v>
                </c:pt>
              </c:strCache>
            </c:strRef>
          </c:tx>
          <c:spPr>
            <a:ln w="25400">
              <a:noFill/>
            </a:ln>
          </c:spPr>
          <c:val>
            <c:numRef>
              <c:f>'A - CF (Enablers SP)'!$I$2:$I$51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2-123B-47A3-BEF2-AA83DBE39FDA}"/>
            </c:ext>
          </c:extLst>
        </c:ser>
        <c:ser>
          <c:idx val="5"/>
          <c:order val="3"/>
          <c:tx>
            <c:strRef>
              <c:f>'A - CF (Enablers SP)'!$H$1</c:f>
              <c:strCache>
                <c:ptCount val="1"/>
                <c:pt idx="0">
                  <c:v>Validating on Staging</c:v>
                </c:pt>
              </c:strCache>
            </c:strRef>
          </c:tx>
          <c:spPr>
            <a:solidFill>
              <a:srgbClr val="FFFF00"/>
            </a:solidFill>
            <a:ln w="25400">
              <a:noFill/>
            </a:ln>
          </c:spPr>
          <c:val>
            <c:numRef>
              <c:f>'A - CF (Enablers SP)'!$H$2:$H$51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3-123B-47A3-BEF2-AA83DBE39FDA}"/>
            </c:ext>
          </c:extLst>
        </c:ser>
        <c:ser>
          <c:idx val="4"/>
          <c:order val="4"/>
          <c:tx>
            <c:strRef>
              <c:f>'A - CF (Enablers SP)'!$G$1</c:f>
              <c:strCache>
                <c:ptCount val="1"/>
                <c:pt idx="0">
                  <c:v>Implementing</c:v>
                </c:pt>
              </c:strCache>
            </c:strRef>
          </c:tx>
          <c:spPr>
            <a:solidFill>
              <a:srgbClr val="00B0F0"/>
            </a:solidFill>
            <a:ln w="25400">
              <a:noFill/>
            </a:ln>
          </c:spPr>
          <c:val>
            <c:numRef>
              <c:f>'A - CF (Enablers SP)'!$G$2:$G$51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4-123B-47A3-BEF2-AA83DBE39FDA}"/>
            </c:ext>
          </c:extLst>
        </c:ser>
        <c:ser>
          <c:idx val="2"/>
          <c:order val="5"/>
          <c:tx>
            <c:strRef>
              <c:f>'A - CF (Enablers SP)'!$F$1</c:f>
              <c:strCache>
                <c:ptCount val="1"/>
                <c:pt idx="0">
                  <c:v>Backlog</c:v>
                </c:pt>
              </c:strCache>
            </c:strRef>
          </c:tx>
          <c:spPr>
            <a:solidFill>
              <a:schemeClr val="accent6"/>
            </a:solidFill>
          </c:spPr>
          <c:cat>
            <c:numRef>
              <c:f>'A - CF (Enablers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(Enablers SP)'!$F$2:$F$51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5-123B-47A3-BEF2-AA83DBE39FDA}"/>
            </c:ext>
          </c:extLst>
        </c:ser>
        <c:ser>
          <c:idx val="1"/>
          <c:order val="6"/>
          <c:tx>
            <c:strRef>
              <c:f>'A - CF (Enablers SP)'!$E$1</c:f>
              <c:strCache>
                <c:ptCount val="1"/>
                <c:pt idx="0">
                  <c:v>Analyzing</c:v>
                </c:pt>
              </c:strCache>
            </c:strRef>
          </c:tx>
          <c:spPr>
            <a:solidFill>
              <a:srgbClr val="7030A0"/>
            </a:solidFill>
          </c:spPr>
          <c:cat>
            <c:numRef>
              <c:f>'A - CF (Enablers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(Enablers SP)'!$E$2:$E$51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6-123B-47A3-BEF2-AA83DBE39FDA}"/>
            </c:ext>
          </c:extLst>
        </c:ser>
        <c:ser>
          <c:idx val="0"/>
          <c:order val="7"/>
          <c:tx>
            <c:strRef>
              <c:f>'A - CF (Enablers SP)'!$D$1</c:f>
              <c:strCache>
                <c:ptCount val="1"/>
                <c:pt idx="0">
                  <c:v>Funnel</c:v>
                </c:pt>
              </c:strCache>
            </c:strRef>
          </c:tx>
          <c:spPr>
            <a:solidFill>
              <a:srgbClr val="CC6600"/>
            </a:solidFill>
          </c:spPr>
          <c:cat>
            <c:numRef>
              <c:f>'A - CF (Enablers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(Enablers SP)'!$D$2:$D$51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7-123B-47A3-BEF2-AA83DBE39FDA}"/>
            </c:ext>
          </c:extLst>
        </c:ser>
        <c:dLbls>
          <c:showLegendKey val="0"/>
          <c:showVal val="0"/>
          <c:showCatName val="0"/>
          <c:showSerName val="0"/>
          <c:showPercent val="0"/>
          <c:showBubbleSize val="0"/>
        </c:dLbls>
        <c:axId val="166856576"/>
        <c:axId val="166858112"/>
      </c:areaChart>
      <c:dateAx>
        <c:axId val="166856576"/>
        <c:scaling>
          <c:orientation val="minMax"/>
        </c:scaling>
        <c:delete val="0"/>
        <c:axPos val="b"/>
        <c:numFmt formatCode="m/d/yyyy" sourceLinked="1"/>
        <c:majorTickMark val="out"/>
        <c:minorTickMark val="none"/>
        <c:tickLblPos val="nextTo"/>
        <c:crossAx val="166858112"/>
        <c:crosses val="autoZero"/>
        <c:auto val="1"/>
        <c:lblOffset val="100"/>
        <c:baseTimeUnit val="days"/>
      </c:dateAx>
      <c:valAx>
        <c:axId val="166858112"/>
        <c:scaling>
          <c:orientation val="minMax"/>
        </c:scaling>
        <c:delete val="0"/>
        <c:axPos val="l"/>
        <c:majorGridlines/>
        <c:numFmt formatCode="General" sourceLinked="1"/>
        <c:majorTickMark val="out"/>
        <c:minorTickMark val="none"/>
        <c:tickLblPos val="nextTo"/>
        <c:crossAx val="166856576"/>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5"/>
          <c:order val="0"/>
          <c:tx>
            <c:strRef>
              <c:f>'A - CF (Stories SP)'!$H$1</c:f>
              <c:strCache>
                <c:ptCount val="1"/>
                <c:pt idx="0">
                  <c:v>Done</c:v>
                </c:pt>
              </c:strCache>
            </c:strRef>
          </c:tx>
          <c:spPr>
            <a:solidFill>
              <a:srgbClr val="FFFF00"/>
            </a:solidFill>
            <a:ln w="25400">
              <a:noFill/>
            </a:ln>
          </c:spPr>
          <c:val>
            <c:numRef>
              <c:f>'A - CF (Stories SP)'!$H$2:$H$51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185</c:v>
                </c:pt>
                <c:pt idx="36">
                  <c:v>38</c:v>
                </c:pt>
                <c:pt idx="37">
                  <c:v>38</c:v>
                </c:pt>
                <c:pt idx="38">
                  <c:v>38</c:v>
                </c:pt>
                <c:pt idx="39">
                  <c:v>38</c:v>
                </c:pt>
                <c:pt idx="40">
                  <c:v>38</c:v>
                </c:pt>
                <c:pt idx="41">
                  <c:v>38</c:v>
                </c:pt>
                <c:pt idx="42">
                  <c:v>38</c:v>
                </c:pt>
                <c:pt idx="43">
                  <c:v>38</c:v>
                </c:pt>
                <c:pt idx="44">
                  <c:v>38</c:v>
                </c:pt>
                <c:pt idx="45">
                  <c:v>38</c:v>
                </c:pt>
                <c:pt idx="46">
                  <c:v>38</c:v>
                </c:pt>
                <c:pt idx="47">
                  <c:v>38</c:v>
                </c:pt>
                <c:pt idx="48">
                  <c:v>38</c:v>
                </c:pt>
                <c:pt idx="49">
                  <c:v>38</c:v>
                </c:pt>
              </c:numCache>
            </c:numRef>
          </c:val>
          <c:extLst xmlns:c16r2="http://schemas.microsoft.com/office/drawing/2015/06/chart">
            <c:ext xmlns:c16="http://schemas.microsoft.com/office/drawing/2014/chart" uri="{C3380CC4-5D6E-409C-BE32-E72D297353CC}">
              <c16:uniqueId val="{00000000-A0ED-4C29-B3C7-004FB57E1775}"/>
            </c:ext>
          </c:extLst>
        </c:ser>
        <c:ser>
          <c:idx val="4"/>
          <c:order val="1"/>
          <c:tx>
            <c:strRef>
              <c:f>'A - CF (Stories SP)'!$G$1</c:f>
              <c:strCache>
                <c:ptCount val="1"/>
                <c:pt idx="0">
                  <c:v>Close</c:v>
                </c:pt>
              </c:strCache>
            </c:strRef>
          </c:tx>
          <c:spPr>
            <a:solidFill>
              <a:srgbClr val="00B0F0"/>
            </a:solidFill>
            <a:ln w="25400">
              <a:noFill/>
            </a:ln>
          </c:spPr>
          <c:val>
            <c:numRef>
              <c:f>'A - CF (Stories SP)'!$G$2:$G$51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69</c:v>
                </c:pt>
                <c:pt idx="37">
                  <c:v>69</c:v>
                </c:pt>
                <c:pt idx="38">
                  <c:v>69</c:v>
                </c:pt>
                <c:pt idx="39">
                  <c:v>92</c:v>
                </c:pt>
                <c:pt idx="40">
                  <c:v>92</c:v>
                </c:pt>
                <c:pt idx="41">
                  <c:v>92</c:v>
                </c:pt>
                <c:pt idx="42">
                  <c:v>92</c:v>
                </c:pt>
                <c:pt idx="43">
                  <c:v>92</c:v>
                </c:pt>
                <c:pt idx="44">
                  <c:v>92</c:v>
                </c:pt>
                <c:pt idx="45">
                  <c:v>92</c:v>
                </c:pt>
                <c:pt idx="46">
                  <c:v>92</c:v>
                </c:pt>
                <c:pt idx="47">
                  <c:v>92</c:v>
                </c:pt>
                <c:pt idx="48">
                  <c:v>92</c:v>
                </c:pt>
                <c:pt idx="49">
                  <c:v>92</c:v>
                </c:pt>
              </c:numCache>
            </c:numRef>
          </c:val>
          <c:extLst xmlns:c16r2="http://schemas.microsoft.com/office/drawing/2015/06/chart">
            <c:ext xmlns:c16="http://schemas.microsoft.com/office/drawing/2014/chart" uri="{C3380CC4-5D6E-409C-BE32-E72D297353CC}">
              <c16:uniqueId val="{00000001-A0ED-4C29-B3C7-004FB57E1775}"/>
            </c:ext>
          </c:extLst>
        </c:ser>
        <c:ser>
          <c:idx val="2"/>
          <c:order val="2"/>
          <c:tx>
            <c:strRef>
              <c:f>'A - CF (Stories SP)'!$F$1</c:f>
              <c:strCache>
                <c:ptCount val="1"/>
                <c:pt idx="0">
                  <c:v>In review</c:v>
                </c:pt>
              </c:strCache>
            </c:strRef>
          </c:tx>
          <c:spPr>
            <a:solidFill>
              <a:schemeClr val="accent6"/>
            </a:solidFill>
          </c:spPr>
          <c:cat>
            <c:numRef>
              <c:f>'A - CF (Stories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(Stories SP)'!$F$2:$F$51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2-A0ED-4C29-B3C7-004FB57E1775}"/>
            </c:ext>
          </c:extLst>
        </c:ser>
        <c:ser>
          <c:idx val="1"/>
          <c:order val="3"/>
          <c:tx>
            <c:strRef>
              <c:f>'A - CF (Stories SP)'!$E$1</c:f>
              <c:strCache>
                <c:ptCount val="1"/>
                <c:pt idx="0">
                  <c:v>In Progress</c:v>
                </c:pt>
              </c:strCache>
            </c:strRef>
          </c:tx>
          <c:spPr>
            <a:solidFill>
              <a:srgbClr val="7030A0"/>
            </a:solidFill>
          </c:spPr>
          <c:cat>
            <c:numRef>
              <c:f>'A - CF (Stories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(Stories SP)'!$E$2:$E$51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10</c:v>
                </c:pt>
                <c:pt idx="37">
                  <c:v>10</c:v>
                </c:pt>
                <c:pt idx="38">
                  <c:v>10</c:v>
                </c:pt>
                <c:pt idx="39">
                  <c:v>5</c:v>
                </c:pt>
                <c:pt idx="40">
                  <c:v>5</c:v>
                </c:pt>
                <c:pt idx="41">
                  <c:v>5</c:v>
                </c:pt>
                <c:pt idx="42">
                  <c:v>5</c:v>
                </c:pt>
                <c:pt idx="43">
                  <c:v>5</c:v>
                </c:pt>
                <c:pt idx="44">
                  <c:v>5</c:v>
                </c:pt>
                <c:pt idx="45">
                  <c:v>5</c:v>
                </c:pt>
                <c:pt idx="46">
                  <c:v>5</c:v>
                </c:pt>
                <c:pt idx="47">
                  <c:v>5</c:v>
                </c:pt>
                <c:pt idx="48">
                  <c:v>5</c:v>
                </c:pt>
                <c:pt idx="49">
                  <c:v>5</c:v>
                </c:pt>
              </c:numCache>
            </c:numRef>
          </c:val>
          <c:extLst xmlns:c16r2="http://schemas.microsoft.com/office/drawing/2015/06/chart">
            <c:ext xmlns:c16="http://schemas.microsoft.com/office/drawing/2014/chart" uri="{C3380CC4-5D6E-409C-BE32-E72D297353CC}">
              <c16:uniqueId val="{00000003-A0ED-4C29-B3C7-004FB57E1775}"/>
            </c:ext>
          </c:extLst>
        </c:ser>
        <c:ser>
          <c:idx val="0"/>
          <c:order val="4"/>
          <c:tx>
            <c:strRef>
              <c:f>'A - CF (Stories SP)'!$D$1</c:f>
              <c:strCache>
                <c:ptCount val="1"/>
                <c:pt idx="0">
                  <c:v>Open</c:v>
                </c:pt>
              </c:strCache>
            </c:strRef>
          </c:tx>
          <c:spPr>
            <a:solidFill>
              <a:srgbClr val="CC6600"/>
            </a:solidFill>
          </c:spPr>
          <c:cat>
            <c:numRef>
              <c:f>'A - CF (Stories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(Stories SP)'!$D$2:$D$51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104</c:v>
                </c:pt>
                <c:pt idx="37">
                  <c:v>104</c:v>
                </c:pt>
                <c:pt idx="38">
                  <c:v>104</c:v>
                </c:pt>
                <c:pt idx="39">
                  <c:v>79</c:v>
                </c:pt>
                <c:pt idx="40">
                  <c:v>79</c:v>
                </c:pt>
                <c:pt idx="41">
                  <c:v>79</c:v>
                </c:pt>
                <c:pt idx="42">
                  <c:v>79</c:v>
                </c:pt>
                <c:pt idx="43">
                  <c:v>79</c:v>
                </c:pt>
                <c:pt idx="44">
                  <c:v>79</c:v>
                </c:pt>
                <c:pt idx="45">
                  <c:v>79</c:v>
                </c:pt>
                <c:pt idx="46">
                  <c:v>79</c:v>
                </c:pt>
                <c:pt idx="47">
                  <c:v>79</c:v>
                </c:pt>
                <c:pt idx="48">
                  <c:v>79</c:v>
                </c:pt>
                <c:pt idx="49">
                  <c:v>79</c:v>
                </c:pt>
              </c:numCache>
            </c:numRef>
          </c:val>
          <c:extLst xmlns:c16r2="http://schemas.microsoft.com/office/drawing/2015/06/chart">
            <c:ext xmlns:c16="http://schemas.microsoft.com/office/drawing/2014/chart" uri="{C3380CC4-5D6E-409C-BE32-E72D297353CC}">
              <c16:uniqueId val="{00000004-A0ED-4C29-B3C7-004FB57E1775}"/>
            </c:ext>
          </c:extLst>
        </c:ser>
        <c:dLbls>
          <c:showLegendKey val="0"/>
          <c:showVal val="0"/>
          <c:showCatName val="0"/>
          <c:showSerName val="0"/>
          <c:showPercent val="0"/>
          <c:showBubbleSize val="0"/>
        </c:dLbls>
        <c:axId val="167641472"/>
        <c:axId val="167643008"/>
      </c:areaChart>
      <c:catAx>
        <c:axId val="167641472"/>
        <c:scaling>
          <c:orientation val="minMax"/>
        </c:scaling>
        <c:delete val="0"/>
        <c:axPos val="b"/>
        <c:numFmt formatCode="m/d/yyyy" sourceLinked="1"/>
        <c:majorTickMark val="out"/>
        <c:minorTickMark val="none"/>
        <c:tickLblPos val="nextTo"/>
        <c:crossAx val="167643008"/>
        <c:crosses val="autoZero"/>
        <c:auto val="1"/>
        <c:lblAlgn val="ctr"/>
        <c:lblOffset val="100"/>
        <c:noMultiLvlLbl val="0"/>
      </c:catAx>
      <c:valAx>
        <c:axId val="167643008"/>
        <c:scaling>
          <c:orientation val="minMax"/>
        </c:scaling>
        <c:delete val="0"/>
        <c:axPos val="l"/>
        <c:majorGridlines/>
        <c:numFmt formatCode="General" sourceLinked="1"/>
        <c:majorTickMark val="out"/>
        <c:minorTickMark val="none"/>
        <c:tickLblPos val="nextTo"/>
        <c:crossAx val="167641472"/>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 - Features Progress'!$E$3</c:f>
              <c:strCache>
                <c:ptCount val="1"/>
                <c:pt idx="0">
                  <c:v>Completed Story Points</c:v>
                </c:pt>
              </c:strCache>
            </c:strRef>
          </c:tx>
          <c:spPr>
            <a:solidFill>
              <a:srgbClr val="A9D18E"/>
            </a:solidFill>
            <a:ln>
              <a:noFill/>
            </a:ln>
            <a:effectLst/>
          </c:spPr>
          <c:invertIfNegative val="1"/>
          <c:cat>
            <c:strRef>
              <c:f>'A - Features Progress'!$D$4:$D$14</c:f>
              <c:strCache>
                <c:ptCount val="11"/>
                <c:pt idx="0">
                  <c:v>[PROCESS-44] Filter processes based on user …  on user portfolio assignments / Busy Bees</c:v>
                </c:pt>
                <c:pt idx="1">
                  <c:v>[PROCESS-92] Improve search performance (elastic search) / Busy Bees</c:v>
                </c:pt>
                <c:pt idx="2">
                  <c:v>[PROCESS-75] Support specific attributes based on taxonomy / Busy Bees</c:v>
                </c:pt>
                <c:pt idx="3">
                  <c:v>[PROCESS-98] Filter process by "my" active tasks / Busy Bees</c:v>
                </c:pt>
                <c:pt idx="4">
                  <c:v>[PFM-125] Foundation stabilization / Busy Bees</c:v>
                </c:pt>
                <c:pt idx="5">
                  <c:v>[PROCESS-95] Foundation stabilization / Busy Bees</c:v>
                </c:pt>
                <c:pt idx="6">
                  <c:v>[PROCESS-33] Harmonization of User Experience / Busy Bees</c:v>
                </c:pt>
                <c:pt idx="7">
                  <c:v>[PROCESS-125] Secure Process Centre by filte … esses according to logged user / Busy Bees</c:v>
                </c:pt>
                <c:pt idx="8">
                  <c:v>[PFM-131] UX harmonisation / Busy Bees</c:v>
                </c:pt>
                <c:pt idx="9">
                  <c:v>[]  / </c:v>
                </c:pt>
                <c:pt idx="10">
                  <c:v>[]  / </c:v>
                </c:pt>
              </c:strCache>
            </c:strRef>
          </c:cat>
          <c:val>
            <c:numRef>
              <c:f>'A - Features Progress'!$E$4:$E$14</c:f>
              <c:numCache>
                <c:formatCode>General</c:formatCode>
                <c:ptCount val="11"/>
                <c:pt idx="0">
                  <c:v>0</c:v>
                </c:pt>
                <c:pt idx="1">
                  <c:v>0</c:v>
                </c:pt>
                <c:pt idx="2">
                  <c:v>0</c:v>
                </c:pt>
                <c:pt idx="3">
                  <c:v>0</c:v>
                </c:pt>
                <c:pt idx="4">
                  <c:v>0</c:v>
                </c:pt>
                <c:pt idx="5">
                  <c:v>0</c:v>
                </c:pt>
                <c:pt idx="6">
                  <c:v>0</c:v>
                </c:pt>
                <c:pt idx="7">
                  <c:v>0</c:v>
                </c:pt>
                <c:pt idx="8">
                  <c:v>0</c:v>
                </c:pt>
              </c:numCache>
            </c:numRef>
          </c:val>
          <c:extLst xmlns:c16r2="http://schemas.microsoft.com/office/drawing/2015/06/chart">
            <c:ext xmlns:c16="http://schemas.microsoft.com/office/drawing/2014/chart" uri="{C3380CC4-5D6E-409C-BE32-E72D297353CC}">
              <c16:uniqueId val="{00000000-7CB9-4299-A68E-358CA7C3116A}"/>
            </c:ex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Lst>
        </c:ser>
        <c:ser>
          <c:idx val="1"/>
          <c:order val="1"/>
          <c:tx>
            <c:strRef>
              <c:f>'A - Features Progress'!$F$3</c:f>
              <c:strCache>
                <c:ptCount val="1"/>
                <c:pt idx="0">
                  <c:v>Planned Story Points</c:v>
                </c:pt>
              </c:strCache>
            </c:strRef>
          </c:tx>
          <c:spPr>
            <a:solidFill>
              <a:schemeClr val="bg1">
                <a:lumMod val="50000"/>
              </a:schemeClr>
            </a:solidFill>
            <a:ln>
              <a:noFill/>
            </a:ln>
            <a:effectLst/>
          </c:spPr>
          <c:invertIfNegative val="0"/>
          <c:cat>
            <c:strRef>
              <c:f>'A - Features Progress'!$D$4:$D$14</c:f>
              <c:strCache>
                <c:ptCount val="11"/>
                <c:pt idx="0">
                  <c:v>[PROCESS-44] Filter processes based on user …  on user portfolio assignments / Busy Bees</c:v>
                </c:pt>
                <c:pt idx="1">
                  <c:v>[PROCESS-92] Improve search performance (elastic search) / Busy Bees</c:v>
                </c:pt>
                <c:pt idx="2">
                  <c:v>[PROCESS-75] Support specific attributes based on taxonomy / Busy Bees</c:v>
                </c:pt>
                <c:pt idx="3">
                  <c:v>[PROCESS-98] Filter process by "my" active tasks / Busy Bees</c:v>
                </c:pt>
                <c:pt idx="4">
                  <c:v>[PFM-125] Foundation stabilization / Busy Bees</c:v>
                </c:pt>
                <c:pt idx="5">
                  <c:v>[PROCESS-95] Foundation stabilization / Busy Bees</c:v>
                </c:pt>
                <c:pt idx="6">
                  <c:v>[PROCESS-33] Harmonization of User Experience / Busy Bees</c:v>
                </c:pt>
                <c:pt idx="7">
                  <c:v>[PROCESS-125] Secure Process Centre by filte … esses according to logged user / Busy Bees</c:v>
                </c:pt>
                <c:pt idx="8">
                  <c:v>[PFM-131] UX harmonisation / Busy Bees</c:v>
                </c:pt>
                <c:pt idx="9">
                  <c:v>[]  / </c:v>
                </c:pt>
                <c:pt idx="10">
                  <c:v>[]  / </c:v>
                </c:pt>
              </c:strCache>
            </c:strRef>
          </c:cat>
          <c:val>
            <c:numRef>
              <c:f>'A - Features Progress'!$F$4:$F$14</c:f>
              <c:numCache>
                <c:formatCode>General</c:formatCode>
                <c:ptCount val="11"/>
                <c:pt idx="0">
                  <c:v>0</c:v>
                </c:pt>
                <c:pt idx="1">
                  <c:v>0</c:v>
                </c:pt>
                <c:pt idx="2">
                  <c:v>0</c:v>
                </c:pt>
                <c:pt idx="3">
                  <c:v>0</c:v>
                </c:pt>
                <c:pt idx="4">
                  <c:v>0</c:v>
                </c:pt>
                <c:pt idx="5">
                  <c:v>0</c:v>
                </c:pt>
                <c:pt idx="6">
                  <c:v>0</c:v>
                </c:pt>
                <c:pt idx="7">
                  <c:v>0</c:v>
                </c:pt>
                <c:pt idx="8">
                  <c:v>0</c:v>
                </c:pt>
              </c:numCache>
            </c:numRef>
          </c:val>
          <c:extLst xmlns:c16r2="http://schemas.microsoft.com/office/drawing/2015/06/chart">
            <c:ext xmlns:c16="http://schemas.microsoft.com/office/drawing/2014/chart" uri="{C3380CC4-5D6E-409C-BE32-E72D297353CC}">
              <c16:uniqueId val="{00000001-7CB9-4299-A68E-358CA7C3116A}"/>
            </c:ext>
          </c:extLst>
        </c:ser>
        <c:dLbls>
          <c:showLegendKey val="0"/>
          <c:showVal val="0"/>
          <c:showCatName val="0"/>
          <c:showSerName val="0"/>
          <c:showPercent val="0"/>
          <c:showBubbleSize val="0"/>
        </c:dLbls>
        <c:gapWidth val="182"/>
        <c:axId val="167676928"/>
        <c:axId val="167678720"/>
      </c:barChart>
      <c:catAx>
        <c:axId val="1676769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678720"/>
        <c:crosses val="autoZero"/>
        <c:auto val="1"/>
        <c:lblAlgn val="ctr"/>
        <c:lblOffset val="100"/>
        <c:noMultiLvlLbl val="0"/>
      </c:catAx>
      <c:valAx>
        <c:axId val="1676787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676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 - Enablers Progress'!$E$3</c:f>
              <c:strCache>
                <c:ptCount val="1"/>
                <c:pt idx="0">
                  <c:v>Completed Story Points</c:v>
                </c:pt>
              </c:strCache>
            </c:strRef>
          </c:tx>
          <c:spPr>
            <a:solidFill>
              <a:srgbClr val="A9D18E"/>
            </a:solidFill>
            <a:ln>
              <a:noFill/>
            </a:ln>
            <a:effectLst/>
          </c:spPr>
          <c:invertIfNegative val="1"/>
          <c:cat>
            <c:strRef>
              <c:f>'A - Enablers Progress'!$D$4:$D$10</c:f>
              <c:strCache>
                <c:ptCount val="7"/>
                <c:pt idx="0">
                  <c:v>[n/a] No feature(s) / n/a</c:v>
                </c:pt>
                <c:pt idx="1">
                  <c:v>[]  / </c:v>
                </c:pt>
                <c:pt idx="2">
                  <c:v>[]  / </c:v>
                </c:pt>
                <c:pt idx="3">
                  <c:v>[]  / </c:v>
                </c:pt>
                <c:pt idx="4">
                  <c:v>[]  / </c:v>
                </c:pt>
                <c:pt idx="5">
                  <c:v>[]  / </c:v>
                </c:pt>
                <c:pt idx="6">
                  <c:v>[]  / </c:v>
                </c:pt>
              </c:strCache>
            </c:strRef>
          </c:cat>
          <c:val>
            <c:numRef>
              <c:f>'A - Enablers Progress'!$E$4:$E$10</c:f>
              <c:numCache>
                <c:formatCode>General</c:formatCode>
                <c:ptCount val="7"/>
                <c:pt idx="0">
                  <c:v>0</c:v>
                </c:pt>
              </c:numCache>
            </c:numRef>
          </c:val>
          <c:extLst xmlns:c16r2="http://schemas.microsoft.com/office/drawing/2015/06/chart">
            <c:ext xmlns:c16="http://schemas.microsoft.com/office/drawing/2014/chart" uri="{C3380CC4-5D6E-409C-BE32-E72D297353CC}">
              <c16:uniqueId val="{00000000-BBD3-4B3D-8C18-F9F62A5DF24C}"/>
            </c:ex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Lst>
        </c:ser>
        <c:ser>
          <c:idx val="1"/>
          <c:order val="1"/>
          <c:tx>
            <c:strRef>
              <c:f>'A - Enablers Progress'!$F$3</c:f>
              <c:strCache>
                <c:ptCount val="1"/>
                <c:pt idx="0">
                  <c:v>Planned Story Points</c:v>
                </c:pt>
              </c:strCache>
            </c:strRef>
          </c:tx>
          <c:spPr>
            <a:solidFill>
              <a:schemeClr val="bg1">
                <a:lumMod val="50000"/>
              </a:schemeClr>
            </a:solidFill>
            <a:ln>
              <a:noFill/>
            </a:ln>
            <a:effectLst/>
          </c:spPr>
          <c:invertIfNegative val="0"/>
          <c:cat>
            <c:strRef>
              <c:f>'A - Enablers Progress'!$D$4:$D$10</c:f>
              <c:strCache>
                <c:ptCount val="7"/>
                <c:pt idx="0">
                  <c:v>[n/a] No feature(s) / n/a</c:v>
                </c:pt>
                <c:pt idx="1">
                  <c:v>[]  / </c:v>
                </c:pt>
                <c:pt idx="2">
                  <c:v>[]  / </c:v>
                </c:pt>
                <c:pt idx="3">
                  <c:v>[]  / </c:v>
                </c:pt>
                <c:pt idx="4">
                  <c:v>[]  / </c:v>
                </c:pt>
                <c:pt idx="5">
                  <c:v>[]  / </c:v>
                </c:pt>
                <c:pt idx="6">
                  <c:v>[]  / </c:v>
                </c:pt>
              </c:strCache>
            </c:strRef>
          </c:cat>
          <c:val>
            <c:numRef>
              <c:f>'A - Enablers Progress'!$F$4:$F$10</c:f>
              <c:numCache>
                <c:formatCode>General</c:formatCode>
                <c:ptCount val="7"/>
                <c:pt idx="0">
                  <c:v>0</c:v>
                </c:pt>
              </c:numCache>
            </c:numRef>
          </c:val>
          <c:extLst xmlns:c16r2="http://schemas.microsoft.com/office/drawing/2015/06/chart">
            <c:ext xmlns:c16="http://schemas.microsoft.com/office/drawing/2014/chart" uri="{C3380CC4-5D6E-409C-BE32-E72D297353CC}">
              <c16:uniqueId val="{00000001-BBD3-4B3D-8C18-F9F62A5DF24C}"/>
            </c:ext>
          </c:extLst>
        </c:ser>
        <c:dLbls>
          <c:showLegendKey val="0"/>
          <c:showVal val="0"/>
          <c:showCatName val="0"/>
          <c:showSerName val="0"/>
          <c:showPercent val="0"/>
          <c:showBubbleSize val="0"/>
        </c:dLbls>
        <c:gapWidth val="182"/>
        <c:axId val="167786368"/>
        <c:axId val="167787904"/>
      </c:barChart>
      <c:catAx>
        <c:axId val="1677863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787904"/>
        <c:crosses val="autoZero"/>
        <c:auto val="1"/>
        <c:lblAlgn val="ctr"/>
        <c:lblOffset val="100"/>
        <c:noMultiLvlLbl val="0"/>
      </c:catAx>
      <c:valAx>
        <c:axId val="1677879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786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 - Features Progress'!$E$3</c:f>
              <c:strCache>
                <c:ptCount val="1"/>
                <c:pt idx="0">
                  <c:v>Completed Story Points</c:v>
                </c:pt>
              </c:strCache>
            </c:strRef>
          </c:tx>
          <c:spPr>
            <a:solidFill>
              <a:srgbClr val="A9D18E"/>
            </a:solidFill>
            <a:ln>
              <a:noFill/>
            </a:ln>
            <a:effectLst/>
          </c:spPr>
          <c:invertIfNegative val="1"/>
          <c:cat>
            <c:strRef>
              <c:f>'A - Features Progress'!$D$4:$D$12</c:f>
              <c:strCache>
                <c:ptCount val="9"/>
                <c:pt idx="0">
                  <c:v>[PROCESS-44] Filter processes based on user …  on user portfolio assignments / Busy Bees</c:v>
                </c:pt>
                <c:pt idx="1">
                  <c:v>[PROCESS-92] Improve search performance (elastic search) / Busy Bees</c:v>
                </c:pt>
                <c:pt idx="2">
                  <c:v>[PROCESS-75] Support specific attributes based on taxonomy / Busy Bees</c:v>
                </c:pt>
                <c:pt idx="3">
                  <c:v>[PROCESS-98] Filter process by "my" active tasks / Busy Bees</c:v>
                </c:pt>
                <c:pt idx="4">
                  <c:v>[PFM-125] Foundation stabilization / Busy Bees</c:v>
                </c:pt>
                <c:pt idx="5">
                  <c:v>[PROCESS-95] Foundation stabilization / Busy Bees</c:v>
                </c:pt>
                <c:pt idx="6">
                  <c:v>[PROCESS-33] Harmonization of User Experience / Busy Bees</c:v>
                </c:pt>
                <c:pt idx="7">
                  <c:v>[PROCESS-125] Secure Process Centre by filte … esses according to logged user / Busy Bees</c:v>
                </c:pt>
                <c:pt idx="8">
                  <c:v>[PFM-131] UX harmonisation / Busy Bees</c:v>
                </c:pt>
              </c:strCache>
            </c:strRef>
          </c:cat>
          <c:val>
            <c:numRef>
              <c:f>'A - Features Progress'!$E$4:$E$12</c:f>
              <c:numCache>
                <c:formatCode>General</c:formatCode>
                <c:ptCount val="9"/>
                <c:pt idx="0">
                  <c:v>0</c:v>
                </c:pt>
                <c:pt idx="1">
                  <c:v>0</c:v>
                </c:pt>
                <c:pt idx="2">
                  <c:v>0</c:v>
                </c:pt>
                <c:pt idx="3">
                  <c:v>0</c:v>
                </c:pt>
                <c:pt idx="4">
                  <c:v>0</c:v>
                </c:pt>
                <c:pt idx="5">
                  <c:v>0</c:v>
                </c:pt>
                <c:pt idx="6">
                  <c:v>0</c:v>
                </c:pt>
                <c:pt idx="7">
                  <c:v>0</c:v>
                </c:pt>
                <c:pt idx="8">
                  <c:v>0</c:v>
                </c:pt>
              </c:numCache>
            </c:numRef>
          </c:val>
          <c:extLst xmlns:c16r2="http://schemas.microsoft.com/office/drawing/2015/06/chart">
            <c:ext xmlns:c16="http://schemas.microsoft.com/office/drawing/2014/chart" uri="{C3380CC4-5D6E-409C-BE32-E72D297353CC}">
              <c16:uniqueId val="{00000000-6CF7-48F0-8A64-C0EB9A27458F}"/>
            </c:ex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Lst>
        </c:ser>
        <c:ser>
          <c:idx val="1"/>
          <c:order val="1"/>
          <c:tx>
            <c:strRef>
              <c:f>'A - Features Progress'!$F$3</c:f>
              <c:strCache>
                <c:ptCount val="1"/>
                <c:pt idx="0">
                  <c:v>Planned Story Points</c:v>
                </c:pt>
              </c:strCache>
            </c:strRef>
          </c:tx>
          <c:spPr>
            <a:solidFill>
              <a:schemeClr val="bg1">
                <a:lumMod val="50000"/>
              </a:schemeClr>
            </a:solidFill>
            <a:ln>
              <a:noFill/>
            </a:ln>
            <a:effectLst/>
          </c:spPr>
          <c:invertIfNegative val="0"/>
          <c:cat>
            <c:strRef>
              <c:f>'A - Features Progress'!$D$4:$D$12</c:f>
              <c:strCache>
                <c:ptCount val="9"/>
                <c:pt idx="0">
                  <c:v>[PROCESS-44] Filter processes based on user …  on user portfolio assignments / Busy Bees</c:v>
                </c:pt>
                <c:pt idx="1">
                  <c:v>[PROCESS-92] Improve search performance (elastic search) / Busy Bees</c:v>
                </c:pt>
                <c:pt idx="2">
                  <c:v>[PROCESS-75] Support specific attributes based on taxonomy / Busy Bees</c:v>
                </c:pt>
                <c:pt idx="3">
                  <c:v>[PROCESS-98] Filter process by "my" active tasks / Busy Bees</c:v>
                </c:pt>
                <c:pt idx="4">
                  <c:v>[PFM-125] Foundation stabilization / Busy Bees</c:v>
                </c:pt>
                <c:pt idx="5">
                  <c:v>[PROCESS-95] Foundation stabilization / Busy Bees</c:v>
                </c:pt>
                <c:pt idx="6">
                  <c:v>[PROCESS-33] Harmonization of User Experience / Busy Bees</c:v>
                </c:pt>
                <c:pt idx="7">
                  <c:v>[PROCESS-125] Secure Process Centre by filte … esses according to logged user / Busy Bees</c:v>
                </c:pt>
                <c:pt idx="8">
                  <c:v>[PFM-131] UX harmonisation / Busy Bees</c:v>
                </c:pt>
              </c:strCache>
            </c:strRef>
          </c:cat>
          <c:val>
            <c:numRef>
              <c:f>'A - Features Progress'!$F$4:$F$12</c:f>
              <c:numCache>
                <c:formatCode>General</c:formatCode>
                <c:ptCount val="9"/>
                <c:pt idx="0">
                  <c:v>0</c:v>
                </c:pt>
                <c:pt idx="1">
                  <c:v>0</c:v>
                </c:pt>
                <c:pt idx="2">
                  <c:v>0</c:v>
                </c:pt>
                <c:pt idx="3">
                  <c:v>0</c:v>
                </c:pt>
                <c:pt idx="4">
                  <c:v>0</c:v>
                </c:pt>
                <c:pt idx="5">
                  <c:v>0</c:v>
                </c:pt>
                <c:pt idx="6">
                  <c:v>0</c:v>
                </c:pt>
                <c:pt idx="7">
                  <c:v>0</c:v>
                </c:pt>
                <c:pt idx="8">
                  <c:v>0</c:v>
                </c:pt>
              </c:numCache>
            </c:numRef>
          </c:val>
          <c:extLst xmlns:c16r2="http://schemas.microsoft.com/office/drawing/2015/06/chart">
            <c:ext xmlns:c16="http://schemas.microsoft.com/office/drawing/2014/chart" uri="{C3380CC4-5D6E-409C-BE32-E72D297353CC}">
              <c16:uniqueId val="{00000001-6CF7-48F0-8A64-C0EB9A27458F}"/>
            </c:ext>
          </c:extLst>
        </c:ser>
        <c:dLbls>
          <c:showLegendKey val="0"/>
          <c:showVal val="0"/>
          <c:showCatName val="0"/>
          <c:showSerName val="0"/>
          <c:showPercent val="0"/>
          <c:showBubbleSize val="0"/>
        </c:dLbls>
        <c:gapWidth val="182"/>
        <c:axId val="167425536"/>
        <c:axId val="167427072"/>
      </c:barChart>
      <c:catAx>
        <c:axId val="1674255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427072"/>
        <c:crosses val="autoZero"/>
        <c:auto val="1"/>
        <c:lblAlgn val="ctr"/>
        <c:lblOffset val="100"/>
        <c:noMultiLvlLbl val="0"/>
      </c:catAx>
      <c:valAx>
        <c:axId val="1674270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425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 - Enablers Progress'!$D$4</c:f>
              <c:strCache>
                <c:ptCount val="1"/>
                <c:pt idx="0">
                  <c:v>[n/a] No feature(s) / n/a</c:v>
                </c:pt>
              </c:strCache>
            </c:strRef>
          </c:tx>
          <c:spPr>
            <a:solidFill>
              <a:srgbClr val="A9D18E"/>
            </a:solidFill>
            <a:ln>
              <a:noFill/>
            </a:ln>
            <a:effectLst/>
          </c:spPr>
          <c:invertIfNegative val="1"/>
          <c:cat>
            <c:strRef>
              <c:f>'A - Enablers Progress'!$E$3:$F$3</c:f>
              <c:strCache>
                <c:ptCount val="2"/>
                <c:pt idx="0">
                  <c:v>Completed Story Points</c:v>
                </c:pt>
                <c:pt idx="1">
                  <c:v>Planned Story Points</c:v>
                </c:pt>
              </c:strCache>
            </c:strRef>
          </c:cat>
          <c:val>
            <c:numRef>
              <c:f>'A - Enablers Progress'!$E$4:$F$4</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0-FD03-4604-A081-44FAD714CFA2}"/>
            </c:ex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Lst>
        </c:ser>
        <c:dLbls>
          <c:showLegendKey val="0"/>
          <c:showVal val="0"/>
          <c:showCatName val="0"/>
          <c:showSerName val="0"/>
          <c:showPercent val="0"/>
          <c:showBubbleSize val="0"/>
        </c:dLbls>
        <c:gapWidth val="182"/>
        <c:axId val="167567360"/>
        <c:axId val="167568896"/>
      </c:barChart>
      <c:catAx>
        <c:axId val="167567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568896"/>
        <c:crosses val="autoZero"/>
        <c:auto val="1"/>
        <c:lblAlgn val="ctr"/>
        <c:lblOffset val="100"/>
        <c:noMultiLvlLbl val="0"/>
      </c:catAx>
      <c:valAx>
        <c:axId val="1675688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567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3"/>
          <c:order val="0"/>
          <c:tx>
            <c:strRef>
              <c:f>'A - CF (Features #)'!$K$1</c:f>
              <c:strCache>
                <c:ptCount val="1"/>
                <c:pt idx="0">
                  <c:v>Done</c:v>
                </c:pt>
              </c:strCache>
            </c:strRef>
          </c:tx>
          <c:spPr>
            <a:solidFill>
              <a:schemeClr val="tx2">
                <a:lumMod val="60000"/>
                <a:lumOff val="40000"/>
              </a:schemeClr>
            </a:solidFill>
          </c:spPr>
          <c:cat>
            <c:numRef>
              <c:f>'A - CF (Features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(Features #)'!$K$2:$K$51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1</c:v>
                </c:pt>
                <c:pt idx="40">
                  <c:v>1</c:v>
                </c:pt>
                <c:pt idx="41">
                  <c:v>1</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0-156D-49C8-B324-95F3105AB884}"/>
            </c:ext>
          </c:extLst>
        </c:ser>
        <c:ser>
          <c:idx val="7"/>
          <c:order val="1"/>
          <c:tx>
            <c:strRef>
              <c:f>'A - CF (Features #)'!$J$1</c:f>
              <c:strCache>
                <c:ptCount val="1"/>
                <c:pt idx="0">
                  <c:v>Releasing</c:v>
                </c:pt>
              </c:strCache>
            </c:strRef>
          </c:tx>
          <c:spPr>
            <a:ln w="25400">
              <a:noFill/>
            </a:ln>
          </c:spPr>
          <c:val>
            <c:numRef>
              <c:f>'A - CF (Features #)'!$J$2:$J$51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1-156D-49C8-B324-95F3105AB884}"/>
            </c:ext>
          </c:extLst>
        </c:ser>
        <c:ser>
          <c:idx val="6"/>
          <c:order val="2"/>
          <c:tx>
            <c:strRef>
              <c:f>'A - CF (Features #)'!$I$1</c:f>
              <c:strCache>
                <c:ptCount val="1"/>
                <c:pt idx="0">
                  <c:v>Deploying to production</c:v>
                </c:pt>
              </c:strCache>
            </c:strRef>
          </c:tx>
          <c:spPr>
            <a:ln w="25400">
              <a:noFill/>
            </a:ln>
          </c:spPr>
          <c:val>
            <c:numRef>
              <c:f>'A - CF (Features #)'!$I$2:$I$51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2-156D-49C8-B324-95F3105AB884}"/>
            </c:ext>
          </c:extLst>
        </c:ser>
        <c:ser>
          <c:idx val="5"/>
          <c:order val="3"/>
          <c:tx>
            <c:strRef>
              <c:f>'A - CF (Features #)'!$H$1</c:f>
              <c:strCache>
                <c:ptCount val="1"/>
                <c:pt idx="0">
                  <c:v>Validating on Staging</c:v>
                </c:pt>
              </c:strCache>
            </c:strRef>
          </c:tx>
          <c:spPr>
            <a:solidFill>
              <a:srgbClr val="FFFF00"/>
            </a:solidFill>
            <a:ln w="25400">
              <a:noFill/>
            </a:ln>
          </c:spPr>
          <c:val>
            <c:numRef>
              <c:f>'A - CF (Features #)'!$H$2:$H$51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3-156D-49C8-B324-95F3105AB884}"/>
            </c:ext>
          </c:extLst>
        </c:ser>
        <c:ser>
          <c:idx val="4"/>
          <c:order val="4"/>
          <c:tx>
            <c:strRef>
              <c:f>'A - CF (Features #)'!$G$1</c:f>
              <c:strCache>
                <c:ptCount val="1"/>
                <c:pt idx="0">
                  <c:v>Implementing</c:v>
                </c:pt>
              </c:strCache>
            </c:strRef>
          </c:tx>
          <c:spPr>
            <a:solidFill>
              <a:srgbClr val="00B0F0"/>
            </a:solidFill>
            <a:ln w="25400">
              <a:noFill/>
            </a:ln>
          </c:spPr>
          <c:val>
            <c:numRef>
              <c:f>'A - CF (Features #)'!$G$2:$G$51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6</c:v>
                </c:pt>
                <c:pt idx="37">
                  <c:v>6</c:v>
                </c:pt>
                <c:pt idx="38">
                  <c:v>6</c:v>
                </c:pt>
                <c:pt idx="39">
                  <c:v>6</c:v>
                </c:pt>
                <c:pt idx="40">
                  <c:v>6</c:v>
                </c:pt>
                <c:pt idx="41">
                  <c:v>6</c:v>
                </c:pt>
                <c:pt idx="42">
                  <c:v>5</c:v>
                </c:pt>
                <c:pt idx="43">
                  <c:v>5</c:v>
                </c:pt>
                <c:pt idx="44">
                  <c:v>5</c:v>
                </c:pt>
                <c:pt idx="45">
                  <c:v>5</c:v>
                </c:pt>
                <c:pt idx="46">
                  <c:v>5</c:v>
                </c:pt>
                <c:pt idx="47">
                  <c:v>5</c:v>
                </c:pt>
                <c:pt idx="48">
                  <c:v>5</c:v>
                </c:pt>
                <c:pt idx="49">
                  <c:v>5</c:v>
                </c:pt>
              </c:numCache>
            </c:numRef>
          </c:val>
          <c:extLst xmlns:c16r2="http://schemas.microsoft.com/office/drawing/2015/06/chart">
            <c:ext xmlns:c16="http://schemas.microsoft.com/office/drawing/2014/chart" uri="{C3380CC4-5D6E-409C-BE32-E72D297353CC}">
              <c16:uniqueId val="{00000004-156D-49C8-B324-95F3105AB884}"/>
            </c:ext>
          </c:extLst>
        </c:ser>
        <c:ser>
          <c:idx val="2"/>
          <c:order val="5"/>
          <c:tx>
            <c:strRef>
              <c:f>'A - CF (Features #)'!$F$1</c:f>
              <c:strCache>
                <c:ptCount val="1"/>
                <c:pt idx="0">
                  <c:v>Backlog</c:v>
                </c:pt>
              </c:strCache>
            </c:strRef>
          </c:tx>
          <c:spPr>
            <a:solidFill>
              <a:schemeClr val="accent6"/>
            </a:solidFill>
          </c:spPr>
          <c:cat>
            <c:numRef>
              <c:f>'A - CF (Features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(Features #)'!$F$2:$F$51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4</c:v>
                </c:pt>
                <c:pt idx="37">
                  <c:v>4</c:v>
                </c:pt>
                <c:pt idx="38">
                  <c:v>4</c:v>
                </c:pt>
                <c:pt idx="39">
                  <c:v>4</c:v>
                </c:pt>
                <c:pt idx="40">
                  <c:v>4</c:v>
                </c:pt>
                <c:pt idx="41">
                  <c:v>4</c:v>
                </c:pt>
                <c:pt idx="42">
                  <c:v>4</c:v>
                </c:pt>
                <c:pt idx="43">
                  <c:v>4</c:v>
                </c:pt>
                <c:pt idx="44">
                  <c:v>4</c:v>
                </c:pt>
                <c:pt idx="45">
                  <c:v>4</c:v>
                </c:pt>
                <c:pt idx="46">
                  <c:v>4</c:v>
                </c:pt>
                <c:pt idx="47">
                  <c:v>4</c:v>
                </c:pt>
                <c:pt idx="48">
                  <c:v>4</c:v>
                </c:pt>
                <c:pt idx="49">
                  <c:v>4</c:v>
                </c:pt>
              </c:numCache>
            </c:numRef>
          </c:val>
          <c:extLst xmlns:c16r2="http://schemas.microsoft.com/office/drawing/2015/06/chart">
            <c:ext xmlns:c16="http://schemas.microsoft.com/office/drawing/2014/chart" uri="{C3380CC4-5D6E-409C-BE32-E72D297353CC}">
              <c16:uniqueId val="{00000005-156D-49C8-B324-95F3105AB884}"/>
            </c:ext>
          </c:extLst>
        </c:ser>
        <c:ser>
          <c:idx val="1"/>
          <c:order val="6"/>
          <c:tx>
            <c:strRef>
              <c:f>'A - CF (Features #)'!$E$1</c:f>
              <c:strCache>
                <c:ptCount val="1"/>
                <c:pt idx="0">
                  <c:v>Analyzing</c:v>
                </c:pt>
              </c:strCache>
            </c:strRef>
          </c:tx>
          <c:spPr>
            <a:solidFill>
              <a:srgbClr val="7030A0"/>
            </a:solidFill>
          </c:spPr>
          <c:cat>
            <c:numRef>
              <c:f>'A - CF (Features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(Features #)'!$E$2:$E$51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6-156D-49C8-B324-95F3105AB884}"/>
            </c:ext>
          </c:extLst>
        </c:ser>
        <c:ser>
          <c:idx val="0"/>
          <c:order val="7"/>
          <c:tx>
            <c:strRef>
              <c:f>'A - CF (Features #)'!$D$1</c:f>
              <c:strCache>
                <c:ptCount val="1"/>
                <c:pt idx="0">
                  <c:v>Funnel</c:v>
                </c:pt>
              </c:strCache>
            </c:strRef>
          </c:tx>
          <c:spPr>
            <a:solidFill>
              <a:srgbClr val="CC6600"/>
            </a:solidFill>
          </c:spPr>
          <c:cat>
            <c:numRef>
              <c:f>'A - CF (Features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(Features #)'!$D$2:$D$51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7-156D-49C8-B324-95F3105AB884}"/>
            </c:ext>
          </c:extLst>
        </c:ser>
        <c:dLbls>
          <c:showLegendKey val="0"/>
          <c:showVal val="0"/>
          <c:showCatName val="0"/>
          <c:showSerName val="0"/>
          <c:showPercent val="0"/>
          <c:showBubbleSize val="0"/>
        </c:dLbls>
        <c:axId val="167623296"/>
        <c:axId val="167850368"/>
      </c:areaChart>
      <c:dateAx>
        <c:axId val="167623296"/>
        <c:scaling>
          <c:orientation val="minMax"/>
        </c:scaling>
        <c:delete val="0"/>
        <c:axPos val="b"/>
        <c:numFmt formatCode="m/d/yyyy" sourceLinked="1"/>
        <c:majorTickMark val="out"/>
        <c:minorTickMark val="none"/>
        <c:tickLblPos val="nextTo"/>
        <c:crossAx val="167850368"/>
        <c:crosses val="autoZero"/>
        <c:auto val="1"/>
        <c:lblOffset val="100"/>
        <c:baseTimeUnit val="days"/>
      </c:dateAx>
      <c:valAx>
        <c:axId val="167850368"/>
        <c:scaling>
          <c:orientation val="minMax"/>
        </c:scaling>
        <c:delete val="0"/>
        <c:axPos val="l"/>
        <c:majorGridlines/>
        <c:numFmt formatCode="General" sourceLinked="1"/>
        <c:majorTickMark val="out"/>
        <c:minorTickMark val="none"/>
        <c:tickLblPos val="nextTo"/>
        <c:crossAx val="167623296"/>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3"/>
          <c:order val="0"/>
          <c:tx>
            <c:strRef>
              <c:f>'A - CF (Enablers #)'!$K$1</c:f>
              <c:strCache>
                <c:ptCount val="1"/>
                <c:pt idx="0">
                  <c:v>Done</c:v>
                </c:pt>
              </c:strCache>
            </c:strRef>
          </c:tx>
          <c:spPr>
            <a:solidFill>
              <a:schemeClr val="tx2">
                <a:lumMod val="60000"/>
                <a:lumOff val="40000"/>
              </a:schemeClr>
            </a:solidFill>
          </c:spPr>
          <c:cat>
            <c:numRef>
              <c:f>'A - CF (Enablers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(Enablers #)'!$K$2:$K$51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0-8AF3-4154-BA37-3C95AB3A5540}"/>
            </c:ext>
          </c:extLst>
        </c:ser>
        <c:ser>
          <c:idx val="7"/>
          <c:order val="1"/>
          <c:tx>
            <c:strRef>
              <c:f>'A - CF (Enablers #)'!$J$1</c:f>
              <c:strCache>
                <c:ptCount val="1"/>
                <c:pt idx="0">
                  <c:v>Releasing</c:v>
                </c:pt>
              </c:strCache>
            </c:strRef>
          </c:tx>
          <c:spPr>
            <a:ln w="25400">
              <a:noFill/>
            </a:ln>
          </c:spPr>
          <c:val>
            <c:numRef>
              <c:f>'A - CF (Enablers #)'!$J$2:$J$51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1-8AF3-4154-BA37-3C95AB3A5540}"/>
            </c:ext>
          </c:extLst>
        </c:ser>
        <c:ser>
          <c:idx val="6"/>
          <c:order val="2"/>
          <c:tx>
            <c:strRef>
              <c:f>'A - CF (Enablers #)'!$I$1</c:f>
              <c:strCache>
                <c:ptCount val="1"/>
                <c:pt idx="0">
                  <c:v>Deploying to production</c:v>
                </c:pt>
              </c:strCache>
            </c:strRef>
          </c:tx>
          <c:spPr>
            <a:ln w="25400">
              <a:noFill/>
            </a:ln>
          </c:spPr>
          <c:val>
            <c:numRef>
              <c:f>'A - CF (Enablers #)'!$I$2:$I$51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2-8AF3-4154-BA37-3C95AB3A5540}"/>
            </c:ext>
          </c:extLst>
        </c:ser>
        <c:ser>
          <c:idx val="5"/>
          <c:order val="3"/>
          <c:tx>
            <c:strRef>
              <c:f>'A - CF (Enablers #)'!$H$1</c:f>
              <c:strCache>
                <c:ptCount val="1"/>
                <c:pt idx="0">
                  <c:v>Validating on Staging</c:v>
                </c:pt>
              </c:strCache>
            </c:strRef>
          </c:tx>
          <c:spPr>
            <a:solidFill>
              <a:srgbClr val="FFFF00"/>
            </a:solidFill>
            <a:ln w="25400">
              <a:noFill/>
            </a:ln>
          </c:spPr>
          <c:val>
            <c:numRef>
              <c:f>'A - CF (Enablers #)'!$H$2:$H$51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3-8AF3-4154-BA37-3C95AB3A5540}"/>
            </c:ext>
          </c:extLst>
        </c:ser>
        <c:ser>
          <c:idx val="4"/>
          <c:order val="4"/>
          <c:tx>
            <c:strRef>
              <c:f>'A - CF (Enablers #)'!$G$1</c:f>
              <c:strCache>
                <c:ptCount val="1"/>
                <c:pt idx="0">
                  <c:v>Implementing</c:v>
                </c:pt>
              </c:strCache>
            </c:strRef>
          </c:tx>
          <c:spPr>
            <a:solidFill>
              <a:srgbClr val="00B0F0"/>
            </a:solidFill>
            <a:ln w="25400">
              <a:noFill/>
            </a:ln>
          </c:spPr>
          <c:val>
            <c:numRef>
              <c:f>'A - CF (Enablers #)'!$G$2:$G$51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4</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4-8AF3-4154-BA37-3C95AB3A5540}"/>
            </c:ext>
          </c:extLst>
        </c:ser>
        <c:ser>
          <c:idx val="2"/>
          <c:order val="5"/>
          <c:tx>
            <c:strRef>
              <c:f>'A - CF (Enablers #)'!$F$1</c:f>
              <c:strCache>
                <c:ptCount val="1"/>
                <c:pt idx="0">
                  <c:v>Backlog</c:v>
                </c:pt>
              </c:strCache>
            </c:strRef>
          </c:tx>
          <c:spPr>
            <a:solidFill>
              <a:schemeClr val="accent6"/>
            </a:solidFill>
          </c:spPr>
          <c:cat>
            <c:numRef>
              <c:f>'A - CF (Enablers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(Enablers #)'!$F$2:$F$51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2</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5-8AF3-4154-BA37-3C95AB3A5540}"/>
            </c:ext>
          </c:extLst>
        </c:ser>
        <c:ser>
          <c:idx val="1"/>
          <c:order val="6"/>
          <c:tx>
            <c:strRef>
              <c:f>'A - CF (Enablers #)'!$E$1</c:f>
              <c:strCache>
                <c:ptCount val="1"/>
                <c:pt idx="0">
                  <c:v>Analyzing</c:v>
                </c:pt>
              </c:strCache>
            </c:strRef>
          </c:tx>
          <c:spPr>
            <a:solidFill>
              <a:srgbClr val="7030A0"/>
            </a:solidFill>
          </c:spPr>
          <c:cat>
            <c:numRef>
              <c:f>'A - CF (Enablers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(Enablers #)'!$E$2:$E$51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6-8AF3-4154-BA37-3C95AB3A5540}"/>
            </c:ext>
          </c:extLst>
        </c:ser>
        <c:ser>
          <c:idx val="0"/>
          <c:order val="7"/>
          <c:tx>
            <c:strRef>
              <c:f>'A - CF (Enablers #)'!$D$1</c:f>
              <c:strCache>
                <c:ptCount val="1"/>
                <c:pt idx="0">
                  <c:v>Funnel</c:v>
                </c:pt>
              </c:strCache>
            </c:strRef>
          </c:tx>
          <c:spPr>
            <a:solidFill>
              <a:srgbClr val="CC6600"/>
            </a:solidFill>
          </c:spPr>
          <c:cat>
            <c:numRef>
              <c:f>'A - CF (Enablers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(Enablers #)'!$D$2:$D$51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7-8AF3-4154-BA37-3C95AB3A5540}"/>
            </c:ext>
          </c:extLst>
        </c:ser>
        <c:dLbls>
          <c:showLegendKey val="0"/>
          <c:showVal val="0"/>
          <c:showCatName val="0"/>
          <c:showSerName val="0"/>
          <c:showPercent val="0"/>
          <c:showBubbleSize val="0"/>
        </c:dLbls>
        <c:axId val="167216640"/>
        <c:axId val="167218176"/>
      </c:areaChart>
      <c:dateAx>
        <c:axId val="167216640"/>
        <c:scaling>
          <c:orientation val="minMax"/>
        </c:scaling>
        <c:delete val="0"/>
        <c:axPos val="b"/>
        <c:numFmt formatCode="m/d/yyyy" sourceLinked="1"/>
        <c:majorTickMark val="out"/>
        <c:minorTickMark val="none"/>
        <c:tickLblPos val="nextTo"/>
        <c:crossAx val="167218176"/>
        <c:crosses val="autoZero"/>
        <c:auto val="1"/>
        <c:lblOffset val="100"/>
        <c:baseTimeUnit val="days"/>
      </c:dateAx>
      <c:valAx>
        <c:axId val="167218176"/>
        <c:scaling>
          <c:orientation val="minMax"/>
        </c:scaling>
        <c:delete val="0"/>
        <c:axPos val="l"/>
        <c:majorGridlines/>
        <c:numFmt formatCode="General" sourceLinked="1"/>
        <c:majorTickMark val="out"/>
        <c:minorTickMark val="none"/>
        <c:tickLblPos val="nextTo"/>
        <c:crossAx val="167216640"/>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5"/>
          <c:order val="0"/>
          <c:tx>
            <c:strRef>
              <c:f>'A - CF (Stories #)'!$H$1</c:f>
              <c:strCache>
                <c:ptCount val="1"/>
                <c:pt idx="0">
                  <c:v>Done</c:v>
                </c:pt>
              </c:strCache>
            </c:strRef>
          </c:tx>
          <c:spPr>
            <a:solidFill>
              <a:srgbClr val="FFFF00"/>
            </a:solidFill>
            <a:ln w="25400">
              <a:noFill/>
            </a:ln>
          </c:spPr>
          <c:val>
            <c:numRef>
              <c:f>'A - CF (Stories #)'!$H$2:$H$51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15</c:v>
                </c:pt>
                <c:pt idx="37">
                  <c:v>15</c:v>
                </c:pt>
                <c:pt idx="38">
                  <c:v>15</c:v>
                </c:pt>
                <c:pt idx="39">
                  <c:v>15</c:v>
                </c:pt>
                <c:pt idx="40">
                  <c:v>15</c:v>
                </c:pt>
                <c:pt idx="41">
                  <c:v>15</c:v>
                </c:pt>
                <c:pt idx="42">
                  <c:v>15</c:v>
                </c:pt>
                <c:pt idx="43">
                  <c:v>15</c:v>
                </c:pt>
                <c:pt idx="44">
                  <c:v>15</c:v>
                </c:pt>
                <c:pt idx="45">
                  <c:v>15</c:v>
                </c:pt>
                <c:pt idx="46">
                  <c:v>15</c:v>
                </c:pt>
                <c:pt idx="47">
                  <c:v>15</c:v>
                </c:pt>
                <c:pt idx="48">
                  <c:v>15</c:v>
                </c:pt>
                <c:pt idx="49">
                  <c:v>15</c:v>
                </c:pt>
              </c:numCache>
            </c:numRef>
          </c:val>
          <c:extLst xmlns:c16r2="http://schemas.microsoft.com/office/drawing/2015/06/chart">
            <c:ext xmlns:c16="http://schemas.microsoft.com/office/drawing/2014/chart" uri="{C3380CC4-5D6E-409C-BE32-E72D297353CC}">
              <c16:uniqueId val="{00000000-F3EA-4C86-92E9-BA5AFDC5F512}"/>
            </c:ext>
          </c:extLst>
        </c:ser>
        <c:ser>
          <c:idx val="4"/>
          <c:order val="1"/>
          <c:tx>
            <c:strRef>
              <c:f>'A - CF (Stories #)'!$G$1</c:f>
              <c:strCache>
                <c:ptCount val="1"/>
                <c:pt idx="0">
                  <c:v>Close</c:v>
                </c:pt>
              </c:strCache>
            </c:strRef>
          </c:tx>
          <c:spPr>
            <a:solidFill>
              <a:srgbClr val="00B0F0"/>
            </a:solidFill>
            <a:ln w="25400">
              <a:noFill/>
            </a:ln>
          </c:spPr>
          <c:val>
            <c:numRef>
              <c:f>'A - CF (Stories #)'!$G$2:$G$51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20</c:v>
                </c:pt>
                <c:pt idx="37">
                  <c:v>20</c:v>
                </c:pt>
                <c:pt idx="38">
                  <c:v>20</c:v>
                </c:pt>
                <c:pt idx="39">
                  <c:v>23</c:v>
                </c:pt>
                <c:pt idx="40">
                  <c:v>23</c:v>
                </c:pt>
                <c:pt idx="41">
                  <c:v>23</c:v>
                </c:pt>
                <c:pt idx="42">
                  <c:v>23</c:v>
                </c:pt>
                <c:pt idx="43">
                  <c:v>23</c:v>
                </c:pt>
                <c:pt idx="44">
                  <c:v>23</c:v>
                </c:pt>
                <c:pt idx="45">
                  <c:v>23</c:v>
                </c:pt>
                <c:pt idx="46">
                  <c:v>23</c:v>
                </c:pt>
                <c:pt idx="47">
                  <c:v>23</c:v>
                </c:pt>
                <c:pt idx="48">
                  <c:v>23</c:v>
                </c:pt>
                <c:pt idx="49">
                  <c:v>23</c:v>
                </c:pt>
              </c:numCache>
            </c:numRef>
          </c:val>
          <c:extLst xmlns:c16r2="http://schemas.microsoft.com/office/drawing/2015/06/chart">
            <c:ext xmlns:c16="http://schemas.microsoft.com/office/drawing/2014/chart" uri="{C3380CC4-5D6E-409C-BE32-E72D297353CC}">
              <c16:uniqueId val="{00000001-F3EA-4C86-92E9-BA5AFDC5F512}"/>
            </c:ext>
          </c:extLst>
        </c:ser>
        <c:ser>
          <c:idx val="2"/>
          <c:order val="2"/>
          <c:tx>
            <c:strRef>
              <c:f>'A - CF (Stories #)'!$F$1</c:f>
              <c:strCache>
                <c:ptCount val="1"/>
                <c:pt idx="0">
                  <c:v>In review</c:v>
                </c:pt>
              </c:strCache>
            </c:strRef>
          </c:tx>
          <c:spPr>
            <a:solidFill>
              <a:schemeClr val="accent6"/>
            </a:solidFill>
          </c:spPr>
          <c:cat>
            <c:numRef>
              <c:f>'A - CF (Stories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(Stories #)'!$F$2:$F$51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2-F3EA-4C86-92E9-BA5AFDC5F512}"/>
            </c:ext>
          </c:extLst>
        </c:ser>
        <c:ser>
          <c:idx val="1"/>
          <c:order val="3"/>
          <c:tx>
            <c:strRef>
              <c:f>'A - CF (Stories #)'!$E$1</c:f>
              <c:strCache>
                <c:ptCount val="1"/>
                <c:pt idx="0">
                  <c:v>In Progress</c:v>
                </c:pt>
              </c:strCache>
            </c:strRef>
          </c:tx>
          <c:spPr>
            <a:solidFill>
              <a:srgbClr val="7030A0"/>
            </a:solidFill>
          </c:spPr>
          <c:cat>
            <c:numRef>
              <c:f>'A - CF (Stories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(Stories #)'!$E$2:$E$51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c:v>
                </c:pt>
                <c:pt idx="37">
                  <c:v>2</c:v>
                </c:pt>
                <c:pt idx="38">
                  <c:v>2</c:v>
                </c:pt>
                <c:pt idx="39">
                  <c:v>1</c:v>
                </c:pt>
                <c:pt idx="40">
                  <c:v>1</c:v>
                </c:pt>
                <c:pt idx="41">
                  <c:v>1</c:v>
                </c:pt>
                <c:pt idx="42">
                  <c:v>1</c:v>
                </c:pt>
                <c:pt idx="43">
                  <c:v>1</c:v>
                </c:pt>
                <c:pt idx="44">
                  <c:v>1</c:v>
                </c:pt>
                <c:pt idx="45">
                  <c:v>1</c:v>
                </c:pt>
                <c:pt idx="46">
                  <c:v>1</c:v>
                </c:pt>
                <c:pt idx="47">
                  <c:v>1</c:v>
                </c:pt>
                <c:pt idx="48">
                  <c:v>1</c:v>
                </c:pt>
                <c:pt idx="49">
                  <c:v>1</c:v>
                </c:pt>
              </c:numCache>
            </c:numRef>
          </c:val>
          <c:extLst xmlns:c16r2="http://schemas.microsoft.com/office/drawing/2015/06/chart">
            <c:ext xmlns:c16="http://schemas.microsoft.com/office/drawing/2014/chart" uri="{C3380CC4-5D6E-409C-BE32-E72D297353CC}">
              <c16:uniqueId val="{00000003-F3EA-4C86-92E9-BA5AFDC5F512}"/>
            </c:ext>
          </c:extLst>
        </c:ser>
        <c:ser>
          <c:idx val="0"/>
          <c:order val="4"/>
          <c:tx>
            <c:strRef>
              <c:f>'A - CF (Stories #)'!$D$1</c:f>
              <c:strCache>
                <c:ptCount val="1"/>
                <c:pt idx="0">
                  <c:v>Open</c:v>
                </c:pt>
              </c:strCache>
            </c:strRef>
          </c:tx>
          <c:spPr>
            <a:solidFill>
              <a:srgbClr val="CC6600"/>
            </a:solidFill>
          </c:spPr>
          <c:cat>
            <c:numRef>
              <c:f>'A - CF (Stories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(Stories #)'!$D$2:$D$51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22</c:v>
                </c:pt>
                <c:pt idx="37">
                  <c:v>22</c:v>
                </c:pt>
                <c:pt idx="38">
                  <c:v>22</c:v>
                </c:pt>
                <c:pt idx="39">
                  <c:v>18</c:v>
                </c:pt>
                <c:pt idx="40">
                  <c:v>18</c:v>
                </c:pt>
                <c:pt idx="41">
                  <c:v>18</c:v>
                </c:pt>
                <c:pt idx="42">
                  <c:v>18</c:v>
                </c:pt>
                <c:pt idx="43">
                  <c:v>18</c:v>
                </c:pt>
                <c:pt idx="44">
                  <c:v>18</c:v>
                </c:pt>
                <c:pt idx="45">
                  <c:v>18</c:v>
                </c:pt>
                <c:pt idx="46">
                  <c:v>18</c:v>
                </c:pt>
                <c:pt idx="47">
                  <c:v>18</c:v>
                </c:pt>
                <c:pt idx="48">
                  <c:v>18</c:v>
                </c:pt>
                <c:pt idx="49">
                  <c:v>18</c:v>
                </c:pt>
              </c:numCache>
            </c:numRef>
          </c:val>
          <c:extLst xmlns:c16r2="http://schemas.microsoft.com/office/drawing/2015/06/chart">
            <c:ext xmlns:c16="http://schemas.microsoft.com/office/drawing/2014/chart" uri="{C3380CC4-5D6E-409C-BE32-E72D297353CC}">
              <c16:uniqueId val="{00000004-F3EA-4C86-92E9-BA5AFDC5F512}"/>
            </c:ext>
          </c:extLst>
        </c:ser>
        <c:dLbls>
          <c:showLegendKey val="0"/>
          <c:showVal val="0"/>
          <c:showCatName val="0"/>
          <c:showSerName val="0"/>
          <c:showPercent val="0"/>
          <c:showBubbleSize val="0"/>
        </c:dLbls>
        <c:axId val="167281408"/>
        <c:axId val="167282944"/>
      </c:areaChart>
      <c:catAx>
        <c:axId val="167281408"/>
        <c:scaling>
          <c:orientation val="minMax"/>
        </c:scaling>
        <c:delete val="0"/>
        <c:axPos val="b"/>
        <c:numFmt formatCode="m/d/yyyy" sourceLinked="1"/>
        <c:majorTickMark val="out"/>
        <c:minorTickMark val="none"/>
        <c:tickLblPos val="nextTo"/>
        <c:crossAx val="167282944"/>
        <c:crosses val="autoZero"/>
        <c:auto val="1"/>
        <c:lblAlgn val="ctr"/>
        <c:lblOffset val="100"/>
        <c:noMultiLvlLbl val="0"/>
      </c:catAx>
      <c:valAx>
        <c:axId val="167282944"/>
        <c:scaling>
          <c:orientation val="minMax"/>
        </c:scaling>
        <c:delete val="0"/>
        <c:axPos val="l"/>
        <c:majorGridlines/>
        <c:numFmt formatCode="General" sourceLinked="1"/>
        <c:majorTickMark val="out"/>
        <c:minorTickMark val="none"/>
        <c:tickLblPos val="nextTo"/>
        <c:crossAx val="167281408"/>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3"/>
          <c:order val="0"/>
          <c:tx>
            <c:strRef>
              <c:f>'A - CF (Features SP)'!$K$1</c:f>
              <c:strCache>
                <c:ptCount val="1"/>
                <c:pt idx="0">
                  <c:v>Done</c:v>
                </c:pt>
              </c:strCache>
            </c:strRef>
          </c:tx>
          <c:spPr>
            <a:solidFill>
              <a:schemeClr val="tx2">
                <a:lumMod val="60000"/>
                <a:lumOff val="40000"/>
              </a:schemeClr>
            </a:solidFill>
          </c:spPr>
          <c:cat>
            <c:numRef>
              <c:f>'A - CF (Features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(Features SP)'!$K$2:$K$51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1</c:v>
                </c:pt>
                <c:pt idx="40">
                  <c:v>1</c:v>
                </c:pt>
                <c:pt idx="41">
                  <c:v>1</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0-8DAD-4A8F-AFE2-866AD1EC2CBA}"/>
            </c:ext>
          </c:extLst>
        </c:ser>
        <c:ser>
          <c:idx val="7"/>
          <c:order val="1"/>
          <c:tx>
            <c:strRef>
              <c:f>'A - CF (Features SP)'!$J$1</c:f>
              <c:strCache>
                <c:ptCount val="1"/>
                <c:pt idx="0">
                  <c:v>Releasing</c:v>
                </c:pt>
              </c:strCache>
            </c:strRef>
          </c:tx>
          <c:spPr>
            <a:ln w="25400">
              <a:noFill/>
            </a:ln>
          </c:spPr>
          <c:val>
            <c:numRef>
              <c:f>'A - CF (Features SP)'!$J$2:$J$51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1-8DAD-4A8F-AFE2-866AD1EC2CBA}"/>
            </c:ext>
          </c:extLst>
        </c:ser>
        <c:ser>
          <c:idx val="6"/>
          <c:order val="2"/>
          <c:tx>
            <c:strRef>
              <c:f>'A - CF (Features SP)'!$I$1</c:f>
              <c:strCache>
                <c:ptCount val="1"/>
                <c:pt idx="0">
                  <c:v>Deploying to production</c:v>
                </c:pt>
              </c:strCache>
            </c:strRef>
          </c:tx>
          <c:spPr>
            <a:ln w="25400">
              <a:noFill/>
            </a:ln>
          </c:spPr>
          <c:val>
            <c:numRef>
              <c:f>'A - CF (Features SP)'!$I$2:$I$51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2-8DAD-4A8F-AFE2-866AD1EC2CBA}"/>
            </c:ext>
          </c:extLst>
        </c:ser>
        <c:ser>
          <c:idx val="5"/>
          <c:order val="3"/>
          <c:tx>
            <c:strRef>
              <c:f>'A - CF (Features SP)'!$H$1</c:f>
              <c:strCache>
                <c:ptCount val="1"/>
                <c:pt idx="0">
                  <c:v>Validating on Staging</c:v>
                </c:pt>
              </c:strCache>
            </c:strRef>
          </c:tx>
          <c:spPr>
            <a:solidFill>
              <a:srgbClr val="FFFF00"/>
            </a:solidFill>
            <a:ln w="25400">
              <a:noFill/>
            </a:ln>
          </c:spPr>
          <c:val>
            <c:numRef>
              <c:f>'A - CF (Features SP)'!$H$2:$H$51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3-8DAD-4A8F-AFE2-866AD1EC2CBA}"/>
            </c:ext>
          </c:extLst>
        </c:ser>
        <c:ser>
          <c:idx val="4"/>
          <c:order val="4"/>
          <c:tx>
            <c:strRef>
              <c:f>'A - CF (Features SP)'!$G$1</c:f>
              <c:strCache>
                <c:ptCount val="1"/>
                <c:pt idx="0">
                  <c:v>Implementing</c:v>
                </c:pt>
              </c:strCache>
            </c:strRef>
          </c:tx>
          <c:spPr>
            <a:solidFill>
              <a:srgbClr val="00B0F0"/>
            </a:solidFill>
            <a:ln w="25400">
              <a:noFill/>
            </a:ln>
          </c:spPr>
          <c:val>
            <c:numRef>
              <c:f>'A - CF (Features SP)'!$G$2:$G$51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15</c:v>
                </c:pt>
                <c:pt idx="37">
                  <c:v>15</c:v>
                </c:pt>
                <c:pt idx="38">
                  <c:v>15</c:v>
                </c:pt>
                <c:pt idx="39">
                  <c:v>15</c:v>
                </c:pt>
                <c:pt idx="40">
                  <c:v>15</c:v>
                </c:pt>
                <c:pt idx="41">
                  <c:v>15</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4-8DAD-4A8F-AFE2-866AD1EC2CBA}"/>
            </c:ext>
          </c:extLst>
        </c:ser>
        <c:ser>
          <c:idx val="2"/>
          <c:order val="5"/>
          <c:tx>
            <c:strRef>
              <c:f>'A - CF (Features SP)'!$F$1</c:f>
              <c:strCache>
                <c:ptCount val="1"/>
                <c:pt idx="0">
                  <c:v>Backlog</c:v>
                </c:pt>
              </c:strCache>
            </c:strRef>
          </c:tx>
          <c:spPr>
            <a:solidFill>
              <a:schemeClr val="accent6"/>
            </a:solidFill>
          </c:spPr>
          <c:cat>
            <c:numRef>
              <c:f>'A - CF (Features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(Features SP)'!$F$2:$F$51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9</c:v>
                </c:pt>
                <c:pt idx="37">
                  <c:v>9</c:v>
                </c:pt>
                <c:pt idx="38">
                  <c:v>9</c:v>
                </c:pt>
                <c:pt idx="39">
                  <c:v>9</c:v>
                </c:pt>
                <c:pt idx="40">
                  <c:v>9</c:v>
                </c:pt>
                <c:pt idx="41">
                  <c:v>9</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5-8DAD-4A8F-AFE2-866AD1EC2CBA}"/>
            </c:ext>
          </c:extLst>
        </c:ser>
        <c:ser>
          <c:idx val="1"/>
          <c:order val="6"/>
          <c:tx>
            <c:strRef>
              <c:f>'A - CF (Features SP)'!$E$1</c:f>
              <c:strCache>
                <c:ptCount val="1"/>
                <c:pt idx="0">
                  <c:v>Analyzing</c:v>
                </c:pt>
              </c:strCache>
            </c:strRef>
          </c:tx>
          <c:spPr>
            <a:solidFill>
              <a:srgbClr val="7030A0"/>
            </a:solidFill>
          </c:spPr>
          <c:cat>
            <c:numRef>
              <c:f>'A - CF (Features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(Features SP)'!$E$2:$E$51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6-8DAD-4A8F-AFE2-866AD1EC2CBA}"/>
            </c:ext>
          </c:extLst>
        </c:ser>
        <c:ser>
          <c:idx val="0"/>
          <c:order val="7"/>
          <c:tx>
            <c:strRef>
              <c:f>'A - CF (Features SP)'!$D$1</c:f>
              <c:strCache>
                <c:ptCount val="1"/>
                <c:pt idx="0">
                  <c:v>Funnel</c:v>
                </c:pt>
              </c:strCache>
            </c:strRef>
          </c:tx>
          <c:spPr>
            <a:solidFill>
              <a:srgbClr val="CC6600"/>
            </a:solidFill>
          </c:spPr>
          <c:cat>
            <c:numRef>
              <c:f>'A - CF (Features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(Features SP)'!$D$2:$D$51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7-8DAD-4A8F-AFE2-866AD1EC2CBA}"/>
            </c:ext>
          </c:extLst>
        </c:ser>
        <c:dLbls>
          <c:showLegendKey val="0"/>
          <c:showVal val="0"/>
          <c:showCatName val="0"/>
          <c:showSerName val="0"/>
          <c:showPercent val="0"/>
          <c:showBubbleSize val="0"/>
        </c:dLbls>
        <c:axId val="159194496"/>
        <c:axId val="159212672"/>
      </c:areaChart>
      <c:dateAx>
        <c:axId val="159194496"/>
        <c:scaling>
          <c:orientation val="minMax"/>
        </c:scaling>
        <c:delete val="0"/>
        <c:axPos val="b"/>
        <c:numFmt formatCode="m/d/yyyy" sourceLinked="1"/>
        <c:majorTickMark val="out"/>
        <c:minorTickMark val="none"/>
        <c:tickLblPos val="nextTo"/>
        <c:crossAx val="159212672"/>
        <c:crosses val="autoZero"/>
        <c:auto val="1"/>
        <c:lblOffset val="100"/>
        <c:baseTimeUnit val="days"/>
      </c:dateAx>
      <c:valAx>
        <c:axId val="159212672"/>
        <c:scaling>
          <c:orientation val="minMax"/>
        </c:scaling>
        <c:delete val="0"/>
        <c:axPos val="l"/>
        <c:majorGridlines/>
        <c:numFmt formatCode="General" sourceLinked="1"/>
        <c:majorTickMark val="out"/>
        <c:minorTickMark val="none"/>
        <c:tickLblPos val="nextTo"/>
        <c:crossAx val="159194496"/>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3"/>
          <c:order val="0"/>
          <c:tx>
            <c:strRef>
              <c:f>'A - CF (Enablers SP)'!$K$1</c:f>
              <c:strCache>
                <c:ptCount val="1"/>
                <c:pt idx="0">
                  <c:v>Done</c:v>
                </c:pt>
              </c:strCache>
            </c:strRef>
          </c:tx>
          <c:spPr>
            <a:solidFill>
              <a:schemeClr val="tx2">
                <a:lumMod val="60000"/>
                <a:lumOff val="40000"/>
              </a:schemeClr>
            </a:solidFill>
          </c:spPr>
          <c:cat>
            <c:numRef>
              <c:f>'A - CF (Enablers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(Enablers SP)'!$K$2:$K$51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0-F4E0-4B8C-BF67-378D2A63235B}"/>
            </c:ext>
          </c:extLst>
        </c:ser>
        <c:ser>
          <c:idx val="7"/>
          <c:order val="1"/>
          <c:tx>
            <c:strRef>
              <c:f>'A - CF (Enablers SP)'!$J$1</c:f>
              <c:strCache>
                <c:ptCount val="1"/>
                <c:pt idx="0">
                  <c:v>Releasing</c:v>
                </c:pt>
              </c:strCache>
            </c:strRef>
          </c:tx>
          <c:spPr>
            <a:ln w="25400">
              <a:noFill/>
            </a:ln>
          </c:spPr>
          <c:val>
            <c:numRef>
              <c:f>'A - CF (Enablers SP)'!$J$2:$J$51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1-F4E0-4B8C-BF67-378D2A63235B}"/>
            </c:ext>
          </c:extLst>
        </c:ser>
        <c:ser>
          <c:idx val="6"/>
          <c:order val="2"/>
          <c:tx>
            <c:strRef>
              <c:f>'A - CF (Enablers SP)'!$I$1</c:f>
              <c:strCache>
                <c:ptCount val="1"/>
                <c:pt idx="0">
                  <c:v>Deploying to production</c:v>
                </c:pt>
              </c:strCache>
            </c:strRef>
          </c:tx>
          <c:spPr>
            <a:ln w="25400">
              <a:noFill/>
            </a:ln>
          </c:spPr>
          <c:val>
            <c:numRef>
              <c:f>'A - CF (Enablers SP)'!$I$2:$I$51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2-F4E0-4B8C-BF67-378D2A63235B}"/>
            </c:ext>
          </c:extLst>
        </c:ser>
        <c:ser>
          <c:idx val="5"/>
          <c:order val="3"/>
          <c:tx>
            <c:strRef>
              <c:f>'A - CF (Enablers SP)'!$H$1</c:f>
              <c:strCache>
                <c:ptCount val="1"/>
                <c:pt idx="0">
                  <c:v>Validating on Staging</c:v>
                </c:pt>
              </c:strCache>
            </c:strRef>
          </c:tx>
          <c:spPr>
            <a:solidFill>
              <a:srgbClr val="FFFF00"/>
            </a:solidFill>
            <a:ln w="25400">
              <a:noFill/>
            </a:ln>
          </c:spPr>
          <c:val>
            <c:numRef>
              <c:f>'A - CF (Enablers SP)'!$H$2:$H$51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3-F4E0-4B8C-BF67-378D2A63235B}"/>
            </c:ext>
          </c:extLst>
        </c:ser>
        <c:ser>
          <c:idx val="4"/>
          <c:order val="4"/>
          <c:tx>
            <c:strRef>
              <c:f>'A - CF (Enablers SP)'!$G$1</c:f>
              <c:strCache>
                <c:ptCount val="1"/>
                <c:pt idx="0">
                  <c:v>Implementing</c:v>
                </c:pt>
              </c:strCache>
            </c:strRef>
          </c:tx>
          <c:spPr>
            <a:solidFill>
              <a:srgbClr val="00B0F0"/>
            </a:solidFill>
            <a:ln w="25400">
              <a:noFill/>
            </a:ln>
          </c:spPr>
          <c:val>
            <c:numRef>
              <c:f>'A - CF (Enablers SP)'!$G$2:$G$51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4-F4E0-4B8C-BF67-378D2A63235B}"/>
            </c:ext>
          </c:extLst>
        </c:ser>
        <c:ser>
          <c:idx val="2"/>
          <c:order val="5"/>
          <c:tx>
            <c:strRef>
              <c:f>'A - CF (Enablers SP)'!$F$1</c:f>
              <c:strCache>
                <c:ptCount val="1"/>
                <c:pt idx="0">
                  <c:v>Backlog</c:v>
                </c:pt>
              </c:strCache>
            </c:strRef>
          </c:tx>
          <c:spPr>
            <a:solidFill>
              <a:schemeClr val="accent6"/>
            </a:solidFill>
          </c:spPr>
          <c:cat>
            <c:numRef>
              <c:f>'A - CF (Enablers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(Enablers SP)'!$F$2:$F$51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5-F4E0-4B8C-BF67-378D2A63235B}"/>
            </c:ext>
          </c:extLst>
        </c:ser>
        <c:ser>
          <c:idx val="1"/>
          <c:order val="6"/>
          <c:tx>
            <c:strRef>
              <c:f>'A - CF (Enablers SP)'!$E$1</c:f>
              <c:strCache>
                <c:ptCount val="1"/>
                <c:pt idx="0">
                  <c:v>Analyzing</c:v>
                </c:pt>
              </c:strCache>
            </c:strRef>
          </c:tx>
          <c:spPr>
            <a:solidFill>
              <a:srgbClr val="7030A0"/>
            </a:solidFill>
          </c:spPr>
          <c:cat>
            <c:numRef>
              <c:f>'A - CF (Enablers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(Enablers SP)'!$E$2:$E$51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6-F4E0-4B8C-BF67-378D2A63235B}"/>
            </c:ext>
          </c:extLst>
        </c:ser>
        <c:ser>
          <c:idx val="0"/>
          <c:order val="7"/>
          <c:tx>
            <c:strRef>
              <c:f>'A - CF (Enablers SP)'!$D$1</c:f>
              <c:strCache>
                <c:ptCount val="1"/>
                <c:pt idx="0">
                  <c:v>Funnel</c:v>
                </c:pt>
              </c:strCache>
            </c:strRef>
          </c:tx>
          <c:spPr>
            <a:solidFill>
              <a:srgbClr val="CC6600"/>
            </a:solidFill>
          </c:spPr>
          <c:cat>
            <c:numRef>
              <c:f>'A - CF (Enablers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(Enablers SP)'!$D$2:$D$51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7-F4E0-4B8C-BF67-378D2A63235B}"/>
            </c:ext>
          </c:extLst>
        </c:ser>
        <c:dLbls>
          <c:showLegendKey val="0"/>
          <c:showVal val="0"/>
          <c:showCatName val="0"/>
          <c:showSerName val="0"/>
          <c:showPercent val="0"/>
          <c:showBubbleSize val="0"/>
        </c:dLbls>
        <c:axId val="168397440"/>
        <c:axId val="168403328"/>
      </c:areaChart>
      <c:dateAx>
        <c:axId val="168397440"/>
        <c:scaling>
          <c:orientation val="minMax"/>
        </c:scaling>
        <c:delete val="0"/>
        <c:axPos val="b"/>
        <c:numFmt formatCode="m/d/yyyy" sourceLinked="1"/>
        <c:majorTickMark val="out"/>
        <c:minorTickMark val="none"/>
        <c:tickLblPos val="nextTo"/>
        <c:crossAx val="168403328"/>
        <c:crosses val="autoZero"/>
        <c:auto val="1"/>
        <c:lblOffset val="100"/>
        <c:baseTimeUnit val="days"/>
      </c:dateAx>
      <c:valAx>
        <c:axId val="168403328"/>
        <c:scaling>
          <c:orientation val="minMax"/>
        </c:scaling>
        <c:delete val="0"/>
        <c:axPos val="l"/>
        <c:majorGridlines/>
        <c:numFmt formatCode="General" sourceLinked="1"/>
        <c:majorTickMark val="out"/>
        <c:minorTickMark val="none"/>
        <c:tickLblPos val="nextTo"/>
        <c:crossAx val="168397440"/>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5"/>
          <c:order val="0"/>
          <c:tx>
            <c:strRef>
              <c:f>'A - CF (Stories SP)'!$H$1</c:f>
              <c:strCache>
                <c:ptCount val="1"/>
                <c:pt idx="0">
                  <c:v>Done</c:v>
                </c:pt>
              </c:strCache>
            </c:strRef>
          </c:tx>
          <c:spPr>
            <a:solidFill>
              <a:srgbClr val="FFFF00"/>
            </a:solidFill>
            <a:ln w="25400">
              <a:noFill/>
            </a:ln>
          </c:spPr>
          <c:val>
            <c:numRef>
              <c:f>'A - CF (Stories SP)'!$H$2:$H$51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185</c:v>
                </c:pt>
                <c:pt idx="36">
                  <c:v>38</c:v>
                </c:pt>
                <c:pt idx="37">
                  <c:v>38</c:v>
                </c:pt>
                <c:pt idx="38">
                  <c:v>38</c:v>
                </c:pt>
                <c:pt idx="39">
                  <c:v>38</c:v>
                </c:pt>
                <c:pt idx="40">
                  <c:v>38</c:v>
                </c:pt>
                <c:pt idx="41">
                  <c:v>38</c:v>
                </c:pt>
                <c:pt idx="42">
                  <c:v>38</c:v>
                </c:pt>
                <c:pt idx="43">
                  <c:v>38</c:v>
                </c:pt>
                <c:pt idx="44">
                  <c:v>38</c:v>
                </c:pt>
                <c:pt idx="45">
                  <c:v>38</c:v>
                </c:pt>
                <c:pt idx="46">
                  <c:v>38</c:v>
                </c:pt>
                <c:pt idx="47">
                  <c:v>38</c:v>
                </c:pt>
                <c:pt idx="48">
                  <c:v>38</c:v>
                </c:pt>
                <c:pt idx="49">
                  <c:v>38</c:v>
                </c:pt>
              </c:numCache>
            </c:numRef>
          </c:val>
          <c:extLst xmlns:c16r2="http://schemas.microsoft.com/office/drawing/2015/06/chart">
            <c:ext xmlns:c16="http://schemas.microsoft.com/office/drawing/2014/chart" uri="{C3380CC4-5D6E-409C-BE32-E72D297353CC}">
              <c16:uniqueId val="{00000000-95B3-4147-B87E-8AEA47D33848}"/>
            </c:ext>
          </c:extLst>
        </c:ser>
        <c:ser>
          <c:idx val="4"/>
          <c:order val="1"/>
          <c:tx>
            <c:strRef>
              <c:f>'A - CF (Stories SP)'!$G$1</c:f>
              <c:strCache>
                <c:ptCount val="1"/>
                <c:pt idx="0">
                  <c:v>Close</c:v>
                </c:pt>
              </c:strCache>
            </c:strRef>
          </c:tx>
          <c:spPr>
            <a:solidFill>
              <a:srgbClr val="00B0F0"/>
            </a:solidFill>
            <a:ln w="25400">
              <a:noFill/>
            </a:ln>
          </c:spPr>
          <c:val>
            <c:numRef>
              <c:f>'A - CF (Stories SP)'!$G$2:$G$51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69</c:v>
                </c:pt>
                <c:pt idx="37">
                  <c:v>69</c:v>
                </c:pt>
                <c:pt idx="38">
                  <c:v>69</c:v>
                </c:pt>
                <c:pt idx="39">
                  <c:v>92</c:v>
                </c:pt>
                <c:pt idx="40">
                  <c:v>92</c:v>
                </c:pt>
                <c:pt idx="41">
                  <c:v>92</c:v>
                </c:pt>
                <c:pt idx="42">
                  <c:v>92</c:v>
                </c:pt>
                <c:pt idx="43">
                  <c:v>92</c:v>
                </c:pt>
                <c:pt idx="44">
                  <c:v>92</c:v>
                </c:pt>
                <c:pt idx="45">
                  <c:v>92</c:v>
                </c:pt>
                <c:pt idx="46">
                  <c:v>92</c:v>
                </c:pt>
                <c:pt idx="47">
                  <c:v>92</c:v>
                </c:pt>
                <c:pt idx="48">
                  <c:v>92</c:v>
                </c:pt>
                <c:pt idx="49">
                  <c:v>92</c:v>
                </c:pt>
              </c:numCache>
            </c:numRef>
          </c:val>
          <c:extLst xmlns:c16r2="http://schemas.microsoft.com/office/drawing/2015/06/chart">
            <c:ext xmlns:c16="http://schemas.microsoft.com/office/drawing/2014/chart" uri="{C3380CC4-5D6E-409C-BE32-E72D297353CC}">
              <c16:uniqueId val="{00000001-95B3-4147-B87E-8AEA47D33848}"/>
            </c:ext>
          </c:extLst>
        </c:ser>
        <c:ser>
          <c:idx val="2"/>
          <c:order val="2"/>
          <c:tx>
            <c:strRef>
              <c:f>'A - CF (Stories SP)'!$F$1</c:f>
              <c:strCache>
                <c:ptCount val="1"/>
                <c:pt idx="0">
                  <c:v>In review</c:v>
                </c:pt>
              </c:strCache>
            </c:strRef>
          </c:tx>
          <c:spPr>
            <a:solidFill>
              <a:schemeClr val="accent6"/>
            </a:solidFill>
          </c:spPr>
          <c:cat>
            <c:numRef>
              <c:f>'A - CF (Stories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(Stories SP)'!$F$2:$F$51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2-95B3-4147-B87E-8AEA47D33848}"/>
            </c:ext>
          </c:extLst>
        </c:ser>
        <c:ser>
          <c:idx val="1"/>
          <c:order val="3"/>
          <c:tx>
            <c:strRef>
              <c:f>'A - CF (Stories SP)'!$E$1</c:f>
              <c:strCache>
                <c:ptCount val="1"/>
                <c:pt idx="0">
                  <c:v>In Progress</c:v>
                </c:pt>
              </c:strCache>
            </c:strRef>
          </c:tx>
          <c:spPr>
            <a:solidFill>
              <a:srgbClr val="7030A0"/>
            </a:solidFill>
          </c:spPr>
          <c:cat>
            <c:numRef>
              <c:f>'A - CF (Stories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(Stories SP)'!$E$2:$E$51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10</c:v>
                </c:pt>
                <c:pt idx="37">
                  <c:v>10</c:v>
                </c:pt>
                <c:pt idx="38">
                  <c:v>10</c:v>
                </c:pt>
                <c:pt idx="39">
                  <c:v>5</c:v>
                </c:pt>
                <c:pt idx="40">
                  <c:v>5</c:v>
                </c:pt>
                <c:pt idx="41">
                  <c:v>5</c:v>
                </c:pt>
                <c:pt idx="42">
                  <c:v>5</c:v>
                </c:pt>
                <c:pt idx="43">
                  <c:v>5</c:v>
                </c:pt>
                <c:pt idx="44">
                  <c:v>5</c:v>
                </c:pt>
                <c:pt idx="45">
                  <c:v>5</c:v>
                </c:pt>
                <c:pt idx="46">
                  <c:v>5</c:v>
                </c:pt>
                <c:pt idx="47">
                  <c:v>5</c:v>
                </c:pt>
                <c:pt idx="48">
                  <c:v>5</c:v>
                </c:pt>
                <c:pt idx="49">
                  <c:v>5</c:v>
                </c:pt>
              </c:numCache>
            </c:numRef>
          </c:val>
          <c:extLst xmlns:c16r2="http://schemas.microsoft.com/office/drawing/2015/06/chart">
            <c:ext xmlns:c16="http://schemas.microsoft.com/office/drawing/2014/chart" uri="{C3380CC4-5D6E-409C-BE32-E72D297353CC}">
              <c16:uniqueId val="{00000003-95B3-4147-B87E-8AEA47D33848}"/>
            </c:ext>
          </c:extLst>
        </c:ser>
        <c:ser>
          <c:idx val="0"/>
          <c:order val="4"/>
          <c:tx>
            <c:strRef>
              <c:f>'A - CF (Stories SP)'!$D$1</c:f>
              <c:strCache>
                <c:ptCount val="1"/>
                <c:pt idx="0">
                  <c:v>Open</c:v>
                </c:pt>
              </c:strCache>
            </c:strRef>
          </c:tx>
          <c:spPr>
            <a:solidFill>
              <a:srgbClr val="CC6600"/>
            </a:solidFill>
          </c:spPr>
          <c:cat>
            <c:numRef>
              <c:f>'A - CF (Stories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'A - CF (Stories SP)'!$D$2:$D$51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104</c:v>
                </c:pt>
                <c:pt idx="37">
                  <c:v>104</c:v>
                </c:pt>
                <c:pt idx="38">
                  <c:v>104</c:v>
                </c:pt>
                <c:pt idx="39">
                  <c:v>79</c:v>
                </c:pt>
                <c:pt idx="40">
                  <c:v>79</c:v>
                </c:pt>
                <c:pt idx="41">
                  <c:v>79</c:v>
                </c:pt>
                <c:pt idx="42">
                  <c:v>79</c:v>
                </c:pt>
                <c:pt idx="43">
                  <c:v>79</c:v>
                </c:pt>
                <c:pt idx="44">
                  <c:v>79</c:v>
                </c:pt>
                <c:pt idx="45">
                  <c:v>79</c:v>
                </c:pt>
                <c:pt idx="46">
                  <c:v>79</c:v>
                </c:pt>
                <c:pt idx="47">
                  <c:v>79</c:v>
                </c:pt>
                <c:pt idx="48">
                  <c:v>79</c:v>
                </c:pt>
                <c:pt idx="49">
                  <c:v>79</c:v>
                </c:pt>
              </c:numCache>
            </c:numRef>
          </c:val>
          <c:extLst xmlns:c16r2="http://schemas.microsoft.com/office/drawing/2015/06/chart">
            <c:ext xmlns:c16="http://schemas.microsoft.com/office/drawing/2014/chart" uri="{C3380CC4-5D6E-409C-BE32-E72D297353CC}">
              <c16:uniqueId val="{00000004-95B3-4147-B87E-8AEA47D33848}"/>
            </c:ext>
          </c:extLst>
        </c:ser>
        <c:dLbls>
          <c:showLegendKey val="0"/>
          <c:showVal val="0"/>
          <c:showCatName val="0"/>
          <c:showSerName val="0"/>
          <c:showPercent val="0"/>
          <c:showBubbleSize val="0"/>
        </c:dLbls>
        <c:axId val="168564608"/>
        <c:axId val="168566144"/>
      </c:areaChart>
      <c:catAx>
        <c:axId val="168564608"/>
        <c:scaling>
          <c:orientation val="minMax"/>
        </c:scaling>
        <c:delete val="0"/>
        <c:axPos val="b"/>
        <c:numFmt formatCode="m/d/yyyy" sourceLinked="1"/>
        <c:majorTickMark val="out"/>
        <c:minorTickMark val="none"/>
        <c:tickLblPos val="nextTo"/>
        <c:crossAx val="168566144"/>
        <c:crosses val="autoZero"/>
        <c:auto val="1"/>
        <c:lblAlgn val="ctr"/>
        <c:lblOffset val="100"/>
        <c:noMultiLvlLbl val="0"/>
      </c:catAx>
      <c:valAx>
        <c:axId val="168566144"/>
        <c:scaling>
          <c:orientation val="minMax"/>
        </c:scaling>
        <c:delete val="0"/>
        <c:axPos val="l"/>
        <c:majorGridlines/>
        <c:numFmt formatCode="General" sourceLinked="1"/>
        <c:majorTickMark val="out"/>
        <c:minorTickMark val="none"/>
        <c:tickLblPos val="nextTo"/>
        <c:crossAx val="168564608"/>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3"/>
          <c:order val="0"/>
          <c:tx>
            <c:strRef>
              <c:f>'B - CF (Features #)'!$K$1</c:f>
              <c:strCache>
                <c:ptCount val="1"/>
                <c:pt idx="0">
                  <c:v>Done</c:v>
                </c:pt>
              </c:strCache>
            </c:strRef>
          </c:tx>
          <c:spPr>
            <a:solidFill>
              <a:schemeClr val="tx2">
                <a:lumMod val="60000"/>
                <a:lumOff val="40000"/>
              </a:schemeClr>
            </a:solidFill>
          </c:spPr>
          <c:cat>
            <c:numRef>
              <c:f>'B - CF (Features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(Features #)'!$K$2:$K$51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6</c:v>
                </c:pt>
                <c:pt idx="37">
                  <c:v>6</c:v>
                </c:pt>
                <c:pt idx="38">
                  <c:v>6</c:v>
                </c:pt>
                <c:pt idx="39">
                  <c:v>6</c:v>
                </c:pt>
                <c:pt idx="40">
                  <c:v>6</c:v>
                </c:pt>
                <c:pt idx="41">
                  <c:v>6</c:v>
                </c:pt>
                <c:pt idx="42">
                  <c:v>11</c:v>
                </c:pt>
                <c:pt idx="43">
                  <c:v>11</c:v>
                </c:pt>
                <c:pt idx="44">
                  <c:v>11</c:v>
                </c:pt>
                <c:pt idx="45">
                  <c:v>11</c:v>
                </c:pt>
                <c:pt idx="46">
                  <c:v>11</c:v>
                </c:pt>
                <c:pt idx="47">
                  <c:v>11</c:v>
                </c:pt>
                <c:pt idx="48">
                  <c:v>11</c:v>
                </c:pt>
                <c:pt idx="49">
                  <c:v>11</c:v>
                </c:pt>
              </c:numCache>
            </c:numRef>
          </c:val>
          <c:extLst xmlns:c16r2="http://schemas.microsoft.com/office/drawing/2015/06/chart">
            <c:ext xmlns:c16="http://schemas.microsoft.com/office/drawing/2014/chart" uri="{C3380CC4-5D6E-409C-BE32-E72D297353CC}">
              <c16:uniqueId val="{00000000-1345-4F0E-85C8-6AEB92A19CD5}"/>
            </c:ext>
          </c:extLst>
        </c:ser>
        <c:ser>
          <c:idx val="7"/>
          <c:order val="1"/>
          <c:tx>
            <c:strRef>
              <c:f>'B - CF (Features #)'!$J$1</c:f>
              <c:strCache>
                <c:ptCount val="1"/>
                <c:pt idx="0">
                  <c:v>Releasing</c:v>
                </c:pt>
              </c:strCache>
            </c:strRef>
          </c:tx>
          <c:spPr>
            <a:ln w="25400">
              <a:noFill/>
            </a:ln>
          </c:spPr>
          <c:val>
            <c:numRef>
              <c:f>'B - CF (Features #)'!$J$2:$J$51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1-1345-4F0E-85C8-6AEB92A19CD5}"/>
            </c:ext>
          </c:extLst>
        </c:ser>
        <c:ser>
          <c:idx val="6"/>
          <c:order val="2"/>
          <c:tx>
            <c:strRef>
              <c:f>'B - CF (Features #)'!$I$1</c:f>
              <c:strCache>
                <c:ptCount val="1"/>
                <c:pt idx="0">
                  <c:v>Deploying to production</c:v>
                </c:pt>
              </c:strCache>
            </c:strRef>
          </c:tx>
          <c:spPr>
            <a:ln w="25400">
              <a:noFill/>
            </a:ln>
          </c:spPr>
          <c:val>
            <c:numRef>
              <c:f>'B - CF (Features #)'!$I$2:$I$51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2-1345-4F0E-85C8-6AEB92A19CD5}"/>
            </c:ext>
          </c:extLst>
        </c:ser>
        <c:ser>
          <c:idx val="5"/>
          <c:order val="3"/>
          <c:tx>
            <c:strRef>
              <c:f>'B - CF (Features #)'!$H$1</c:f>
              <c:strCache>
                <c:ptCount val="1"/>
                <c:pt idx="0">
                  <c:v>Validating on Staging</c:v>
                </c:pt>
              </c:strCache>
            </c:strRef>
          </c:tx>
          <c:spPr>
            <a:solidFill>
              <a:srgbClr val="FFFF00"/>
            </a:solidFill>
            <a:ln w="25400">
              <a:noFill/>
            </a:ln>
          </c:spPr>
          <c:val>
            <c:numRef>
              <c:f>'B - CF (Features #)'!$H$2:$H$51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2</c:v>
                </c:pt>
                <c:pt idx="43">
                  <c:v>2</c:v>
                </c:pt>
                <c:pt idx="44">
                  <c:v>2</c:v>
                </c:pt>
                <c:pt idx="45">
                  <c:v>2</c:v>
                </c:pt>
                <c:pt idx="46">
                  <c:v>2</c:v>
                </c:pt>
                <c:pt idx="47">
                  <c:v>2</c:v>
                </c:pt>
                <c:pt idx="48">
                  <c:v>2</c:v>
                </c:pt>
                <c:pt idx="49">
                  <c:v>2</c:v>
                </c:pt>
              </c:numCache>
            </c:numRef>
          </c:val>
          <c:extLst xmlns:c16r2="http://schemas.microsoft.com/office/drawing/2015/06/chart">
            <c:ext xmlns:c16="http://schemas.microsoft.com/office/drawing/2014/chart" uri="{C3380CC4-5D6E-409C-BE32-E72D297353CC}">
              <c16:uniqueId val="{00000003-1345-4F0E-85C8-6AEB92A19CD5}"/>
            </c:ext>
          </c:extLst>
        </c:ser>
        <c:ser>
          <c:idx val="4"/>
          <c:order val="4"/>
          <c:tx>
            <c:strRef>
              <c:f>'B - CF (Features #)'!$G$1</c:f>
              <c:strCache>
                <c:ptCount val="1"/>
                <c:pt idx="0">
                  <c:v>Implementing</c:v>
                </c:pt>
              </c:strCache>
            </c:strRef>
          </c:tx>
          <c:spPr>
            <a:solidFill>
              <a:srgbClr val="00B0F0"/>
            </a:solidFill>
            <a:ln w="25400">
              <a:noFill/>
            </a:ln>
          </c:spPr>
          <c:val>
            <c:numRef>
              <c:f>'B - CF (Features #)'!$G$2:$G$51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5</c:v>
                </c:pt>
                <c:pt idx="37">
                  <c:v>5</c:v>
                </c:pt>
                <c:pt idx="38">
                  <c:v>5</c:v>
                </c:pt>
                <c:pt idx="39">
                  <c:v>5</c:v>
                </c:pt>
                <c:pt idx="40">
                  <c:v>5</c:v>
                </c:pt>
                <c:pt idx="41">
                  <c:v>5</c:v>
                </c:pt>
                <c:pt idx="42">
                  <c:v>2</c:v>
                </c:pt>
                <c:pt idx="43">
                  <c:v>2</c:v>
                </c:pt>
                <c:pt idx="44">
                  <c:v>2</c:v>
                </c:pt>
                <c:pt idx="45">
                  <c:v>2</c:v>
                </c:pt>
                <c:pt idx="46">
                  <c:v>2</c:v>
                </c:pt>
                <c:pt idx="47">
                  <c:v>2</c:v>
                </c:pt>
                <c:pt idx="48">
                  <c:v>2</c:v>
                </c:pt>
                <c:pt idx="49">
                  <c:v>2</c:v>
                </c:pt>
              </c:numCache>
            </c:numRef>
          </c:val>
          <c:extLst xmlns:c16r2="http://schemas.microsoft.com/office/drawing/2015/06/chart">
            <c:ext xmlns:c16="http://schemas.microsoft.com/office/drawing/2014/chart" uri="{C3380CC4-5D6E-409C-BE32-E72D297353CC}">
              <c16:uniqueId val="{00000004-1345-4F0E-85C8-6AEB92A19CD5}"/>
            </c:ext>
          </c:extLst>
        </c:ser>
        <c:ser>
          <c:idx val="2"/>
          <c:order val="5"/>
          <c:tx>
            <c:strRef>
              <c:f>'B - CF (Features #)'!$F$1</c:f>
              <c:strCache>
                <c:ptCount val="1"/>
                <c:pt idx="0">
                  <c:v>Backlog</c:v>
                </c:pt>
              </c:strCache>
            </c:strRef>
          </c:tx>
          <c:spPr>
            <a:solidFill>
              <a:schemeClr val="accent6"/>
            </a:solidFill>
          </c:spPr>
          <c:cat>
            <c:numRef>
              <c:f>'B - CF (Features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(Features #)'!$F$2:$F$51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4</c:v>
                </c:pt>
                <c:pt idx="37">
                  <c:v>4</c:v>
                </c:pt>
                <c:pt idx="38">
                  <c:v>4</c:v>
                </c:pt>
                <c:pt idx="39">
                  <c:v>4</c:v>
                </c:pt>
                <c:pt idx="40">
                  <c:v>4</c:v>
                </c:pt>
                <c:pt idx="41">
                  <c:v>4</c:v>
                </c:pt>
                <c:pt idx="42">
                  <c:v>4</c:v>
                </c:pt>
                <c:pt idx="43">
                  <c:v>4</c:v>
                </c:pt>
                <c:pt idx="44">
                  <c:v>4</c:v>
                </c:pt>
                <c:pt idx="45">
                  <c:v>4</c:v>
                </c:pt>
                <c:pt idx="46">
                  <c:v>4</c:v>
                </c:pt>
                <c:pt idx="47">
                  <c:v>4</c:v>
                </c:pt>
                <c:pt idx="48">
                  <c:v>4</c:v>
                </c:pt>
                <c:pt idx="49">
                  <c:v>4</c:v>
                </c:pt>
              </c:numCache>
            </c:numRef>
          </c:val>
          <c:extLst xmlns:c16r2="http://schemas.microsoft.com/office/drawing/2015/06/chart">
            <c:ext xmlns:c16="http://schemas.microsoft.com/office/drawing/2014/chart" uri="{C3380CC4-5D6E-409C-BE32-E72D297353CC}">
              <c16:uniqueId val="{00000005-1345-4F0E-85C8-6AEB92A19CD5}"/>
            </c:ext>
          </c:extLst>
        </c:ser>
        <c:ser>
          <c:idx val="1"/>
          <c:order val="6"/>
          <c:tx>
            <c:strRef>
              <c:f>'B - CF (Features #)'!$E$1</c:f>
              <c:strCache>
                <c:ptCount val="1"/>
                <c:pt idx="0">
                  <c:v>Analyzing</c:v>
                </c:pt>
              </c:strCache>
            </c:strRef>
          </c:tx>
          <c:spPr>
            <a:solidFill>
              <a:srgbClr val="7030A0"/>
            </a:solidFill>
          </c:spPr>
          <c:cat>
            <c:numRef>
              <c:f>'B - CF (Features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(Features #)'!$E$2:$E$51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c:v>
                </c:pt>
                <c:pt idx="37">
                  <c:v>2</c:v>
                </c:pt>
                <c:pt idx="38">
                  <c:v>2</c:v>
                </c:pt>
                <c:pt idx="39">
                  <c:v>2</c:v>
                </c:pt>
                <c:pt idx="40">
                  <c:v>2</c:v>
                </c:pt>
                <c:pt idx="41">
                  <c:v>2</c:v>
                </c:pt>
                <c:pt idx="42">
                  <c:v>1</c:v>
                </c:pt>
                <c:pt idx="43">
                  <c:v>1</c:v>
                </c:pt>
                <c:pt idx="44">
                  <c:v>1</c:v>
                </c:pt>
                <c:pt idx="45">
                  <c:v>1</c:v>
                </c:pt>
                <c:pt idx="46">
                  <c:v>1</c:v>
                </c:pt>
                <c:pt idx="47">
                  <c:v>1</c:v>
                </c:pt>
                <c:pt idx="48">
                  <c:v>1</c:v>
                </c:pt>
                <c:pt idx="49">
                  <c:v>1</c:v>
                </c:pt>
              </c:numCache>
            </c:numRef>
          </c:val>
          <c:extLst xmlns:c16r2="http://schemas.microsoft.com/office/drawing/2015/06/chart">
            <c:ext xmlns:c16="http://schemas.microsoft.com/office/drawing/2014/chart" uri="{C3380CC4-5D6E-409C-BE32-E72D297353CC}">
              <c16:uniqueId val="{00000006-1345-4F0E-85C8-6AEB92A19CD5}"/>
            </c:ext>
          </c:extLst>
        </c:ser>
        <c:ser>
          <c:idx val="0"/>
          <c:order val="7"/>
          <c:tx>
            <c:strRef>
              <c:f>'B - CF (Features #)'!$D$1</c:f>
              <c:strCache>
                <c:ptCount val="1"/>
                <c:pt idx="0">
                  <c:v>Funnel</c:v>
                </c:pt>
              </c:strCache>
            </c:strRef>
          </c:tx>
          <c:spPr>
            <a:solidFill>
              <a:srgbClr val="CC6600"/>
            </a:solidFill>
          </c:spPr>
          <c:cat>
            <c:numRef>
              <c:f>'B - CF (Features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(Features #)'!$D$2:$D$51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numCache>
            </c:numRef>
          </c:val>
          <c:extLst xmlns:c16r2="http://schemas.microsoft.com/office/drawing/2015/06/chart">
            <c:ext xmlns:c16="http://schemas.microsoft.com/office/drawing/2014/chart" uri="{C3380CC4-5D6E-409C-BE32-E72D297353CC}">
              <c16:uniqueId val="{00000007-1345-4F0E-85C8-6AEB92A19CD5}"/>
            </c:ext>
          </c:extLst>
        </c:ser>
        <c:dLbls>
          <c:showLegendKey val="0"/>
          <c:showVal val="0"/>
          <c:showCatName val="0"/>
          <c:showSerName val="0"/>
          <c:showPercent val="0"/>
          <c:showBubbleSize val="0"/>
        </c:dLbls>
        <c:axId val="168744064"/>
        <c:axId val="168745600"/>
      </c:areaChart>
      <c:dateAx>
        <c:axId val="168744064"/>
        <c:scaling>
          <c:orientation val="minMax"/>
        </c:scaling>
        <c:delete val="0"/>
        <c:axPos val="b"/>
        <c:numFmt formatCode="m/d/yyyy" sourceLinked="1"/>
        <c:majorTickMark val="out"/>
        <c:minorTickMark val="none"/>
        <c:tickLblPos val="nextTo"/>
        <c:crossAx val="168745600"/>
        <c:crosses val="autoZero"/>
        <c:auto val="1"/>
        <c:lblOffset val="100"/>
        <c:baseTimeUnit val="days"/>
      </c:dateAx>
      <c:valAx>
        <c:axId val="168745600"/>
        <c:scaling>
          <c:orientation val="minMax"/>
        </c:scaling>
        <c:delete val="0"/>
        <c:axPos val="l"/>
        <c:majorGridlines/>
        <c:numFmt formatCode="General" sourceLinked="1"/>
        <c:majorTickMark val="out"/>
        <c:minorTickMark val="none"/>
        <c:tickLblPos val="nextTo"/>
        <c:crossAx val="168744064"/>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3"/>
          <c:order val="0"/>
          <c:tx>
            <c:strRef>
              <c:f>'B - CF (Enablers #)'!$K$1</c:f>
              <c:strCache>
                <c:ptCount val="1"/>
                <c:pt idx="0">
                  <c:v>Done</c:v>
                </c:pt>
              </c:strCache>
            </c:strRef>
          </c:tx>
          <c:spPr>
            <a:solidFill>
              <a:schemeClr val="tx2">
                <a:lumMod val="60000"/>
                <a:lumOff val="40000"/>
              </a:schemeClr>
            </a:solidFill>
          </c:spPr>
          <c:cat>
            <c:numRef>
              <c:f>'B - CF (Enablers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(Enablers #)'!$K$2:$K$51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0-2496-4E9B-8C4B-979C4FDA037F}"/>
            </c:ext>
          </c:extLst>
        </c:ser>
        <c:ser>
          <c:idx val="7"/>
          <c:order val="1"/>
          <c:tx>
            <c:strRef>
              <c:f>'B - CF (Enablers #)'!$J$1</c:f>
              <c:strCache>
                <c:ptCount val="1"/>
                <c:pt idx="0">
                  <c:v>Releasing</c:v>
                </c:pt>
              </c:strCache>
            </c:strRef>
          </c:tx>
          <c:spPr>
            <a:ln w="25400">
              <a:noFill/>
            </a:ln>
          </c:spPr>
          <c:val>
            <c:numRef>
              <c:f>'B - CF (Enablers #)'!$J$2:$J$51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1-2496-4E9B-8C4B-979C4FDA037F}"/>
            </c:ext>
          </c:extLst>
        </c:ser>
        <c:ser>
          <c:idx val="6"/>
          <c:order val="2"/>
          <c:tx>
            <c:strRef>
              <c:f>'B - CF (Enablers #)'!$I$1</c:f>
              <c:strCache>
                <c:ptCount val="1"/>
                <c:pt idx="0">
                  <c:v>Deploying to production</c:v>
                </c:pt>
              </c:strCache>
            </c:strRef>
          </c:tx>
          <c:spPr>
            <a:ln w="25400">
              <a:noFill/>
            </a:ln>
          </c:spPr>
          <c:val>
            <c:numRef>
              <c:f>'B - CF (Enablers #)'!$I$2:$I$51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2-2496-4E9B-8C4B-979C4FDA037F}"/>
            </c:ext>
          </c:extLst>
        </c:ser>
        <c:ser>
          <c:idx val="5"/>
          <c:order val="3"/>
          <c:tx>
            <c:strRef>
              <c:f>'B - CF (Enablers #)'!$H$1</c:f>
              <c:strCache>
                <c:ptCount val="1"/>
                <c:pt idx="0">
                  <c:v>Validating on Staging</c:v>
                </c:pt>
              </c:strCache>
            </c:strRef>
          </c:tx>
          <c:spPr>
            <a:solidFill>
              <a:srgbClr val="FFFF00"/>
            </a:solidFill>
            <a:ln w="25400">
              <a:noFill/>
            </a:ln>
          </c:spPr>
          <c:val>
            <c:numRef>
              <c:f>'B - CF (Enablers #)'!$H$2:$H$51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3-2496-4E9B-8C4B-979C4FDA037F}"/>
            </c:ext>
          </c:extLst>
        </c:ser>
        <c:ser>
          <c:idx val="4"/>
          <c:order val="4"/>
          <c:tx>
            <c:strRef>
              <c:f>'B - CF (Enablers #)'!$G$1</c:f>
              <c:strCache>
                <c:ptCount val="1"/>
                <c:pt idx="0">
                  <c:v>Implementing</c:v>
                </c:pt>
              </c:strCache>
            </c:strRef>
          </c:tx>
          <c:spPr>
            <a:solidFill>
              <a:srgbClr val="00B0F0"/>
            </a:solidFill>
            <a:ln w="25400">
              <a:noFill/>
            </a:ln>
          </c:spPr>
          <c:val>
            <c:numRef>
              <c:f>'B - CF (Enablers #)'!$G$2:$G$51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4</c:v>
                </c:pt>
                <c:pt idx="36">
                  <c:v>1</c:v>
                </c:pt>
                <c:pt idx="37">
                  <c:v>1</c:v>
                </c:pt>
                <c:pt idx="38">
                  <c:v>1</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4-2496-4E9B-8C4B-979C4FDA037F}"/>
            </c:ext>
          </c:extLst>
        </c:ser>
        <c:ser>
          <c:idx val="2"/>
          <c:order val="5"/>
          <c:tx>
            <c:strRef>
              <c:f>'B - CF (Enablers #)'!$F$1</c:f>
              <c:strCache>
                <c:ptCount val="1"/>
                <c:pt idx="0">
                  <c:v>Backlog</c:v>
                </c:pt>
              </c:strCache>
            </c:strRef>
          </c:tx>
          <c:spPr>
            <a:solidFill>
              <a:schemeClr val="accent6"/>
            </a:solidFill>
          </c:spPr>
          <c:cat>
            <c:numRef>
              <c:f>'B - CF (Enablers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(Enablers #)'!$F$2:$F$51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2</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5-2496-4E9B-8C4B-979C4FDA037F}"/>
            </c:ext>
          </c:extLst>
        </c:ser>
        <c:ser>
          <c:idx val="1"/>
          <c:order val="6"/>
          <c:tx>
            <c:strRef>
              <c:f>'B - CF (Enablers #)'!$E$1</c:f>
              <c:strCache>
                <c:ptCount val="1"/>
                <c:pt idx="0">
                  <c:v>Analyzing</c:v>
                </c:pt>
              </c:strCache>
            </c:strRef>
          </c:tx>
          <c:spPr>
            <a:solidFill>
              <a:srgbClr val="7030A0"/>
            </a:solidFill>
          </c:spPr>
          <c:cat>
            <c:numRef>
              <c:f>'B - CF (Enablers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(Enablers #)'!$E$2:$E$51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6-2496-4E9B-8C4B-979C4FDA037F}"/>
            </c:ext>
          </c:extLst>
        </c:ser>
        <c:ser>
          <c:idx val="0"/>
          <c:order val="7"/>
          <c:tx>
            <c:strRef>
              <c:f>'B - CF (Enablers #)'!$D$1</c:f>
              <c:strCache>
                <c:ptCount val="1"/>
                <c:pt idx="0">
                  <c:v>Funnel</c:v>
                </c:pt>
              </c:strCache>
            </c:strRef>
          </c:tx>
          <c:spPr>
            <a:solidFill>
              <a:srgbClr val="CC6600"/>
            </a:solidFill>
          </c:spPr>
          <c:cat>
            <c:numRef>
              <c:f>'B - CF (Enablers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(Enablers #)'!$D$2:$D$51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7-2496-4E9B-8C4B-979C4FDA037F}"/>
            </c:ext>
          </c:extLst>
        </c:ser>
        <c:dLbls>
          <c:showLegendKey val="0"/>
          <c:showVal val="0"/>
          <c:showCatName val="0"/>
          <c:showSerName val="0"/>
          <c:showPercent val="0"/>
          <c:showBubbleSize val="0"/>
        </c:dLbls>
        <c:axId val="168930304"/>
        <c:axId val="168936192"/>
      </c:areaChart>
      <c:dateAx>
        <c:axId val="168930304"/>
        <c:scaling>
          <c:orientation val="minMax"/>
        </c:scaling>
        <c:delete val="0"/>
        <c:axPos val="b"/>
        <c:numFmt formatCode="m/d/yyyy" sourceLinked="1"/>
        <c:majorTickMark val="out"/>
        <c:minorTickMark val="none"/>
        <c:tickLblPos val="nextTo"/>
        <c:crossAx val="168936192"/>
        <c:crosses val="autoZero"/>
        <c:auto val="1"/>
        <c:lblOffset val="100"/>
        <c:baseTimeUnit val="days"/>
      </c:dateAx>
      <c:valAx>
        <c:axId val="168936192"/>
        <c:scaling>
          <c:orientation val="minMax"/>
        </c:scaling>
        <c:delete val="0"/>
        <c:axPos val="l"/>
        <c:majorGridlines/>
        <c:numFmt formatCode="General" sourceLinked="1"/>
        <c:majorTickMark val="out"/>
        <c:minorTickMark val="none"/>
        <c:tickLblPos val="nextTo"/>
        <c:crossAx val="168930304"/>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5"/>
          <c:order val="0"/>
          <c:tx>
            <c:strRef>
              <c:f>'B - CF (Stories #)'!$H$1</c:f>
              <c:strCache>
                <c:ptCount val="1"/>
                <c:pt idx="0">
                  <c:v>Done</c:v>
                </c:pt>
              </c:strCache>
            </c:strRef>
          </c:tx>
          <c:spPr>
            <a:solidFill>
              <a:srgbClr val="FFFF00"/>
            </a:solidFill>
            <a:ln w="25400">
              <a:noFill/>
            </a:ln>
          </c:spPr>
          <c:val>
            <c:numRef>
              <c:f>'B - CF (Stories #)'!$H$2:$H$51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38</c:v>
                </c:pt>
                <c:pt idx="37">
                  <c:v>38</c:v>
                </c:pt>
                <c:pt idx="38">
                  <c:v>38</c:v>
                </c:pt>
                <c:pt idx="39">
                  <c:v>38</c:v>
                </c:pt>
                <c:pt idx="40">
                  <c:v>38</c:v>
                </c:pt>
                <c:pt idx="41">
                  <c:v>38</c:v>
                </c:pt>
                <c:pt idx="42">
                  <c:v>38</c:v>
                </c:pt>
                <c:pt idx="43">
                  <c:v>38</c:v>
                </c:pt>
                <c:pt idx="44">
                  <c:v>38</c:v>
                </c:pt>
                <c:pt idx="45">
                  <c:v>38</c:v>
                </c:pt>
                <c:pt idx="46">
                  <c:v>38</c:v>
                </c:pt>
                <c:pt idx="47">
                  <c:v>38</c:v>
                </c:pt>
                <c:pt idx="48">
                  <c:v>38</c:v>
                </c:pt>
                <c:pt idx="49">
                  <c:v>38</c:v>
                </c:pt>
              </c:numCache>
            </c:numRef>
          </c:val>
          <c:extLst xmlns:c16r2="http://schemas.microsoft.com/office/drawing/2015/06/chart">
            <c:ext xmlns:c16="http://schemas.microsoft.com/office/drawing/2014/chart" uri="{C3380CC4-5D6E-409C-BE32-E72D297353CC}">
              <c16:uniqueId val="{00000000-C2AB-4FD2-8053-500C25B19AC3}"/>
            </c:ext>
          </c:extLst>
        </c:ser>
        <c:ser>
          <c:idx val="4"/>
          <c:order val="1"/>
          <c:tx>
            <c:strRef>
              <c:f>'B - CF (Stories #)'!$G$1</c:f>
              <c:strCache>
                <c:ptCount val="1"/>
                <c:pt idx="0">
                  <c:v>Close</c:v>
                </c:pt>
              </c:strCache>
            </c:strRef>
          </c:tx>
          <c:spPr>
            <a:solidFill>
              <a:srgbClr val="00B0F0"/>
            </a:solidFill>
            <a:ln w="25400">
              <a:noFill/>
            </a:ln>
          </c:spPr>
          <c:val>
            <c:numRef>
              <c:f>'B - CF (Stories #)'!$G$2:$G$51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numCache>
            </c:numRef>
          </c:val>
          <c:extLst xmlns:c16r2="http://schemas.microsoft.com/office/drawing/2015/06/chart">
            <c:ext xmlns:c16="http://schemas.microsoft.com/office/drawing/2014/chart" uri="{C3380CC4-5D6E-409C-BE32-E72D297353CC}">
              <c16:uniqueId val="{00000001-C2AB-4FD2-8053-500C25B19AC3}"/>
            </c:ext>
          </c:extLst>
        </c:ser>
        <c:ser>
          <c:idx val="2"/>
          <c:order val="2"/>
          <c:tx>
            <c:strRef>
              <c:f>'B - CF (Stories #)'!$F$1</c:f>
              <c:strCache>
                <c:ptCount val="1"/>
                <c:pt idx="0">
                  <c:v>In review</c:v>
                </c:pt>
              </c:strCache>
            </c:strRef>
          </c:tx>
          <c:spPr>
            <a:solidFill>
              <a:schemeClr val="accent6"/>
            </a:solidFill>
          </c:spPr>
          <c:cat>
            <c:numRef>
              <c:f>'B - CF (Stories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(Stories #)'!$F$2:$F$51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5</c:v>
                </c:pt>
                <c:pt idx="37">
                  <c:v>5</c:v>
                </c:pt>
                <c:pt idx="38">
                  <c:v>5</c:v>
                </c:pt>
                <c:pt idx="39">
                  <c:v>6</c:v>
                </c:pt>
                <c:pt idx="40">
                  <c:v>6</c:v>
                </c:pt>
                <c:pt idx="41">
                  <c:v>6</c:v>
                </c:pt>
                <c:pt idx="42">
                  <c:v>6</c:v>
                </c:pt>
                <c:pt idx="43">
                  <c:v>6</c:v>
                </c:pt>
                <c:pt idx="44">
                  <c:v>6</c:v>
                </c:pt>
                <c:pt idx="45">
                  <c:v>6</c:v>
                </c:pt>
                <c:pt idx="46">
                  <c:v>6</c:v>
                </c:pt>
                <c:pt idx="47">
                  <c:v>6</c:v>
                </c:pt>
                <c:pt idx="48">
                  <c:v>6</c:v>
                </c:pt>
                <c:pt idx="49">
                  <c:v>6</c:v>
                </c:pt>
              </c:numCache>
            </c:numRef>
          </c:val>
          <c:extLst xmlns:c16r2="http://schemas.microsoft.com/office/drawing/2015/06/chart">
            <c:ext xmlns:c16="http://schemas.microsoft.com/office/drawing/2014/chart" uri="{C3380CC4-5D6E-409C-BE32-E72D297353CC}">
              <c16:uniqueId val="{00000002-C2AB-4FD2-8053-500C25B19AC3}"/>
            </c:ext>
          </c:extLst>
        </c:ser>
        <c:ser>
          <c:idx val="1"/>
          <c:order val="3"/>
          <c:tx>
            <c:strRef>
              <c:f>'B - CF (Stories #)'!$E$1</c:f>
              <c:strCache>
                <c:ptCount val="1"/>
                <c:pt idx="0">
                  <c:v>In Progress</c:v>
                </c:pt>
              </c:strCache>
            </c:strRef>
          </c:tx>
          <c:spPr>
            <a:solidFill>
              <a:srgbClr val="7030A0"/>
            </a:solidFill>
          </c:spPr>
          <c:cat>
            <c:numRef>
              <c:f>'B - CF (Stories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(Stories #)'!$E$2:$E$51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11</c:v>
                </c:pt>
                <c:pt idx="37">
                  <c:v>11</c:v>
                </c:pt>
                <c:pt idx="38">
                  <c:v>11</c:v>
                </c:pt>
                <c:pt idx="39">
                  <c:v>11</c:v>
                </c:pt>
                <c:pt idx="40">
                  <c:v>11</c:v>
                </c:pt>
                <c:pt idx="41">
                  <c:v>11</c:v>
                </c:pt>
                <c:pt idx="42">
                  <c:v>11</c:v>
                </c:pt>
                <c:pt idx="43">
                  <c:v>11</c:v>
                </c:pt>
                <c:pt idx="44">
                  <c:v>11</c:v>
                </c:pt>
                <c:pt idx="45">
                  <c:v>11</c:v>
                </c:pt>
                <c:pt idx="46">
                  <c:v>11</c:v>
                </c:pt>
                <c:pt idx="47">
                  <c:v>11</c:v>
                </c:pt>
                <c:pt idx="48">
                  <c:v>11</c:v>
                </c:pt>
                <c:pt idx="49">
                  <c:v>11</c:v>
                </c:pt>
              </c:numCache>
            </c:numRef>
          </c:val>
          <c:extLst xmlns:c16r2="http://schemas.microsoft.com/office/drawing/2015/06/chart">
            <c:ext xmlns:c16="http://schemas.microsoft.com/office/drawing/2014/chart" uri="{C3380CC4-5D6E-409C-BE32-E72D297353CC}">
              <c16:uniqueId val="{00000003-C2AB-4FD2-8053-500C25B19AC3}"/>
            </c:ext>
          </c:extLst>
        </c:ser>
        <c:ser>
          <c:idx val="0"/>
          <c:order val="4"/>
          <c:tx>
            <c:strRef>
              <c:f>'B - CF (Stories #)'!$D$1</c:f>
              <c:strCache>
                <c:ptCount val="1"/>
                <c:pt idx="0">
                  <c:v>Open</c:v>
                </c:pt>
              </c:strCache>
            </c:strRef>
          </c:tx>
          <c:spPr>
            <a:solidFill>
              <a:srgbClr val="CC6600"/>
            </a:solidFill>
          </c:spPr>
          <c:cat>
            <c:numRef>
              <c:f>'B - CF (Stories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(Stories #)'!$D$2:$D$51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22</c:v>
                </c:pt>
                <c:pt idx="37">
                  <c:v>22</c:v>
                </c:pt>
                <c:pt idx="38">
                  <c:v>22</c:v>
                </c:pt>
                <c:pt idx="39">
                  <c:v>21</c:v>
                </c:pt>
                <c:pt idx="40">
                  <c:v>21</c:v>
                </c:pt>
                <c:pt idx="41">
                  <c:v>21</c:v>
                </c:pt>
                <c:pt idx="42">
                  <c:v>21</c:v>
                </c:pt>
                <c:pt idx="43">
                  <c:v>21</c:v>
                </c:pt>
                <c:pt idx="44">
                  <c:v>21</c:v>
                </c:pt>
                <c:pt idx="45">
                  <c:v>21</c:v>
                </c:pt>
                <c:pt idx="46">
                  <c:v>21</c:v>
                </c:pt>
                <c:pt idx="47">
                  <c:v>21</c:v>
                </c:pt>
                <c:pt idx="48">
                  <c:v>21</c:v>
                </c:pt>
                <c:pt idx="49">
                  <c:v>21</c:v>
                </c:pt>
              </c:numCache>
            </c:numRef>
          </c:val>
          <c:extLst xmlns:c16r2="http://schemas.microsoft.com/office/drawing/2015/06/chart">
            <c:ext xmlns:c16="http://schemas.microsoft.com/office/drawing/2014/chart" uri="{C3380CC4-5D6E-409C-BE32-E72D297353CC}">
              <c16:uniqueId val="{00000004-C2AB-4FD2-8053-500C25B19AC3}"/>
            </c:ext>
          </c:extLst>
        </c:ser>
        <c:dLbls>
          <c:showLegendKey val="0"/>
          <c:showVal val="0"/>
          <c:showCatName val="0"/>
          <c:showSerName val="0"/>
          <c:showPercent val="0"/>
          <c:showBubbleSize val="0"/>
        </c:dLbls>
        <c:axId val="169047552"/>
        <c:axId val="169049088"/>
      </c:areaChart>
      <c:catAx>
        <c:axId val="169047552"/>
        <c:scaling>
          <c:orientation val="minMax"/>
        </c:scaling>
        <c:delete val="0"/>
        <c:axPos val="b"/>
        <c:numFmt formatCode="m/d/yyyy" sourceLinked="1"/>
        <c:majorTickMark val="out"/>
        <c:minorTickMark val="none"/>
        <c:tickLblPos val="nextTo"/>
        <c:crossAx val="169049088"/>
        <c:crosses val="autoZero"/>
        <c:auto val="1"/>
        <c:lblAlgn val="ctr"/>
        <c:lblOffset val="100"/>
        <c:noMultiLvlLbl val="0"/>
      </c:catAx>
      <c:valAx>
        <c:axId val="169049088"/>
        <c:scaling>
          <c:orientation val="minMax"/>
        </c:scaling>
        <c:delete val="0"/>
        <c:axPos val="l"/>
        <c:majorGridlines/>
        <c:numFmt formatCode="General" sourceLinked="1"/>
        <c:majorTickMark val="out"/>
        <c:minorTickMark val="none"/>
        <c:tickLblPos val="nextTo"/>
        <c:crossAx val="169047552"/>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3"/>
          <c:order val="0"/>
          <c:tx>
            <c:strRef>
              <c:f>'B - CF (Features SP)'!$K$1</c:f>
              <c:strCache>
                <c:ptCount val="1"/>
                <c:pt idx="0">
                  <c:v>Done</c:v>
                </c:pt>
              </c:strCache>
            </c:strRef>
          </c:tx>
          <c:spPr>
            <a:solidFill>
              <a:schemeClr val="tx2">
                <a:lumMod val="60000"/>
                <a:lumOff val="40000"/>
              </a:schemeClr>
            </a:solidFill>
          </c:spPr>
          <c:cat>
            <c:numRef>
              <c:f>'B - CF (Features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(Features SP)'!$K$2:$K$51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8</c:v>
                </c:pt>
                <c:pt idx="37">
                  <c:v>8</c:v>
                </c:pt>
                <c:pt idx="38">
                  <c:v>8</c:v>
                </c:pt>
                <c:pt idx="39">
                  <c:v>8</c:v>
                </c:pt>
                <c:pt idx="40">
                  <c:v>8</c:v>
                </c:pt>
                <c:pt idx="41">
                  <c:v>8</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0-9A4F-41A5-AD5C-E0C17E2692ED}"/>
            </c:ext>
          </c:extLst>
        </c:ser>
        <c:ser>
          <c:idx val="7"/>
          <c:order val="1"/>
          <c:tx>
            <c:strRef>
              <c:f>'B - CF (Features SP)'!$J$1</c:f>
              <c:strCache>
                <c:ptCount val="1"/>
                <c:pt idx="0">
                  <c:v>Releasing</c:v>
                </c:pt>
              </c:strCache>
            </c:strRef>
          </c:tx>
          <c:spPr>
            <a:ln w="25400">
              <a:noFill/>
            </a:ln>
          </c:spPr>
          <c:val>
            <c:numRef>
              <c:f>'B - CF (Features SP)'!$J$2:$J$51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1-9A4F-41A5-AD5C-E0C17E2692ED}"/>
            </c:ext>
          </c:extLst>
        </c:ser>
        <c:ser>
          <c:idx val="6"/>
          <c:order val="2"/>
          <c:tx>
            <c:strRef>
              <c:f>'B - CF (Features SP)'!$I$1</c:f>
              <c:strCache>
                <c:ptCount val="1"/>
                <c:pt idx="0">
                  <c:v>Deploying to production</c:v>
                </c:pt>
              </c:strCache>
            </c:strRef>
          </c:tx>
          <c:spPr>
            <a:ln w="25400">
              <a:noFill/>
            </a:ln>
          </c:spPr>
          <c:val>
            <c:numRef>
              <c:f>'B - CF (Features SP)'!$I$2:$I$51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2-9A4F-41A5-AD5C-E0C17E2692ED}"/>
            </c:ext>
          </c:extLst>
        </c:ser>
        <c:ser>
          <c:idx val="5"/>
          <c:order val="3"/>
          <c:tx>
            <c:strRef>
              <c:f>'B - CF (Features SP)'!$H$1</c:f>
              <c:strCache>
                <c:ptCount val="1"/>
                <c:pt idx="0">
                  <c:v>Validating on Staging</c:v>
                </c:pt>
              </c:strCache>
            </c:strRef>
          </c:tx>
          <c:spPr>
            <a:solidFill>
              <a:srgbClr val="FFFF00"/>
            </a:solidFill>
            <a:ln w="25400">
              <a:noFill/>
            </a:ln>
          </c:spPr>
          <c:val>
            <c:numRef>
              <c:f>'B - CF (Features SP)'!$H$2:$H$51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c:v>
                </c:pt>
                <c:pt idx="37">
                  <c:v>2</c:v>
                </c:pt>
                <c:pt idx="38">
                  <c:v>2</c:v>
                </c:pt>
                <c:pt idx="39">
                  <c:v>2</c:v>
                </c:pt>
                <c:pt idx="40">
                  <c:v>2</c:v>
                </c:pt>
                <c:pt idx="41">
                  <c:v>2</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3-9A4F-41A5-AD5C-E0C17E2692ED}"/>
            </c:ext>
          </c:extLst>
        </c:ser>
        <c:ser>
          <c:idx val="4"/>
          <c:order val="4"/>
          <c:tx>
            <c:strRef>
              <c:f>'B - CF (Features SP)'!$G$1</c:f>
              <c:strCache>
                <c:ptCount val="1"/>
                <c:pt idx="0">
                  <c:v>Implementing</c:v>
                </c:pt>
              </c:strCache>
            </c:strRef>
          </c:tx>
          <c:spPr>
            <a:solidFill>
              <a:srgbClr val="00B0F0"/>
            </a:solidFill>
            <a:ln w="25400">
              <a:noFill/>
            </a:ln>
          </c:spPr>
          <c:val>
            <c:numRef>
              <c:f>'B - CF (Features SP)'!$G$2:$G$51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13</c:v>
                </c:pt>
                <c:pt idx="37">
                  <c:v>13</c:v>
                </c:pt>
                <c:pt idx="38">
                  <c:v>13</c:v>
                </c:pt>
                <c:pt idx="39">
                  <c:v>13</c:v>
                </c:pt>
                <c:pt idx="40">
                  <c:v>13</c:v>
                </c:pt>
                <c:pt idx="41">
                  <c:v>13</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4-9A4F-41A5-AD5C-E0C17E2692ED}"/>
            </c:ext>
          </c:extLst>
        </c:ser>
        <c:ser>
          <c:idx val="2"/>
          <c:order val="5"/>
          <c:tx>
            <c:strRef>
              <c:f>'B - CF (Features SP)'!$F$1</c:f>
              <c:strCache>
                <c:ptCount val="1"/>
                <c:pt idx="0">
                  <c:v>Backlog</c:v>
                </c:pt>
              </c:strCache>
            </c:strRef>
          </c:tx>
          <c:spPr>
            <a:solidFill>
              <a:schemeClr val="accent6"/>
            </a:solidFill>
          </c:spPr>
          <c:cat>
            <c:numRef>
              <c:f>'B - CF (Features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(Features SP)'!$F$2:$F$51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3</c:v>
                </c:pt>
                <c:pt idx="37">
                  <c:v>3</c:v>
                </c:pt>
                <c:pt idx="38">
                  <c:v>3</c:v>
                </c:pt>
                <c:pt idx="39">
                  <c:v>3</c:v>
                </c:pt>
                <c:pt idx="40">
                  <c:v>3</c:v>
                </c:pt>
                <c:pt idx="41">
                  <c:v>3</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5-9A4F-41A5-AD5C-E0C17E2692ED}"/>
            </c:ext>
          </c:extLst>
        </c:ser>
        <c:ser>
          <c:idx val="1"/>
          <c:order val="6"/>
          <c:tx>
            <c:strRef>
              <c:f>'B - CF (Features SP)'!$E$1</c:f>
              <c:strCache>
                <c:ptCount val="1"/>
                <c:pt idx="0">
                  <c:v>Analyzing</c:v>
                </c:pt>
              </c:strCache>
            </c:strRef>
          </c:tx>
          <c:spPr>
            <a:solidFill>
              <a:srgbClr val="7030A0"/>
            </a:solidFill>
          </c:spPr>
          <c:cat>
            <c:numRef>
              <c:f>'B - CF (Features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(Features SP)'!$E$2:$E$51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3</c:v>
                </c:pt>
                <c:pt idx="37">
                  <c:v>3</c:v>
                </c:pt>
                <c:pt idx="38">
                  <c:v>3</c:v>
                </c:pt>
                <c:pt idx="39">
                  <c:v>3</c:v>
                </c:pt>
                <c:pt idx="40">
                  <c:v>3</c:v>
                </c:pt>
                <c:pt idx="41">
                  <c:v>3</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6-9A4F-41A5-AD5C-E0C17E2692ED}"/>
            </c:ext>
          </c:extLst>
        </c:ser>
        <c:ser>
          <c:idx val="0"/>
          <c:order val="7"/>
          <c:tx>
            <c:strRef>
              <c:f>'B - CF (Features SP)'!$D$1</c:f>
              <c:strCache>
                <c:ptCount val="1"/>
                <c:pt idx="0">
                  <c:v>Funnel</c:v>
                </c:pt>
              </c:strCache>
            </c:strRef>
          </c:tx>
          <c:spPr>
            <a:solidFill>
              <a:srgbClr val="CC6600"/>
            </a:solidFill>
          </c:spPr>
          <c:cat>
            <c:numRef>
              <c:f>'B - CF (Features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(Features SP)'!$D$2:$D$51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3</c:v>
                </c:pt>
                <c:pt idx="37">
                  <c:v>3</c:v>
                </c:pt>
                <c:pt idx="38">
                  <c:v>3</c:v>
                </c:pt>
                <c:pt idx="39">
                  <c:v>3</c:v>
                </c:pt>
                <c:pt idx="40">
                  <c:v>3</c:v>
                </c:pt>
                <c:pt idx="41">
                  <c:v>3</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7-9A4F-41A5-AD5C-E0C17E2692ED}"/>
            </c:ext>
          </c:extLst>
        </c:ser>
        <c:dLbls>
          <c:showLegendKey val="0"/>
          <c:showVal val="0"/>
          <c:showCatName val="0"/>
          <c:showSerName val="0"/>
          <c:showPercent val="0"/>
          <c:showBubbleSize val="0"/>
        </c:dLbls>
        <c:axId val="169119104"/>
        <c:axId val="169141376"/>
      </c:areaChart>
      <c:dateAx>
        <c:axId val="169119104"/>
        <c:scaling>
          <c:orientation val="minMax"/>
        </c:scaling>
        <c:delete val="0"/>
        <c:axPos val="b"/>
        <c:numFmt formatCode="m/d/yyyy" sourceLinked="1"/>
        <c:majorTickMark val="out"/>
        <c:minorTickMark val="none"/>
        <c:tickLblPos val="nextTo"/>
        <c:crossAx val="169141376"/>
        <c:crosses val="autoZero"/>
        <c:auto val="1"/>
        <c:lblOffset val="100"/>
        <c:baseTimeUnit val="days"/>
      </c:dateAx>
      <c:valAx>
        <c:axId val="169141376"/>
        <c:scaling>
          <c:orientation val="minMax"/>
        </c:scaling>
        <c:delete val="0"/>
        <c:axPos val="l"/>
        <c:majorGridlines/>
        <c:numFmt formatCode="General" sourceLinked="1"/>
        <c:majorTickMark val="out"/>
        <c:minorTickMark val="none"/>
        <c:tickLblPos val="nextTo"/>
        <c:crossAx val="169119104"/>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3"/>
          <c:order val="0"/>
          <c:tx>
            <c:strRef>
              <c:f>'B - CF (Enablers SP)'!$K$1</c:f>
              <c:strCache>
                <c:ptCount val="1"/>
                <c:pt idx="0">
                  <c:v>Done</c:v>
                </c:pt>
              </c:strCache>
            </c:strRef>
          </c:tx>
          <c:spPr>
            <a:solidFill>
              <a:schemeClr val="tx2">
                <a:lumMod val="60000"/>
                <a:lumOff val="40000"/>
              </a:schemeClr>
            </a:solidFill>
          </c:spPr>
          <c:cat>
            <c:numRef>
              <c:f>'B - CF (Enablers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(Enablers SP)'!$K$2:$K$51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0-6F11-42D8-A4B3-F2B4CEA1A924}"/>
            </c:ext>
          </c:extLst>
        </c:ser>
        <c:ser>
          <c:idx val="7"/>
          <c:order val="1"/>
          <c:tx>
            <c:strRef>
              <c:f>'B - CF (Enablers SP)'!$J$1</c:f>
              <c:strCache>
                <c:ptCount val="1"/>
                <c:pt idx="0">
                  <c:v>Releasing</c:v>
                </c:pt>
              </c:strCache>
            </c:strRef>
          </c:tx>
          <c:spPr>
            <a:ln w="25400">
              <a:noFill/>
            </a:ln>
          </c:spPr>
          <c:val>
            <c:numRef>
              <c:f>'B - CF (Enablers SP)'!$J$2:$J$51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1-6F11-42D8-A4B3-F2B4CEA1A924}"/>
            </c:ext>
          </c:extLst>
        </c:ser>
        <c:ser>
          <c:idx val="6"/>
          <c:order val="2"/>
          <c:tx>
            <c:strRef>
              <c:f>'B - CF (Enablers SP)'!$I$1</c:f>
              <c:strCache>
                <c:ptCount val="1"/>
                <c:pt idx="0">
                  <c:v>Deploying to production</c:v>
                </c:pt>
              </c:strCache>
            </c:strRef>
          </c:tx>
          <c:spPr>
            <a:ln w="25400">
              <a:noFill/>
            </a:ln>
          </c:spPr>
          <c:val>
            <c:numRef>
              <c:f>'B - CF (Enablers SP)'!$I$2:$I$51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2-6F11-42D8-A4B3-F2B4CEA1A924}"/>
            </c:ext>
          </c:extLst>
        </c:ser>
        <c:ser>
          <c:idx val="5"/>
          <c:order val="3"/>
          <c:tx>
            <c:strRef>
              <c:f>'B - CF (Enablers SP)'!$H$1</c:f>
              <c:strCache>
                <c:ptCount val="1"/>
                <c:pt idx="0">
                  <c:v>Validating on Staging</c:v>
                </c:pt>
              </c:strCache>
            </c:strRef>
          </c:tx>
          <c:spPr>
            <a:solidFill>
              <a:srgbClr val="FFFF00"/>
            </a:solidFill>
            <a:ln w="25400">
              <a:noFill/>
            </a:ln>
          </c:spPr>
          <c:val>
            <c:numRef>
              <c:f>'B - CF (Enablers SP)'!$H$2:$H$51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3-6F11-42D8-A4B3-F2B4CEA1A924}"/>
            </c:ext>
          </c:extLst>
        </c:ser>
        <c:ser>
          <c:idx val="4"/>
          <c:order val="4"/>
          <c:tx>
            <c:strRef>
              <c:f>'B - CF (Enablers SP)'!$G$1</c:f>
              <c:strCache>
                <c:ptCount val="1"/>
                <c:pt idx="0">
                  <c:v>Implementing</c:v>
                </c:pt>
              </c:strCache>
            </c:strRef>
          </c:tx>
          <c:spPr>
            <a:solidFill>
              <a:srgbClr val="00B0F0"/>
            </a:solidFill>
            <a:ln w="25400">
              <a:noFill/>
            </a:ln>
          </c:spPr>
          <c:val>
            <c:numRef>
              <c:f>'B - CF (Enablers SP)'!$G$2:$G$51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c:v>
                </c:pt>
                <c:pt idx="36">
                  <c:v>4</c:v>
                </c:pt>
                <c:pt idx="37">
                  <c:v>4</c:v>
                </c:pt>
                <c:pt idx="38">
                  <c:v>4</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4-6F11-42D8-A4B3-F2B4CEA1A924}"/>
            </c:ext>
          </c:extLst>
        </c:ser>
        <c:ser>
          <c:idx val="2"/>
          <c:order val="5"/>
          <c:tx>
            <c:strRef>
              <c:f>'B - CF (Enablers SP)'!$F$1</c:f>
              <c:strCache>
                <c:ptCount val="1"/>
                <c:pt idx="0">
                  <c:v>Backlog</c:v>
                </c:pt>
              </c:strCache>
            </c:strRef>
          </c:tx>
          <c:spPr>
            <a:solidFill>
              <a:schemeClr val="accent6"/>
            </a:solidFill>
          </c:spPr>
          <c:cat>
            <c:numRef>
              <c:f>'B - CF (Enablers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(Enablers SP)'!$F$2:$F$51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5-6F11-42D8-A4B3-F2B4CEA1A924}"/>
            </c:ext>
          </c:extLst>
        </c:ser>
        <c:ser>
          <c:idx val="1"/>
          <c:order val="6"/>
          <c:tx>
            <c:strRef>
              <c:f>'B - CF (Enablers SP)'!$E$1</c:f>
              <c:strCache>
                <c:ptCount val="1"/>
                <c:pt idx="0">
                  <c:v>Analyzing</c:v>
                </c:pt>
              </c:strCache>
            </c:strRef>
          </c:tx>
          <c:spPr>
            <a:solidFill>
              <a:srgbClr val="7030A0"/>
            </a:solidFill>
          </c:spPr>
          <c:cat>
            <c:numRef>
              <c:f>'B - CF (Enablers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(Enablers SP)'!$E$2:$E$51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6-6F11-42D8-A4B3-F2B4CEA1A924}"/>
            </c:ext>
          </c:extLst>
        </c:ser>
        <c:ser>
          <c:idx val="0"/>
          <c:order val="7"/>
          <c:tx>
            <c:strRef>
              <c:f>'B - CF (Enablers SP)'!$D$1</c:f>
              <c:strCache>
                <c:ptCount val="1"/>
                <c:pt idx="0">
                  <c:v>Funnel</c:v>
                </c:pt>
              </c:strCache>
            </c:strRef>
          </c:tx>
          <c:spPr>
            <a:solidFill>
              <a:srgbClr val="CC6600"/>
            </a:solidFill>
          </c:spPr>
          <c:cat>
            <c:numRef>
              <c:f>'B - CF (Enablers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(Enablers SP)'!$D$2:$D$51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7-6F11-42D8-A4B3-F2B4CEA1A924}"/>
            </c:ext>
          </c:extLst>
        </c:ser>
        <c:dLbls>
          <c:showLegendKey val="0"/>
          <c:showVal val="0"/>
          <c:showCatName val="0"/>
          <c:showSerName val="0"/>
          <c:showPercent val="0"/>
          <c:showBubbleSize val="0"/>
        </c:dLbls>
        <c:axId val="169182720"/>
        <c:axId val="169184256"/>
      </c:areaChart>
      <c:dateAx>
        <c:axId val="169182720"/>
        <c:scaling>
          <c:orientation val="minMax"/>
        </c:scaling>
        <c:delete val="0"/>
        <c:axPos val="b"/>
        <c:numFmt formatCode="m/d/yyyy" sourceLinked="1"/>
        <c:majorTickMark val="out"/>
        <c:minorTickMark val="none"/>
        <c:tickLblPos val="nextTo"/>
        <c:crossAx val="169184256"/>
        <c:crosses val="autoZero"/>
        <c:auto val="1"/>
        <c:lblOffset val="100"/>
        <c:baseTimeUnit val="days"/>
      </c:dateAx>
      <c:valAx>
        <c:axId val="169184256"/>
        <c:scaling>
          <c:orientation val="minMax"/>
        </c:scaling>
        <c:delete val="0"/>
        <c:axPos val="l"/>
        <c:majorGridlines/>
        <c:numFmt formatCode="General" sourceLinked="1"/>
        <c:majorTickMark val="out"/>
        <c:minorTickMark val="none"/>
        <c:tickLblPos val="nextTo"/>
        <c:crossAx val="169182720"/>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5"/>
          <c:order val="0"/>
          <c:tx>
            <c:strRef>
              <c:f>'B - CF (Stories SP)'!$H$1</c:f>
              <c:strCache>
                <c:ptCount val="1"/>
                <c:pt idx="0">
                  <c:v>Done</c:v>
                </c:pt>
              </c:strCache>
            </c:strRef>
          </c:tx>
          <c:spPr>
            <a:solidFill>
              <a:srgbClr val="FFFF00"/>
            </a:solidFill>
            <a:ln w="25400">
              <a:noFill/>
            </a:ln>
          </c:spPr>
          <c:val>
            <c:numRef>
              <c:f>'B - CF (Stories SP)'!$H$2:$H$51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185</c:v>
                </c:pt>
                <c:pt idx="36">
                  <c:v>149</c:v>
                </c:pt>
                <c:pt idx="37">
                  <c:v>149</c:v>
                </c:pt>
                <c:pt idx="38">
                  <c:v>149</c:v>
                </c:pt>
                <c:pt idx="39">
                  <c:v>149</c:v>
                </c:pt>
                <c:pt idx="40">
                  <c:v>149</c:v>
                </c:pt>
                <c:pt idx="41">
                  <c:v>149</c:v>
                </c:pt>
                <c:pt idx="42">
                  <c:v>149</c:v>
                </c:pt>
                <c:pt idx="43">
                  <c:v>149</c:v>
                </c:pt>
                <c:pt idx="44">
                  <c:v>149</c:v>
                </c:pt>
                <c:pt idx="45">
                  <c:v>149</c:v>
                </c:pt>
                <c:pt idx="46">
                  <c:v>149</c:v>
                </c:pt>
                <c:pt idx="47">
                  <c:v>149</c:v>
                </c:pt>
                <c:pt idx="48">
                  <c:v>149</c:v>
                </c:pt>
                <c:pt idx="49">
                  <c:v>149</c:v>
                </c:pt>
              </c:numCache>
            </c:numRef>
          </c:val>
          <c:extLst xmlns:c16r2="http://schemas.microsoft.com/office/drawing/2015/06/chart">
            <c:ext xmlns:c16="http://schemas.microsoft.com/office/drawing/2014/chart" uri="{C3380CC4-5D6E-409C-BE32-E72D297353CC}">
              <c16:uniqueId val="{00000000-872F-42D2-BC60-49B6E3FBCD9A}"/>
            </c:ext>
          </c:extLst>
        </c:ser>
        <c:ser>
          <c:idx val="4"/>
          <c:order val="1"/>
          <c:tx>
            <c:strRef>
              <c:f>'B - CF (Stories SP)'!$G$1</c:f>
              <c:strCache>
                <c:ptCount val="1"/>
                <c:pt idx="0">
                  <c:v>Close</c:v>
                </c:pt>
              </c:strCache>
            </c:strRef>
          </c:tx>
          <c:spPr>
            <a:solidFill>
              <a:srgbClr val="00B0F0"/>
            </a:solidFill>
            <a:ln w="25400">
              <a:noFill/>
            </a:ln>
          </c:spPr>
          <c:val>
            <c:numRef>
              <c:f>'B - CF (Stories SP)'!$G$2:$G$51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21</c:v>
                </c:pt>
                <c:pt idx="37">
                  <c:v>21</c:v>
                </c:pt>
                <c:pt idx="38">
                  <c:v>21</c:v>
                </c:pt>
                <c:pt idx="39">
                  <c:v>21</c:v>
                </c:pt>
                <c:pt idx="40">
                  <c:v>21</c:v>
                </c:pt>
                <c:pt idx="41">
                  <c:v>21</c:v>
                </c:pt>
                <c:pt idx="42">
                  <c:v>21</c:v>
                </c:pt>
                <c:pt idx="43">
                  <c:v>21</c:v>
                </c:pt>
                <c:pt idx="44">
                  <c:v>21</c:v>
                </c:pt>
                <c:pt idx="45">
                  <c:v>21</c:v>
                </c:pt>
                <c:pt idx="46">
                  <c:v>21</c:v>
                </c:pt>
                <c:pt idx="47">
                  <c:v>21</c:v>
                </c:pt>
                <c:pt idx="48">
                  <c:v>21</c:v>
                </c:pt>
                <c:pt idx="49">
                  <c:v>21</c:v>
                </c:pt>
              </c:numCache>
            </c:numRef>
          </c:val>
          <c:extLst xmlns:c16r2="http://schemas.microsoft.com/office/drawing/2015/06/chart">
            <c:ext xmlns:c16="http://schemas.microsoft.com/office/drawing/2014/chart" uri="{C3380CC4-5D6E-409C-BE32-E72D297353CC}">
              <c16:uniqueId val="{00000001-872F-42D2-BC60-49B6E3FBCD9A}"/>
            </c:ext>
          </c:extLst>
        </c:ser>
        <c:ser>
          <c:idx val="2"/>
          <c:order val="2"/>
          <c:tx>
            <c:strRef>
              <c:f>'B - CF (Stories SP)'!$F$1</c:f>
              <c:strCache>
                <c:ptCount val="1"/>
                <c:pt idx="0">
                  <c:v>In review</c:v>
                </c:pt>
              </c:strCache>
            </c:strRef>
          </c:tx>
          <c:spPr>
            <a:solidFill>
              <a:schemeClr val="accent6"/>
            </a:solidFill>
          </c:spPr>
          <c:cat>
            <c:numRef>
              <c:f>'B - CF (Stories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(Stories SP)'!$F$2:$F$51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45</c:v>
                </c:pt>
                <c:pt idx="37">
                  <c:v>45</c:v>
                </c:pt>
                <c:pt idx="38">
                  <c:v>45</c:v>
                </c:pt>
                <c:pt idx="39">
                  <c:v>53</c:v>
                </c:pt>
                <c:pt idx="40">
                  <c:v>53</c:v>
                </c:pt>
                <c:pt idx="41">
                  <c:v>53</c:v>
                </c:pt>
                <c:pt idx="42">
                  <c:v>53</c:v>
                </c:pt>
                <c:pt idx="43">
                  <c:v>53</c:v>
                </c:pt>
                <c:pt idx="44">
                  <c:v>53</c:v>
                </c:pt>
                <c:pt idx="45">
                  <c:v>53</c:v>
                </c:pt>
                <c:pt idx="46">
                  <c:v>53</c:v>
                </c:pt>
                <c:pt idx="47">
                  <c:v>53</c:v>
                </c:pt>
                <c:pt idx="48">
                  <c:v>53</c:v>
                </c:pt>
                <c:pt idx="49">
                  <c:v>53</c:v>
                </c:pt>
              </c:numCache>
            </c:numRef>
          </c:val>
          <c:extLst xmlns:c16r2="http://schemas.microsoft.com/office/drawing/2015/06/chart">
            <c:ext xmlns:c16="http://schemas.microsoft.com/office/drawing/2014/chart" uri="{C3380CC4-5D6E-409C-BE32-E72D297353CC}">
              <c16:uniqueId val="{00000002-872F-42D2-BC60-49B6E3FBCD9A}"/>
            </c:ext>
          </c:extLst>
        </c:ser>
        <c:ser>
          <c:idx val="1"/>
          <c:order val="3"/>
          <c:tx>
            <c:strRef>
              <c:f>'B - CF (Stories SP)'!$E$1</c:f>
              <c:strCache>
                <c:ptCount val="1"/>
                <c:pt idx="0">
                  <c:v>In Progress</c:v>
                </c:pt>
              </c:strCache>
            </c:strRef>
          </c:tx>
          <c:spPr>
            <a:solidFill>
              <a:srgbClr val="7030A0"/>
            </a:solidFill>
          </c:spPr>
          <c:cat>
            <c:numRef>
              <c:f>'B - CF (Stories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(Stories SP)'!$E$2:$E$51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59</c:v>
                </c:pt>
                <c:pt idx="37">
                  <c:v>59</c:v>
                </c:pt>
                <c:pt idx="38">
                  <c:v>59</c:v>
                </c:pt>
                <c:pt idx="39">
                  <c:v>51</c:v>
                </c:pt>
                <c:pt idx="40">
                  <c:v>51</c:v>
                </c:pt>
                <c:pt idx="41">
                  <c:v>51</c:v>
                </c:pt>
                <c:pt idx="42">
                  <c:v>51</c:v>
                </c:pt>
                <c:pt idx="43">
                  <c:v>51</c:v>
                </c:pt>
                <c:pt idx="44">
                  <c:v>51</c:v>
                </c:pt>
                <c:pt idx="45">
                  <c:v>51</c:v>
                </c:pt>
                <c:pt idx="46">
                  <c:v>51</c:v>
                </c:pt>
                <c:pt idx="47">
                  <c:v>51</c:v>
                </c:pt>
                <c:pt idx="48">
                  <c:v>51</c:v>
                </c:pt>
                <c:pt idx="49">
                  <c:v>51</c:v>
                </c:pt>
              </c:numCache>
            </c:numRef>
          </c:val>
          <c:extLst xmlns:c16r2="http://schemas.microsoft.com/office/drawing/2015/06/chart">
            <c:ext xmlns:c16="http://schemas.microsoft.com/office/drawing/2014/chart" uri="{C3380CC4-5D6E-409C-BE32-E72D297353CC}">
              <c16:uniqueId val="{00000003-872F-42D2-BC60-49B6E3FBCD9A}"/>
            </c:ext>
          </c:extLst>
        </c:ser>
        <c:ser>
          <c:idx val="0"/>
          <c:order val="4"/>
          <c:tx>
            <c:strRef>
              <c:f>'B - CF (Stories SP)'!$D$1</c:f>
              <c:strCache>
                <c:ptCount val="1"/>
                <c:pt idx="0">
                  <c:v>Open</c:v>
                </c:pt>
              </c:strCache>
            </c:strRef>
          </c:tx>
          <c:spPr>
            <a:solidFill>
              <a:srgbClr val="CC6600"/>
            </a:solidFill>
          </c:spPr>
          <c:cat>
            <c:numRef>
              <c:f>'B - CF (Stories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(Stories SP)'!$D$2:$D$51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72</c:v>
                </c:pt>
                <c:pt idx="37">
                  <c:v>72</c:v>
                </c:pt>
                <c:pt idx="38">
                  <c:v>72</c:v>
                </c:pt>
                <c:pt idx="39">
                  <c:v>72</c:v>
                </c:pt>
                <c:pt idx="40">
                  <c:v>72</c:v>
                </c:pt>
                <c:pt idx="41">
                  <c:v>72</c:v>
                </c:pt>
                <c:pt idx="42">
                  <c:v>72</c:v>
                </c:pt>
                <c:pt idx="43">
                  <c:v>72</c:v>
                </c:pt>
                <c:pt idx="44">
                  <c:v>72</c:v>
                </c:pt>
                <c:pt idx="45">
                  <c:v>72</c:v>
                </c:pt>
                <c:pt idx="46">
                  <c:v>72</c:v>
                </c:pt>
                <c:pt idx="47">
                  <c:v>72</c:v>
                </c:pt>
                <c:pt idx="48">
                  <c:v>72</c:v>
                </c:pt>
                <c:pt idx="49">
                  <c:v>72</c:v>
                </c:pt>
              </c:numCache>
            </c:numRef>
          </c:val>
          <c:extLst xmlns:c16r2="http://schemas.microsoft.com/office/drawing/2015/06/chart">
            <c:ext xmlns:c16="http://schemas.microsoft.com/office/drawing/2014/chart" uri="{C3380CC4-5D6E-409C-BE32-E72D297353CC}">
              <c16:uniqueId val="{00000004-872F-42D2-BC60-49B6E3FBCD9A}"/>
            </c:ext>
          </c:extLst>
        </c:ser>
        <c:dLbls>
          <c:showLegendKey val="0"/>
          <c:showVal val="0"/>
          <c:showCatName val="0"/>
          <c:showSerName val="0"/>
          <c:showPercent val="0"/>
          <c:showBubbleSize val="0"/>
        </c:dLbls>
        <c:axId val="169639936"/>
        <c:axId val="169641472"/>
      </c:areaChart>
      <c:catAx>
        <c:axId val="169639936"/>
        <c:scaling>
          <c:orientation val="minMax"/>
        </c:scaling>
        <c:delete val="0"/>
        <c:axPos val="b"/>
        <c:numFmt formatCode="m/d/yyyy" sourceLinked="1"/>
        <c:majorTickMark val="out"/>
        <c:minorTickMark val="none"/>
        <c:tickLblPos val="nextTo"/>
        <c:crossAx val="169641472"/>
        <c:crosses val="autoZero"/>
        <c:auto val="1"/>
        <c:lblAlgn val="ctr"/>
        <c:lblOffset val="100"/>
        <c:noMultiLvlLbl val="0"/>
      </c:catAx>
      <c:valAx>
        <c:axId val="169641472"/>
        <c:scaling>
          <c:orientation val="minMax"/>
        </c:scaling>
        <c:delete val="0"/>
        <c:axPos val="l"/>
        <c:majorGridlines/>
        <c:numFmt formatCode="General" sourceLinked="1"/>
        <c:majorTickMark val="out"/>
        <c:minorTickMark val="none"/>
        <c:tickLblPos val="nextTo"/>
        <c:crossAx val="169639936"/>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'B - Features Progress'!$E$3</c:f>
              <c:strCache>
                <c:ptCount val="1"/>
                <c:pt idx="0">
                  <c:v>Completed Story Points</c:v>
                </c:pt>
              </c:strCache>
            </c:strRef>
          </c:tx>
          <c:spPr>
            <a:solidFill>
              <a:srgbClr val="A9D18E"/>
            </a:solidFill>
            <a:ln>
              <a:noFill/>
            </a:ln>
            <a:effectLst/>
          </c:spPr>
          <c:invertIfNegative val="1"/>
          <c:cat>
            <c:strRef>
              <c:f>'B - Features Progress'!$D$4:$D$14</c:f>
              <c:strCache>
                <c:ptCount val="11"/>
                <c:pt idx="0">
                  <c:v>[TSKACTION-217] Action: Session Management / RTD</c:v>
                </c:pt>
                <c:pt idx="1">
                  <c:v>[CCDOCLIST-165] Provide pre/post operation cal … peration callbacks to business / RTD</c:v>
                </c:pt>
                <c:pt idx="2">
                  <c:v>[TSKACTION-278] Action: Deep Link-simple / RTD</c:v>
                </c:pt>
                <c:pt idx="3">
                  <c:v>[TSKACTION-245] Action: Parallel Actors / Support task / RTD</c:v>
                </c:pt>
                <c:pt idx="4">
                  <c:v>[CCTASK-533] Adoption of OpenID security model / RTD</c:v>
                </c:pt>
                <c:pt idx="5">
                  <c:v>[TSKACTION-76] Config Management / RTD</c:v>
                </c:pt>
                <c:pt idx="6">
                  <c:v>[CCDOCLIST-156] Configuration of presentation - compact view / RTD</c:v>
                </c:pt>
                <c:pt idx="7">
                  <c:v>[CCDOCLIST-19] Document list read-only mode / RTD</c:v>
                </c:pt>
                <c:pt idx="8">
                  <c:v>[CCDOCLIST-157] Filter the Document List at ru … ment List at runtime (backend) / RTD</c:v>
                </c:pt>
                <c:pt idx="9">
                  <c:v>[CCTASK-534] Readiness for Translation Service / RTD</c:v>
                </c:pt>
                <c:pt idx="10">
                  <c:v>[CCDOCLIST-17] Configuration management / RTD</c:v>
                </c:pt>
              </c:strCache>
            </c:strRef>
          </c:cat>
          <c:val>
            <c:numRef>
              <c:f>'B - Features Progress'!$E$4:$E$14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xmlns:c16r2="http://schemas.microsoft.com/office/drawing/2015/06/chart">
            <c:ext xmlns:c16="http://schemas.microsoft.com/office/drawing/2014/chart" uri="{C3380CC4-5D6E-409C-BE32-E72D297353CC}">
              <c16:uniqueId val="{00000000-AB88-4228-B8B3-089D916C9109}"/>
            </c:ex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Lst>
        </c:ser>
        <c:ser>
          <c:idx val="1"/>
          <c:order val="1"/>
          <c:tx>
            <c:strRef>
              <c:f>'B - Features Progress'!$F$3</c:f>
              <c:strCache>
                <c:ptCount val="1"/>
                <c:pt idx="0">
                  <c:v>Planned Story Points</c:v>
                </c:pt>
              </c:strCache>
            </c:strRef>
          </c:tx>
          <c:spPr>
            <a:solidFill>
              <a:schemeClr val="bg1">
                <a:lumMod val="50000"/>
              </a:schemeClr>
            </a:solidFill>
            <a:ln>
              <a:noFill/>
            </a:ln>
            <a:effectLst/>
          </c:spPr>
          <c:invertIfNegative val="0"/>
          <c:cat>
            <c:strRef>
              <c:f>'B - Features Progress'!$D$4:$D$14</c:f>
              <c:strCache>
                <c:ptCount val="11"/>
                <c:pt idx="0">
                  <c:v>[TSKACTION-217] Action: Session Management / RTD</c:v>
                </c:pt>
                <c:pt idx="1">
                  <c:v>[CCDOCLIST-165] Provide pre/post operation cal … peration callbacks to business / RTD</c:v>
                </c:pt>
                <c:pt idx="2">
                  <c:v>[TSKACTION-278] Action: Deep Link-simple / RTD</c:v>
                </c:pt>
                <c:pt idx="3">
                  <c:v>[TSKACTION-245] Action: Parallel Actors / Support task / RTD</c:v>
                </c:pt>
                <c:pt idx="4">
                  <c:v>[CCTASK-533] Adoption of OpenID security model / RTD</c:v>
                </c:pt>
                <c:pt idx="5">
                  <c:v>[TSKACTION-76] Config Management / RTD</c:v>
                </c:pt>
                <c:pt idx="6">
                  <c:v>[CCDOCLIST-156] Configuration of presentation - compact view / RTD</c:v>
                </c:pt>
                <c:pt idx="7">
                  <c:v>[CCDOCLIST-19] Document list read-only mode / RTD</c:v>
                </c:pt>
                <c:pt idx="8">
                  <c:v>[CCDOCLIST-157] Filter the Document List at ru … ment List at runtime (backend) / RTD</c:v>
                </c:pt>
                <c:pt idx="9">
                  <c:v>[CCTASK-534] Readiness for Translation Service / RTD</c:v>
                </c:pt>
                <c:pt idx="10">
                  <c:v>[CCDOCLIST-17] Configuration management / RTD</c:v>
                </c:pt>
              </c:strCache>
            </c:strRef>
          </c:cat>
          <c:val>
            <c:numRef>
              <c:f>'B - Features Progress'!$F$4:$F$14</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xmlns:c16r2="http://schemas.microsoft.com/office/drawing/2015/06/chart">
            <c:ext xmlns:c16="http://schemas.microsoft.com/office/drawing/2014/chart" uri="{C3380CC4-5D6E-409C-BE32-E72D297353CC}">
              <c16:uniqueId val="{00000001-AB88-4228-B8B3-089D916C9109}"/>
            </c:ext>
          </c:extLst>
        </c:ser>
        <c:dLbls>
          <c:showLegendKey val="0"/>
          <c:showVal val="0"/>
          <c:showCatName val="0"/>
          <c:showSerName val="0"/>
          <c:showPercent val="0"/>
          <c:showBubbleSize val="0"/>
        </c:dLbls>
        <c:gapWidth val="182"/>
        <c:axId val="169691776"/>
        <c:axId val="169693568"/>
      </c:barChart>
      <c:catAx>
        <c:axId val="1696917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693568"/>
        <c:crosses val="autoZero"/>
        <c:auto val="1"/>
        <c:lblAlgn val="ctr"/>
        <c:lblOffset val="100"/>
        <c:noMultiLvlLbl val="0"/>
      </c:catAx>
      <c:valAx>
        <c:axId val="1696935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691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bar"/>
        <c:grouping val="clustered"/>
        <c:varyColors val="0"/>
        <c:ser>
          <c:idx val="0"/>
          <c:order val="0"/>
          <c:spPr>
            <a:solidFill>
              <a:srgbClr val="A9D18E"/>
            </a:solidFill>
            <a:ln>
              <a:noFill/>
            </a:ln>
            <a:effectLst/>
          </c:spPr>
          <c:invertIfNegative val="1"/>
          <c:val>
            <c:numRef>
              <c:f>'B - Enablers Progress'!#REF!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'B - Enablers Progress'!#REF!</c15:sqref>
                        </c15:formulaRef>
                      </c:ext>
                    </c:extLst>
                    <c:strCache>
                      <c:ptCount val="1"/>
                      <c:pt idx="0">
                        <c:v>#REF!</c:v>
                      </c:pt>
                    </c:strCache>
                  </c:strRef>
                </c15:tx>
              </c15:filteredSeriesTitle>
            </c:ext>
            <c:ext xmlns:c16="http://schemas.microsoft.com/office/drawing/2014/chart" uri="{C3380CC4-5D6E-409C-BE32-E72D297353CC}">
              <c16:uniqueId val="{00000000-F24F-4DCB-83FC-3F3B0CFFBA11}"/>
            </c:ex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Lst>
        </c:ser>
        <c:dLbls>
          <c:showLegendKey val="0"/>
          <c:showVal val="0"/>
          <c:showCatName val="0"/>
          <c:showSerName val="0"/>
          <c:showPercent val="0"/>
          <c:showBubbleSize val="0"/>
        </c:dLbls>
        <c:gapWidth val="182"/>
        <c:axId val="169718144"/>
        <c:axId val="169719680"/>
      </c:barChart>
      <c:catAx>
        <c:axId val="1697181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19680"/>
        <c:crosses val="autoZero"/>
        <c:auto val="1"/>
        <c:lblAlgn val="ctr"/>
        <c:lblOffset val="100"/>
        <c:noMultiLvlLbl val="0"/>
      </c:catAx>
      <c:valAx>
        <c:axId val="1697196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18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'B - Features Progress'!$E$3</c:f>
              <c:strCache>
                <c:ptCount val="1"/>
                <c:pt idx="0">
                  <c:v>Completed Story Points</c:v>
                </c:pt>
              </c:strCache>
            </c:strRef>
          </c:tx>
          <c:spPr>
            <a:solidFill>
              <a:srgbClr val="A9D18E"/>
            </a:solidFill>
            <a:ln>
              <a:noFill/>
            </a:ln>
            <a:effectLst/>
          </c:spPr>
          <c:invertIfNegative val="1"/>
          <c:cat>
            <c:strRef>
              <c:f>'B - Features Progress'!$D$4:$D$26</c:f>
              <c:strCache>
                <c:ptCount val="23"/>
                <c:pt idx="0">
                  <c:v>[TSKACTION-217] Action: Session Management / RTD</c:v>
                </c:pt>
                <c:pt idx="1">
                  <c:v>[CCDOCLIST-165] Provide pre/post operation cal … peration callbacks to business / RTD</c:v>
                </c:pt>
                <c:pt idx="2">
                  <c:v>[TSKACTION-278] Action: Deep Link-simple / RTD</c:v>
                </c:pt>
                <c:pt idx="3">
                  <c:v>[TSKACTION-245] Action: Parallel Actors / Support task / RTD</c:v>
                </c:pt>
                <c:pt idx="4">
                  <c:v>[CCTASK-533] Adoption of OpenID security model / RTD</c:v>
                </c:pt>
                <c:pt idx="5">
                  <c:v>[TSKACTION-76] Config Management / RTD</c:v>
                </c:pt>
                <c:pt idx="6">
                  <c:v>[CCDOCLIST-156] Configuration of presentation - compact view / RTD</c:v>
                </c:pt>
                <c:pt idx="7">
                  <c:v>[CCDOCLIST-19] Document list read-only mode / RTD</c:v>
                </c:pt>
                <c:pt idx="8">
                  <c:v>[CCDOCLIST-157] Filter the Document List at ru … ment List at runtime (backend) / RTD</c:v>
                </c:pt>
                <c:pt idx="9">
                  <c:v>[CCTASK-534] Readiness for Translation Service / RTD</c:v>
                </c:pt>
                <c:pt idx="10">
                  <c:v>[CCDOCLIST-17] Configuration management / RTD</c:v>
                </c:pt>
                <c:pt idx="11">
                  <c:v>[CCDOCLIST-27] Configuration override / RTD</c:v>
                </c:pt>
                <c:pt idx="12">
                  <c:v>[CCTASK-579] Integration with Config Admin / RTD</c:v>
                </c:pt>
                <c:pt idx="13">
                  <c:v>[CCDOCLIST-25] Manage document encryption / RTD</c:v>
                </c:pt>
                <c:pt idx="14">
                  <c:v>[CCTASK-272] Signature on Outcome / RTD</c:v>
                </c:pt>
                <c:pt idx="15">
                  <c:v>[CCTASK-519] Taxonomy multiple references a … and events (for ProcessCentre) / RTD</c:v>
                </c:pt>
                <c:pt idx="16">
                  <c:v>[CCDOCLIST-174] The client should be able to r … en a business variable changes / RTD</c:v>
                </c:pt>
                <c:pt idx="17">
                  <c:v>[CCTASK-476] UX - Post Checks (error handli … ror handling on task complete) / RTD</c:v>
                </c:pt>
                <c:pt idx="18">
                  <c:v>[TSKACTION-56] Action: Document review/download link / RTD</c:v>
                </c:pt>
                <c:pt idx="19">
                  <c:v>[CCTASK-532] Impersonation / RTD</c:v>
                </c:pt>
                <c:pt idx="20">
                  <c:v>[CCDOCLIST-181] Integration with Config Admin / RTD</c:v>
                </c:pt>
                <c:pt idx="21">
                  <c:v>[CCDOCLIST-116] Mandatory documents / RTD</c:v>
                </c:pt>
                <c:pt idx="22">
                  <c:v>[CCTASK-518] Taxonomy link to CCM2 / RTD</c:v>
                </c:pt>
              </c:strCache>
            </c:strRef>
          </c:cat>
          <c:val>
            <c:numRef>
              <c:f>'B - Features Progress'!$E$4:$E$26</c:f>
              <c:numCache>
                <c:formatCode>General</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extLst xmlns:c16r2="http://schemas.microsoft.com/office/drawing/2015/06/chart">
            <c:ext xmlns:c16="http://schemas.microsoft.com/office/drawing/2014/chart" uri="{C3380CC4-5D6E-409C-BE32-E72D297353CC}">
              <c16:uniqueId val="{00000000-A316-41C9-A44F-89A88A7894E7}"/>
            </c:ex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Lst>
        </c:ser>
        <c:ser>
          <c:idx val="1"/>
          <c:order val="1"/>
          <c:tx>
            <c:strRef>
              <c:f>'B - Features Progress'!$F$3</c:f>
              <c:strCache>
                <c:ptCount val="1"/>
                <c:pt idx="0">
                  <c:v>Planned Story Points</c:v>
                </c:pt>
              </c:strCache>
            </c:strRef>
          </c:tx>
          <c:spPr>
            <a:solidFill>
              <a:schemeClr val="bg1">
                <a:lumMod val="50000"/>
              </a:schemeClr>
            </a:solidFill>
            <a:ln>
              <a:noFill/>
            </a:ln>
            <a:effectLst/>
          </c:spPr>
          <c:invertIfNegative val="0"/>
          <c:cat>
            <c:strRef>
              <c:f>'B - Features Progress'!$D$4:$D$26</c:f>
              <c:strCache>
                <c:ptCount val="23"/>
                <c:pt idx="0">
                  <c:v>[TSKACTION-217] Action: Session Management / RTD</c:v>
                </c:pt>
                <c:pt idx="1">
                  <c:v>[CCDOCLIST-165] Provide pre/post operation cal … peration callbacks to business / RTD</c:v>
                </c:pt>
                <c:pt idx="2">
                  <c:v>[TSKACTION-278] Action: Deep Link-simple / RTD</c:v>
                </c:pt>
                <c:pt idx="3">
                  <c:v>[TSKACTION-245] Action: Parallel Actors / Support task / RTD</c:v>
                </c:pt>
                <c:pt idx="4">
                  <c:v>[CCTASK-533] Adoption of OpenID security model / RTD</c:v>
                </c:pt>
                <c:pt idx="5">
                  <c:v>[TSKACTION-76] Config Management / RTD</c:v>
                </c:pt>
                <c:pt idx="6">
                  <c:v>[CCDOCLIST-156] Configuration of presentation - compact view / RTD</c:v>
                </c:pt>
                <c:pt idx="7">
                  <c:v>[CCDOCLIST-19] Document list read-only mode / RTD</c:v>
                </c:pt>
                <c:pt idx="8">
                  <c:v>[CCDOCLIST-157] Filter the Document List at ru … ment List at runtime (backend) / RTD</c:v>
                </c:pt>
                <c:pt idx="9">
                  <c:v>[CCTASK-534] Readiness for Translation Service / RTD</c:v>
                </c:pt>
                <c:pt idx="10">
                  <c:v>[CCDOCLIST-17] Configuration management / RTD</c:v>
                </c:pt>
                <c:pt idx="11">
                  <c:v>[CCDOCLIST-27] Configuration override / RTD</c:v>
                </c:pt>
                <c:pt idx="12">
                  <c:v>[CCTASK-579] Integration with Config Admin / RTD</c:v>
                </c:pt>
                <c:pt idx="13">
                  <c:v>[CCDOCLIST-25] Manage document encryption / RTD</c:v>
                </c:pt>
                <c:pt idx="14">
                  <c:v>[CCTASK-272] Signature on Outcome / RTD</c:v>
                </c:pt>
                <c:pt idx="15">
                  <c:v>[CCTASK-519] Taxonomy multiple references a … and events (for ProcessCentre) / RTD</c:v>
                </c:pt>
                <c:pt idx="16">
                  <c:v>[CCDOCLIST-174] The client should be able to r … en a business variable changes / RTD</c:v>
                </c:pt>
                <c:pt idx="17">
                  <c:v>[CCTASK-476] UX - Post Checks (error handli … ror handling on task complete) / RTD</c:v>
                </c:pt>
                <c:pt idx="18">
                  <c:v>[TSKACTION-56] Action: Document review/download link / RTD</c:v>
                </c:pt>
                <c:pt idx="19">
                  <c:v>[CCTASK-532] Impersonation / RTD</c:v>
                </c:pt>
                <c:pt idx="20">
                  <c:v>[CCDOCLIST-181] Integration with Config Admin / RTD</c:v>
                </c:pt>
                <c:pt idx="21">
                  <c:v>[CCDOCLIST-116] Mandatory documents / RTD</c:v>
                </c:pt>
                <c:pt idx="22">
                  <c:v>[CCTASK-518] Taxonomy link to CCM2 / RTD</c:v>
                </c:pt>
              </c:strCache>
            </c:strRef>
          </c:cat>
          <c:val>
            <c:numRef>
              <c:f>'B - Features Progress'!$F$4:$F$26</c:f>
              <c:numCache>
                <c:formatCode>General</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extLst xmlns:c16r2="http://schemas.microsoft.com/office/drawing/2015/06/chart">
            <c:ext xmlns:c16="http://schemas.microsoft.com/office/drawing/2014/chart" uri="{C3380CC4-5D6E-409C-BE32-E72D297353CC}">
              <c16:uniqueId val="{00000001-A316-41C9-A44F-89A88A7894E7}"/>
            </c:ext>
          </c:extLst>
        </c:ser>
        <c:dLbls>
          <c:showLegendKey val="0"/>
          <c:showVal val="0"/>
          <c:showCatName val="0"/>
          <c:showSerName val="0"/>
          <c:showPercent val="0"/>
          <c:showBubbleSize val="0"/>
        </c:dLbls>
        <c:gapWidth val="182"/>
        <c:axId val="169796736"/>
        <c:axId val="169798272"/>
      </c:barChart>
      <c:catAx>
        <c:axId val="1697967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98272"/>
        <c:crosses val="autoZero"/>
        <c:auto val="1"/>
        <c:lblAlgn val="ctr"/>
        <c:lblOffset val="100"/>
        <c:noMultiLvlLbl val="0"/>
      </c:catAx>
      <c:valAx>
        <c:axId val="1697982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796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'B - Enablers Progress'!$D$3</c:f>
              <c:strCache>
                <c:ptCount val="1"/>
                <c:pt idx="0">
                  <c:v>Feature</c:v>
                </c:pt>
              </c:strCache>
            </c:strRef>
          </c:tx>
          <c:spPr>
            <a:solidFill>
              <a:srgbClr val="A9D18E"/>
            </a:solidFill>
            <a:ln>
              <a:noFill/>
            </a:ln>
            <a:effectLst/>
          </c:spPr>
          <c:invertIfNegative val="1"/>
          <c:val>
            <c:numRef>
              <c:f>'B - Enablers Progress'!$E$3:$F$3</c:f>
              <c:numCache>
                <c:formatCode>General</c:formatCode>
                <c:ptCount val="2"/>
                <c:pt idx="0">
                  <c:v>0</c:v>
                </c:pt>
                <c:pt idx="1">
                  <c:v>23</c:v>
                </c:pt>
              </c:numCache>
            </c:numRef>
          </c:val>
          <c:extLst xmlns:c16r2="http://schemas.microsoft.com/office/drawing/2015/06/chart">
            <c:ext xmlns:c16="http://schemas.microsoft.com/office/drawing/2014/chart" uri="{C3380CC4-5D6E-409C-BE32-E72D297353CC}">
              <c16:uniqueId val="{00000000-4CD2-40DA-B12E-706884084464}"/>
            </c:ex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Lst>
        </c:ser>
        <c:ser>
          <c:idx val="1"/>
          <c:order val="1"/>
          <c:tx>
            <c:strRef>
              <c:f>'B - Enablers Progress'!$D$4</c:f>
              <c:strCache>
                <c:ptCount val="1"/>
                <c:pt idx="0">
                  <c:v>[CCTASK-527] SSE Bridge / RTD</c:v>
                </c:pt>
              </c:strCache>
            </c:strRef>
          </c:tx>
          <c:invertIfNegative val="0"/>
          <c:val>
            <c:numRef>
              <c:f>'B - Enablers Progress'!$E$4:$F$4</c:f>
              <c:numCache>
                <c:formatCode>General</c:formatCode>
                <c:ptCount val="2"/>
                <c:pt idx="0">
                  <c:v>0</c:v>
                </c:pt>
                <c:pt idx="1">
                  <c:v>18</c:v>
                </c:pt>
              </c:numCache>
            </c:numRef>
          </c:val>
          <c:extLst xmlns:c16r2="http://schemas.microsoft.com/office/drawing/2015/06/chart">
            <c:ext xmlns:c16="http://schemas.microsoft.com/office/drawing/2014/chart" uri="{C3380CC4-5D6E-409C-BE32-E72D297353CC}">
              <c16:uniqueId val="{00000001-4CD2-40DA-B12E-706884084464}"/>
            </c:ext>
          </c:extLst>
        </c:ser>
        <c:dLbls>
          <c:showLegendKey val="0"/>
          <c:showVal val="0"/>
          <c:showCatName val="0"/>
          <c:showSerName val="0"/>
          <c:showPercent val="0"/>
          <c:showBubbleSize val="0"/>
        </c:dLbls>
        <c:gapWidth val="182"/>
        <c:axId val="169807872"/>
        <c:axId val="169809408"/>
      </c:barChart>
      <c:catAx>
        <c:axId val="1698078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809408"/>
        <c:crosses val="autoZero"/>
        <c:auto val="1"/>
        <c:lblAlgn val="ctr"/>
        <c:lblOffset val="100"/>
        <c:noMultiLvlLbl val="0"/>
      </c:catAx>
      <c:valAx>
        <c:axId val="1698094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807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3"/>
          <c:order val="0"/>
          <c:tx>
            <c:strRef>
              <c:f>'B - CF (Features #)'!$K$1</c:f>
              <c:strCache>
                <c:ptCount val="1"/>
                <c:pt idx="0">
                  <c:v>Done</c:v>
                </c:pt>
              </c:strCache>
            </c:strRef>
          </c:tx>
          <c:spPr>
            <a:solidFill>
              <a:schemeClr val="tx2">
                <a:lumMod val="60000"/>
                <a:lumOff val="40000"/>
              </a:schemeClr>
            </a:solidFill>
          </c:spPr>
          <c:cat>
            <c:numRef>
              <c:f>'B - CF (Features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(Features #)'!$K$2:$K$51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6</c:v>
                </c:pt>
                <c:pt idx="37">
                  <c:v>6</c:v>
                </c:pt>
                <c:pt idx="38">
                  <c:v>6</c:v>
                </c:pt>
                <c:pt idx="39">
                  <c:v>6</c:v>
                </c:pt>
                <c:pt idx="40">
                  <c:v>6</c:v>
                </c:pt>
                <c:pt idx="41">
                  <c:v>6</c:v>
                </c:pt>
                <c:pt idx="42">
                  <c:v>11</c:v>
                </c:pt>
                <c:pt idx="43">
                  <c:v>11</c:v>
                </c:pt>
                <c:pt idx="44">
                  <c:v>11</c:v>
                </c:pt>
                <c:pt idx="45">
                  <c:v>11</c:v>
                </c:pt>
                <c:pt idx="46">
                  <c:v>11</c:v>
                </c:pt>
                <c:pt idx="47">
                  <c:v>11</c:v>
                </c:pt>
                <c:pt idx="48">
                  <c:v>11</c:v>
                </c:pt>
                <c:pt idx="49">
                  <c:v>11</c:v>
                </c:pt>
              </c:numCache>
            </c:numRef>
          </c:val>
          <c:extLst xmlns:c16r2="http://schemas.microsoft.com/office/drawing/2015/06/chart">
            <c:ext xmlns:c16="http://schemas.microsoft.com/office/drawing/2014/chart" uri="{C3380CC4-5D6E-409C-BE32-E72D297353CC}">
              <c16:uniqueId val="{00000000-1004-4F25-AC2A-27492DC4C320}"/>
            </c:ext>
          </c:extLst>
        </c:ser>
        <c:ser>
          <c:idx val="7"/>
          <c:order val="1"/>
          <c:tx>
            <c:strRef>
              <c:f>'B - CF (Features #)'!$J$1</c:f>
              <c:strCache>
                <c:ptCount val="1"/>
                <c:pt idx="0">
                  <c:v>Releasing</c:v>
                </c:pt>
              </c:strCache>
            </c:strRef>
          </c:tx>
          <c:spPr>
            <a:ln w="25400">
              <a:noFill/>
            </a:ln>
          </c:spPr>
          <c:val>
            <c:numRef>
              <c:f>'B - CF (Features #)'!$J$2:$J$51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1-1004-4F25-AC2A-27492DC4C320}"/>
            </c:ext>
          </c:extLst>
        </c:ser>
        <c:ser>
          <c:idx val="6"/>
          <c:order val="2"/>
          <c:tx>
            <c:strRef>
              <c:f>'B - CF (Features #)'!$I$1</c:f>
              <c:strCache>
                <c:ptCount val="1"/>
                <c:pt idx="0">
                  <c:v>Deploying to production</c:v>
                </c:pt>
              </c:strCache>
            </c:strRef>
          </c:tx>
          <c:spPr>
            <a:ln w="25400">
              <a:noFill/>
            </a:ln>
          </c:spPr>
          <c:val>
            <c:numRef>
              <c:f>'B - CF (Features #)'!$I$2:$I$51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2-1004-4F25-AC2A-27492DC4C320}"/>
            </c:ext>
          </c:extLst>
        </c:ser>
        <c:ser>
          <c:idx val="5"/>
          <c:order val="3"/>
          <c:tx>
            <c:strRef>
              <c:f>'B - CF (Features #)'!$H$1</c:f>
              <c:strCache>
                <c:ptCount val="1"/>
                <c:pt idx="0">
                  <c:v>Validating on Staging</c:v>
                </c:pt>
              </c:strCache>
            </c:strRef>
          </c:tx>
          <c:spPr>
            <a:solidFill>
              <a:srgbClr val="FFFF00"/>
            </a:solidFill>
            <a:ln w="25400">
              <a:noFill/>
            </a:ln>
          </c:spPr>
          <c:val>
            <c:numRef>
              <c:f>'B - CF (Features #)'!$H$2:$H$51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2</c:v>
                </c:pt>
                <c:pt idx="43">
                  <c:v>2</c:v>
                </c:pt>
                <c:pt idx="44">
                  <c:v>2</c:v>
                </c:pt>
                <c:pt idx="45">
                  <c:v>2</c:v>
                </c:pt>
                <c:pt idx="46">
                  <c:v>2</c:v>
                </c:pt>
                <c:pt idx="47">
                  <c:v>2</c:v>
                </c:pt>
                <c:pt idx="48">
                  <c:v>2</c:v>
                </c:pt>
                <c:pt idx="49">
                  <c:v>2</c:v>
                </c:pt>
              </c:numCache>
            </c:numRef>
          </c:val>
          <c:extLst xmlns:c16r2="http://schemas.microsoft.com/office/drawing/2015/06/chart">
            <c:ext xmlns:c16="http://schemas.microsoft.com/office/drawing/2014/chart" uri="{C3380CC4-5D6E-409C-BE32-E72D297353CC}">
              <c16:uniqueId val="{00000003-1004-4F25-AC2A-27492DC4C320}"/>
            </c:ext>
          </c:extLst>
        </c:ser>
        <c:ser>
          <c:idx val="4"/>
          <c:order val="4"/>
          <c:tx>
            <c:strRef>
              <c:f>'B - CF (Features #)'!$G$1</c:f>
              <c:strCache>
                <c:ptCount val="1"/>
                <c:pt idx="0">
                  <c:v>Implementing</c:v>
                </c:pt>
              </c:strCache>
            </c:strRef>
          </c:tx>
          <c:spPr>
            <a:solidFill>
              <a:srgbClr val="00B0F0"/>
            </a:solidFill>
            <a:ln w="25400">
              <a:noFill/>
            </a:ln>
          </c:spPr>
          <c:val>
            <c:numRef>
              <c:f>'B - CF (Features #)'!$G$2:$G$51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5</c:v>
                </c:pt>
                <c:pt idx="37">
                  <c:v>5</c:v>
                </c:pt>
                <c:pt idx="38">
                  <c:v>5</c:v>
                </c:pt>
                <c:pt idx="39">
                  <c:v>5</c:v>
                </c:pt>
                <c:pt idx="40">
                  <c:v>5</c:v>
                </c:pt>
                <c:pt idx="41">
                  <c:v>5</c:v>
                </c:pt>
                <c:pt idx="42">
                  <c:v>2</c:v>
                </c:pt>
                <c:pt idx="43">
                  <c:v>2</c:v>
                </c:pt>
                <c:pt idx="44">
                  <c:v>2</c:v>
                </c:pt>
                <c:pt idx="45">
                  <c:v>2</c:v>
                </c:pt>
                <c:pt idx="46">
                  <c:v>2</c:v>
                </c:pt>
                <c:pt idx="47">
                  <c:v>2</c:v>
                </c:pt>
                <c:pt idx="48">
                  <c:v>2</c:v>
                </c:pt>
                <c:pt idx="49">
                  <c:v>2</c:v>
                </c:pt>
              </c:numCache>
            </c:numRef>
          </c:val>
          <c:extLst xmlns:c16r2="http://schemas.microsoft.com/office/drawing/2015/06/chart">
            <c:ext xmlns:c16="http://schemas.microsoft.com/office/drawing/2014/chart" uri="{C3380CC4-5D6E-409C-BE32-E72D297353CC}">
              <c16:uniqueId val="{00000004-1004-4F25-AC2A-27492DC4C320}"/>
            </c:ext>
          </c:extLst>
        </c:ser>
        <c:ser>
          <c:idx val="2"/>
          <c:order val="5"/>
          <c:tx>
            <c:strRef>
              <c:f>'B - CF (Features #)'!$F$1</c:f>
              <c:strCache>
                <c:ptCount val="1"/>
                <c:pt idx="0">
                  <c:v>Backlog</c:v>
                </c:pt>
              </c:strCache>
            </c:strRef>
          </c:tx>
          <c:spPr>
            <a:solidFill>
              <a:schemeClr val="accent6"/>
            </a:solidFill>
          </c:spPr>
          <c:cat>
            <c:numRef>
              <c:f>'B - CF (Features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(Features #)'!$F$2:$F$51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4</c:v>
                </c:pt>
                <c:pt idx="37">
                  <c:v>4</c:v>
                </c:pt>
                <c:pt idx="38">
                  <c:v>4</c:v>
                </c:pt>
                <c:pt idx="39">
                  <c:v>4</c:v>
                </c:pt>
                <c:pt idx="40">
                  <c:v>4</c:v>
                </c:pt>
                <c:pt idx="41">
                  <c:v>4</c:v>
                </c:pt>
                <c:pt idx="42">
                  <c:v>4</c:v>
                </c:pt>
                <c:pt idx="43">
                  <c:v>4</c:v>
                </c:pt>
                <c:pt idx="44">
                  <c:v>4</c:v>
                </c:pt>
                <c:pt idx="45">
                  <c:v>4</c:v>
                </c:pt>
                <c:pt idx="46">
                  <c:v>4</c:v>
                </c:pt>
                <c:pt idx="47">
                  <c:v>4</c:v>
                </c:pt>
                <c:pt idx="48">
                  <c:v>4</c:v>
                </c:pt>
                <c:pt idx="49">
                  <c:v>4</c:v>
                </c:pt>
              </c:numCache>
            </c:numRef>
          </c:val>
          <c:extLst xmlns:c16r2="http://schemas.microsoft.com/office/drawing/2015/06/chart">
            <c:ext xmlns:c16="http://schemas.microsoft.com/office/drawing/2014/chart" uri="{C3380CC4-5D6E-409C-BE32-E72D297353CC}">
              <c16:uniqueId val="{00000005-1004-4F25-AC2A-27492DC4C320}"/>
            </c:ext>
          </c:extLst>
        </c:ser>
        <c:ser>
          <c:idx val="1"/>
          <c:order val="6"/>
          <c:tx>
            <c:strRef>
              <c:f>'B - CF (Features #)'!$E$1</c:f>
              <c:strCache>
                <c:ptCount val="1"/>
                <c:pt idx="0">
                  <c:v>Analyzing</c:v>
                </c:pt>
              </c:strCache>
            </c:strRef>
          </c:tx>
          <c:spPr>
            <a:solidFill>
              <a:srgbClr val="7030A0"/>
            </a:solidFill>
          </c:spPr>
          <c:cat>
            <c:numRef>
              <c:f>'B - CF (Features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(Features #)'!$E$2:$E$51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c:v>
                </c:pt>
                <c:pt idx="37">
                  <c:v>2</c:v>
                </c:pt>
                <c:pt idx="38">
                  <c:v>2</c:v>
                </c:pt>
                <c:pt idx="39">
                  <c:v>2</c:v>
                </c:pt>
                <c:pt idx="40">
                  <c:v>2</c:v>
                </c:pt>
                <c:pt idx="41">
                  <c:v>2</c:v>
                </c:pt>
                <c:pt idx="42">
                  <c:v>1</c:v>
                </c:pt>
                <c:pt idx="43">
                  <c:v>1</c:v>
                </c:pt>
                <c:pt idx="44">
                  <c:v>1</c:v>
                </c:pt>
                <c:pt idx="45">
                  <c:v>1</c:v>
                </c:pt>
                <c:pt idx="46">
                  <c:v>1</c:v>
                </c:pt>
                <c:pt idx="47">
                  <c:v>1</c:v>
                </c:pt>
                <c:pt idx="48">
                  <c:v>1</c:v>
                </c:pt>
                <c:pt idx="49">
                  <c:v>1</c:v>
                </c:pt>
              </c:numCache>
            </c:numRef>
          </c:val>
          <c:extLst xmlns:c16r2="http://schemas.microsoft.com/office/drawing/2015/06/chart">
            <c:ext xmlns:c16="http://schemas.microsoft.com/office/drawing/2014/chart" uri="{C3380CC4-5D6E-409C-BE32-E72D297353CC}">
              <c16:uniqueId val="{00000006-1004-4F25-AC2A-27492DC4C320}"/>
            </c:ext>
          </c:extLst>
        </c:ser>
        <c:ser>
          <c:idx val="0"/>
          <c:order val="7"/>
          <c:tx>
            <c:strRef>
              <c:f>'B - CF (Features #)'!$D$1</c:f>
              <c:strCache>
                <c:ptCount val="1"/>
                <c:pt idx="0">
                  <c:v>Funnel</c:v>
                </c:pt>
              </c:strCache>
            </c:strRef>
          </c:tx>
          <c:spPr>
            <a:solidFill>
              <a:srgbClr val="CC6600"/>
            </a:solidFill>
          </c:spPr>
          <c:cat>
            <c:numRef>
              <c:f>'B - CF (Features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(Features #)'!$D$2:$D$51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numCache>
            </c:numRef>
          </c:val>
          <c:extLst xmlns:c16r2="http://schemas.microsoft.com/office/drawing/2015/06/chart">
            <c:ext xmlns:c16="http://schemas.microsoft.com/office/drawing/2014/chart" uri="{C3380CC4-5D6E-409C-BE32-E72D297353CC}">
              <c16:uniqueId val="{00000007-1004-4F25-AC2A-27492DC4C320}"/>
            </c:ext>
          </c:extLst>
        </c:ser>
        <c:dLbls>
          <c:showLegendKey val="0"/>
          <c:showVal val="0"/>
          <c:showCatName val="0"/>
          <c:showSerName val="0"/>
          <c:showPercent val="0"/>
          <c:showBubbleSize val="0"/>
        </c:dLbls>
        <c:axId val="166673024"/>
        <c:axId val="166678912"/>
      </c:areaChart>
      <c:dateAx>
        <c:axId val="166673024"/>
        <c:scaling>
          <c:orientation val="minMax"/>
        </c:scaling>
        <c:delete val="0"/>
        <c:axPos val="b"/>
        <c:numFmt formatCode="m/d/yyyy" sourceLinked="1"/>
        <c:majorTickMark val="out"/>
        <c:minorTickMark val="none"/>
        <c:tickLblPos val="nextTo"/>
        <c:crossAx val="166678912"/>
        <c:crosses val="autoZero"/>
        <c:auto val="1"/>
        <c:lblOffset val="100"/>
        <c:baseTimeUnit val="days"/>
      </c:dateAx>
      <c:valAx>
        <c:axId val="166678912"/>
        <c:scaling>
          <c:orientation val="minMax"/>
        </c:scaling>
        <c:delete val="0"/>
        <c:axPos val="l"/>
        <c:majorGridlines/>
        <c:numFmt formatCode="General" sourceLinked="1"/>
        <c:majorTickMark val="out"/>
        <c:minorTickMark val="none"/>
        <c:tickLblPos val="nextTo"/>
        <c:crossAx val="166673024"/>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3"/>
          <c:order val="0"/>
          <c:tx>
            <c:strRef>
              <c:f>'B - CF (Enablers #)'!$K$1</c:f>
              <c:strCache>
                <c:ptCount val="1"/>
                <c:pt idx="0">
                  <c:v>Done</c:v>
                </c:pt>
              </c:strCache>
            </c:strRef>
          </c:tx>
          <c:spPr>
            <a:solidFill>
              <a:schemeClr val="tx2">
                <a:lumMod val="60000"/>
                <a:lumOff val="40000"/>
              </a:schemeClr>
            </a:solidFill>
          </c:spPr>
          <c:cat>
            <c:numRef>
              <c:f>'B - CF (Enablers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(Enablers #)'!$K$2:$K$51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0-D1D6-4CC4-91CA-2E7B82EC8340}"/>
            </c:ext>
          </c:extLst>
        </c:ser>
        <c:ser>
          <c:idx val="7"/>
          <c:order val="1"/>
          <c:tx>
            <c:strRef>
              <c:f>'B - CF (Enablers #)'!$J$1</c:f>
              <c:strCache>
                <c:ptCount val="1"/>
                <c:pt idx="0">
                  <c:v>Releasing</c:v>
                </c:pt>
              </c:strCache>
            </c:strRef>
          </c:tx>
          <c:spPr>
            <a:ln w="25400">
              <a:noFill/>
            </a:ln>
          </c:spPr>
          <c:val>
            <c:numRef>
              <c:f>'B - CF (Enablers #)'!$J$2:$J$51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1-D1D6-4CC4-91CA-2E7B82EC8340}"/>
            </c:ext>
          </c:extLst>
        </c:ser>
        <c:ser>
          <c:idx val="6"/>
          <c:order val="2"/>
          <c:tx>
            <c:strRef>
              <c:f>'B - CF (Enablers #)'!$I$1</c:f>
              <c:strCache>
                <c:ptCount val="1"/>
                <c:pt idx="0">
                  <c:v>Deploying to production</c:v>
                </c:pt>
              </c:strCache>
            </c:strRef>
          </c:tx>
          <c:spPr>
            <a:ln w="25400">
              <a:noFill/>
            </a:ln>
          </c:spPr>
          <c:val>
            <c:numRef>
              <c:f>'B - CF (Enablers #)'!$I$2:$I$51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2-D1D6-4CC4-91CA-2E7B82EC8340}"/>
            </c:ext>
          </c:extLst>
        </c:ser>
        <c:ser>
          <c:idx val="5"/>
          <c:order val="3"/>
          <c:tx>
            <c:strRef>
              <c:f>'B - CF (Enablers #)'!$H$1</c:f>
              <c:strCache>
                <c:ptCount val="1"/>
                <c:pt idx="0">
                  <c:v>Validating on Staging</c:v>
                </c:pt>
              </c:strCache>
            </c:strRef>
          </c:tx>
          <c:spPr>
            <a:solidFill>
              <a:srgbClr val="FFFF00"/>
            </a:solidFill>
            <a:ln w="25400">
              <a:noFill/>
            </a:ln>
          </c:spPr>
          <c:val>
            <c:numRef>
              <c:f>'B - CF (Enablers #)'!$H$2:$H$51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3-D1D6-4CC4-91CA-2E7B82EC8340}"/>
            </c:ext>
          </c:extLst>
        </c:ser>
        <c:ser>
          <c:idx val="4"/>
          <c:order val="4"/>
          <c:tx>
            <c:strRef>
              <c:f>'B - CF (Enablers #)'!$G$1</c:f>
              <c:strCache>
                <c:ptCount val="1"/>
                <c:pt idx="0">
                  <c:v>Implementing</c:v>
                </c:pt>
              </c:strCache>
            </c:strRef>
          </c:tx>
          <c:spPr>
            <a:solidFill>
              <a:srgbClr val="00B0F0"/>
            </a:solidFill>
            <a:ln w="25400">
              <a:noFill/>
            </a:ln>
          </c:spPr>
          <c:val>
            <c:numRef>
              <c:f>'B - CF (Enablers #)'!$G$2:$G$51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4</c:v>
                </c:pt>
                <c:pt idx="36">
                  <c:v>1</c:v>
                </c:pt>
                <c:pt idx="37">
                  <c:v>1</c:v>
                </c:pt>
                <c:pt idx="38">
                  <c:v>1</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4-D1D6-4CC4-91CA-2E7B82EC8340}"/>
            </c:ext>
          </c:extLst>
        </c:ser>
        <c:ser>
          <c:idx val="2"/>
          <c:order val="5"/>
          <c:tx>
            <c:strRef>
              <c:f>'B - CF (Enablers #)'!$F$1</c:f>
              <c:strCache>
                <c:ptCount val="1"/>
                <c:pt idx="0">
                  <c:v>Backlog</c:v>
                </c:pt>
              </c:strCache>
            </c:strRef>
          </c:tx>
          <c:spPr>
            <a:solidFill>
              <a:schemeClr val="accent6"/>
            </a:solidFill>
          </c:spPr>
          <c:cat>
            <c:numRef>
              <c:f>'B - CF (Enablers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(Enablers #)'!$F$2:$F$51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2</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5-D1D6-4CC4-91CA-2E7B82EC8340}"/>
            </c:ext>
          </c:extLst>
        </c:ser>
        <c:ser>
          <c:idx val="1"/>
          <c:order val="6"/>
          <c:tx>
            <c:strRef>
              <c:f>'B - CF (Enablers #)'!$E$1</c:f>
              <c:strCache>
                <c:ptCount val="1"/>
                <c:pt idx="0">
                  <c:v>Analyzing</c:v>
                </c:pt>
              </c:strCache>
            </c:strRef>
          </c:tx>
          <c:spPr>
            <a:solidFill>
              <a:srgbClr val="7030A0"/>
            </a:solidFill>
          </c:spPr>
          <c:cat>
            <c:numRef>
              <c:f>'B - CF (Enablers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(Enablers #)'!$E$2:$E$51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6-D1D6-4CC4-91CA-2E7B82EC8340}"/>
            </c:ext>
          </c:extLst>
        </c:ser>
        <c:ser>
          <c:idx val="0"/>
          <c:order val="7"/>
          <c:tx>
            <c:strRef>
              <c:f>'B - CF (Enablers #)'!$D$1</c:f>
              <c:strCache>
                <c:ptCount val="1"/>
                <c:pt idx="0">
                  <c:v>Funnel</c:v>
                </c:pt>
              </c:strCache>
            </c:strRef>
          </c:tx>
          <c:spPr>
            <a:solidFill>
              <a:srgbClr val="CC6600"/>
            </a:solidFill>
          </c:spPr>
          <c:cat>
            <c:numRef>
              <c:f>'B - CF (Enablers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(Enablers #)'!$D$2:$D$51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7-D1D6-4CC4-91CA-2E7B82EC8340}"/>
            </c:ext>
          </c:extLst>
        </c:ser>
        <c:dLbls>
          <c:showLegendKey val="0"/>
          <c:showVal val="0"/>
          <c:showCatName val="0"/>
          <c:showSerName val="0"/>
          <c:showPercent val="0"/>
          <c:showBubbleSize val="0"/>
        </c:dLbls>
        <c:axId val="168346752"/>
        <c:axId val="168348288"/>
      </c:areaChart>
      <c:dateAx>
        <c:axId val="168346752"/>
        <c:scaling>
          <c:orientation val="minMax"/>
        </c:scaling>
        <c:delete val="0"/>
        <c:axPos val="b"/>
        <c:numFmt formatCode="m/d/yyyy" sourceLinked="1"/>
        <c:majorTickMark val="out"/>
        <c:minorTickMark val="none"/>
        <c:tickLblPos val="nextTo"/>
        <c:crossAx val="168348288"/>
        <c:crosses val="autoZero"/>
        <c:auto val="1"/>
        <c:lblOffset val="100"/>
        <c:baseTimeUnit val="days"/>
      </c:dateAx>
      <c:valAx>
        <c:axId val="168348288"/>
        <c:scaling>
          <c:orientation val="minMax"/>
        </c:scaling>
        <c:delete val="0"/>
        <c:axPos val="l"/>
        <c:majorGridlines/>
        <c:numFmt formatCode="General" sourceLinked="1"/>
        <c:majorTickMark val="out"/>
        <c:minorTickMark val="none"/>
        <c:tickLblPos val="nextTo"/>
        <c:crossAx val="168346752"/>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5"/>
          <c:order val="0"/>
          <c:tx>
            <c:strRef>
              <c:f>'B - CF (Stories #)'!$H$1</c:f>
              <c:strCache>
                <c:ptCount val="1"/>
                <c:pt idx="0">
                  <c:v>Done</c:v>
                </c:pt>
              </c:strCache>
            </c:strRef>
          </c:tx>
          <c:spPr>
            <a:solidFill>
              <a:srgbClr val="FFFF00"/>
            </a:solidFill>
            <a:ln w="25400">
              <a:noFill/>
            </a:ln>
          </c:spPr>
          <c:val>
            <c:numRef>
              <c:f>'B - CF (Stories #)'!$H$2:$H$51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38</c:v>
                </c:pt>
                <c:pt idx="37">
                  <c:v>38</c:v>
                </c:pt>
                <c:pt idx="38">
                  <c:v>38</c:v>
                </c:pt>
                <c:pt idx="39">
                  <c:v>38</c:v>
                </c:pt>
                <c:pt idx="40">
                  <c:v>38</c:v>
                </c:pt>
                <c:pt idx="41">
                  <c:v>38</c:v>
                </c:pt>
                <c:pt idx="42">
                  <c:v>38</c:v>
                </c:pt>
                <c:pt idx="43">
                  <c:v>38</c:v>
                </c:pt>
                <c:pt idx="44">
                  <c:v>38</c:v>
                </c:pt>
                <c:pt idx="45">
                  <c:v>38</c:v>
                </c:pt>
                <c:pt idx="46">
                  <c:v>38</c:v>
                </c:pt>
                <c:pt idx="47">
                  <c:v>38</c:v>
                </c:pt>
                <c:pt idx="48">
                  <c:v>38</c:v>
                </c:pt>
                <c:pt idx="49">
                  <c:v>38</c:v>
                </c:pt>
              </c:numCache>
            </c:numRef>
          </c:val>
          <c:extLst xmlns:c16r2="http://schemas.microsoft.com/office/drawing/2015/06/chart">
            <c:ext xmlns:c16="http://schemas.microsoft.com/office/drawing/2014/chart" uri="{C3380CC4-5D6E-409C-BE32-E72D297353CC}">
              <c16:uniqueId val="{00000000-8064-4EED-ADAE-4194E5F9B804}"/>
            </c:ext>
          </c:extLst>
        </c:ser>
        <c:ser>
          <c:idx val="4"/>
          <c:order val="1"/>
          <c:tx>
            <c:strRef>
              <c:f>'B - CF (Stories #)'!$G$1</c:f>
              <c:strCache>
                <c:ptCount val="1"/>
                <c:pt idx="0">
                  <c:v>Close</c:v>
                </c:pt>
              </c:strCache>
            </c:strRef>
          </c:tx>
          <c:spPr>
            <a:solidFill>
              <a:srgbClr val="00B0F0"/>
            </a:solidFill>
            <a:ln w="25400">
              <a:noFill/>
            </a:ln>
          </c:spPr>
          <c:val>
            <c:numRef>
              <c:f>'B - CF (Stories #)'!$G$2:$G$51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numCache>
            </c:numRef>
          </c:val>
          <c:extLst xmlns:c16r2="http://schemas.microsoft.com/office/drawing/2015/06/chart">
            <c:ext xmlns:c16="http://schemas.microsoft.com/office/drawing/2014/chart" uri="{C3380CC4-5D6E-409C-BE32-E72D297353CC}">
              <c16:uniqueId val="{00000001-8064-4EED-ADAE-4194E5F9B804}"/>
            </c:ext>
          </c:extLst>
        </c:ser>
        <c:ser>
          <c:idx val="2"/>
          <c:order val="2"/>
          <c:tx>
            <c:strRef>
              <c:f>'B - CF (Stories #)'!$F$1</c:f>
              <c:strCache>
                <c:ptCount val="1"/>
                <c:pt idx="0">
                  <c:v>In review</c:v>
                </c:pt>
              </c:strCache>
            </c:strRef>
          </c:tx>
          <c:spPr>
            <a:solidFill>
              <a:schemeClr val="accent6"/>
            </a:solidFill>
          </c:spPr>
          <c:cat>
            <c:numRef>
              <c:f>'B - CF (Stories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(Stories #)'!$F$2:$F$51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5</c:v>
                </c:pt>
                <c:pt idx="37">
                  <c:v>5</c:v>
                </c:pt>
                <c:pt idx="38">
                  <c:v>5</c:v>
                </c:pt>
                <c:pt idx="39">
                  <c:v>6</c:v>
                </c:pt>
                <c:pt idx="40">
                  <c:v>6</c:v>
                </c:pt>
                <c:pt idx="41">
                  <c:v>6</c:v>
                </c:pt>
                <c:pt idx="42">
                  <c:v>6</c:v>
                </c:pt>
                <c:pt idx="43">
                  <c:v>6</c:v>
                </c:pt>
                <c:pt idx="44">
                  <c:v>6</c:v>
                </c:pt>
                <c:pt idx="45">
                  <c:v>6</c:v>
                </c:pt>
                <c:pt idx="46">
                  <c:v>6</c:v>
                </c:pt>
                <c:pt idx="47">
                  <c:v>6</c:v>
                </c:pt>
                <c:pt idx="48">
                  <c:v>6</c:v>
                </c:pt>
                <c:pt idx="49">
                  <c:v>6</c:v>
                </c:pt>
              </c:numCache>
            </c:numRef>
          </c:val>
          <c:extLst xmlns:c16r2="http://schemas.microsoft.com/office/drawing/2015/06/chart">
            <c:ext xmlns:c16="http://schemas.microsoft.com/office/drawing/2014/chart" uri="{C3380CC4-5D6E-409C-BE32-E72D297353CC}">
              <c16:uniqueId val="{00000002-8064-4EED-ADAE-4194E5F9B804}"/>
            </c:ext>
          </c:extLst>
        </c:ser>
        <c:ser>
          <c:idx val="1"/>
          <c:order val="3"/>
          <c:tx>
            <c:strRef>
              <c:f>'B - CF (Stories #)'!$E$1</c:f>
              <c:strCache>
                <c:ptCount val="1"/>
                <c:pt idx="0">
                  <c:v>In Progress</c:v>
                </c:pt>
              </c:strCache>
            </c:strRef>
          </c:tx>
          <c:spPr>
            <a:solidFill>
              <a:srgbClr val="7030A0"/>
            </a:solidFill>
          </c:spPr>
          <c:cat>
            <c:numRef>
              <c:f>'B - CF (Stories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(Stories #)'!$E$2:$E$51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11</c:v>
                </c:pt>
                <c:pt idx="37">
                  <c:v>11</c:v>
                </c:pt>
                <c:pt idx="38">
                  <c:v>11</c:v>
                </c:pt>
                <c:pt idx="39">
                  <c:v>11</c:v>
                </c:pt>
                <c:pt idx="40">
                  <c:v>11</c:v>
                </c:pt>
                <c:pt idx="41">
                  <c:v>11</c:v>
                </c:pt>
                <c:pt idx="42">
                  <c:v>11</c:v>
                </c:pt>
                <c:pt idx="43">
                  <c:v>11</c:v>
                </c:pt>
                <c:pt idx="44">
                  <c:v>11</c:v>
                </c:pt>
                <c:pt idx="45">
                  <c:v>11</c:v>
                </c:pt>
                <c:pt idx="46">
                  <c:v>11</c:v>
                </c:pt>
                <c:pt idx="47">
                  <c:v>11</c:v>
                </c:pt>
                <c:pt idx="48">
                  <c:v>11</c:v>
                </c:pt>
                <c:pt idx="49">
                  <c:v>11</c:v>
                </c:pt>
              </c:numCache>
            </c:numRef>
          </c:val>
          <c:extLst xmlns:c16r2="http://schemas.microsoft.com/office/drawing/2015/06/chart">
            <c:ext xmlns:c16="http://schemas.microsoft.com/office/drawing/2014/chart" uri="{C3380CC4-5D6E-409C-BE32-E72D297353CC}">
              <c16:uniqueId val="{00000003-8064-4EED-ADAE-4194E5F9B804}"/>
            </c:ext>
          </c:extLst>
        </c:ser>
        <c:ser>
          <c:idx val="0"/>
          <c:order val="4"/>
          <c:tx>
            <c:strRef>
              <c:f>'B - CF (Stories #)'!$D$1</c:f>
              <c:strCache>
                <c:ptCount val="1"/>
                <c:pt idx="0">
                  <c:v>Open</c:v>
                </c:pt>
              </c:strCache>
            </c:strRef>
          </c:tx>
          <c:spPr>
            <a:solidFill>
              <a:srgbClr val="CC6600"/>
            </a:solidFill>
          </c:spPr>
          <c:cat>
            <c:numRef>
              <c:f>'B - CF (Stories #)'!$C$2:$C$51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(Stories #)'!$D$2:$D$51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22</c:v>
                </c:pt>
                <c:pt idx="37">
                  <c:v>22</c:v>
                </c:pt>
                <c:pt idx="38">
                  <c:v>22</c:v>
                </c:pt>
                <c:pt idx="39">
                  <c:v>21</c:v>
                </c:pt>
                <c:pt idx="40">
                  <c:v>21</c:v>
                </c:pt>
                <c:pt idx="41">
                  <c:v>21</c:v>
                </c:pt>
                <c:pt idx="42">
                  <c:v>21</c:v>
                </c:pt>
                <c:pt idx="43">
                  <c:v>21</c:v>
                </c:pt>
                <c:pt idx="44">
                  <c:v>21</c:v>
                </c:pt>
                <c:pt idx="45">
                  <c:v>21</c:v>
                </c:pt>
                <c:pt idx="46">
                  <c:v>21</c:v>
                </c:pt>
                <c:pt idx="47">
                  <c:v>21</c:v>
                </c:pt>
                <c:pt idx="48">
                  <c:v>21</c:v>
                </c:pt>
                <c:pt idx="49">
                  <c:v>21</c:v>
                </c:pt>
              </c:numCache>
            </c:numRef>
          </c:val>
          <c:extLst xmlns:c16r2="http://schemas.microsoft.com/office/drawing/2015/06/chart">
            <c:ext xmlns:c16="http://schemas.microsoft.com/office/drawing/2014/chart" uri="{C3380CC4-5D6E-409C-BE32-E72D297353CC}">
              <c16:uniqueId val="{00000004-8064-4EED-ADAE-4194E5F9B804}"/>
            </c:ext>
          </c:extLst>
        </c:ser>
        <c:dLbls>
          <c:showLegendKey val="0"/>
          <c:showVal val="0"/>
          <c:showCatName val="0"/>
          <c:showSerName val="0"/>
          <c:showPercent val="0"/>
          <c:showBubbleSize val="0"/>
        </c:dLbls>
        <c:axId val="170180992"/>
        <c:axId val="170182528"/>
      </c:areaChart>
      <c:catAx>
        <c:axId val="170180992"/>
        <c:scaling>
          <c:orientation val="minMax"/>
        </c:scaling>
        <c:delete val="0"/>
        <c:axPos val="b"/>
        <c:numFmt formatCode="m/d/yyyy" sourceLinked="1"/>
        <c:majorTickMark val="out"/>
        <c:minorTickMark val="none"/>
        <c:tickLblPos val="nextTo"/>
        <c:crossAx val="170182528"/>
        <c:crosses val="autoZero"/>
        <c:auto val="1"/>
        <c:lblAlgn val="ctr"/>
        <c:lblOffset val="100"/>
        <c:noMultiLvlLbl val="0"/>
      </c:catAx>
      <c:valAx>
        <c:axId val="170182528"/>
        <c:scaling>
          <c:orientation val="minMax"/>
        </c:scaling>
        <c:delete val="0"/>
        <c:axPos val="l"/>
        <c:majorGridlines/>
        <c:numFmt formatCode="General" sourceLinked="1"/>
        <c:majorTickMark val="out"/>
        <c:minorTickMark val="none"/>
        <c:tickLblPos val="nextTo"/>
        <c:crossAx val="170180992"/>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3"/>
          <c:order val="0"/>
          <c:tx>
            <c:strRef>
              <c:f>'B - CF (Features SP)'!$K$1</c:f>
              <c:strCache>
                <c:ptCount val="1"/>
                <c:pt idx="0">
                  <c:v>Done</c:v>
                </c:pt>
              </c:strCache>
            </c:strRef>
          </c:tx>
          <c:spPr>
            <a:solidFill>
              <a:schemeClr val="tx2">
                <a:lumMod val="60000"/>
                <a:lumOff val="40000"/>
              </a:schemeClr>
            </a:solidFill>
          </c:spPr>
          <c:cat>
            <c:numRef>
              <c:f>'B - CF (Features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(Features SP)'!$K$2:$K$51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8</c:v>
                </c:pt>
                <c:pt idx="37">
                  <c:v>8</c:v>
                </c:pt>
                <c:pt idx="38">
                  <c:v>8</c:v>
                </c:pt>
                <c:pt idx="39">
                  <c:v>8</c:v>
                </c:pt>
                <c:pt idx="40">
                  <c:v>8</c:v>
                </c:pt>
                <c:pt idx="41">
                  <c:v>8</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0-58A1-42FC-837F-4CCBA3682EF2}"/>
            </c:ext>
          </c:extLst>
        </c:ser>
        <c:ser>
          <c:idx val="7"/>
          <c:order val="1"/>
          <c:tx>
            <c:strRef>
              <c:f>'B - CF (Features SP)'!$J$1</c:f>
              <c:strCache>
                <c:ptCount val="1"/>
                <c:pt idx="0">
                  <c:v>Releasing</c:v>
                </c:pt>
              </c:strCache>
            </c:strRef>
          </c:tx>
          <c:spPr>
            <a:ln w="25400">
              <a:noFill/>
            </a:ln>
          </c:spPr>
          <c:val>
            <c:numRef>
              <c:f>'B - CF (Features SP)'!$J$2:$J$51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1-58A1-42FC-837F-4CCBA3682EF2}"/>
            </c:ext>
          </c:extLst>
        </c:ser>
        <c:ser>
          <c:idx val="6"/>
          <c:order val="2"/>
          <c:tx>
            <c:strRef>
              <c:f>'B - CF (Features SP)'!$I$1</c:f>
              <c:strCache>
                <c:ptCount val="1"/>
                <c:pt idx="0">
                  <c:v>Deploying to production</c:v>
                </c:pt>
              </c:strCache>
            </c:strRef>
          </c:tx>
          <c:spPr>
            <a:ln w="25400">
              <a:noFill/>
            </a:ln>
          </c:spPr>
          <c:val>
            <c:numRef>
              <c:f>'B - CF (Features SP)'!$I$2:$I$51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2-58A1-42FC-837F-4CCBA3682EF2}"/>
            </c:ext>
          </c:extLst>
        </c:ser>
        <c:ser>
          <c:idx val="5"/>
          <c:order val="3"/>
          <c:tx>
            <c:strRef>
              <c:f>'B - CF (Features SP)'!$H$1</c:f>
              <c:strCache>
                <c:ptCount val="1"/>
                <c:pt idx="0">
                  <c:v>Validating on Staging</c:v>
                </c:pt>
              </c:strCache>
            </c:strRef>
          </c:tx>
          <c:spPr>
            <a:solidFill>
              <a:srgbClr val="FFFF00"/>
            </a:solidFill>
            <a:ln w="25400">
              <a:noFill/>
            </a:ln>
          </c:spPr>
          <c:val>
            <c:numRef>
              <c:f>'B - CF (Features SP)'!$H$2:$H$51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c:v>
                </c:pt>
                <c:pt idx="37">
                  <c:v>2</c:v>
                </c:pt>
                <c:pt idx="38">
                  <c:v>2</c:v>
                </c:pt>
                <c:pt idx="39">
                  <c:v>2</c:v>
                </c:pt>
                <c:pt idx="40">
                  <c:v>2</c:v>
                </c:pt>
                <c:pt idx="41">
                  <c:v>2</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3-58A1-42FC-837F-4CCBA3682EF2}"/>
            </c:ext>
          </c:extLst>
        </c:ser>
        <c:ser>
          <c:idx val="4"/>
          <c:order val="4"/>
          <c:tx>
            <c:strRef>
              <c:f>'B - CF (Features SP)'!$G$1</c:f>
              <c:strCache>
                <c:ptCount val="1"/>
                <c:pt idx="0">
                  <c:v>Implementing</c:v>
                </c:pt>
              </c:strCache>
            </c:strRef>
          </c:tx>
          <c:spPr>
            <a:solidFill>
              <a:srgbClr val="00B0F0"/>
            </a:solidFill>
            <a:ln w="25400">
              <a:noFill/>
            </a:ln>
          </c:spPr>
          <c:val>
            <c:numRef>
              <c:f>'B - CF (Features SP)'!$G$2:$G$51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13</c:v>
                </c:pt>
                <c:pt idx="37">
                  <c:v>13</c:v>
                </c:pt>
                <c:pt idx="38">
                  <c:v>13</c:v>
                </c:pt>
                <c:pt idx="39">
                  <c:v>13</c:v>
                </c:pt>
                <c:pt idx="40">
                  <c:v>13</c:v>
                </c:pt>
                <c:pt idx="41">
                  <c:v>13</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4-58A1-42FC-837F-4CCBA3682EF2}"/>
            </c:ext>
          </c:extLst>
        </c:ser>
        <c:ser>
          <c:idx val="2"/>
          <c:order val="5"/>
          <c:tx>
            <c:strRef>
              <c:f>'B - CF (Features SP)'!$F$1</c:f>
              <c:strCache>
                <c:ptCount val="1"/>
                <c:pt idx="0">
                  <c:v>Backlog</c:v>
                </c:pt>
              </c:strCache>
            </c:strRef>
          </c:tx>
          <c:spPr>
            <a:solidFill>
              <a:schemeClr val="accent6"/>
            </a:solidFill>
          </c:spPr>
          <c:cat>
            <c:numRef>
              <c:f>'B - CF (Features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(Features SP)'!$F$2:$F$51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3</c:v>
                </c:pt>
                <c:pt idx="37">
                  <c:v>3</c:v>
                </c:pt>
                <c:pt idx="38">
                  <c:v>3</c:v>
                </c:pt>
                <c:pt idx="39">
                  <c:v>3</c:v>
                </c:pt>
                <c:pt idx="40">
                  <c:v>3</c:v>
                </c:pt>
                <c:pt idx="41">
                  <c:v>3</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5-58A1-42FC-837F-4CCBA3682EF2}"/>
            </c:ext>
          </c:extLst>
        </c:ser>
        <c:ser>
          <c:idx val="1"/>
          <c:order val="6"/>
          <c:tx>
            <c:strRef>
              <c:f>'B - CF (Features SP)'!$E$1</c:f>
              <c:strCache>
                <c:ptCount val="1"/>
                <c:pt idx="0">
                  <c:v>Analyzing</c:v>
                </c:pt>
              </c:strCache>
            </c:strRef>
          </c:tx>
          <c:spPr>
            <a:solidFill>
              <a:srgbClr val="7030A0"/>
            </a:solidFill>
          </c:spPr>
          <c:cat>
            <c:numRef>
              <c:f>'B - CF (Features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(Features SP)'!$E$2:$E$51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3</c:v>
                </c:pt>
                <c:pt idx="37">
                  <c:v>3</c:v>
                </c:pt>
                <c:pt idx="38">
                  <c:v>3</c:v>
                </c:pt>
                <c:pt idx="39">
                  <c:v>3</c:v>
                </c:pt>
                <c:pt idx="40">
                  <c:v>3</c:v>
                </c:pt>
                <c:pt idx="41">
                  <c:v>3</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6-58A1-42FC-837F-4CCBA3682EF2}"/>
            </c:ext>
          </c:extLst>
        </c:ser>
        <c:ser>
          <c:idx val="0"/>
          <c:order val="7"/>
          <c:tx>
            <c:strRef>
              <c:f>'B - CF (Features SP)'!$D$1</c:f>
              <c:strCache>
                <c:ptCount val="1"/>
                <c:pt idx="0">
                  <c:v>Funnel</c:v>
                </c:pt>
              </c:strCache>
            </c:strRef>
          </c:tx>
          <c:spPr>
            <a:solidFill>
              <a:srgbClr val="CC6600"/>
            </a:solidFill>
          </c:spPr>
          <c:cat>
            <c:numRef>
              <c:f>'B - CF (Features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(Features SP)'!$D$2:$D$51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3</c:v>
                </c:pt>
                <c:pt idx="37">
                  <c:v>3</c:v>
                </c:pt>
                <c:pt idx="38">
                  <c:v>3</c:v>
                </c:pt>
                <c:pt idx="39">
                  <c:v>3</c:v>
                </c:pt>
                <c:pt idx="40">
                  <c:v>3</c:v>
                </c:pt>
                <c:pt idx="41">
                  <c:v>3</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7-58A1-42FC-837F-4CCBA3682EF2}"/>
            </c:ext>
          </c:extLst>
        </c:ser>
        <c:dLbls>
          <c:showLegendKey val="0"/>
          <c:showVal val="0"/>
          <c:showCatName val="0"/>
          <c:showSerName val="0"/>
          <c:showPercent val="0"/>
          <c:showBubbleSize val="0"/>
        </c:dLbls>
        <c:axId val="170281984"/>
        <c:axId val="170287872"/>
      </c:areaChart>
      <c:dateAx>
        <c:axId val="170281984"/>
        <c:scaling>
          <c:orientation val="minMax"/>
        </c:scaling>
        <c:delete val="0"/>
        <c:axPos val="b"/>
        <c:numFmt formatCode="m/d/yyyy" sourceLinked="1"/>
        <c:majorTickMark val="out"/>
        <c:minorTickMark val="none"/>
        <c:tickLblPos val="nextTo"/>
        <c:crossAx val="170287872"/>
        <c:crosses val="autoZero"/>
        <c:auto val="1"/>
        <c:lblOffset val="100"/>
        <c:baseTimeUnit val="days"/>
      </c:dateAx>
      <c:valAx>
        <c:axId val="170287872"/>
        <c:scaling>
          <c:orientation val="minMax"/>
        </c:scaling>
        <c:delete val="0"/>
        <c:axPos val="l"/>
        <c:majorGridlines/>
        <c:numFmt formatCode="General" sourceLinked="1"/>
        <c:majorTickMark val="out"/>
        <c:minorTickMark val="none"/>
        <c:tickLblPos val="nextTo"/>
        <c:crossAx val="170281984"/>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3"/>
          <c:order val="0"/>
          <c:tx>
            <c:strRef>
              <c:f>'B - CF (Enablers SP)'!$K$1</c:f>
              <c:strCache>
                <c:ptCount val="1"/>
                <c:pt idx="0">
                  <c:v>Done</c:v>
                </c:pt>
              </c:strCache>
            </c:strRef>
          </c:tx>
          <c:spPr>
            <a:solidFill>
              <a:schemeClr val="tx2">
                <a:lumMod val="60000"/>
                <a:lumOff val="40000"/>
              </a:schemeClr>
            </a:solidFill>
          </c:spPr>
          <c:cat>
            <c:numRef>
              <c:f>'B - CF (Enablers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(Enablers SP)'!$K$2:$K$51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0-8BA3-4801-8293-AF2317861003}"/>
            </c:ext>
          </c:extLst>
        </c:ser>
        <c:ser>
          <c:idx val="7"/>
          <c:order val="1"/>
          <c:tx>
            <c:strRef>
              <c:f>'B - CF (Enablers SP)'!$J$1</c:f>
              <c:strCache>
                <c:ptCount val="1"/>
                <c:pt idx="0">
                  <c:v>Releasing</c:v>
                </c:pt>
              </c:strCache>
            </c:strRef>
          </c:tx>
          <c:spPr>
            <a:ln w="25400">
              <a:noFill/>
            </a:ln>
          </c:spPr>
          <c:val>
            <c:numRef>
              <c:f>'B - CF (Enablers SP)'!$J$2:$J$51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1-8BA3-4801-8293-AF2317861003}"/>
            </c:ext>
          </c:extLst>
        </c:ser>
        <c:ser>
          <c:idx val="6"/>
          <c:order val="2"/>
          <c:tx>
            <c:strRef>
              <c:f>'B - CF (Enablers SP)'!$I$1</c:f>
              <c:strCache>
                <c:ptCount val="1"/>
                <c:pt idx="0">
                  <c:v>Deploying to production</c:v>
                </c:pt>
              </c:strCache>
            </c:strRef>
          </c:tx>
          <c:spPr>
            <a:ln w="25400">
              <a:noFill/>
            </a:ln>
          </c:spPr>
          <c:val>
            <c:numRef>
              <c:f>'B - CF (Enablers SP)'!$I$2:$I$51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2-8BA3-4801-8293-AF2317861003}"/>
            </c:ext>
          </c:extLst>
        </c:ser>
        <c:ser>
          <c:idx val="5"/>
          <c:order val="3"/>
          <c:tx>
            <c:strRef>
              <c:f>'B - CF (Enablers SP)'!$H$1</c:f>
              <c:strCache>
                <c:ptCount val="1"/>
                <c:pt idx="0">
                  <c:v>Validating on Staging</c:v>
                </c:pt>
              </c:strCache>
            </c:strRef>
          </c:tx>
          <c:spPr>
            <a:solidFill>
              <a:srgbClr val="FFFF00"/>
            </a:solidFill>
            <a:ln w="25400">
              <a:noFill/>
            </a:ln>
          </c:spPr>
          <c:val>
            <c:numRef>
              <c:f>'B - CF (Enablers SP)'!$H$2:$H$51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3-8BA3-4801-8293-AF2317861003}"/>
            </c:ext>
          </c:extLst>
        </c:ser>
        <c:ser>
          <c:idx val="4"/>
          <c:order val="4"/>
          <c:tx>
            <c:strRef>
              <c:f>'B - CF (Enablers SP)'!$G$1</c:f>
              <c:strCache>
                <c:ptCount val="1"/>
                <c:pt idx="0">
                  <c:v>Implementing</c:v>
                </c:pt>
              </c:strCache>
            </c:strRef>
          </c:tx>
          <c:spPr>
            <a:solidFill>
              <a:srgbClr val="00B0F0"/>
            </a:solidFill>
            <a:ln w="25400">
              <a:noFill/>
            </a:ln>
          </c:spPr>
          <c:val>
            <c:numRef>
              <c:f>'B - CF (Enablers SP)'!$G$2:$G$51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c:v>
                </c:pt>
                <c:pt idx="36">
                  <c:v>4</c:v>
                </c:pt>
                <c:pt idx="37">
                  <c:v>4</c:v>
                </c:pt>
                <c:pt idx="38">
                  <c:v>4</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4-8BA3-4801-8293-AF2317861003}"/>
            </c:ext>
          </c:extLst>
        </c:ser>
        <c:ser>
          <c:idx val="2"/>
          <c:order val="5"/>
          <c:tx>
            <c:strRef>
              <c:f>'B - CF (Enablers SP)'!$F$1</c:f>
              <c:strCache>
                <c:ptCount val="1"/>
                <c:pt idx="0">
                  <c:v>Backlog</c:v>
                </c:pt>
              </c:strCache>
            </c:strRef>
          </c:tx>
          <c:spPr>
            <a:solidFill>
              <a:schemeClr val="accent6"/>
            </a:solidFill>
          </c:spPr>
          <c:cat>
            <c:numRef>
              <c:f>'B - CF (Enablers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(Enablers SP)'!$F$2:$F$51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5-8BA3-4801-8293-AF2317861003}"/>
            </c:ext>
          </c:extLst>
        </c:ser>
        <c:ser>
          <c:idx val="1"/>
          <c:order val="6"/>
          <c:tx>
            <c:strRef>
              <c:f>'B - CF (Enablers SP)'!$E$1</c:f>
              <c:strCache>
                <c:ptCount val="1"/>
                <c:pt idx="0">
                  <c:v>Analyzing</c:v>
                </c:pt>
              </c:strCache>
            </c:strRef>
          </c:tx>
          <c:spPr>
            <a:solidFill>
              <a:srgbClr val="7030A0"/>
            </a:solidFill>
          </c:spPr>
          <c:cat>
            <c:numRef>
              <c:f>'B - CF (Enablers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(Enablers SP)'!$E$2:$E$51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6-8BA3-4801-8293-AF2317861003}"/>
            </c:ext>
          </c:extLst>
        </c:ser>
        <c:ser>
          <c:idx val="0"/>
          <c:order val="7"/>
          <c:tx>
            <c:strRef>
              <c:f>'B - CF (Enablers SP)'!$D$1</c:f>
              <c:strCache>
                <c:ptCount val="1"/>
                <c:pt idx="0">
                  <c:v>Funnel</c:v>
                </c:pt>
              </c:strCache>
            </c:strRef>
          </c:tx>
          <c:spPr>
            <a:solidFill>
              <a:srgbClr val="CC6600"/>
            </a:solidFill>
          </c:spPr>
          <c:cat>
            <c:numRef>
              <c:f>'B - CF (Enablers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(Enablers SP)'!$D$2:$D$51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xmlns:c16r2="http://schemas.microsoft.com/office/drawing/2015/06/chart">
            <c:ext xmlns:c16="http://schemas.microsoft.com/office/drawing/2014/chart" uri="{C3380CC4-5D6E-409C-BE32-E72D297353CC}">
              <c16:uniqueId val="{00000007-8BA3-4801-8293-AF2317861003}"/>
            </c:ext>
          </c:extLst>
        </c:ser>
        <c:dLbls>
          <c:showLegendKey val="0"/>
          <c:showVal val="0"/>
          <c:showCatName val="0"/>
          <c:showSerName val="0"/>
          <c:showPercent val="0"/>
          <c:showBubbleSize val="0"/>
        </c:dLbls>
        <c:axId val="169973632"/>
        <c:axId val="169975168"/>
      </c:areaChart>
      <c:dateAx>
        <c:axId val="169973632"/>
        <c:scaling>
          <c:orientation val="minMax"/>
        </c:scaling>
        <c:delete val="0"/>
        <c:axPos val="b"/>
        <c:numFmt formatCode="m/d/yyyy" sourceLinked="1"/>
        <c:majorTickMark val="out"/>
        <c:minorTickMark val="none"/>
        <c:tickLblPos val="nextTo"/>
        <c:crossAx val="169975168"/>
        <c:crosses val="autoZero"/>
        <c:auto val="1"/>
        <c:lblOffset val="100"/>
        <c:baseTimeUnit val="days"/>
      </c:dateAx>
      <c:valAx>
        <c:axId val="169975168"/>
        <c:scaling>
          <c:orientation val="minMax"/>
        </c:scaling>
        <c:delete val="0"/>
        <c:axPos val="l"/>
        <c:majorGridlines/>
        <c:numFmt formatCode="General" sourceLinked="1"/>
        <c:majorTickMark val="out"/>
        <c:minorTickMark val="none"/>
        <c:tickLblPos val="nextTo"/>
        <c:crossAx val="169973632"/>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5"/>
          <c:order val="0"/>
          <c:tx>
            <c:strRef>
              <c:f>'B - CF (Stories SP)'!$H$1</c:f>
              <c:strCache>
                <c:ptCount val="1"/>
                <c:pt idx="0">
                  <c:v>Done</c:v>
                </c:pt>
              </c:strCache>
            </c:strRef>
          </c:tx>
          <c:spPr>
            <a:solidFill>
              <a:srgbClr val="FFFF00"/>
            </a:solidFill>
            <a:ln w="25400">
              <a:noFill/>
            </a:ln>
          </c:spPr>
          <c:val>
            <c:numRef>
              <c:f>'B - CF (Stories SP)'!$H$2:$H$51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185</c:v>
                </c:pt>
                <c:pt idx="36">
                  <c:v>149</c:v>
                </c:pt>
                <c:pt idx="37">
                  <c:v>149</c:v>
                </c:pt>
                <c:pt idx="38">
                  <c:v>149</c:v>
                </c:pt>
                <c:pt idx="39">
                  <c:v>149</c:v>
                </c:pt>
                <c:pt idx="40">
                  <c:v>149</c:v>
                </c:pt>
                <c:pt idx="41">
                  <c:v>149</c:v>
                </c:pt>
                <c:pt idx="42">
                  <c:v>149</c:v>
                </c:pt>
                <c:pt idx="43">
                  <c:v>149</c:v>
                </c:pt>
                <c:pt idx="44">
                  <c:v>149</c:v>
                </c:pt>
                <c:pt idx="45">
                  <c:v>149</c:v>
                </c:pt>
                <c:pt idx="46">
                  <c:v>149</c:v>
                </c:pt>
                <c:pt idx="47">
                  <c:v>149</c:v>
                </c:pt>
                <c:pt idx="48">
                  <c:v>149</c:v>
                </c:pt>
                <c:pt idx="49">
                  <c:v>149</c:v>
                </c:pt>
              </c:numCache>
            </c:numRef>
          </c:val>
          <c:extLst xmlns:c16r2="http://schemas.microsoft.com/office/drawing/2015/06/chart">
            <c:ext xmlns:c16="http://schemas.microsoft.com/office/drawing/2014/chart" uri="{C3380CC4-5D6E-409C-BE32-E72D297353CC}">
              <c16:uniqueId val="{00000000-B2CF-4504-A5CC-FD77023E15FC}"/>
            </c:ext>
          </c:extLst>
        </c:ser>
        <c:ser>
          <c:idx val="4"/>
          <c:order val="1"/>
          <c:tx>
            <c:strRef>
              <c:f>'B - CF (Stories SP)'!$G$1</c:f>
              <c:strCache>
                <c:ptCount val="1"/>
                <c:pt idx="0">
                  <c:v>Close</c:v>
                </c:pt>
              </c:strCache>
            </c:strRef>
          </c:tx>
          <c:spPr>
            <a:solidFill>
              <a:srgbClr val="00B0F0"/>
            </a:solidFill>
            <a:ln w="25400">
              <a:noFill/>
            </a:ln>
          </c:spPr>
          <c:val>
            <c:numRef>
              <c:f>'B - CF (Stories SP)'!$G$2:$G$51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21</c:v>
                </c:pt>
                <c:pt idx="37">
                  <c:v>21</c:v>
                </c:pt>
                <c:pt idx="38">
                  <c:v>21</c:v>
                </c:pt>
                <c:pt idx="39">
                  <c:v>21</c:v>
                </c:pt>
                <c:pt idx="40">
                  <c:v>21</c:v>
                </c:pt>
                <c:pt idx="41">
                  <c:v>21</c:v>
                </c:pt>
                <c:pt idx="42">
                  <c:v>21</c:v>
                </c:pt>
                <c:pt idx="43">
                  <c:v>21</c:v>
                </c:pt>
                <c:pt idx="44">
                  <c:v>21</c:v>
                </c:pt>
                <c:pt idx="45">
                  <c:v>21</c:v>
                </c:pt>
                <c:pt idx="46">
                  <c:v>21</c:v>
                </c:pt>
                <c:pt idx="47">
                  <c:v>21</c:v>
                </c:pt>
                <c:pt idx="48">
                  <c:v>21</c:v>
                </c:pt>
                <c:pt idx="49">
                  <c:v>21</c:v>
                </c:pt>
              </c:numCache>
            </c:numRef>
          </c:val>
          <c:extLst xmlns:c16r2="http://schemas.microsoft.com/office/drawing/2015/06/chart">
            <c:ext xmlns:c16="http://schemas.microsoft.com/office/drawing/2014/chart" uri="{C3380CC4-5D6E-409C-BE32-E72D297353CC}">
              <c16:uniqueId val="{00000001-B2CF-4504-A5CC-FD77023E15FC}"/>
            </c:ext>
          </c:extLst>
        </c:ser>
        <c:ser>
          <c:idx val="2"/>
          <c:order val="2"/>
          <c:tx>
            <c:strRef>
              <c:f>'B - CF (Stories SP)'!$F$1</c:f>
              <c:strCache>
                <c:ptCount val="1"/>
                <c:pt idx="0">
                  <c:v>In review</c:v>
                </c:pt>
              </c:strCache>
            </c:strRef>
          </c:tx>
          <c:spPr>
            <a:solidFill>
              <a:schemeClr val="accent6"/>
            </a:solidFill>
          </c:spPr>
          <c:cat>
            <c:numRef>
              <c:f>'B - CF (Stories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(Stories SP)'!$F$2:$F$51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45</c:v>
                </c:pt>
                <c:pt idx="37">
                  <c:v>45</c:v>
                </c:pt>
                <c:pt idx="38">
                  <c:v>45</c:v>
                </c:pt>
                <c:pt idx="39">
                  <c:v>53</c:v>
                </c:pt>
                <c:pt idx="40">
                  <c:v>53</c:v>
                </c:pt>
                <c:pt idx="41">
                  <c:v>53</c:v>
                </c:pt>
                <c:pt idx="42">
                  <c:v>53</c:v>
                </c:pt>
                <c:pt idx="43">
                  <c:v>53</c:v>
                </c:pt>
                <c:pt idx="44">
                  <c:v>53</c:v>
                </c:pt>
                <c:pt idx="45">
                  <c:v>53</c:v>
                </c:pt>
                <c:pt idx="46">
                  <c:v>53</c:v>
                </c:pt>
                <c:pt idx="47">
                  <c:v>53</c:v>
                </c:pt>
                <c:pt idx="48">
                  <c:v>53</c:v>
                </c:pt>
                <c:pt idx="49">
                  <c:v>53</c:v>
                </c:pt>
              </c:numCache>
            </c:numRef>
          </c:val>
          <c:extLst xmlns:c16r2="http://schemas.microsoft.com/office/drawing/2015/06/chart">
            <c:ext xmlns:c16="http://schemas.microsoft.com/office/drawing/2014/chart" uri="{C3380CC4-5D6E-409C-BE32-E72D297353CC}">
              <c16:uniqueId val="{00000002-B2CF-4504-A5CC-FD77023E15FC}"/>
            </c:ext>
          </c:extLst>
        </c:ser>
        <c:ser>
          <c:idx val="1"/>
          <c:order val="3"/>
          <c:tx>
            <c:strRef>
              <c:f>'B - CF (Stories SP)'!$E$1</c:f>
              <c:strCache>
                <c:ptCount val="1"/>
                <c:pt idx="0">
                  <c:v>In Progress</c:v>
                </c:pt>
              </c:strCache>
            </c:strRef>
          </c:tx>
          <c:spPr>
            <a:solidFill>
              <a:srgbClr val="7030A0"/>
            </a:solidFill>
          </c:spPr>
          <c:cat>
            <c:numRef>
              <c:f>'B - CF (Stories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(Stories SP)'!$E$2:$E$51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59</c:v>
                </c:pt>
                <c:pt idx="37">
                  <c:v>59</c:v>
                </c:pt>
                <c:pt idx="38">
                  <c:v>59</c:v>
                </c:pt>
                <c:pt idx="39">
                  <c:v>51</c:v>
                </c:pt>
                <c:pt idx="40">
                  <c:v>51</c:v>
                </c:pt>
                <c:pt idx="41">
                  <c:v>51</c:v>
                </c:pt>
                <c:pt idx="42">
                  <c:v>51</c:v>
                </c:pt>
                <c:pt idx="43">
                  <c:v>51</c:v>
                </c:pt>
                <c:pt idx="44">
                  <c:v>51</c:v>
                </c:pt>
                <c:pt idx="45">
                  <c:v>51</c:v>
                </c:pt>
                <c:pt idx="46">
                  <c:v>51</c:v>
                </c:pt>
                <c:pt idx="47">
                  <c:v>51</c:v>
                </c:pt>
                <c:pt idx="48">
                  <c:v>51</c:v>
                </c:pt>
                <c:pt idx="49">
                  <c:v>51</c:v>
                </c:pt>
              </c:numCache>
            </c:numRef>
          </c:val>
          <c:extLst xmlns:c16r2="http://schemas.microsoft.com/office/drawing/2015/06/chart">
            <c:ext xmlns:c16="http://schemas.microsoft.com/office/drawing/2014/chart" uri="{C3380CC4-5D6E-409C-BE32-E72D297353CC}">
              <c16:uniqueId val="{00000003-B2CF-4504-A5CC-FD77023E15FC}"/>
            </c:ext>
          </c:extLst>
        </c:ser>
        <c:ser>
          <c:idx val="0"/>
          <c:order val="4"/>
          <c:tx>
            <c:strRef>
              <c:f>'B - CF (Stories SP)'!$D$1</c:f>
              <c:strCache>
                <c:ptCount val="1"/>
                <c:pt idx="0">
                  <c:v>Open</c:v>
                </c:pt>
              </c:strCache>
            </c:strRef>
          </c:tx>
          <c:spPr>
            <a:solidFill>
              <a:srgbClr val="CC6600"/>
            </a:solidFill>
          </c:spPr>
          <c:cat>
            <c:numRef>
              <c:f>'B - CF (Stories SP)'!$C$2:$C$51</c:f>
              <c:numCache>
                <c:formatCode>m/d/yyyy</c:formatCode>
                <c:ptCount val="50"/>
                <c:pt idx="0">
                  <c:v>43388</c:v>
                </c:pt>
                <c:pt idx="1">
                  <c:v>43389</c:v>
                </c:pt>
                <c:pt idx="2">
                  <c:v>43390</c:v>
                </c:pt>
                <c:pt idx="3">
                  <c:v>43391</c:v>
                </c:pt>
                <c:pt idx="4">
                  <c:v>43392</c:v>
                </c:pt>
                <c:pt idx="5">
                  <c:v>43395</c:v>
                </c:pt>
                <c:pt idx="6">
                  <c:v>43396</c:v>
                </c:pt>
                <c:pt idx="7">
                  <c:v>43397</c:v>
                </c:pt>
                <c:pt idx="8">
                  <c:v>43398</c:v>
                </c:pt>
                <c:pt idx="9">
                  <c:v>43399</c:v>
                </c:pt>
                <c:pt idx="10">
                  <c:v>43402</c:v>
                </c:pt>
                <c:pt idx="11">
                  <c:v>43403</c:v>
                </c:pt>
                <c:pt idx="12">
                  <c:v>43404</c:v>
                </c:pt>
                <c:pt idx="13">
                  <c:v>43405</c:v>
                </c:pt>
                <c:pt idx="14">
                  <c:v>43406</c:v>
                </c:pt>
                <c:pt idx="15">
                  <c:v>43409</c:v>
                </c:pt>
                <c:pt idx="16">
                  <c:v>43410</c:v>
                </c:pt>
                <c:pt idx="17">
                  <c:v>43411</c:v>
                </c:pt>
                <c:pt idx="18">
                  <c:v>43412</c:v>
                </c:pt>
                <c:pt idx="19">
                  <c:v>43413</c:v>
                </c:pt>
                <c:pt idx="20">
                  <c:v>43416</c:v>
                </c:pt>
                <c:pt idx="21">
                  <c:v>43417</c:v>
                </c:pt>
                <c:pt idx="22">
                  <c:v>43418</c:v>
                </c:pt>
                <c:pt idx="23">
                  <c:v>43419</c:v>
                </c:pt>
                <c:pt idx="24">
                  <c:v>43420</c:v>
                </c:pt>
                <c:pt idx="25">
                  <c:v>43423</c:v>
                </c:pt>
                <c:pt idx="26">
                  <c:v>43424</c:v>
                </c:pt>
                <c:pt idx="27">
                  <c:v>43425</c:v>
                </c:pt>
                <c:pt idx="28">
                  <c:v>43426</c:v>
                </c:pt>
                <c:pt idx="29">
                  <c:v>43427</c:v>
                </c:pt>
                <c:pt idx="30">
                  <c:v>43430</c:v>
                </c:pt>
                <c:pt idx="31">
                  <c:v>43431</c:v>
                </c:pt>
                <c:pt idx="32">
                  <c:v>43432</c:v>
                </c:pt>
                <c:pt idx="33">
                  <c:v>43433</c:v>
                </c:pt>
                <c:pt idx="34">
                  <c:v>43434</c:v>
                </c:pt>
                <c:pt idx="35">
                  <c:v>43437</c:v>
                </c:pt>
                <c:pt idx="36">
                  <c:v>43438</c:v>
                </c:pt>
                <c:pt idx="37">
                  <c:v>43439</c:v>
                </c:pt>
                <c:pt idx="38">
                  <c:v>43440</c:v>
                </c:pt>
                <c:pt idx="39">
                  <c:v>43441</c:v>
                </c:pt>
                <c:pt idx="40">
                  <c:v>43444</c:v>
                </c:pt>
                <c:pt idx="41">
                  <c:v>43445</c:v>
                </c:pt>
                <c:pt idx="42">
                  <c:v>43446</c:v>
                </c:pt>
                <c:pt idx="43">
                  <c:v>43447</c:v>
                </c:pt>
                <c:pt idx="44">
                  <c:v>43448</c:v>
                </c:pt>
                <c:pt idx="45">
                  <c:v>43451</c:v>
                </c:pt>
                <c:pt idx="46">
                  <c:v>43452</c:v>
                </c:pt>
                <c:pt idx="47">
                  <c:v>43453</c:v>
                </c:pt>
                <c:pt idx="48">
                  <c:v>43454</c:v>
                </c:pt>
                <c:pt idx="49">
                  <c:v>43455</c:v>
                </c:pt>
              </c:numCache>
            </c:numRef>
          </c:cat>
          <c:val>
            <c:numRef>
              <c:f>'B - CF (Stories SP)'!$D$2:$D$51</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72</c:v>
                </c:pt>
                <c:pt idx="37">
                  <c:v>72</c:v>
                </c:pt>
                <c:pt idx="38">
                  <c:v>72</c:v>
                </c:pt>
                <c:pt idx="39">
                  <c:v>72</c:v>
                </c:pt>
                <c:pt idx="40">
                  <c:v>72</c:v>
                </c:pt>
                <c:pt idx="41">
                  <c:v>72</c:v>
                </c:pt>
                <c:pt idx="42">
                  <c:v>72</c:v>
                </c:pt>
                <c:pt idx="43">
                  <c:v>72</c:v>
                </c:pt>
                <c:pt idx="44">
                  <c:v>72</c:v>
                </c:pt>
                <c:pt idx="45">
                  <c:v>72</c:v>
                </c:pt>
                <c:pt idx="46">
                  <c:v>72</c:v>
                </c:pt>
                <c:pt idx="47">
                  <c:v>72</c:v>
                </c:pt>
                <c:pt idx="48">
                  <c:v>72</c:v>
                </c:pt>
                <c:pt idx="49">
                  <c:v>72</c:v>
                </c:pt>
              </c:numCache>
            </c:numRef>
          </c:val>
          <c:extLst xmlns:c16r2="http://schemas.microsoft.com/office/drawing/2015/06/chart">
            <c:ext xmlns:c16="http://schemas.microsoft.com/office/drawing/2014/chart" uri="{C3380CC4-5D6E-409C-BE32-E72D297353CC}">
              <c16:uniqueId val="{00000004-B2CF-4504-A5CC-FD77023E15FC}"/>
            </c:ext>
          </c:extLst>
        </c:ser>
        <c:dLbls>
          <c:showLegendKey val="0"/>
          <c:showVal val="0"/>
          <c:showCatName val="0"/>
          <c:showSerName val="0"/>
          <c:showPercent val="0"/>
          <c:showBubbleSize val="0"/>
        </c:dLbls>
        <c:axId val="170058880"/>
        <c:axId val="170060416"/>
      </c:areaChart>
      <c:catAx>
        <c:axId val="170058880"/>
        <c:scaling>
          <c:orientation val="minMax"/>
        </c:scaling>
        <c:delete val="0"/>
        <c:axPos val="b"/>
        <c:numFmt formatCode="m/d/yyyy" sourceLinked="1"/>
        <c:majorTickMark val="out"/>
        <c:minorTickMark val="none"/>
        <c:tickLblPos val="nextTo"/>
        <c:crossAx val="170060416"/>
        <c:crosses val="autoZero"/>
        <c:auto val="1"/>
        <c:lblAlgn val="ctr"/>
        <c:lblOffset val="100"/>
        <c:noMultiLvlLbl val="0"/>
      </c:catAx>
      <c:valAx>
        <c:axId val="170060416"/>
        <c:scaling>
          <c:orientation val="minMax"/>
        </c:scaling>
        <c:delete val="0"/>
        <c:axPos val="l"/>
        <c:majorGridlines/>
        <c:numFmt formatCode="General" sourceLinked="1"/>
        <c:majorTickMark val="out"/>
        <c:minorTickMark val="none"/>
        <c:tickLblPos val="nextTo"/>
        <c:crossAx val="170058880"/>
        <c:crosses val="autoZero"/>
        <c:crossBetween val="midCat"/>
      </c:valAx>
    </c:plotArea>
    <c:legend>
      <c:legendPos val="r"/>
      <c:overlay val="0"/>
    </c:legend>
    <c:plotVisOnly val="1"/>
    <c:dispBlanksAs val="zero"/>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https://webgate.ec.europa.eu/CITnet/jira/images/mainlogo36.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https://webgate.ec.europa.eu/CITnet/jira/images/mainlogo36.png"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https://webgate.ec.europa.eu/CITnet/jira/images/mainlogo36.png"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https://webgate.ec.europa.eu/CITnet/jira/images/mainlogo36.png"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https://webgate.ec.europa.eu/CITnet/jira/images/mainlogo36.png" TargetMode="External"/></Relationships>
</file>

<file path=xl/drawings/_rels/drawing7.xml.rels><?xml version="1.0" encoding="UTF-8" standalone="yes"?>
<Relationships xmlns="http://schemas.openxmlformats.org/package/2006/relationships"><Relationship Id="rId1" Type="http://schemas.openxmlformats.org/officeDocument/2006/relationships/image" Target="https://webgate.ec.europa.eu/CITnet/jira/images/mainlogo36.png" TargetMode="External"/></Relationships>
</file>

<file path=xl/drawings/_rels/drawing8.xml.rels><?xml version="1.0" encoding="UTF-8" standalone="yes"?>
<Relationships xmlns="http://schemas.openxmlformats.org/package/2006/relationships"><Relationship Id="rId1" Type="http://schemas.openxmlformats.org/officeDocument/2006/relationships/image" Target="https://webgate.ec.europa.eu/CITnet/jira/images/mainlogo36.png" TargetMode="External"/></Relationships>
</file>

<file path=xl/drawings/_rels/drawing9.xml.rels><?xml version="1.0" encoding="UTF-8" standalone="yes"?>
<Relationships xmlns="http://schemas.openxmlformats.org/package/2006/relationships"><Relationship Id="rId1" Type="http://schemas.openxmlformats.org/officeDocument/2006/relationships/image" Target="https://webgate.ec.europa.eu/CITnet/jira/images/mainlogo36.png" TargetMode="External"/></Relationships>
</file>

<file path=xl/drawings/_rels/drawing10.xml.rels><?xml version="1.0" encoding="UTF-8" standalone="yes"?>
<Relationships xmlns="http://schemas.openxmlformats.org/package/2006/relationships"><Relationship Id="rId1" Type="http://schemas.openxmlformats.org/officeDocument/2006/relationships/image" Target="https://webgate.ec.europa.eu/CITnet/jira/images/mainlogo36.png" TargetMode="External"/></Relationships>
</file>

<file path=xl/drawings/_rels/drawing11.xml.rels><?xml version="1.0" encoding="UTF-8" standalone="yes"?>
<Relationships xmlns="http://schemas.openxmlformats.org/package/2006/relationships"><Relationship Id="rId1" Type="http://schemas.openxmlformats.org/officeDocument/2006/relationships/image" Target="https://webgate.ec.europa.eu/CITnet/jira/images/mainlogo36.png" TargetMode="External"/></Relationships>
</file>

<file path=xl/drawings/_rels/drawing12.xml.rels><?xml version="1.0" encoding="UTF-8" standalone="yes"?>
<Relationships xmlns="http://schemas.openxmlformats.org/package/2006/relationships"><Relationship Id="rId1" Type="http://schemas.openxmlformats.org/officeDocument/2006/relationships/image" Target="https://webgate.ec.europa.eu/CITnet/jira/images/mainlogo36.png" TargetMode="External"/></Relationships>
</file>

<file path=xl/drawings/_rels/drawing13.xml.rels><?xml version="1.0" encoding="UTF-8" standalone="yes"?>
<Relationships xmlns="http://schemas.openxmlformats.org/package/2006/relationships"><Relationship Id="rId1" Type="http://schemas.openxmlformats.org/officeDocument/2006/relationships/image" Target="https://webgate.ec.europa.eu/CITnet/jira/images/mainlogo36.png" TargetMode="External"/></Relationships>
</file>

<file path=xl/drawings/_rels/drawing14.xml.rels><?xml version="1.0" encoding="UTF-8" standalone="yes"?>
<Relationships xmlns="http://schemas.openxmlformats.org/package/2006/relationships"><Relationship Id="rId1" Type="http://schemas.openxmlformats.org/officeDocument/2006/relationships/image" Target="https://webgate.ec.europa.eu/CITnet/jira/images/mainlogo36.png" TargetMode="External"/></Relationships>
</file>

<file path=xl/drawings/_rels/drawing15.xml.rels><?xml version="1.0" encoding="UTF-8" standalone="yes"?>
<Relationships xmlns="http://schemas.openxmlformats.org/package/2006/relationships"><Relationship Id="rId1" Type="http://schemas.openxmlformats.org/officeDocument/2006/relationships/image" Target="https://webgate.ec.europa.eu/CITnet/jira/images/mainlogo36.png" TargetMode="External"/></Relationships>
</file>

<file path=xl/drawings/_rels/drawing16.xml.rels><?xml version="1.0" encoding="UTF-8" standalone="yes"?>
<Relationships xmlns="http://schemas.openxmlformats.org/package/2006/relationships"><Relationship Id="rId1" Type="http://schemas.openxmlformats.org/officeDocument/2006/relationships/image" Target="https://webgate.ec.europa.eu/CITnet/jira/images/mainlogo36.png" TargetMode="External"/></Relationships>
</file>

<file path=xl/drawings/_rels/drawing17.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6.xml.rels><?xml version="1.0" encoding="UTF-8" standalone="yes"?>
<Relationships xmlns="http://schemas.openxmlformats.org/package/2006/relationships"><Relationship Id="rId8" Type="http://schemas.openxmlformats.org/officeDocument/2006/relationships/chart" Target="../charts/chart24.xml"/><Relationship Id="rId3" Type="http://schemas.openxmlformats.org/officeDocument/2006/relationships/chart" Target="../charts/chart19.xml"/><Relationship Id="rId7" Type="http://schemas.openxmlformats.org/officeDocument/2006/relationships/chart" Target="../charts/chart23.xml"/><Relationship Id="rId2" Type="http://schemas.openxmlformats.org/officeDocument/2006/relationships/chart" Target="../charts/chart18.xml"/><Relationship Id="rId1" Type="http://schemas.openxmlformats.org/officeDocument/2006/relationships/chart" Target="../charts/chart17.xml"/><Relationship Id="rId6" Type="http://schemas.openxmlformats.org/officeDocument/2006/relationships/chart" Target="../charts/chart22.xml"/><Relationship Id="rId5" Type="http://schemas.openxmlformats.org/officeDocument/2006/relationships/chart" Target="../charts/chart21.xml"/><Relationship Id="rId4" Type="http://schemas.openxmlformats.org/officeDocument/2006/relationships/chart" Target="../charts/chart20.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33.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35.xml.rels><?xml version="1.0" encoding="UTF-8" standalone="yes"?>
<Relationships xmlns="http://schemas.openxmlformats.org/package/2006/relationships"><Relationship Id="rId8" Type="http://schemas.openxmlformats.org/officeDocument/2006/relationships/chart" Target="../charts/chart40.xml"/><Relationship Id="rId3" Type="http://schemas.openxmlformats.org/officeDocument/2006/relationships/chart" Target="../charts/chart35.xml"/><Relationship Id="rId7" Type="http://schemas.openxmlformats.org/officeDocument/2006/relationships/chart" Target="../charts/chart39.xml"/><Relationship Id="rId2" Type="http://schemas.openxmlformats.org/officeDocument/2006/relationships/chart" Target="../charts/chart34.xml"/><Relationship Id="rId1" Type="http://schemas.openxmlformats.org/officeDocument/2006/relationships/chart" Target="../charts/chart33.xml"/><Relationship Id="rId6" Type="http://schemas.openxmlformats.org/officeDocument/2006/relationships/chart" Target="../charts/chart38.xml"/><Relationship Id="rId5" Type="http://schemas.openxmlformats.org/officeDocument/2006/relationships/chart" Target="../charts/chart37.xml"/><Relationship Id="rId4" Type="http://schemas.openxmlformats.org/officeDocument/2006/relationships/chart" Target="../charts/chart36.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45.xml"/></Relationships>
</file>

<file path=xl/drawings/_rels/drawing41.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43.xml.rels><?xml version="1.0" encoding="UTF-8" standalone="yes"?>
<Relationships xmlns="http://schemas.openxmlformats.org/package/2006/relationships"><Relationship Id="rId1" Type="http://schemas.openxmlformats.org/officeDocument/2006/relationships/chart" Target="../charts/chart4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3</xdr:row>
          <xdr:rowOff>9525</xdr:rowOff>
        </xdr:from>
        <xdr:to>
          <xdr:col>6</xdr:col>
          <xdr:colOff>828675</xdr:colOff>
          <xdr:row>4</xdr:row>
          <xdr:rowOff>142875</xdr:rowOff>
        </xdr:to>
        <xdr:sp macro="" textlink="">
          <xdr:nvSpPr>
            <xdr:cNvPr id="48130" name="Button 2" hidden="1">
              <a:extLst>
                <a:ext uri="{63B3BB69-23CF-44E3-9099-C40C66FF867C}">
                  <a14:compatExt spid="_x0000_s481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rPr>
                <a:t>Analyze COMPCORP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xdr:row>
          <xdr:rowOff>0</xdr:rowOff>
        </xdr:from>
        <xdr:to>
          <xdr:col>6</xdr:col>
          <xdr:colOff>838200</xdr:colOff>
          <xdr:row>7</xdr:row>
          <xdr:rowOff>142875</xdr:rowOff>
        </xdr:to>
        <xdr:sp macro="" textlink="">
          <xdr:nvSpPr>
            <xdr:cNvPr id="48132" name="Button 4" hidden="1">
              <a:extLst>
                <a:ext uri="{63B3BB69-23CF-44E3-9099-C40C66FF867C}">
                  <a14:compatExt spid="_x0000_s4813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rPr>
                <a:t>Analyze OPSYS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342900" cy="342900"/>
    <xdr:pic>
      <xdr:nvPicPr>
        <xdr:cNvPr id="2" name="Picture 1" descr="ITnet Jira">
          <a:extLst>
            <a:ext uri="{FF2B5EF4-FFF2-40B4-BE49-F238E27FC236}">
              <a16:creationId xmlns:a16="http://schemas.microsoft.com/office/drawing/2014/main" xmlns="" id="{00000000-0008-0000-0400-000002000000}"/>
            </a:ext>
          </a:extLst>
        </xdr:cNvPr>
        <xdr:cNvPicPr>
          <a:picLocks noChangeAspect="1" noChangeArrowheads="1"/>
        </xdr:cNvPicPr>
      </xdr:nvPicPr>
      <xdr:blipFill>
        <a:blip xmlns:r="http://schemas.openxmlformats.org/officeDocument/2006/relationships" r:link="rId1">
          <a:extLst>
            <a:ext uri="{28A0092B-C50C-407E-A947-70E740481C1C}">
              <a14:useLocalDpi xmlns:a14="http://schemas.microsoft.com/office/drawing/2010/main" val="0"/>
            </a:ext>
          </a:extLst>
        </a:blip>
        <a:srcRect/>
        <a:stretch>
          <a:fillRect/>
        </a:stretch>
      </xdr:blipFill>
      <xdr:spPr bwMode="auto">
        <a:xfrm>
          <a:off x="0" y="0"/>
          <a:ext cx="342900" cy="342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457200" cy="457200"/>
    <xdr:pic>
      <xdr:nvPicPr>
        <xdr:cNvPr id="2" name="Picture 1" descr="ITnet Jira">
          <a:extLst>
            <a:ext uri="{FF2B5EF4-FFF2-40B4-BE49-F238E27FC236}">
              <a16:creationId xmlns:a16="http://schemas.microsoft.com/office/drawing/2014/main" xmlns="" id="{00000000-0008-0000-0500-000002000000}"/>
            </a:ext>
          </a:extLst>
        </xdr:cNvPr>
        <xdr:cNvPicPr>
          <a:picLocks noChangeAspect="1" noChangeArrowheads="1"/>
        </xdr:cNvPicPr>
      </xdr:nvPicPr>
      <xdr:blipFill>
        <a:blip xmlns:r="http://schemas.openxmlformats.org/officeDocument/2006/relationships" r:link="rId1">
          <a:extLst>
            <a:ext uri="{28A0092B-C50C-407E-A947-70E740481C1C}">
              <a14:useLocalDpi xmlns:a14="http://schemas.microsoft.com/office/drawing/2010/main" val="0"/>
            </a:ext>
          </a:extLst>
        </a:blip>
        <a:srcRect/>
        <a:stretch>
          <a:fillRect/>
        </a:stretch>
      </xdr:blipFill>
      <xdr:spPr bwMode="auto">
        <a:xfrm>
          <a:off x="0" y="0"/>
          <a:ext cx="457200" cy="4572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0</xdr:rowOff>
    </xdr:from>
    <xdr:ext cx="342900" cy="342900"/>
    <xdr:pic>
      <xdr:nvPicPr>
        <xdr:cNvPr id="2" name="Picture 1" descr="ITnet Jira">
          <a:extLst>
            <a:ext uri="{FF2B5EF4-FFF2-40B4-BE49-F238E27FC236}">
              <a16:creationId xmlns:a16="http://schemas.microsoft.com/office/drawing/2014/main" xmlns="" id="{00000000-0008-0000-0600-000002000000}"/>
            </a:ext>
          </a:extLst>
        </xdr:cNvPr>
        <xdr:cNvPicPr>
          <a:picLocks noChangeAspect="1" noChangeArrowheads="1"/>
        </xdr:cNvPicPr>
      </xdr:nvPicPr>
      <xdr:blipFill>
        <a:blip xmlns:r="http://schemas.openxmlformats.org/officeDocument/2006/relationships" r:link="rId1">
          <a:extLst>
            <a:ext uri="{28A0092B-C50C-407E-A947-70E740481C1C}">
              <a14:useLocalDpi xmlns:a14="http://schemas.microsoft.com/office/drawing/2010/main" val="0"/>
            </a:ext>
          </a:extLst>
        </a:blip>
        <a:srcRect/>
        <a:stretch>
          <a:fillRect/>
        </a:stretch>
      </xdr:blipFill>
      <xdr:spPr bwMode="auto">
        <a:xfrm>
          <a:off x="0" y="0"/>
          <a:ext cx="342900" cy="342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5.xml><?xml version="1.0" encoding="utf-8"?>
<xdr:wsDr xmlns:xdr="http://schemas.openxmlformats.org/drawingml/2006/spreadsheetDrawing" xmlns:a="http://schemas.openxmlformats.org/drawingml/2006/main">
  <xdr:oneCellAnchor>
    <xdr:from>
      <xdr:col>0</xdr:col>
      <xdr:colOff>0</xdr:colOff>
      <xdr:row>0</xdr:row>
      <xdr:rowOff>0</xdr:rowOff>
    </xdr:from>
    <xdr:ext cx="457200" cy="457200"/>
    <xdr:pic>
      <xdr:nvPicPr>
        <xdr:cNvPr id="2" name="Picture 1" descr="ITnet Jira">
          <a:extLst>
            <a:ext uri="{FF2B5EF4-FFF2-40B4-BE49-F238E27FC236}">
              <a16:creationId xmlns:a16="http://schemas.microsoft.com/office/drawing/2014/main" xmlns="" id="{00000000-0008-0000-0700-000002000000}"/>
            </a:ext>
          </a:extLst>
        </xdr:cNvPr>
        <xdr:cNvPicPr>
          <a:picLocks noChangeAspect="1" noChangeArrowheads="1"/>
        </xdr:cNvPicPr>
      </xdr:nvPicPr>
      <xdr:blipFill>
        <a:blip xmlns:r="http://schemas.openxmlformats.org/officeDocument/2006/relationships" r:link="rId1">
          <a:extLst>
            <a:ext uri="{28A0092B-C50C-407E-A947-70E740481C1C}">
              <a14:useLocalDpi xmlns:a14="http://schemas.microsoft.com/office/drawing/2010/main" val="0"/>
            </a:ext>
          </a:extLst>
        </a:blip>
        <a:srcRect/>
        <a:stretch>
          <a:fillRect/>
        </a:stretch>
      </xdr:blipFill>
      <xdr:spPr bwMode="auto">
        <a:xfrm>
          <a:off x="0" y="0"/>
          <a:ext cx="457200" cy="4572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0</xdr:row>
      <xdr:rowOff>0</xdr:rowOff>
    </xdr:from>
    <xdr:ext cx="342900" cy="342900"/>
    <xdr:pic>
      <xdr:nvPicPr>
        <xdr:cNvPr id="2" name="Picture 1" descr="ITnet Jira">
          <a:extLst>
            <a:ext uri="{FF2B5EF4-FFF2-40B4-BE49-F238E27FC236}">
              <a16:creationId xmlns:a16="http://schemas.microsoft.com/office/drawing/2014/main" xmlns="" id="{00000000-0008-0000-0800-000002000000}"/>
            </a:ext>
          </a:extLst>
        </xdr:cNvPr>
        <xdr:cNvPicPr>
          <a:picLocks noChangeAspect="1" noChangeArrowheads="1"/>
        </xdr:cNvPicPr>
      </xdr:nvPicPr>
      <xdr:blipFill>
        <a:blip xmlns:r="http://schemas.openxmlformats.org/officeDocument/2006/relationships" r:link="rId1">
          <a:extLst>
            <a:ext uri="{28A0092B-C50C-407E-A947-70E740481C1C}">
              <a14:useLocalDpi xmlns:a14="http://schemas.microsoft.com/office/drawing/2010/main" val="0"/>
            </a:ext>
          </a:extLst>
        </a:blip>
        <a:srcRect/>
        <a:stretch>
          <a:fillRect/>
        </a:stretch>
      </xdr:blipFill>
      <xdr:spPr bwMode="auto">
        <a:xfrm>
          <a:off x="0" y="0"/>
          <a:ext cx="342900" cy="342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7.xml><?xml version="1.0" encoding="utf-8"?>
<xdr:wsDr xmlns:xdr="http://schemas.openxmlformats.org/drawingml/2006/spreadsheetDrawing" xmlns:a="http://schemas.openxmlformats.org/drawingml/2006/main">
  <xdr:oneCellAnchor>
    <xdr:from>
      <xdr:col>0</xdr:col>
      <xdr:colOff>0</xdr:colOff>
      <xdr:row>0</xdr:row>
      <xdr:rowOff>0</xdr:rowOff>
    </xdr:from>
    <xdr:ext cx="342900" cy="342900"/>
    <xdr:pic>
      <xdr:nvPicPr>
        <xdr:cNvPr id="2" name="Picture 1" descr="COMPCORP - Metrics using Planning items (PI-4, Features and Enablers) (CITnet Jira)">
          <a:extLst>
            <a:ext uri="{FF2B5EF4-FFF2-40B4-BE49-F238E27FC236}">
              <a16:creationId xmlns:a16="http://schemas.microsoft.com/office/drawing/2014/main" xmlns="" id="{91F6D5AC-5618-4233-B285-4D84EC0DCEBB}"/>
            </a:ext>
          </a:extLst>
        </xdr:cNvPr>
        <xdr:cNvPicPr>
          <a:picLocks noChangeAspect="1" noChangeArrowheads="1"/>
        </xdr:cNvPicPr>
      </xdr:nvPicPr>
      <xdr:blipFill>
        <a:blip xmlns:r="http://schemas.openxmlformats.org/officeDocument/2006/relationships" r:link="rId1">
          <a:extLst>
            <a:ext uri="{28A0092B-C50C-407E-A947-70E740481C1C}">
              <a14:useLocalDpi xmlns:a14="http://schemas.microsoft.com/office/drawing/2010/main" val="0"/>
            </a:ext>
          </a:extLst>
        </a:blip>
        <a:srcRect/>
        <a:stretch>
          <a:fillRect/>
        </a:stretch>
      </xdr:blipFill>
      <xdr:spPr bwMode="auto">
        <a:xfrm>
          <a:off x="0" y="0"/>
          <a:ext cx="342900" cy="342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342900</xdr:colOff>
      <xdr:row>1</xdr:row>
      <xdr:rowOff>0</xdr:rowOff>
    </xdr:to>
    <xdr:pic>
      <xdr:nvPicPr>
        <xdr:cNvPr id="2" name="Picture 1" descr="COMPCORP - Metrics using Planning items (PI-4, Features and Enablers) (CITnet Jira)">
          <a:extLst>
            <a:ext uri="{FF2B5EF4-FFF2-40B4-BE49-F238E27FC236}">
              <a16:creationId xmlns:a16="http://schemas.microsoft.com/office/drawing/2014/main" xmlns="" id="{00000000-0008-0000-0900-000002000000}"/>
            </a:ext>
          </a:extLst>
        </xdr:cNvPr>
        <xdr:cNvPicPr>
          <a:picLocks noChangeAspect="1" noChangeArrowheads="1"/>
        </xdr:cNvPicPr>
      </xdr:nvPicPr>
      <xdr:blipFill>
        <a:blip xmlns:r="http://schemas.openxmlformats.org/officeDocument/2006/relationships" r:link="rId1">
          <a:extLst>
            <a:ext uri="{28A0092B-C50C-407E-A947-70E740481C1C}">
              <a14:useLocalDpi xmlns:a14="http://schemas.microsoft.com/office/drawing/2010/main" val="0"/>
            </a:ext>
          </a:extLst>
        </a:blip>
        <a:srcRect/>
        <a:stretch>
          <a:fillRect/>
        </a:stretch>
      </xdr:blipFill>
      <xdr:spPr bwMode="auto">
        <a:xfrm>
          <a:off x="0" y="0"/>
          <a:ext cx="342900"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342900</xdr:colOff>
      <xdr:row>1</xdr:row>
      <xdr:rowOff>0</xdr:rowOff>
    </xdr:to>
    <xdr:pic>
      <xdr:nvPicPr>
        <xdr:cNvPr id="2" name="Picture 1" descr="CITnet Jira">
          <a:extLst>
            <a:ext uri="{FF2B5EF4-FFF2-40B4-BE49-F238E27FC236}">
              <a16:creationId xmlns:a16="http://schemas.microsoft.com/office/drawing/2014/main" xmlns="" id="{00000000-0008-0000-0A00-000002000000}"/>
            </a:ext>
          </a:extLst>
        </xdr:cNvPr>
        <xdr:cNvPicPr>
          <a:picLocks noChangeAspect="1" noChangeArrowheads="1"/>
        </xdr:cNvPicPr>
      </xdr:nvPicPr>
      <xdr:blipFill>
        <a:blip xmlns:r="http://schemas.openxmlformats.org/officeDocument/2006/relationships" r:link="rId1">
          <a:extLst>
            <a:ext uri="{28A0092B-C50C-407E-A947-70E740481C1C}">
              <a14:useLocalDpi xmlns:a14="http://schemas.microsoft.com/office/drawing/2010/main" val="0"/>
            </a:ext>
          </a:extLst>
        </a:blip>
        <a:srcRect/>
        <a:stretch>
          <a:fillRect/>
        </a:stretch>
      </xdr:blipFill>
      <xdr:spPr bwMode="auto">
        <a:xfrm>
          <a:off x="0" y="0"/>
          <a:ext cx="342900"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oneCellAnchor>
    <xdr:from>
      <xdr:col>0</xdr:col>
      <xdr:colOff>0</xdr:colOff>
      <xdr:row>0</xdr:row>
      <xdr:rowOff>0</xdr:rowOff>
    </xdr:from>
    <xdr:ext cx="342900" cy="342900"/>
    <xdr:pic>
      <xdr:nvPicPr>
        <xdr:cNvPr id="2" name="Picture 1" descr="COMPCORP - Metrics using Planning items (PI-4, Features and Enablers) (CITnet Jira)">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link="rId1">
          <a:extLst>
            <a:ext uri="{28A0092B-C50C-407E-A947-70E740481C1C}">
              <a14:useLocalDpi xmlns:a14="http://schemas.microsoft.com/office/drawing/2010/main" val="0"/>
            </a:ext>
          </a:extLst>
        </a:blip>
        <a:srcRect/>
        <a:stretch>
          <a:fillRect/>
        </a:stretch>
      </xdr:blipFill>
      <xdr:spPr bwMode="auto">
        <a:xfrm>
          <a:off x="0" y="0"/>
          <a:ext cx="342900" cy="342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342900" cy="342900"/>
    <xdr:pic>
      <xdr:nvPicPr>
        <xdr:cNvPr id="2" name="Picture 1" descr="CITnet Jira">
          <a:extLst>
            <a:ext uri="{FF2B5EF4-FFF2-40B4-BE49-F238E27FC236}">
              <a16:creationId xmlns:a16="http://schemas.microsoft.com/office/drawing/2014/main" xmlns="" id="{00000000-0008-0000-0C00-000002000000}"/>
            </a:ext>
          </a:extLst>
        </xdr:cNvPr>
        <xdr:cNvPicPr>
          <a:picLocks noChangeAspect="1" noChangeArrowheads="1"/>
        </xdr:cNvPicPr>
      </xdr:nvPicPr>
      <xdr:blipFill>
        <a:blip xmlns:r="http://schemas.openxmlformats.org/officeDocument/2006/relationships" r:link="rId1">
          <a:extLst>
            <a:ext uri="{28A0092B-C50C-407E-A947-70E740481C1C}">
              <a14:useLocalDpi xmlns:a14="http://schemas.microsoft.com/office/drawing/2010/main" val="0"/>
            </a:ext>
          </a:extLst>
        </a:blip>
        <a:srcRect/>
        <a:stretch>
          <a:fillRect/>
        </a:stretch>
      </xdr:blipFill>
      <xdr:spPr bwMode="auto">
        <a:xfrm>
          <a:off x="0" y="0"/>
          <a:ext cx="342900" cy="342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342900</xdr:colOff>
      <xdr:row>1</xdr:row>
      <xdr:rowOff>0</xdr:rowOff>
    </xdr:to>
    <xdr:pic>
      <xdr:nvPicPr>
        <xdr:cNvPr id="2" name="Picture 1" descr="CITnet Jira">
          <a:extLst>
            <a:ext uri="{FF2B5EF4-FFF2-40B4-BE49-F238E27FC236}">
              <a16:creationId xmlns:a16="http://schemas.microsoft.com/office/drawing/2014/main" xmlns="" id="{00000000-0008-0000-0D00-000002000000}"/>
            </a:ext>
          </a:extLst>
        </xdr:cNvPr>
        <xdr:cNvPicPr>
          <a:picLocks noChangeAspect="1" noChangeArrowheads="1"/>
        </xdr:cNvPicPr>
      </xdr:nvPicPr>
      <xdr:blipFill>
        <a:blip xmlns:r="http://schemas.openxmlformats.org/officeDocument/2006/relationships" r:link="rId1">
          <a:extLst>
            <a:ext uri="{28A0092B-C50C-407E-A947-70E740481C1C}">
              <a14:useLocalDpi xmlns:a14="http://schemas.microsoft.com/office/drawing/2010/main" val="0"/>
            </a:ext>
          </a:extLst>
        </a:blip>
        <a:srcRect/>
        <a:stretch>
          <a:fillRect/>
        </a:stretch>
      </xdr:blipFill>
      <xdr:spPr bwMode="auto">
        <a:xfrm>
          <a:off x="0" y="0"/>
          <a:ext cx="342900"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342900</xdr:colOff>
      <xdr:row>1</xdr:row>
      <xdr:rowOff>0</xdr:rowOff>
    </xdr:to>
    <xdr:pic>
      <xdr:nvPicPr>
        <xdr:cNvPr id="2" name="Picture 1" descr="CITnet Jira">
          <a:extLst>
            <a:ext uri="{FF2B5EF4-FFF2-40B4-BE49-F238E27FC236}">
              <a16:creationId xmlns:a16="http://schemas.microsoft.com/office/drawing/2014/main" xmlns="" id="{00000000-0008-0000-0E00-000002000000}"/>
            </a:ext>
          </a:extLst>
        </xdr:cNvPr>
        <xdr:cNvPicPr>
          <a:picLocks noChangeAspect="1" noChangeArrowheads="1"/>
        </xdr:cNvPicPr>
      </xdr:nvPicPr>
      <xdr:blipFill>
        <a:blip xmlns:r="http://schemas.openxmlformats.org/officeDocument/2006/relationships" r:link="rId1">
          <a:extLst>
            <a:ext uri="{28A0092B-C50C-407E-A947-70E740481C1C}">
              <a14:useLocalDpi xmlns:a14="http://schemas.microsoft.com/office/drawing/2010/main" val="0"/>
            </a:ext>
          </a:extLst>
        </a:blip>
        <a:srcRect/>
        <a:stretch>
          <a:fillRect/>
        </a:stretch>
      </xdr:blipFill>
      <xdr:spPr bwMode="auto">
        <a:xfrm>
          <a:off x="0" y="0"/>
          <a:ext cx="342900"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342900</xdr:colOff>
      <xdr:row>1</xdr:row>
      <xdr:rowOff>0</xdr:rowOff>
    </xdr:to>
    <xdr:pic>
      <xdr:nvPicPr>
        <xdr:cNvPr id="2" name="Picture 1" descr="CITnet Jira">
          <a:extLst>
            <a:ext uri="{FF2B5EF4-FFF2-40B4-BE49-F238E27FC236}">
              <a16:creationId xmlns:a16="http://schemas.microsoft.com/office/drawing/2014/main" xmlns="" id="{00000000-0008-0000-0F00-000002000000}"/>
            </a:ext>
          </a:extLst>
        </xdr:cNvPr>
        <xdr:cNvPicPr>
          <a:picLocks noChangeAspect="1" noChangeArrowheads="1"/>
        </xdr:cNvPicPr>
      </xdr:nvPicPr>
      <xdr:blipFill>
        <a:blip xmlns:r="http://schemas.openxmlformats.org/officeDocument/2006/relationships" r:link="rId1">
          <a:extLst>
            <a:ext uri="{28A0092B-C50C-407E-A947-70E740481C1C}">
              <a14:useLocalDpi xmlns:a14="http://schemas.microsoft.com/office/drawing/2010/main" val="0"/>
            </a:ext>
          </a:extLst>
        </a:blip>
        <a:srcRect/>
        <a:stretch>
          <a:fillRect/>
        </a:stretch>
      </xdr:blipFill>
      <xdr:spPr bwMode="auto">
        <a:xfrm>
          <a:off x="0" y="0"/>
          <a:ext cx="342900"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342900</xdr:colOff>
      <xdr:row>1</xdr:row>
      <xdr:rowOff>0</xdr:rowOff>
    </xdr:to>
    <xdr:pic>
      <xdr:nvPicPr>
        <xdr:cNvPr id="2" name="Picture 1" descr="CITnet Jira">
          <a:extLst>
            <a:ext uri="{FF2B5EF4-FFF2-40B4-BE49-F238E27FC236}">
              <a16:creationId xmlns:a16="http://schemas.microsoft.com/office/drawing/2014/main" xmlns="" id="{00000000-0008-0000-1000-000002000000}"/>
            </a:ext>
          </a:extLst>
        </xdr:cNvPr>
        <xdr:cNvPicPr>
          <a:picLocks noChangeAspect="1" noChangeArrowheads="1"/>
        </xdr:cNvPicPr>
      </xdr:nvPicPr>
      <xdr:blipFill>
        <a:blip xmlns:r="http://schemas.openxmlformats.org/officeDocument/2006/relationships" r:link="rId1">
          <a:extLst>
            <a:ext uri="{28A0092B-C50C-407E-A947-70E740481C1C}">
              <a14:useLocalDpi xmlns:a14="http://schemas.microsoft.com/office/drawing/2010/main" val="0"/>
            </a:ext>
          </a:extLst>
        </a:blip>
        <a:srcRect/>
        <a:stretch>
          <a:fillRect/>
        </a:stretch>
      </xdr:blipFill>
      <xdr:spPr bwMode="auto">
        <a:xfrm>
          <a:off x="0" y="0"/>
          <a:ext cx="342900"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oneCellAnchor>
    <xdr:from>
      <xdr:col>0</xdr:col>
      <xdr:colOff>0</xdr:colOff>
      <xdr:row>0</xdr:row>
      <xdr:rowOff>0</xdr:rowOff>
    </xdr:from>
    <xdr:ext cx="342900" cy="342900"/>
    <xdr:pic>
      <xdr:nvPicPr>
        <xdr:cNvPr id="2" name="Picture 1" descr="CITnet Jira"/>
        <xdr:cNvPicPr>
          <a:picLocks noChangeAspect="1" noChangeArrowheads="1"/>
        </xdr:cNvPicPr>
      </xdr:nvPicPr>
      <xdr:blipFill>
        <a:blip xmlns:r="http://schemas.openxmlformats.org/officeDocument/2006/relationships" r:link="rId1">
          <a:extLst>
            <a:ext uri="{28A0092B-C50C-407E-A947-70E740481C1C}">
              <a14:useLocalDpi xmlns:a14="http://schemas.microsoft.com/office/drawing/2010/main" val="0"/>
            </a:ext>
          </a:extLst>
        </a:blip>
        <a:srcRect/>
        <a:stretch>
          <a:fillRect/>
        </a:stretch>
      </xdr:blipFill>
      <xdr:spPr bwMode="auto">
        <a:xfrm>
          <a:off x="0" y="0"/>
          <a:ext cx="342900" cy="342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7.xml><?xml version="1.0" encoding="utf-8"?>
<xdr:wsDr xmlns:xdr="http://schemas.openxmlformats.org/drawingml/2006/spreadsheetDrawing" xmlns:a="http://schemas.openxmlformats.org/drawingml/2006/main">
  <xdr:twoCellAnchor>
    <xdr:from>
      <xdr:col>0</xdr:col>
      <xdr:colOff>669925</xdr:colOff>
      <xdr:row>36</xdr:row>
      <xdr:rowOff>155576</xdr:rowOff>
    </xdr:from>
    <xdr:to>
      <xdr:col>13</xdr:col>
      <xdr:colOff>647700</xdr:colOff>
      <xdr:row>52</xdr:row>
      <xdr:rowOff>133350</xdr:rowOff>
    </xdr:to>
    <xdr:graphicFrame macro="">
      <xdr:nvGraphicFramePr>
        <xdr:cNvPr id="2" name="Chart 1">
          <a:extLst>
            <a:ext uri="{FF2B5EF4-FFF2-40B4-BE49-F238E27FC236}">
              <a16:creationId xmlns:a16="http://schemas.microsoft.com/office/drawing/2014/main" xmlns=""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666750</xdr:colOff>
      <xdr:row>53</xdr:row>
      <xdr:rowOff>152401</xdr:rowOff>
    </xdr:from>
    <xdr:to>
      <xdr:col>13</xdr:col>
      <xdr:colOff>666750</xdr:colOff>
      <xdr:row>69</xdr:row>
      <xdr:rowOff>114300</xdr:rowOff>
    </xdr:to>
    <xdr:graphicFrame macro="">
      <xdr:nvGraphicFramePr>
        <xdr:cNvPr id="3" name="Chart 2">
          <a:extLst>
            <a:ext uri="{FF2B5EF4-FFF2-40B4-BE49-F238E27FC236}">
              <a16:creationId xmlns:a16="http://schemas.microsoft.com/office/drawing/2014/main" xmlns="" id="{00000000-0008-0000-1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19050</xdr:colOff>
      <xdr:row>36</xdr:row>
      <xdr:rowOff>171451</xdr:rowOff>
    </xdr:from>
    <xdr:to>
      <xdr:col>27</xdr:col>
      <xdr:colOff>669925</xdr:colOff>
      <xdr:row>52</xdr:row>
      <xdr:rowOff>171451</xdr:rowOff>
    </xdr:to>
    <xdr:graphicFrame macro="">
      <xdr:nvGraphicFramePr>
        <xdr:cNvPr id="4" name="Chart 3">
          <a:extLst>
            <a:ext uri="{FF2B5EF4-FFF2-40B4-BE49-F238E27FC236}">
              <a16:creationId xmlns:a16="http://schemas.microsoft.com/office/drawing/2014/main" xmlns="" id="{00000000-0008-0000-1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0</xdr:colOff>
      <xdr:row>53</xdr:row>
      <xdr:rowOff>114300</xdr:rowOff>
    </xdr:from>
    <xdr:to>
      <xdr:col>27</xdr:col>
      <xdr:colOff>666750</xdr:colOff>
      <xdr:row>69</xdr:row>
      <xdr:rowOff>76200</xdr:rowOff>
    </xdr:to>
    <xdr:graphicFrame macro="">
      <xdr:nvGraphicFramePr>
        <xdr:cNvPr id="5" name="Chart 4">
          <a:extLst>
            <a:ext uri="{FF2B5EF4-FFF2-40B4-BE49-F238E27FC236}">
              <a16:creationId xmlns:a16="http://schemas.microsoft.com/office/drawing/2014/main" xmlns="" id="{00000000-0008-0000-1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180975</xdr:colOff>
      <xdr:row>36</xdr:row>
      <xdr:rowOff>190499</xdr:rowOff>
    </xdr:from>
    <xdr:to>
      <xdr:col>42</xdr:col>
      <xdr:colOff>28575</xdr:colOff>
      <xdr:row>52</xdr:row>
      <xdr:rowOff>209548</xdr:rowOff>
    </xdr:to>
    <xdr:graphicFrame macro="">
      <xdr:nvGraphicFramePr>
        <xdr:cNvPr id="6" name="Chart 5">
          <a:extLst>
            <a:ext uri="{FF2B5EF4-FFF2-40B4-BE49-F238E27FC236}">
              <a16:creationId xmlns:a16="http://schemas.microsoft.com/office/drawing/2014/main" xmlns="" id="{00000000-0008-0000-1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203200</xdr:colOff>
      <xdr:row>53</xdr:row>
      <xdr:rowOff>95250</xdr:rowOff>
    </xdr:from>
    <xdr:to>
      <xdr:col>42</xdr:col>
      <xdr:colOff>57150</xdr:colOff>
      <xdr:row>69</xdr:row>
      <xdr:rowOff>76200</xdr:rowOff>
    </xdr:to>
    <xdr:graphicFrame macro="">
      <xdr:nvGraphicFramePr>
        <xdr:cNvPr id="7" name="Chart 6">
          <a:extLst>
            <a:ext uri="{FF2B5EF4-FFF2-40B4-BE49-F238E27FC236}">
              <a16:creationId xmlns:a16="http://schemas.microsoft.com/office/drawing/2014/main" xmlns="" id="{00000000-0008-0000-1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57150</xdr:colOff>
      <xdr:row>2</xdr:row>
      <xdr:rowOff>38100</xdr:rowOff>
    </xdr:from>
    <xdr:to>
      <xdr:col>13</xdr:col>
      <xdr:colOff>666750</xdr:colOff>
      <xdr:row>35</xdr:row>
      <xdr:rowOff>182096</xdr:rowOff>
    </xdr:to>
    <xdr:graphicFrame macro="">
      <xdr:nvGraphicFramePr>
        <xdr:cNvPr id="8" name="Chart 1">
          <a:extLst>
            <a:ext uri="{FF2B5EF4-FFF2-40B4-BE49-F238E27FC236}">
              <a16:creationId xmlns:a16="http://schemas.microsoft.com/office/drawing/2014/main" xmlns="" id="{00000000-0008-0000-1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57150</xdr:colOff>
      <xdr:row>2</xdr:row>
      <xdr:rowOff>0</xdr:rowOff>
    </xdr:from>
    <xdr:to>
      <xdr:col>27</xdr:col>
      <xdr:colOff>609600</xdr:colOff>
      <xdr:row>35</xdr:row>
      <xdr:rowOff>177801</xdr:rowOff>
    </xdr:to>
    <xdr:graphicFrame macro="">
      <xdr:nvGraphicFramePr>
        <xdr:cNvPr id="9" name="Chart 8">
          <a:extLst>
            <a:ext uri="{FF2B5EF4-FFF2-40B4-BE49-F238E27FC236}">
              <a16:creationId xmlns:a16="http://schemas.microsoft.com/office/drawing/2014/main" xmlns="" id="{00000000-0008-0000-1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7</xdr:col>
      <xdr:colOff>555624</xdr:colOff>
      <xdr:row>3</xdr:row>
      <xdr:rowOff>20108</xdr:rowOff>
    </xdr:from>
    <xdr:to>
      <xdr:col>16</xdr:col>
      <xdr:colOff>465666</xdr:colOff>
      <xdr:row>34</xdr:row>
      <xdr:rowOff>148166</xdr:rowOff>
    </xdr:to>
    <xdr:graphicFrame macro="">
      <xdr:nvGraphicFramePr>
        <xdr:cNvPr id="3" name="Chart 1">
          <a:extLst>
            <a:ext uri="{FF2B5EF4-FFF2-40B4-BE49-F238E27FC236}">
              <a16:creationId xmlns:a16="http://schemas.microsoft.com/office/drawing/2014/main" xmlns="" id="{00000000-0008-0000-1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7</xdr:col>
      <xdr:colOff>257175</xdr:colOff>
      <xdr:row>1</xdr:row>
      <xdr:rowOff>107949</xdr:rowOff>
    </xdr:from>
    <xdr:to>
      <xdr:col>24</xdr:col>
      <xdr:colOff>141515</xdr:colOff>
      <xdr:row>16</xdr:row>
      <xdr:rowOff>95250</xdr:rowOff>
    </xdr:to>
    <xdr:graphicFrame macro="">
      <xdr:nvGraphicFramePr>
        <xdr:cNvPr id="2" name="Chart 1">
          <a:extLst>
            <a:ext uri="{FF2B5EF4-FFF2-40B4-BE49-F238E27FC236}">
              <a16:creationId xmlns:a16="http://schemas.microsoft.com/office/drawing/2014/main" xmlns=""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11</xdr:col>
      <xdr:colOff>638175</xdr:colOff>
      <xdr:row>0</xdr:row>
      <xdr:rowOff>1666874</xdr:rowOff>
    </xdr:from>
    <xdr:to>
      <xdr:col>25</xdr:col>
      <xdr:colOff>352425</xdr:colOff>
      <xdr:row>33</xdr:row>
      <xdr:rowOff>133349</xdr:rowOff>
    </xdr:to>
    <xdr:graphicFrame macro="">
      <xdr:nvGraphicFramePr>
        <xdr:cNvPr id="2" name="Chart 1">
          <a:extLst>
            <a:ext uri="{FF2B5EF4-FFF2-40B4-BE49-F238E27FC236}">
              <a16:creationId xmlns:a16="http://schemas.microsoft.com/office/drawing/2014/main" xmlns=""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11</xdr:col>
      <xdr:colOff>638175</xdr:colOff>
      <xdr:row>0</xdr:row>
      <xdr:rowOff>1666874</xdr:rowOff>
    </xdr:from>
    <xdr:to>
      <xdr:col>25</xdr:col>
      <xdr:colOff>352425</xdr:colOff>
      <xdr:row>33</xdr:row>
      <xdr:rowOff>133349</xdr:rowOff>
    </xdr:to>
    <xdr:graphicFrame macro="">
      <xdr:nvGraphicFramePr>
        <xdr:cNvPr id="2" name="Chart 1">
          <a:extLst>
            <a:ext uri="{FF2B5EF4-FFF2-40B4-BE49-F238E27FC236}">
              <a16:creationId xmlns:a16="http://schemas.microsoft.com/office/drawing/2014/main" xmlns=""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9</xdr:col>
      <xdr:colOff>600075</xdr:colOff>
      <xdr:row>0</xdr:row>
      <xdr:rowOff>800099</xdr:rowOff>
    </xdr:from>
    <xdr:to>
      <xdr:col>23</xdr:col>
      <xdr:colOff>314325</xdr:colOff>
      <xdr:row>33</xdr:row>
      <xdr:rowOff>76199</xdr:rowOff>
    </xdr:to>
    <xdr:graphicFrame macro="">
      <xdr:nvGraphicFramePr>
        <xdr:cNvPr id="2" name="Chart 1">
          <a:extLst>
            <a:ext uri="{FF2B5EF4-FFF2-40B4-BE49-F238E27FC236}">
              <a16:creationId xmlns:a16="http://schemas.microsoft.com/office/drawing/2014/main" xmlns=""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11</xdr:col>
      <xdr:colOff>638175</xdr:colOff>
      <xdr:row>0</xdr:row>
      <xdr:rowOff>1666874</xdr:rowOff>
    </xdr:from>
    <xdr:to>
      <xdr:col>25</xdr:col>
      <xdr:colOff>352425</xdr:colOff>
      <xdr:row>33</xdr:row>
      <xdr:rowOff>133349</xdr:rowOff>
    </xdr:to>
    <xdr:graphicFrame macro="">
      <xdr:nvGraphicFramePr>
        <xdr:cNvPr id="2" name="Chart 1">
          <a:extLst>
            <a:ext uri="{FF2B5EF4-FFF2-40B4-BE49-F238E27FC236}">
              <a16:creationId xmlns:a16="http://schemas.microsoft.com/office/drawing/2014/main" xmlns=""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11</xdr:col>
      <xdr:colOff>638175</xdr:colOff>
      <xdr:row>0</xdr:row>
      <xdr:rowOff>1666874</xdr:rowOff>
    </xdr:from>
    <xdr:to>
      <xdr:col>25</xdr:col>
      <xdr:colOff>352425</xdr:colOff>
      <xdr:row>33</xdr:row>
      <xdr:rowOff>133349</xdr:rowOff>
    </xdr:to>
    <xdr:graphicFrame macro="">
      <xdr:nvGraphicFramePr>
        <xdr:cNvPr id="2" name="Chart 1">
          <a:extLst>
            <a:ext uri="{FF2B5EF4-FFF2-40B4-BE49-F238E27FC236}">
              <a16:creationId xmlns:a16="http://schemas.microsoft.com/office/drawing/2014/main" xmlns=""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9</xdr:col>
      <xdr:colOff>600075</xdr:colOff>
      <xdr:row>0</xdr:row>
      <xdr:rowOff>800099</xdr:rowOff>
    </xdr:from>
    <xdr:to>
      <xdr:col>23</xdr:col>
      <xdr:colOff>314325</xdr:colOff>
      <xdr:row>33</xdr:row>
      <xdr:rowOff>76199</xdr:rowOff>
    </xdr:to>
    <xdr:graphicFrame macro="">
      <xdr:nvGraphicFramePr>
        <xdr:cNvPr id="2" name="Chart 1">
          <a:extLst>
            <a:ext uri="{FF2B5EF4-FFF2-40B4-BE49-F238E27FC236}">
              <a16:creationId xmlns:a16="http://schemas.microsoft.com/office/drawing/2014/main" xmlns=""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14008</xdr:colOff>
      <xdr:row>36</xdr:row>
      <xdr:rowOff>182095</xdr:rowOff>
    </xdr:from>
    <xdr:to>
      <xdr:col>14</xdr:col>
      <xdr:colOff>14007</xdr:colOff>
      <xdr:row>52</xdr:row>
      <xdr:rowOff>42022</xdr:rowOff>
    </xdr:to>
    <xdr:graphicFrame macro="">
      <xdr:nvGraphicFramePr>
        <xdr:cNvPr id="12" name="Chart 11">
          <a:extLst>
            <a:ext uri="{FF2B5EF4-FFF2-40B4-BE49-F238E27FC236}">
              <a16:creationId xmlns:a16="http://schemas.microsoft.com/office/drawing/2014/main" xmlns="" id="{00000000-0008-0000-1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42023</xdr:colOff>
      <xdr:row>37</xdr:row>
      <xdr:rowOff>-1</xdr:rowOff>
    </xdr:from>
    <xdr:to>
      <xdr:col>28</xdr:col>
      <xdr:colOff>0</xdr:colOff>
      <xdr:row>52</xdr:row>
      <xdr:rowOff>0</xdr:rowOff>
    </xdr:to>
    <xdr:graphicFrame macro="">
      <xdr:nvGraphicFramePr>
        <xdr:cNvPr id="13" name="Chart 12">
          <a:extLst>
            <a:ext uri="{FF2B5EF4-FFF2-40B4-BE49-F238E27FC236}">
              <a16:creationId xmlns:a16="http://schemas.microsoft.com/office/drawing/2014/main" xmlns="" id="{00000000-0008-0000-1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29</xdr:col>
      <xdr:colOff>0</xdr:colOff>
      <xdr:row>37</xdr:row>
      <xdr:rowOff>14007</xdr:rowOff>
    </xdr:from>
    <xdr:to>
      <xdr:col>41</xdr:col>
      <xdr:colOff>672353</xdr:colOff>
      <xdr:row>52</xdr:row>
      <xdr:rowOff>1</xdr:rowOff>
    </xdr:to>
    <xdr:graphicFrame macro="">
      <xdr:nvGraphicFramePr>
        <xdr:cNvPr id="14" name="Chart 13">
          <a:extLst>
            <a:ext uri="{FF2B5EF4-FFF2-40B4-BE49-F238E27FC236}">
              <a16:creationId xmlns:a16="http://schemas.microsoft.com/office/drawing/2014/main" xmlns="" id="{00000000-0008-0000-1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53</xdr:row>
      <xdr:rowOff>182095</xdr:rowOff>
    </xdr:from>
    <xdr:to>
      <xdr:col>14</xdr:col>
      <xdr:colOff>0</xdr:colOff>
      <xdr:row>68</xdr:row>
      <xdr:rowOff>168089</xdr:rowOff>
    </xdr:to>
    <xdr:graphicFrame macro="">
      <xdr:nvGraphicFramePr>
        <xdr:cNvPr id="15" name="Chart 14">
          <a:extLst>
            <a:ext uri="{FF2B5EF4-FFF2-40B4-BE49-F238E27FC236}">
              <a16:creationId xmlns:a16="http://schemas.microsoft.com/office/drawing/2014/main" xmlns="" id="{00000000-0008-0000-1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14008</xdr:colOff>
      <xdr:row>53</xdr:row>
      <xdr:rowOff>182096</xdr:rowOff>
    </xdr:from>
    <xdr:to>
      <xdr:col>28</xdr:col>
      <xdr:colOff>14008</xdr:colOff>
      <xdr:row>69</xdr:row>
      <xdr:rowOff>1</xdr:rowOff>
    </xdr:to>
    <xdr:graphicFrame macro="">
      <xdr:nvGraphicFramePr>
        <xdr:cNvPr id="16" name="Chart 15">
          <a:extLst>
            <a:ext uri="{FF2B5EF4-FFF2-40B4-BE49-F238E27FC236}">
              <a16:creationId xmlns:a16="http://schemas.microsoft.com/office/drawing/2014/main" xmlns="" id="{00000000-0008-0000-1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224119</xdr:colOff>
      <xdr:row>53</xdr:row>
      <xdr:rowOff>182096</xdr:rowOff>
    </xdr:from>
    <xdr:to>
      <xdr:col>42</xdr:col>
      <xdr:colOff>28016</xdr:colOff>
      <xdr:row>68</xdr:row>
      <xdr:rowOff>182096</xdr:rowOff>
    </xdr:to>
    <xdr:graphicFrame macro="">
      <xdr:nvGraphicFramePr>
        <xdr:cNvPr id="17" name="Chart 16">
          <a:extLst>
            <a:ext uri="{FF2B5EF4-FFF2-40B4-BE49-F238E27FC236}">
              <a16:creationId xmlns:a16="http://schemas.microsoft.com/office/drawing/2014/main" xmlns="" id="{00000000-0008-0000-1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14008</xdr:colOff>
      <xdr:row>2</xdr:row>
      <xdr:rowOff>0</xdr:rowOff>
    </xdr:from>
    <xdr:to>
      <xdr:col>14</xdr:col>
      <xdr:colOff>0</xdr:colOff>
      <xdr:row>35</xdr:row>
      <xdr:rowOff>182095</xdr:rowOff>
    </xdr:to>
    <xdr:graphicFrame macro="">
      <xdr:nvGraphicFramePr>
        <xdr:cNvPr id="18" name="Chart 17">
          <a:extLst>
            <a:ext uri="{FF2B5EF4-FFF2-40B4-BE49-F238E27FC236}">
              <a16:creationId xmlns:a16="http://schemas.microsoft.com/office/drawing/2014/main" xmlns="" id="{00000000-0008-0000-1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196104</xdr:colOff>
      <xdr:row>2</xdr:row>
      <xdr:rowOff>-1</xdr:rowOff>
    </xdr:from>
    <xdr:to>
      <xdr:col>26</xdr:col>
      <xdr:colOff>560294</xdr:colOff>
      <xdr:row>21</xdr:row>
      <xdr:rowOff>52294</xdr:rowOff>
    </xdr:to>
    <xdr:graphicFrame macro="">
      <xdr:nvGraphicFramePr>
        <xdr:cNvPr id="10" name="Chart 9">
          <a:extLst>
            <a:ext uri="{FF2B5EF4-FFF2-40B4-BE49-F238E27FC236}">
              <a16:creationId xmlns:a16="http://schemas.microsoft.com/office/drawing/2014/main" xmlns="" id="{00000000-0008-0000-1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7</xdr:col>
      <xdr:colOff>5290</xdr:colOff>
      <xdr:row>1</xdr:row>
      <xdr:rowOff>189442</xdr:rowOff>
    </xdr:from>
    <xdr:to>
      <xdr:col>15</xdr:col>
      <xdr:colOff>751416</xdr:colOff>
      <xdr:row>31</xdr:row>
      <xdr:rowOff>190500</xdr:rowOff>
    </xdr:to>
    <xdr:graphicFrame macro="">
      <xdr:nvGraphicFramePr>
        <xdr:cNvPr id="2" name="Chart 1">
          <a:extLst>
            <a:ext uri="{FF2B5EF4-FFF2-40B4-BE49-F238E27FC236}">
              <a16:creationId xmlns:a16="http://schemas.microsoft.com/office/drawing/2014/main" xmlns=""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6</xdr:col>
      <xdr:colOff>523875</xdr:colOff>
      <xdr:row>1</xdr:row>
      <xdr:rowOff>126999</xdr:rowOff>
    </xdr:from>
    <xdr:to>
      <xdr:col>23</xdr:col>
      <xdr:colOff>408215</xdr:colOff>
      <xdr:row>16</xdr:row>
      <xdr:rowOff>114300</xdr:rowOff>
    </xdr:to>
    <xdr:graphicFrame macro="">
      <xdr:nvGraphicFramePr>
        <xdr:cNvPr id="2" name="Chart 1">
          <a:extLst>
            <a:ext uri="{FF2B5EF4-FFF2-40B4-BE49-F238E27FC236}">
              <a16:creationId xmlns:a16="http://schemas.microsoft.com/office/drawing/2014/main" xmlns=""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11</xdr:col>
      <xdr:colOff>638175</xdr:colOff>
      <xdr:row>0</xdr:row>
      <xdr:rowOff>1666874</xdr:rowOff>
    </xdr:from>
    <xdr:to>
      <xdr:col>25</xdr:col>
      <xdr:colOff>352425</xdr:colOff>
      <xdr:row>33</xdr:row>
      <xdr:rowOff>133349</xdr:rowOff>
    </xdr:to>
    <xdr:graphicFrame macro="">
      <xdr:nvGraphicFramePr>
        <xdr:cNvPr id="2" name="Chart 1">
          <a:extLst>
            <a:ext uri="{FF2B5EF4-FFF2-40B4-BE49-F238E27FC236}">
              <a16:creationId xmlns:a16="http://schemas.microsoft.com/office/drawing/2014/main" xmlns=""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11</xdr:col>
      <xdr:colOff>638175</xdr:colOff>
      <xdr:row>0</xdr:row>
      <xdr:rowOff>1666874</xdr:rowOff>
    </xdr:from>
    <xdr:to>
      <xdr:col>25</xdr:col>
      <xdr:colOff>352425</xdr:colOff>
      <xdr:row>33</xdr:row>
      <xdr:rowOff>133349</xdr:rowOff>
    </xdr:to>
    <xdr:graphicFrame macro="">
      <xdr:nvGraphicFramePr>
        <xdr:cNvPr id="2" name="Chart 1">
          <a:extLst>
            <a:ext uri="{FF2B5EF4-FFF2-40B4-BE49-F238E27FC236}">
              <a16:creationId xmlns:a16="http://schemas.microsoft.com/office/drawing/2014/main" xmlns="" id="{00000000-0008-0000-2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9</xdr:col>
      <xdr:colOff>600075</xdr:colOff>
      <xdr:row>0</xdr:row>
      <xdr:rowOff>800099</xdr:rowOff>
    </xdr:from>
    <xdr:to>
      <xdr:col>23</xdr:col>
      <xdr:colOff>314325</xdr:colOff>
      <xdr:row>33</xdr:row>
      <xdr:rowOff>76199</xdr:rowOff>
    </xdr:to>
    <xdr:graphicFrame macro="">
      <xdr:nvGraphicFramePr>
        <xdr:cNvPr id="2" name="Chart 1">
          <a:extLst>
            <a:ext uri="{FF2B5EF4-FFF2-40B4-BE49-F238E27FC236}">
              <a16:creationId xmlns:a16="http://schemas.microsoft.com/office/drawing/2014/main" xmlns="" id="{00000000-0008-0000-2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xdr:from>
      <xdr:col>11</xdr:col>
      <xdr:colOff>638175</xdr:colOff>
      <xdr:row>0</xdr:row>
      <xdr:rowOff>1666874</xdr:rowOff>
    </xdr:from>
    <xdr:to>
      <xdr:col>25</xdr:col>
      <xdr:colOff>352425</xdr:colOff>
      <xdr:row>33</xdr:row>
      <xdr:rowOff>133349</xdr:rowOff>
    </xdr:to>
    <xdr:graphicFrame macro="">
      <xdr:nvGraphicFramePr>
        <xdr:cNvPr id="2" name="Chart 1">
          <a:extLst>
            <a:ext uri="{FF2B5EF4-FFF2-40B4-BE49-F238E27FC236}">
              <a16:creationId xmlns:a16="http://schemas.microsoft.com/office/drawing/2014/main" xmlns="" id="{00000000-0008-0000-2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11</xdr:col>
      <xdr:colOff>638175</xdr:colOff>
      <xdr:row>0</xdr:row>
      <xdr:rowOff>1666874</xdr:rowOff>
    </xdr:from>
    <xdr:to>
      <xdr:col>25</xdr:col>
      <xdr:colOff>352425</xdr:colOff>
      <xdr:row>33</xdr:row>
      <xdr:rowOff>133349</xdr:rowOff>
    </xdr:to>
    <xdr:graphicFrame macro="">
      <xdr:nvGraphicFramePr>
        <xdr:cNvPr id="2" name="Chart 1">
          <a:extLst>
            <a:ext uri="{FF2B5EF4-FFF2-40B4-BE49-F238E27FC236}">
              <a16:creationId xmlns:a16="http://schemas.microsoft.com/office/drawing/2014/main" xmlns="" id="{00000000-0008-0000-2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9</xdr:col>
      <xdr:colOff>600075</xdr:colOff>
      <xdr:row>0</xdr:row>
      <xdr:rowOff>800099</xdr:rowOff>
    </xdr:from>
    <xdr:to>
      <xdr:col>23</xdr:col>
      <xdr:colOff>314325</xdr:colOff>
      <xdr:row>33</xdr:row>
      <xdr:rowOff>76199</xdr:rowOff>
    </xdr:to>
    <xdr:graphicFrame macro="">
      <xdr:nvGraphicFramePr>
        <xdr:cNvPr id="2" name="Chart 1">
          <a:extLst>
            <a:ext uri="{FF2B5EF4-FFF2-40B4-BE49-F238E27FC236}">
              <a16:creationId xmlns:a16="http://schemas.microsoft.com/office/drawing/2014/main" xmlns="" id="{00000000-0008-0000-2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xdr:from>
      <xdr:col>1</xdr:col>
      <xdr:colOff>14008</xdr:colOff>
      <xdr:row>36</xdr:row>
      <xdr:rowOff>182095</xdr:rowOff>
    </xdr:from>
    <xdr:to>
      <xdr:col>14</xdr:col>
      <xdr:colOff>14007</xdr:colOff>
      <xdr:row>52</xdr:row>
      <xdr:rowOff>42022</xdr:rowOff>
    </xdr:to>
    <xdr:graphicFrame macro="">
      <xdr:nvGraphicFramePr>
        <xdr:cNvPr id="2" name="Chart 1">
          <a:extLst>
            <a:ext uri="{FF2B5EF4-FFF2-40B4-BE49-F238E27FC236}">
              <a16:creationId xmlns:a16="http://schemas.microsoft.com/office/drawing/2014/main" xmlns="" id="{00000000-0008-0000-2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42023</xdr:colOff>
      <xdr:row>37</xdr:row>
      <xdr:rowOff>-1</xdr:rowOff>
    </xdr:from>
    <xdr:to>
      <xdr:col>28</xdr:col>
      <xdr:colOff>0</xdr:colOff>
      <xdr:row>52</xdr:row>
      <xdr:rowOff>0</xdr:rowOff>
    </xdr:to>
    <xdr:graphicFrame macro="">
      <xdr:nvGraphicFramePr>
        <xdr:cNvPr id="3" name="Chart 2">
          <a:extLst>
            <a:ext uri="{FF2B5EF4-FFF2-40B4-BE49-F238E27FC236}">
              <a16:creationId xmlns:a16="http://schemas.microsoft.com/office/drawing/2014/main" xmlns="" id="{00000000-0008-0000-2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29</xdr:col>
      <xdr:colOff>0</xdr:colOff>
      <xdr:row>37</xdr:row>
      <xdr:rowOff>14007</xdr:rowOff>
    </xdr:from>
    <xdr:to>
      <xdr:col>41</xdr:col>
      <xdr:colOff>672353</xdr:colOff>
      <xdr:row>52</xdr:row>
      <xdr:rowOff>1</xdr:rowOff>
    </xdr:to>
    <xdr:graphicFrame macro="">
      <xdr:nvGraphicFramePr>
        <xdr:cNvPr id="4" name="Chart 3">
          <a:extLst>
            <a:ext uri="{FF2B5EF4-FFF2-40B4-BE49-F238E27FC236}">
              <a16:creationId xmlns:a16="http://schemas.microsoft.com/office/drawing/2014/main" xmlns="" id="{00000000-0008-0000-2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53</xdr:row>
      <xdr:rowOff>182095</xdr:rowOff>
    </xdr:from>
    <xdr:to>
      <xdr:col>14</xdr:col>
      <xdr:colOff>0</xdr:colOff>
      <xdr:row>68</xdr:row>
      <xdr:rowOff>168089</xdr:rowOff>
    </xdr:to>
    <xdr:graphicFrame macro="">
      <xdr:nvGraphicFramePr>
        <xdr:cNvPr id="5" name="Chart 4">
          <a:extLst>
            <a:ext uri="{FF2B5EF4-FFF2-40B4-BE49-F238E27FC236}">
              <a16:creationId xmlns:a16="http://schemas.microsoft.com/office/drawing/2014/main" xmlns="" id="{00000000-0008-0000-2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14008</xdr:colOff>
      <xdr:row>53</xdr:row>
      <xdr:rowOff>182096</xdr:rowOff>
    </xdr:from>
    <xdr:to>
      <xdr:col>28</xdr:col>
      <xdr:colOff>14008</xdr:colOff>
      <xdr:row>69</xdr:row>
      <xdr:rowOff>1</xdr:rowOff>
    </xdr:to>
    <xdr:graphicFrame macro="">
      <xdr:nvGraphicFramePr>
        <xdr:cNvPr id="6" name="Chart 5">
          <a:extLst>
            <a:ext uri="{FF2B5EF4-FFF2-40B4-BE49-F238E27FC236}">
              <a16:creationId xmlns:a16="http://schemas.microsoft.com/office/drawing/2014/main" xmlns="" id="{00000000-0008-0000-2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224119</xdr:colOff>
      <xdr:row>53</xdr:row>
      <xdr:rowOff>182096</xdr:rowOff>
    </xdr:from>
    <xdr:to>
      <xdr:col>42</xdr:col>
      <xdr:colOff>28016</xdr:colOff>
      <xdr:row>68</xdr:row>
      <xdr:rowOff>182096</xdr:rowOff>
    </xdr:to>
    <xdr:graphicFrame macro="">
      <xdr:nvGraphicFramePr>
        <xdr:cNvPr id="7" name="Chart 6">
          <a:extLst>
            <a:ext uri="{FF2B5EF4-FFF2-40B4-BE49-F238E27FC236}">
              <a16:creationId xmlns:a16="http://schemas.microsoft.com/office/drawing/2014/main" xmlns="" id="{00000000-0008-0000-2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14008</xdr:colOff>
      <xdr:row>2</xdr:row>
      <xdr:rowOff>0</xdr:rowOff>
    </xdr:from>
    <xdr:to>
      <xdr:col>14</xdr:col>
      <xdr:colOff>0</xdr:colOff>
      <xdr:row>35</xdr:row>
      <xdr:rowOff>182095</xdr:rowOff>
    </xdr:to>
    <xdr:graphicFrame macro="">
      <xdr:nvGraphicFramePr>
        <xdr:cNvPr id="8" name="Chart 7">
          <a:extLst>
            <a:ext uri="{FF2B5EF4-FFF2-40B4-BE49-F238E27FC236}">
              <a16:creationId xmlns:a16="http://schemas.microsoft.com/office/drawing/2014/main" xmlns="" id="{00000000-0008-0000-2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28016</xdr:colOff>
      <xdr:row>1</xdr:row>
      <xdr:rowOff>252133</xdr:rowOff>
    </xdr:from>
    <xdr:to>
      <xdr:col>28</xdr:col>
      <xdr:colOff>0</xdr:colOff>
      <xdr:row>21</xdr:row>
      <xdr:rowOff>38288</xdr:rowOff>
    </xdr:to>
    <xdr:graphicFrame macro="">
      <xdr:nvGraphicFramePr>
        <xdr:cNvPr id="9" name="Chart 8">
          <a:extLst>
            <a:ext uri="{FF2B5EF4-FFF2-40B4-BE49-F238E27FC236}">
              <a16:creationId xmlns:a16="http://schemas.microsoft.com/office/drawing/2014/main" xmlns="" id="{00000000-0008-0000-2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7</xdr:col>
      <xdr:colOff>5290</xdr:colOff>
      <xdr:row>1</xdr:row>
      <xdr:rowOff>189442</xdr:rowOff>
    </xdr:from>
    <xdr:to>
      <xdr:col>15</xdr:col>
      <xdr:colOff>751416</xdr:colOff>
      <xdr:row>31</xdr:row>
      <xdr:rowOff>190500</xdr:rowOff>
    </xdr:to>
    <xdr:graphicFrame macro="">
      <xdr:nvGraphicFramePr>
        <xdr:cNvPr id="2" name="Chart 1">
          <a:extLst>
            <a:ext uri="{FF2B5EF4-FFF2-40B4-BE49-F238E27FC236}">
              <a16:creationId xmlns:a16="http://schemas.microsoft.com/office/drawing/2014/main" xmlns="" id="{00000000-0008-0000-2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6</xdr:col>
      <xdr:colOff>523875</xdr:colOff>
      <xdr:row>1</xdr:row>
      <xdr:rowOff>126999</xdr:rowOff>
    </xdr:from>
    <xdr:to>
      <xdr:col>23</xdr:col>
      <xdr:colOff>408215</xdr:colOff>
      <xdr:row>15</xdr:row>
      <xdr:rowOff>114300</xdr:rowOff>
    </xdr:to>
    <xdr:graphicFrame macro="">
      <xdr:nvGraphicFramePr>
        <xdr:cNvPr id="2" name="Chart 1">
          <a:extLst>
            <a:ext uri="{FF2B5EF4-FFF2-40B4-BE49-F238E27FC236}">
              <a16:creationId xmlns:a16="http://schemas.microsoft.com/office/drawing/2014/main" xmlns="" id="{00000000-0008-0000-2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11</xdr:col>
      <xdr:colOff>638175</xdr:colOff>
      <xdr:row>0</xdr:row>
      <xdr:rowOff>1666874</xdr:rowOff>
    </xdr:from>
    <xdr:to>
      <xdr:col>25</xdr:col>
      <xdr:colOff>352425</xdr:colOff>
      <xdr:row>33</xdr:row>
      <xdr:rowOff>133349</xdr:rowOff>
    </xdr:to>
    <xdr:graphicFrame macro="">
      <xdr:nvGraphicFramePr>
        <xdr:cNvPr id="2" name="Chart 1">
          <a:extLst>
            <a:ext uri="{FF2B5EF4-FFF2-40B4-BE49-F238E27FC236}">
              <a16:creationId xmlns:a16="http://schemas.microsoft.com/office/drawing/2014/main" xmlns="" id="{00000000-0008-0000-2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11</xdr:col>
      <xdr:colOff>638175</xdr:colOff>
      <xdr:row>0</xdr:row>
      <xdr:rowOff>1666874</xdr:rowOff>
    </xdr:from>
    <xdr:to>
      <xdr:col>25</xdr:col>
      <xdr:colOff>352425</xdr:colOff>
      <xdr:row>33</xdr:row>
      <xdr:rowOff>133349</xdr:rowOff>
    </xdr:to>
    <xdr:graphicFrame macro="">
      <xdr:nvGraphicFramePr>
        <xdr:cNvPr id="2" name="Chart 1">
          <a:extLst>
            <a:ext uri="{FF2B5EF4-FFF2-40B4-BE49-F238E27FC236}">
              <a16:creationId xmlns:a16="http://schemas.microsoft.com/office/drawing/2014/main" xmlns="" id="{00000000-0008-0000-2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9</xdr:col>
      <xdr:colOff>600075</xdr:colOff>
      <xdr:row>0</xdr:row>
      <xdr:rowOff>800099</xdr:rowOff>
    </xdr:from>
    <xdr:to>
      <xdr:col>23</xdr:col>
      <xdr:colOff>314325</xdr:colOff>
      <xdr:row>33</xdr:row>
      <xdr:rowOff>76199</xdr:rowOff>
    </xdr:to>
    <xdr:graphicFrame macro="">
      <xdr:nvGraphicFramePr>
        <xdr:cNvPr id="2" name="Chart 1">
          <a:extLst>
            <a:ext uri="{FF2B5EF4-FFF2-40B4-BE49-F238E27FC236}">
              <a16:creationId xmlns:a16="http://schemas.microsoft.com/office/drawing/2014/main" xmlns="" id="{00000000-0008-0000-2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11</xdr:col>
      <xdr:colOff>638175</xdr:colOff>
      <xdr:row>0</xdr:row>
      <xdr:rowOff>1666874</xdr:rowOff>
    </xdr:from>
    <xdr:to>
      <xdr:col>25</xdr:col>
      <xdr:colOff>352425</xdr:colOff>
      <xdr:row>33</xdr:row>
      <xdr:rowOff>133349</xdr:rowOff>
    </xdr:to>
    <xdr:graphicFrame macro="">
      <xdr:nvGraphicFramePr>
        <xdr:cNvPr id="2" name="Chart 1">
          <a:extLst>
            <a:ext uri="{FF2B5EF4-FFF2-40B4-BE49-F238E27FC236}">
              <a16:creationId xmlns:a16="http://schemas.microsoft.com/office/drawing/2014/main" xmlns="" id="{00000000-0008-0000-2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11</xdr:col>
      <xdr:colOff>638175</xdr:colOff>
      <xdr:row>0</xdr:row>
      <xdr:rowOff>1666874</xdr:rowOff>
    </xdr:from>
    <xdr:to>
      <xdr:col>25</xdr:col>
      <xdr:colOff>352425</xdr:colOff>
      <xdr:row>33</xdr:row>
      <xdr:rowOff>133349</xdr:rowOff>
    </xdr:to>
    <xdr:graphicFrame macro="">
      <xdr:nvGraphicFramePr>
        <xdr:cNvPr id="2" name="Chart 1">
          <a:extLst>
            <a:ext uri="{FF2B5EF4-FFF2-40B4-BE49-F238E27FC236}">
              <a16:creationId xmlns:a16="http://schemas.microsoft.com/office/drawing/2014/main" xmlns="" id="{00000000-0008-0000-2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9</xdr:col>
      <xdr:colOff>600075</xdr:colOff>
      <xdr:row>0</xdr:row>
      <xdr:rowOff>800099</xdr:rowOff>
    </xdr:from>
    <xdr:to>
      <xdr:col>23</xdr:col>
      <xdr:colOff>314325</xdr:colOff>
      <xdr:row>33</xdr:row>
      <xdr:rowOff>76199</xdr:rowOff>
    </xdr:to>
    <xdr:graphicFrame macro="">
      <xdr:nvGraphicFramePr>
        <xdr:cNvPr id="2" name="Chart 1">
          <a:extLst>
            <a:ext uri="{FF2B5EF4-FFF2-40B4-BE49-F238E27FC236}">
              <a16:creationId xmlns:a16="http://schemas.microsoft.com/office/drawing/2014/main" xmlns="" id="{00000000-0008-0000-2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beghaol\AppData\Local\Microsoft\Windows\Temporary%20Internet%20Files\Content.Outlook\1491M099\Burndown_Sample_Cla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ource Allocation"/>
      <sheetName val="Burn Down Chart"/>
      <sheetName val="Burn Down"/>
      <sheetName val="Release Burn Down"/>
      <sheetName val="Actual Allocation"/>
      <sheetName val="Sprint Information"/>
      <sheetName val="Burndown_Sample_Clay"/>
    </sheetNames>
    <sheetDataSet>
      <sheetData sheetId="0">
        <row r="2">
          <cell r="B2" t="str">
            <v>Resource</v>
          </cell>
        </row>
        <row r="3">
          <cell r="B3" t="str">
            <v>Amy</v>
          </cell>
        </row>
        <row r="4">
          <cell r="B4" t="str">
            <v>Bob</v>
          </cell>
        </row>
        <row r="5">
          <cell r="B5" t="str">
            <v>Ralph</v>
          </cell>
        </row>
        <row r="6">
          <cell r="B6" t="str">
            <v>Susan</v>
          </cell>
        </row>
        <row r="7">
          <cell r="B7" t="str">
            <v>Thom</v>
          </cell>
        </row>
        <row r="8">
          <cell r="B8" t="str">
            <v>Tim</v>
          </cell>
        </row>
        <row r="9">
          <cell r="B9" t="str">
            <v xml:space="preserve">Days Remaining </v>
          </cell>
          <cell r="C9">
            <v>56.090909090909093</v>
          </cell>
          <cell r="D9">
            <v>49.275757575757581</v>
          </cell>
          <cell r="E9">
            <v>46.325757575757578</v>
          </cell>
          <cell r="F9">
            <v>36.545454545454547</v>
          </cell>
          <cell r="G9" t="str">
            <v/>
          </cell>
          <cell r="H9" t="str">
            <v/>
          </cell>
          <cell r="I9" t="str">
            <v/>
          </cell>
          <cell r="J9" t="str">
            <v/>
          </cell>
          <cell r="K9" t="str">
            <v/>
          </cell>
          <cell r="L9" t="str">
            <v/>
          </cell>
          <cell r="M9" t="str">
            <v/>
          </cell>
          <cell r="N9" t="str">
            <v/>
          </cell>
          <cell r="O9" t="str">
            <v/>
          </cell>
          <cell r="P9" t="str">
            <v/>
          </cell>
          <cell r="Q9" t="str">
            <v/>
          </cell>
          <cell r="R9" t="str">
            <v/>
          </cell>
          <cell r="S9" t="str">
            <v/>
          </cell>
          <cell r="T9" t="str">
            <v/>
          </cell>
          <cell r="U9" t="str">
            <v/>
          </cell>
          <cell r="V9" t="str">
            <v/>
          </cell>
          <cell r="W9" t="str">
            <v/>
          </cell>
          <cell r="X9" t="str">
            <v/>
          </cell>
          <cell r="Y9" t="str">
            <v/>
          </cell>
          <cell r="Z9" t="str">
            <v/>
          </cell>
          <cell r="AA9" t="str">
            <v/>
          </cell>
          <cell r="AB9" t="str">
            <v/>
          </cell>
          <cell r="AC9" t="str">
            <v/>
          </cell>
          <cell r="AD9" t="str">
            <v/>
          </cell>
          <cell r="AE9" t="str">
            <v/>
          </cell>
          <cell r="AF9" t="str">
            <v/>
          </cell>
          <cell r="AG9" t="str">
            <v/>
          </cell>
          <cell r="AH9" t="str">
            <v/>
          </cell>
          <cell r="AI9" t="str">
            <v/>
          </cell>
          <cell r="AJ9" t="str">
            <v/>
          </cell>
          <cell r="AK9" t="str">
            <v/>
          </cell>
          <cell r="AL9" t="str">
            <v/>
          </cell>
          <cell r="AM9" t="str">
            <v/>
          </cell>
          <cell r="AN9" t="str">
            <v/>
          </cell>
          <cell r="AO9" t="str">
            <v/>
          </cell>
          <cell r="AP9" t="str">
            <v/>
          </cell>
          <cell r="AQ9" t="str">
            <v/>
          </cell>
          <cell r="AR9" t="str">
            <v/>
          </cell>
          <cell r="AS9" t="str">
            <v/>
          </cell>
          <cell r="AT9" t="str">
            <v/>
          </cell>
          <cell r="AU9" t="str">
            <v/>
          </cell>
          <cell r="AV9" t="str">
            <v/>
          </cell>
          <cell r="AW9" t="str">
            <v/>
          </cell>
          <cell r="AX9" t="str">
            <v/>
          </cell>
          <cell r="AY9" t="str">
            <v/>
          </cell>
          <cell r="AZ9" t="str">
            <v/>
          </cell>
          <cell r="BA9" t="str">
            <v/>
          </cell>
          <cell r="BB9" t="str">
            <v/>
          </cell>
          <cell r="BC9" t="str">
            <v/>
          </cell>
          <cell r="BD9" t="str">
            <v/>
          </cell>
          <cell r="BE9" t="str">
            <v/>
          </cell>
          <cell r="BF9" t="str">
            <v/>
          </cell>
          <cell r="BG9" t="str">
            <v/>
          </cell>
          <cell r="BH9" t="str">
            <v/>
          </cell>
          <cell r="BI9" t="str">
            <v/>
          </cell>
          <cell r="BJ9" t="str">
            <v/>
          </cell>
          <cell r="BK9" t="str">
            <v/>
          </cell>
          <cell r="BL9" t="str">
            <v/>
          </cell>
          <cell r="BM9" t="str">
            <v/>
          </cell>
          <cell r="BN9" t="str">
            <v/>
          </cell>
          <cell r="BO9" t="str">
            <v/>
          </cell>
          <cell r="BP9" t="str">
            <v/>
          </cell>
          <cell r="BQ9" t="str">
            <v/>
          </cell>
          <cell r="BR9" t="str">
            <v/>
          </cell>
          <cell r="BS9" t="str">
            <v/>
          </cell>
          <cell r="BT9" t="str">
            <v/>
          </cell>
          <cell r="BU9" t="str">
            <v/>
          </cell>
          <cell r="BV9" t="str">
            <v/>
          </cell>
          <cell r="BW9" t="str">
            <v/>
          </cell>
          <cell r="BX9" t="str">
            <v/>
          </cell>
          <cell r="BY9" t="str">
            <v/>
          </cell>
          <cell r="BZ9" t="str">
            <v/>
          </cell>
          <cell r="CA9" t="str">
            <v/>
          </cell>
          <cell r="CB9" t="str">
            <v/>
          </cell>
          <cell r="CC9" t="str">
            <v/>
          </cell>
          <cell r="CD9" t="str">
            <v/>
          </cell>
          <cell r="CE9" t="str">
            <v/>
          </cell>
          <cell r="CF9" t="str">
            <v/>
          </cell>
          <cell r="CG9" t="str">
            <v/>
          </cell>
          <cell r="CH9" t="str">
            <v/>
          </cell>
          <cell r="CI9" t="str">
            <v/>
          </cell>
          <cell r="CJ9" t="str">
            <v/>
          </cell>
          <cell r="CK9" t="str">
            <v/>
          </cell>
          <cell r="CL9" t="str">
            <v/>
          </cell>
          <cell r="CM9" t="str">
            <v/>
          </cell>
          <cell r="CN9" t="str">
            <v/>
          </cell>
          <cell r="CO9" t="str">
            <v/>
          </cell>
          <cell r="CP9" t="str">
            <v/>
          </cell>
          <cell r="CQ9" t="str">
            <v/>
          </cell>
          <cell r="CR9" t="str">
            <v/>
          </cell>
          <cell r="CS9" t="str">
            <v/>
          </cell>
          <cell r="CT9" t="str">
            <v/>
          </cell>
          <cell r="CU9" t="str">
            <v/>
          </cell>
          <cell r="CV9" t="str">
            <v/>
          </cell>
          <cell r="CW9" t="str">
            <v/>
          </cell>
          <cell r="CX9" t="str">
            <v/>
          </cell>
          <cell r="CY9" t="str">
            <v/>
          </cell>
          <cell r="CZ9" t="str">
            <v/>
          </cell>
          <cell r="DA9" t="str">
            <v/>
          </cell>
        </row>
      </sheetData>
      <sheetData sheetId="1" refreshError="1"/>
      <sheetData sheetId="2">
        <row r="1">
          <cell r="F1" t="str">
            <v>Postponed</v>
          </cell>
        </row>
      </sheetData>
      <sheetData sheetId="3"/>
      <sheetData sheetId="4">
        <row r="2">
          <cell r="A2" t="str">
            <v>Resource</v>
          </cell>
        </row>
        <row r="3">
          <cell r="A3" t="str">
            <v>Amy</v>
          </cell>
          <cell r="D3">
            <v>9</v>
          </cell>
          <cell r="E3">
            <v>8.6999999999999993</v>
          </cell>
          <cell r="F3">
            <v>8</v>
          </cell>
          <cell r="G3">
            <v>7</v>
          </cell>
          <cell r="H3" t="str">
            <v/>
          </cell>
          <cell r="I3" t="str">
            <v/>
          </cell>
          <cell r="J3" t="str">
            <v/>
          </cell>
          <cell r="K3" t="str">
            <v/>
          </cell>
          <cell r="L3" t="str">
            <v/>
          </cell>
          <cell r="M3" t="str">
            <v/>
          </cell>
          <cell r="N3" t="str">
            <v/>
          </cell>
          <cell r="O3" t="str">
            <v/>
          </cell>
          <cell r="P3" t="str">
            <v/>
          </cell>
          <cell r="Q3" t="str">
            <v/>
          </cell>
          <cell r="R3" t="str">
            <v/>
          </cell>
          <cell r="S3" t="str">
            <v/>
          </cell>
          <cell r="T3" t="str">
            <v/>
          </cell>
          <cell r="U3" t="str">
            <v/>
          </cell>
          <cell r="V3" t="str">
            <v/>
          </cell>
          <cell r="W3" t="str">
            <v/>
          </cell>
          <cell r="X3" t="str">
            <v/>
          </cell>
          <cell r="Y3" t="str">
            <v/>
          </cell>
          <cell r="Z3" t="str">
            <v/>
          </cell>
          <cell r="AA3" t="str">
            <v/>
          </cell>
          <cell r="AB3" t="str">
            <v/>
          </cell>
          <cell r="AC3" t="str">
            <v/>
          </cell>
          <cell r="AD3" t="str">
            <v/>
          </cell>
          <cell r="AE3" t="str">
            <v/>
          </cell>
          <cell r="AF3" t="str">
            <v/>
          </cell>
          <cell r="AG3" t="str">
            <v/>
          </cell>
          <cell r="AH3" t="str">
            <v/>
          </cell>
          <cell r="AI3" t="str">
            <v/>
          </cell>
          <cell r="AJ3" t="str">
            <v/>
          </cell>
          <cell r="AK3" t="str">
            <v/>
          </cell>
          <cell r="AL3" t="str">
            <v/>
          </cell>
          <cell r="AM3" t="str">
            <v/>
          </cell>
          <cell r="AN3" t="str">
            <v/>
          </cell>
          <cell r="AO3" t="str">
            <v/>
          </cell>
          <cell r="AP3" t="str">
            <v/>
          </cell>
          <cell r="AQ3" t="str">
            <v/>
          </cell>
          <cell r="AR3" t="str">
            <v/>
          </cell>
          <cell r="AS3" t="str">
            <v/>
          </cell>
          <cell r="AT3" t="str">
            <v/>
          </cell>
          <cell r="AU3" t="str">
            <v/>
          </cell>
          <cell r="AV3" t="str">
            <v/>
          </cell>
          <cell r="AW3" t="str">
            <v/>
          </cell>
          <cell r="AX3" t="str">
            <v/>
          </cell>
          <cell r="AY3" t="str">
            <v/>
          </cell>
          <cell r="AZ3" t="str">
            <v/>
          </cell>
          <cell r="BA3" t="str">
            <v/>
          </cell>
          <cell r="BB3" t="str">
            <v/>
          </cell>
          <cell r="BC3" t="str">
            <v/>
          </cell>
          <cell r="BD3" t="str">
            <v/>
          </cell>
          <cell r="BE3" t="str">
            <v/>
          </cell>
          <cell r="BF3" t="str">
            <v/>
          </cell>
          <cell r="BG3" t="str">
            <v/>
          </cell>
          <cell r="BH3" t="str">
            <v/>
          </cell>
          <cell r="BI3" t="str">
            <v/>
          </cell>
          <cell r="BJ3" t="str">
            <v/>
          </cell>
          <cell r="BK3" t="str">
            <v/>
          </cell>
          <cell r="BL3" t="str">
            <v/>
          </cell>
          <cell r="BM3" t="str">
            <v/>
          </cell>
          <cell r="BN3" t="str">
            <v/>
          </cell>
          <cell r="BO3" t="str">
            <v/>
          </cell>
          <cell r="BP3" t="str">
            <v/>
          </cell>
          <cell r="BQ3" t="str">
            <v/>
          </cell>
          <cell r="BR3" t="str">
            <v/>
          </cell>
          <cell r="BS3" t="str">
            <v/>
          </cell>
          <cell r="BT3" t="str">
            <v/>
          </cell>
          <cell r="BU3" t="str">
            <v/>
          </cell>
          <cell r="BV3" t="str">
            <v/>
          </cell>
          <cell r="BW3" t="str">
            <v/>
          </cell>
          <cell r="BX3" t="str">
            <v/>
          </cell>
          <cell r="BY3" t="str">
            <v/>
          </cell>
          <cell r="BZ3" t="str">
            <v/>
          </cell>
          <cell r="CA3" t="str">
            <v/>
          </cell>
          <cell r="CB3" t="str">
            <v/>
          </cell>
          <cell r="CC3" t="str">
            <v/>
          </cell>
          <cell r="CD3" t="str">
            <v/>
          </cell>
          <cell r="CE3" t="str">
            <v/>
          </cell>
          <cell r="CF3" t="str">
            <v/>
          </cell>
          <cell r="CG3" t="str">
            <v/>
          </cell>
          <cell r="CH3" t="str">
            <v/>
          </cell>
          <cell r="CI3" t="str">
            <v/>
          </cell>
          <cell r="CJ3" t="str">
            <v/>
          </cell>
          <cell r="CK3" t="str">
            <v/>
          </cell>
          <cell r="CL3" t="str">
            <v/>
          </cell>
          <cell r="CM3" t="str">
            <v/>
          </cell>
          <cell r="CN3" t="str">
            <v/>
          </cell>
          <cell r="CO3" t="str">
            <v/>
          </cell>
          <cell r="CP3" t="str">
            <v/>
          </cell>
          <cell r="CQ3" t="str">
            <v/>
          </cell>
          <cell r="CR3" t="str">
            <v/>
          </cell>
          <cell r="CS3" t="str">
            <v/>
          </cell>
          <cell r="CT3" t="str">
            <v/>
          </cell>
          <cell r="CU3" t="str">
            <v/>
          </cell>
          <cell r="CV3" t="str">
            <v/>
          </cell>
          <cell r="CW3" t="str">
            <v/>
          </cell>
          <cell r="CX3" t="str">
            <v/>
          </cell>
          <cell r="CY3" t="str">
            <v/>
          </cell>
          <cell r="CZ3" t="str">
            <v/>
          </cell>
          <cell r="DA3" t="str">
            <v/>
          </cell>
          <cell r="DB3" t="str">
            <v/>
          </cell>
        </row>
        <row r="4">
          <cell r="A4" t="str">
            <v>Bob</v>
          </cell>
          <cell r="D4">
            <v>9</v>
          </cell>
          <cell r="E4">
            <v>9</v>
          </cell>
          <cell r="F4">
            <v>8.5</v>
          </cell>
          <cell r="G4">
            <v>6</v>
          </cell>
          <cell r="H4" t="str">
            <v/>
          </cell>
          <cell r="I4" t="str">
            <v/>
          </cell>
          <cell r="J4" t="str">
            <v/>
          </cell>
          <cell r="K4" t="str">
            <v/>
          </cell>
          <cell r="L4" t="str">
            <v/>
          </cell>
          <cell r="M4" t="str">
            <v/>
          </cell>
          <cell r="N4" t="str">
            <v/>
          </cell>
          <cell r="O4" t="str">
            <v/>
          </cell>
          <cell r="P4" t="str">
            <v/>
          </cell>
          <cell r="Q4" t="str">
            <v/>
          </cell>
          <cell r="R4" t="str">
            <v/>
          </cell>
          <cell r="S4" t="str">
            <v/>
          </cell>
          <cell r="T4" t="str">
            <v/>
          </cell>
          <cell r="U4" t="str">
            <v/>
          </cell>
          <cell r="V4" t="str">
            <v/>
          </cell>
          <cell r="W4" t="str">
            <v/>
          </cell>
          <cell r="X4" t="str">
            <v/>
          </cell>
          <cell r="Y4" t="str">
            <v/>
          </cell>
          <cell r="Z4" t="str">
            <v/>
          </cell>
          <cell r="AA4" t="str">
            <v/>
          </cell>
          <cell r="AB4" t="str">
            <v/>
          </cell>
          <cell r="AC4" t="str">
            <v/>
          </cell>
          <cell r="AD4" t="str">
            <v/>
          </cell>
          <cell r="AE4" t="str">
            <v/>
          </cell>
          <cell r="AF4" t="str">
            <v/>
          </cell>
          <cell r="AG4" t="str">
            <v/>
          </cell>
          <cell r="AH4" t="str">
            <v/>
          </cell>
          <cell r="AI4" t="str">
            <v/>
          </cell>
          <cell r="AJ4" t="str">
            <v/>
          </cell>
          <cell r="AK4" t="str">
            <v/>
          </cell>
          <cell r="AL4" t="str">
            <v/>
          </cell>
          <cell r="AM4" t="str">
            <v/>
          </cell>
          <cell r="AN4" t="str">
            <v/>
          </cell>
          <cell r="AO4" t="str">
            <v/>
          </cell>
          <cell r="AP4" t="str">
            <v/>
          </cell>
          <cell r="AQ4" t="str">
            <v/>
          </cell>
          <cell r="AR4" t="str">
            <v/>
          </cell>
          <cell r="AS4" t="str">
            <v/>
          </cell>
          <cell r="AT4" t="str">
            <v/>
          </cell>
          <cell r="AU4" t="str">
            <v/>
          </cell>
          <cell r="AV4" t="str">
            <v/>
          </cell>
          <cell r="AW4" t="str">
            <v/>
          </cell>
          <cell r="AX4" t="str">
            <v/>
          </cell>
          <cell r="AY4" t="str">
            <v/>
          </cell>
          <cell r="AZ4" t="str">
            <v/>
          </cell>
          <cell r="BA4" t="str">
            <v/>
          </cell>
          <cell r="BB4" t="str">
            <v/>
          </cell>
          <cell r="BC4" t="str">
            <v/>
          </cell>
          <cell r="BD4" t="str">
            <v/>
          </cell>
          <cell r="BE4" t="str">
            <v/>
          </cell>
          <cell r="BF4" t="str">
            <v/>
          </cell>
          <cell r="BG4" t="str">
            <v/>
          </cell>
          <cell r="BH4" t="str">
            <v/>
          </cell>
          <cell r="BI4" t="str">
            <v/>
          </cell>
          <cell r="BJ4" t="str">
            <v/>
          </cell>
          <cell r="BK4" t="str">
            <v/>
          </cell>
          <cell r="BL4" t="str">
            <v/>
          </cell>
          <cell r="BM4" t="str">
            <v/>
          </cell>
          <cell r="BN4" t="str">
            <v/>
          </cell>
          <cell r="BO4" t="str">
            <v/>
          </cell>
          <cell r="BP4" t="str">
            <v/>
          </cell>
          <cell r="BQ4" t="str">
            <v/>
          </cell>
          <cell r="BR4" t="str">
            <v/>
          </cell>
          <cell r="BS4" t="str">
            <v/>
          </cell>
          <cell r="BT4" t="str">
            <v/>
          </cell>
          <cell r="BU4" t="str">
            <v/>
          </cell>
          <cell r="BV4" t="str">
            <v/>
          </cell>
          <cell r="BW4" t="str">
            <v/>
          </cell>
          <cell r="BX4" t="str">
            <v/>
          </cell>
          <cell r="BY4" t="str">
            <v/>
          </cell>
          <cell r="BZ4" t="str">
            <v/>
          </cell>
          <cell r="CA4" t="str">
            <v/>
          </cell>
          <cell r="CB4" t="str">
            <v/>
          </cell>
          <cell r="CC4" t="str">
            <v/>
          </cell>
          <cell r="CD4" t="str">
            <v/>
          </cell>
          <cell r="CE4" t="str">
            <v/>
          </cell>
          <cell r="CF4" t="str">
            <v/>
          </cell>
          <cell r="CG4" t="str">
            <v/>
          </cell>
          <cell r="CH4" t="str">
            <v/>
          </cell>
          <cell r="CI4" t="str">
            <v/>
          </cell>
          <cell r="CJ4" t="str">
            <v/>
          </cell>
          <cell r="CK4" t="str">
            <v/>
          </cell>
          <cell r="CL4" t="str">
            <v/>
          </cell>
          <cell r="CM4" t="str">
            <v/>
          </cell>
          <cell r="CN4" t="str">
            <v/>
          </cell>
          <cell r="CO4" t="str">
            <v/>
          </cell>
          <cell r="CP4" t="str">
            <v/>
          </cell>
          <cell r="CQ4" t="str">
            <v/>
          </cell>
          <cell r="CR4" t="str">
            <v/>
          </cell>
          <cell r="CS4" t="str">
            <v/>
          </cell>
          <cell r="CT4" t="str">
            <v/>
          </cell>
          <cell r="CU4" t="str">
            <v/>
          </cell>
          <cell r="CV4" t="str">
            <v/>
          </cell>
          <cell r="CW4" t="str">
            <v/>
          </cell>
          <cell r="CX4" t="str">
            <v/>
          </cell>
          <cell r="CY4" t="str">
            <v/>
          </cell>
          <cell r="CZ4" t="str">
            <v/>
          </cell>
          <cell r="DA4" t="str">
            <v/>
          </cell>
          <cell r="DB4" t="str">
            <v/>
          </cell>
        </row>
        <row r="5">
          <cell r="A5" t="str">
            <v>Ralph</v>
          </cell>
          <cell r="D5">
            <v>9</v>
          </cell>
          <cell r="E5">
            <v>8</v>
          </cell>
          <cell r="F5">
            <v>7.25</v>
          </cell>
          <cell r="G5">
            <v>6</v>
          </cell>
          <cell r="H5" t="str">
            <v/>
          </cell>
          <cell r="I5" t="str">
            <v/>
          </cell>
          <cell r="J5" t="str">
            <v/>
          </cell>
          <cell r="K5" t="str">
            <v/>
          </cell>
          <cell r="L5" t="str">
            <v/>
          </cell>
          <cell r="M5" t="str">
            <v/>
          </cell>
          <cell r="N5" t="str">
            <v/>
          </cell>
          <cell r="O5" t="str">
            <v/>
          </cell>
          <cell r="P5" t="str">
            <v/>
          </cell>
          <cell r="Q5" t="str">
            <v/>
          </cell>
          <cell r="R5" t="str">
            <v/>
          </cell>
          <cell r="S5" t="str">
            <v/>
          </cell>
          <cell r="T5" t="str">
            <v/>
          </cell>
          <cell r="U5" t="str">
            <v/>
          </cell>
          <cell r="V5" t="str">
            <v/>
          </cell>
          <cell r="W5" t="str">
            <v/>
          </cell>
          <cell r="X5" t="str">
            <v/>
          </cell>
          <cell r="Y5" t="str">
            <v/>
          </cell>
          <cell r="Z5" t="str">
            <v/>
          </cell>
          <cell r="AA5" t="str">
            <v/>
          </cell>
          <cell r="AB5" t="str">
            <v/>
          </cell>
          <cell r="AC5" t="str">
            <v/>
          </cell>
          <cell r="AD5" t="str">
            <v/>
          </cell>
          <cell r="AE5" t="str">
            <v/>
          </cell>
          <cell r="AF5" t="str">
            <v/>
          </cell>
          <cell r="AG5" t="str">
            <v/>
          </cell>
          <cell r="AH5" t="str">
            <v/>
          </cell>
          <cell r="AI5" t="str">
            <v/>
          </cell>
          <cell r="AJ5" t="str">
            <v/>
          </cell>
          <cell r="AK5" t="str">
            <v/>
          </cell>
          <cell r="AL5" t="str">
            <v/>
          </cell>
          <cell r="AM5" t="str">
            <v/>
          </cell>
          <cell r="AN5" t="str">
            <v/>
          </cell>
          <cell r="AO5" t="str">
            <v/>
          </cell>
          <cell r="AP5" t="str">
            <v/>
          </cell>
          <cell r="AQ5" t="str">
            <v/>
          </cell>
          <cell r="AR5" t="str">
            <v/>
          </cell>
          <cell r="AS5" t="str">
            <v/>
          </cell>
          <cell r="AT5" t="str">
            <v/>
          </cell>
          <cell r="AU5" t="str">
            <v/>
          </cell>
          <cell r="AV5" t="str">
            <v/>
          </cell>
          <cell r="AW5" t="str">
            <v/>
          </cell>
          <cell r="AX5" t="str">
            <v/>
          </cell>
          <cell r="AY5" t="str">
            <v/>
          </cell>
          <cell r="AZ5" t="str">
            <v/>
          </cell>
          <cell r="BA5" t="str">
            <v/>
          </cell>
          <cell r="BB5" t="str">
            <v/>
          </cell>
          <cell r="BC5" t="str">
            <v/>
          </cell>
          <cell r="BD5" t="str">
            <v/>
          </cell>
          <cell r="BE5" t="str">
            <v/>
          </cell>
          <cell r="BF5" t="str">
            <v/>
          </cell>
          <cell r="BG5" t="str">
            <v/>
          </cell>
          <cell r="BH5" t="str">
            <v/>
          </cell>
          <cell r="BI5" t="str">
            <v/>
          </cell>
          <cell r="BJ5" t="str">
            <v/>
          </cell>
          <cell r="BK5" t="str">
            <v/>
          </cell>
          <cell r="BL5" t="str">
            <v/>
          </cell>
          <cell r="BM5" t="str">
            <v/>
          </cell>
          <cell r="BN5" t="str">
            <v/>
          </cell>
          <cell r="BO5" t="str">
            <v/>
          </cell>
          <cell r="BP5" t="str">
            <v/>
          </cell>
          <cell r="BQ5" t="str">
            <v/>
          </cell>
          <cell r="BR5" t="str">
            <v/>
          </cell>
          <cell r="BS5" t="str">
            <v/>
          </cell>
          <cell r="BT5" t="str">
            <v/>
          </cell>
          <cell r="BU5" t="str">
            <v/>
          </cell>
          <cell r="BV5" t="str">
            <v/>
          </cell>
          <cell r="BW5" t="str">
            <v/>
          </cell>
          <cell r="BX5" t="str">
            <v/>
          </cell>
          <cell r="BY5" t="str">
            <v/>
          </cell>
          <cell r="BZ5" t="str">
            <v/>
          </cell>
          <cell r="CA5" t="str">
            <v/>
          </cell>
          <cell r="CB5" t="str">
            <v/>
          </cell>
          <cell r="CC5" t="str">
            <v/>
          </cell>
          <cell r="CD5" t="str">
            <v/>
          </cell>
          <cell r="CE5" t="str">
            <v/>
          </cell>
          <cell r="CF5" t="str">
            <v/>
          </cell>
          <cell r="CG5" t="str">
            <v/>
          </cell>
          <cell r="CH5" t="str">
            <v/>
          </cell>
          <cell r="CI5" t="str">
            <v/>
          </cell>
          <cell r="CJ5" t="str">
            <v/>
          </cell>
          <cell r="CK5" t="str">
            <v/>
          </cell>
          <cell r="CL5" t="str">
            <v/>
          </cell>
          <cell r="CM5" t="str">
            <v/>
          </cell>
          <cell r="CN5" t="str">
            <v/>
          </cell>
          <cell r="CO5" t="str">
            <v/>
          </cell>
          <cell r="CP5" t="str">
            <v/>
          </cell>
          <cell r="CQ5" t="str">
            <v/>
          </cell>
          <cell r="CR5" t="str">
            <v/>
          </cell>
          <cell r="CS5" t="str">
            <v/>
          </cell>
          <cell r="CT5" t="str">
            <v/>
          </cell>
          <cell r="CU5" t="str">
            <v/>
          </cell>
          <cell r="CV5" t="str">
            <v/>
          </cell>
          <cell r="CW5" t="str">
            <v/>
          </cell>
          <cell r="CX5" t="str">
            <v/>
          </cell>
          <cell r="CY5" t="str">
            <v/>
          </cell>
          <cell r="CZ5" t="str">
            <v/>
          </cell>
          <cell r="DA5" t="str">
            <v/>
          </cell>
          <cell r="DB5" t="str">
            <v/>
          </cell>
        </row>
        <row r="6">
          <cell r="A6" t="str">
            <v>Susan</v>
          </cell>
          <cell r="D6">
            <v>11</v>
          </cell>
          <cell r="E6">
            <v>10</v>
          </cell>
          <cell r="F6">
            <v>9</v>
          </cell>
          <cell r="G6">
            <v>8</v>
          </cell>
          <cell r="H6" t="str">
            <v/>
          </cell>
          <cell r="I6" t="str">
            <v/>
          </cell>
          <cell r="J6" t="str">
            <v/>
          </cell>
          <cell r="K6" t="str">
            <v/>
          </cell>
          <cell r="L6" t="str">
            <v/>
          </cell>
          <cell r="M6" t="str">
            <v/>
          </cell>
          <cell r="N6" t="str">
            <v/>
          </cell>
          <cell r="O6" t="str">
            <v/>
          </cell>
          <cell r="P6" t="str">
            <v/>
          </cell>
          <cell r="Q6" t="str">
            <v/>
          </cell>
          <cell r="R6" t="str">
            <v/>
          </cell>
          <cell r="S6" t="str">
            <v/>
          </cell>
          <cell r="T6" t="str">
            <v/>
          </cell>
          <cell r="U6" t="str">
            <v/>
          </cell>
          <cell r="V6" t="str">
            <v/>
          </cell>
          <cell r="W6" t="str">
            <v/>
          </cell>
          <cell r="X6" t="str">
            <v/>
          </cell>
          <cell r="Y6" t="str">
            <v/>
          </cell>
          <cell r="Z6" t="str">
            <v/>
          </cell>
          <cell r="AA6" t="str">
            <v/>
          </cell>
          <cell r="AB6" t="str">
            <v/>
          </cell>
          <cell r="AC6" t="str">
            <v/>
          </cell>
          <cell r="AD6" t="str">
            <v/>
          </cell>
          <cell r="AE6" t="str">
            <v/>
          </cell>
          <cell r="AF6" t="str">
            <v/>
          </cell>
          <cell r="AG6" t="str">
            <v/>
          </cell>
          <cell r="AH6" t="str">
            <v/>
          </cell>
          <cell r="AI6" t="str">
            <v/>
          </cell>
          <cell r="AJ6" t="str">
            <v/>
          </cell>
          <cell r="AK6" t="str">
            <v/>
          </cell>
          <cell r="AL6" t="str">
            <v/>
          </cell>
          <cell r="AM6" t="str">
            <v/>
          </cell>
          <cell r="AN6" t="str">
            <v/>
          </cell>
          <cell r="AO6" t="str">
            <v/>
          </cell>
          <cell r="AP6" t="str">
            <v/>
          </cell>
          <cell r="AQ6" t="str">
            <v/>
          </cell>
          <cell r="AR6" t="str">
            <v/>
          </cell>
          <cell r="AS6" t="str">
            <v/>
          </cell>
          <cell r="AT6" t="str">
            <v/>
          </cell>
          <cell r="AU6" t="str">
            <v/>
          </cell>
          <cell r="AV6" t="str">
            <v/>
          </cell>
          <cell r="AW6" t="str">
            <v/>
          </cell>
          <cell r="AX6" t="str">
            <v/>
          </cell>
          <cell r="AY6" t="str">
            <v/>
          </cell>
          <cell r="AZ6" t="str">
            <v/>
          </cell>
          <cell r="BA6" t="str">
            <v/>
          </cell>
          <cell r="BB6" t="str">
            <v/>
          </cell>
          <cell r="BC6" t="str">
            <v/>
          </cell>
          <cell r="BD6" t="str">
            <v/>
          </cell>
          <cell r="BE6" t="str">
            <v/>
          </cell>
          <cell r="BF6" t="str">
            <v/>
          </cell>
          <cell r="BG6" t="str">
            <v/>
          </cell>
          <cell r="BH6" t="str">
            <v/>
          </cell>
          <cell r="BI6" t="str">
            <v/>
          </cell>
          <cell r="BJ6" t="str">
            <v/>
          </cell>
          <cell r="BK6" t="str">
            <v/>
          </cell>
          <cell r="BL6" t="str">
            <v/>
          </cell>
          <cell r="BM6" t="str">
            <v/>
          </cell>
          <cell r="BN6" t="str">
            <v/>
          </cell>
          <cell r="BO6" t="str">
            <v/>
          </cell>
          <cell r="BP6" t="str">
            <v/>
          </cell>
          <cell r="BQ6" t="str">
            <v/>
          </cell>
          <cell r="BR6" t="str">
            <v/>
          </cell>
          <cell r="BS6" t="str">
            <v/>
          </cell>
          <cell r="BT6" t="str">
            <v/>
          </cell>
          <cell r="BU6" t="str">
            <v/>
          </cell>
          <cell r="BV6" t="str">
            <v/>
          </cell>
          <cell r="BW6" t="str">
            <v/>
          </cell>
          <cell r="BX6" t="str">
            <v/>
          </cell>
          <cell r="BY6" t="str">
            <v/>
          </cell>
          <cell r="BZ6" t="str">
            <v/>
          </cell>
          <cell r="CA6" t="str">
            <v/>
          </cell>
          <cell r="CB6" t="str">
            <v/>
          </cell>
          <cell r="CC6" t="str">
            <v/>
          </cell>
          <cell r="CD6" t="str">
            <v/>
          </cell>
          <cell r="CE6" t="str">
            <v/>
          </cell>
          <cell r="CF6" t="str">
            <v/>
          </cell>
          <cell r="CG6" t="str">
            <v/>
          </cell>
          <cell r="CH6" t="str">
            <v/>
          </cell>
          <cell r="CI6" t="str">
            <v/>
          </cell>
          <cell r="CJ6" t="str">
            <v/>
          </cell>
          <cell r="CK6" t="str">
            <v/>
          </cell>
          <cell r="CL6" t="str">
            <v/>
          </cell>
          <cell r="CM6" t="str">
            <v/>
          </cell>
          <cell r="CN6" t="str">
            <v/>
          </cell>
          <cell r="CO6" t="str">
            <v/>
          </cell>
          <cell r="CP6" t="str">
            <v/>
          </cell>
          <cell r="CQ6" t="str">
            <v/>
          </cell>
          <cell r="CR6" t="str">
            <v/>
          </cell>
          <cell r="CS6" t="str">
            <v/>
          </cell>
          <cell r="CT6" t="str">
            <v/>
          </cell>
          <cell r="CU6" t="str">
            <v/>
          </cell>
          <cell r="CV6" t="str">
            <v/>
          </cell>
          <cell r="CW6" t="str">
            <v/>
          </cell>
          <cell r="CX6" t="str">
            <v/>
          </cell>
          <cell r="CY6" t="str">
            <v/>
          </cell>
          <cell r="CZ6" t="str">
            <v/>
          </cell>
          <cell r="DA6" t="str">
            <v/>
          </cell>
          <cell r="DB6" t="str">
            <v/>
          </cell>
        </row>
        <row r="7">
          <cell r="A7" t="str">
            <v>Thom</v>
          </cell>
          <cell r="D7">
            <v>3</v>
          </cell>
          <cell r="E7">
            <v>2.5</v>
          </cell>
          <cell r="F7">
            <v>2.5</v>
          </cell>
          <cell r="G7">
            <v>1.5</v>
          </cell>
          <cell r="H7" t="str">
            <v/>
          </cell>
          <cell r="I7" t="str">
            <v/>
          </cell>
          <cell r="J7" t="str">
            <v/>
          </cell>
          <cell r="K7" t="str">
            <v/>
          </cell>
          <cell r="L7" t="str">
            <v/>
          </cell>
          <cell r="M7" t="str">
            <v/>
          </cell>
          <cell r="N7" t="str">
            <v/>
          </cell>
          <cell r="O7" t="str">
            <v/>
          </cell>
          <cell r="P7" t="str">
            <v/>
          </cell>
          <cell r="Q7" t="str">
            <v/>
          </cell>
          <cell r="R7" t="str">
            <v/>
          </cell>
          <cell r="S7" t="str">
            <v/>
          </cell>
          <cell r="T7" t="str">
            <v/>
          </cell>
          <cell r="U7" t="str">
            <v/>
          </cell>
          <cell r="V7" t="str">
            <v/>
          </cell>
          <cell r="W7" t="str">
            <v/>
          </cell>
          <cell r="X7" t="str">
            <v/>
          </cell>
          <cell r="Y7" t="str">
            <v/>
          </cell>
          <cell r="Z7" t="str">
            <v/>
          </cell>
          <cell r="AA7" t="str">
            <v/>
          </cell>
          <cell r="AB7" t="str">
            <v/>
          </cell>
          <cell r="AC7" t="str">
            <v/>
          </cell>
          <cell r="AD7" t="str">
            <v/>
          </cell>
          <cell r="AE7" t="str">
            <v/>
          </cell>
          <cell r="AF7" t="str">
            <v/>
          </cell>
          <cell r="AG7" t="str">
            <v/>
          </cell>
          <cell r="AH7" t="str">
            <v/>
          </cell>
          <cell r="AI7" t="str">
            <v/>
          </cell>
          <cell r="AJ7" t="str">
            <v/>
          </cell>
          <cell r="AK7" t="str">
            <v/>
          </cell>
          <cell r="AL7" t="str">
            <v/>
          </cell>
          <cell r="AM7" t="str">
            <v/>
          </cell>
          <cell r="AN7" t="str">
            <v/>
          </cell>
          <cell r="AO7" t="str">
            <v/>
          </cell>
          <cell r="AP7" t="str">
            <v/>
          </cell>
          <cell r="AQ7" t="str">
            <v/>
          </cell>
          <cell r="AR7" t="str">
            <v/>
          </cell>
          <cell r="AS7" t="str">
            <v/>
          </cell>
          <cell r="AT7" t="str">
            <v/>
          </cell>
          <cell r="AU7" t="str">
            <v/>
          </cell>
          <cell r="AV7" t="str">
            <v/>
          </cell>
          <cell r="AW7" t="str">
            <v/>
          </cell>
          <cell r="AX7" t="str">
            <v/>
          </cell>
          <cell r="AY7" t="str">
            <v/>
          </cell>
          <cell r="AZ7" t="str">
            <v/>
          </cell>
          <cell r="BA7" t="str">
            <v/>
          </cell>
          <cell r="BB7" t="str">
            <v/>
          </cell>
          <cell r="BC7" t="str">
            <v/>
          </cell>
          <cell r="BD7" t="str">
            <v/>
          </cell>
          <cell r="BE7" t="str">
            <v/>
          </cell>
          <cell r="BF7" t="str">
            <v/>
          </cell>
          <cell r="BG7" t="str">
            <v/>
          </cell>
          <cell r="BH7" t="str">
            <v/>
          </cell>
          <cell r="BI7" t="str">
            <v/>
          </cell>
          <cell r="BJ7" t="str">
            <v/>
          </cell>
          <cell r="BK7" t="str">
            <v/>
          </cell>
          <cell r="BL7" t="str">
            <v/>
          </cell>
          <cell r="BM7" t="str">
            <v/>
          </cell>
          <cell r="BN7" t="str">
            <v/>
          </cell>
          <cell r="BO7" t="str">
            <v/>
          </cell>
          <cell r="BP7" t="str">
            <v/>
          </cell>
          <cell r="BQ7" t="str">
            <v/>
          </cell>
          <cell r="BR7" t="str">
            <v/>
          </cell>
          <cell r="BS7" t="str">
            <v/>
          </cell>
          <cell r="BT7" t="str">
            <v/>
          </cell>
          <cell r="BU7" t="str">
            <v/>
          </cell>
          <cell r="BV7" t="str">
            <v/>
          </cell>
          <cell r="BW7" t="str">
            <v/>
          </cell>
          <cell r="BX7" t="str">
            <v/>
          </cell>
          <cell r="BY7" t="str">
            <v/>
          </cell>
          <cell r="BZ7" t="str">
            <v/>
          </cell>
          <cell r="CA7" t="str">
            <v/>
          </cell>
          <cell r="CB7" t="str">
            <v/>
          </cell>
          <cell r="CC7" t="str">
            <v/>
          </cell>
          <cell r="CD7" t="str">
            <v/>
          </cell>
          <cell r="CE7" t="str">
            <v/>
          </cell>
          <cell r="CF7" t="str">
            <v/>
          </cell>
          <cell r="CG7" t="str">
            <v/>
          </cell>
          <cell r="CH7" t="str">
            <v/>
          </cell>
          <cell r="CI7" t="str">
            <v/>
          </cell>
          <cell r="CJ7" t="str">
            <v/>
          </cell>
          <cell r="CK7" t="str">
            <v/>
          </cell>
          <cell r="CL7" t="str">
            <v/>
          </cell>
          <cell r="CM7" t="str">
            <v/>
          </cell>
          <cell r="CN7" t="str">
            <v/>
          </cell>
          <cell r="CO7" t="str">
            <v/>
          </cell>
          <cell r="CP7" t="str">
            <v/>
          </cell>
          <cell r="CQ7" t="str">
            <v/>
          </cell>
          <cell r="CR7" t="str">
            <v/>
          </cell>
          <cell r="CS7" t="str">
            <v/>
          </cell>
          <cell r="CT7" t="str">
            <v/>
          </cell>
          <cell r="CU7" t="str">
            <v/>
          </cell>
          <cell r="CV7" t="str">
            <v/>
          </cell>
          <cell r="CW7" t="str">
            <v/>
          </cell>
          <cell r="CX7" t="str">
            <v/>
          </cell>
          <cell r="CY7" t="str">
            <v/>
          </cell>
          <cell r="CZ7" t="str">
            <v/>
          </cell>
          <cell r="DA7" t="str">
            <v/>
          </cell>
          <cell r="DB7" t="str">
            <v/>
          </cell>
        </row>
        <row r="8">
          <cell r="A8" t="str">
            <v>Tim</v>
          </cell>
          <cell r="D8">
            <v>4.5</v>
          </cell>
          <cell r="E8">
            <v>3</v>
          </cell>
          <cell r="F8">
            <v>3</v>
          </cell>
          <cell r="G8">
            <v>2.5</v>
          </cell>
          <cell r="H8" t="str">
            <v/>
          </cell>
          <cell r="I8" t="str">
            <v/>
          </cell>
          <cell r="J8" t="str">
            <v/>
          </cell>
          <cell r="K8" t="str">
            <v/>
          </cell>
          <cell r="L8" t="str">
            <v/>
          </cell>
          <cell r="M8" t="str">
            <v/>
          </cell>
          <cell r="N8" t="str">
            <v/>
          </cell>
          <cell r="O8" t="str">
            <v/>
          </cell>
          <cell r="P8" t="str">
            <v/>
          </cell>
          <cell r="Q8" t="str">
            <v/>
          </cell>
          <cell r="R8" t="str">
            <v/>
          </cell>
          <cell r="S8" t="str">
            <v/>
          </cell>
          <cell r="T8" t="str">
            <v/>
          </cell>
          <cell r="U8" t="str">
            <v/>
          </cell>
          <cell r="V8" t="str">
            <v/>
          </cell>
          <cell r="W8" t="str">
            <v/>
          </cell>
          <cell r="X8" t="str">
            <v/>
          </cell>
          <cell r="Y8" t="str">
            <v/>
          </cell>
          <cell r="Z8" t="str">
            <v/>
          </cell>
          <cell r="AA8" t="str">
            <v/>
          </cell>
          <cell r="AB8" t="str">
            <v/>
          </cell>
          <cell r="AC8" t="str">
            <v/>
          </cell>
          <cell r="AD8" t="str">
            <v/>
          </cell>
          <cell r="AE8" t="str">
            <v/>
          </cell>
          <cell r="AF8" t="str">
            <v/>
          </cell>
          <cell r="AG8" t="str">
            <v/>
          </cell>
          <cell r="AH8" t="str">
            <v/>
          </cell>
          <cell r="AI8" t="str">
            <v/>
          </cell>
          <cell r="AJ8" t="str">
            <v/>
          </cell>
          <cell r="AK8" t="str">
            <v/>
          </cell>
          <cell r="AL8" t="str">
            <v/>
          </cell>
          <cell r="AM8" t="str">
            <v/>
          </cell>
          <cell r="AN8" t="str">
            <v/>
          </cell>
          <cell r="AO8" t="str">
            <v/>
          </cell>
          <cell r="AP8" t="str">
            <v/>
          </cell>
          <cell r="AQ8" t="str">
            <v/>
          </cell>
          <cell r="AR8" t="str">
            <v/>
          </cell>
          <cell r="AS8" t="str">
            <v/>
          </cell>
          <cell r="AT8" t="str">
            <v/>
          </cell>
          <cell r="AU8" t="str">
            <v/>
          </cell>
          <cell r="AV8" t="str">
            <v/>
          </cell>
          <cell r="AW8" t="str">
            <v/>
          </cell>
          <cell r="AX8" t="str">
            <v/>
          </cell>
          <cell r="AY8" t="str">
            <v/>
          </cell>
          <cell r="AZ8" t="str">
            <v/>
          </cell>
          <cell r="BA8" t="str">
            <v/>
          </cell>
          <cell r="BB8" t="str">
            <v/>
          </cell>
          <cell r="BC8" t="str">
            <v/>
          </cell>
          <cell r="BD8" t="str">
            <v/>
          </cell>
          <cell r="BE8" t="str">
            <v/>
          </cell>
          <cell r="BF8" t="str">
            <v/>
          </cell>
          <cell r="BG8" t="str">
            <v/>
          </cell>
          <cell r="BH8" t="str">
            <v/>
          </cell>
          <cell r="BI8" t="str">
            <v/>
          </cell>
          <cell r="BJ8" t="str">
            <v/>
          </cell>
          <cell r="BK8" t="str">
            <v/>
          </cell>
          <cell r="BL8" t="str">
            <v/>
          </cell>
          <cell r="BM8" t="str">
            <v/>
          </cell>
          <cell r="BN8" t="str">
            <v/>
          </cell>
          <cell r="BO8" t="str">
            <v/>
          </cell>
          <cell r="BP8" t="str">
            <v/>
          </cell>
          <cell r="BQ8" t="str">
            <v/>
          </cell>
          <cell r="BR8" t="str">
            <v/>
          </cell>
          <cell r="BS8" t="str">
            <v/>
          </cell>
          <cell r="BT8" t="str">
            <v/>
          </cell>
          <cell r="BU8" t="str">
            <v/>
          </cell>
          <cell r="BV8" t="str">
            <v/>
          </cell>
          <cell r="BW8" t="str">
            <v/>
          </cell>
          <cell r="BX8" t="str">
            <v/>
          </cell>
          <cell r="BY8" t="str">
            <v/>
          </cell>
          <cell r="BZ8" t="str">
            <v/>
          </cell>
          <cell r="CA8" t="str">
            <v/>
          </cell>
          <cell r="CB8" t="str">
            <v/>
          </cell>
          <cell r="CC8" t="str">
            <v/>
          </cell>
          <cell r="CD8" t="str">
            <v/>
          </cell>
          <cell r="CE8" t="str">
            <v/>
          </cell>
          <cell r="CF8" t="str">
            <v/>
          </cell>
          <cell r="CG8" t="str">
            <v/>
          </cell>
          <cell r="CH8" t="str">
            <v/>
          </cell>
          <cell r="CI8" t="str">
            <v/>
          </cell>
          <cell r="CJ8" t="str">
            <v/>
          </cell>
          <cell r="CK8" t="str">
            <v/>
          </cell>
          <cell r="CL8" t="str">
            <v/>
          </cell>
          <cell r="CM8" t="str">
            <v/>
          </cell>
          <cell r="CN8" t="str">
            <v/>
          </cell>
          <cell r="CO8" t="str">
            <v/>
          </cell>
          <cell r="CP8" t="str">
            <v/>
          </cell>
          <cell r="CQ8" t="str">
            <v/>
          </cell>
          <cell r="CR8" t="str">
            <v/>
          </cell>
          <cell r="CS8" t="str">
            <v/>
          </cell>
          <cell r="CT8" t="str">
            <v/>
          </cell>
          <cell r="CU8" t="str">
            <v/>
          </cell>
          <cell r="CV8" t="str">
            <v/>
          </cell>
          <cell r="CW8" t="str">
            <v/>
          </cell>
          <cell r="CX8" t="str">
            <v/>
          </cell>
          <cell r="CY8" t="str">
            <v/>
          </cell>
          <cell r="CZ8" t="str">
            <v/>
          </cell>
          <cell r="DA8" t="str">
            <v/>
          </cell>
          <cell r="DB8" t="str">
            <v/>
          </cell>
        </row>
        <row r="9">
          <cell r="A9" t="str">
            <v xml:space="preserve">Days Remaining </v>
          </cell>
          <cell r="D9">
            <v>45.5</v>
          </cell>
          <cell r="E9">
            <v>41.2</v>
          </cell>
          <cell r="F9">
            <v>38.25</v>
          </cell>
          <cell r="G9">
            <v>31</v>
          </cell>
          <cell r="H9" t="str">
            <v/>
          </cell>
          <cell r="I9" t="str">
            <v/>
          </cell>
          <cell r="J9" t="str">
            <v/>
          </cell>
          <cell r="K9" t="str">
            <v/>
          </cell>
          <cell r="L9" t="str">
            <v/>
          </cell>
          <cell r="M9" t="str">
            <v/>
          </cell>
          <cell r="N9" t="str">
            <v/>
          </cell>
          <cell r="O9" t="str">
            <v/>
          </cell>
          <cell r="P9" t="str">
            <v/>
          </cell>
          <cell r="Q9" t="str">
            <v/>
          </cell>
          <cell r="R9" t="str">
            <v/>
          </cell>
          <cell r="S9" t="str">
            <v/>
          </cell>
          <cell r="T9" t="str">
            <v/>
          </cell>
          <cell r="U9" t="str">
            <v/>
          </cell>
          <cell r="V9" t="str">
            <v/>
          </cell>
          <cell r="W9" t="str">
            <v/>
          </cell>
          <cell r="X9" t="str">
            <v/>
          </cell>
          <cell r="Y9" t="str">
            <v/>
          </cell>
          <cell r="Z9" t="str">
            <v/>
          </cell>
          <cell r="AA9" t="str">
            <v/>
          </cell>
          <cell r="AB9" t="str">
            <v/>
          </cell>
          <cell r="AC9" t="str">
            <v/>
          </cell>
          <cell r="AD9" t="str">
            <v/>
          </cell>
          <cell r="AE9" t="str">
            <v/>
          </cell>
          <cell r="AF9" t="str">
            <v/>
          </cell>
          <cell r="AG9" t="str">
            <v/>
          </cell>
          <cell r="AH9" t="str">
            <v/>
          </cell>
          <cell r="AI9" t="str">
            <v/>
          </cell>
          <cell r="AJ9" t="str">
            <v/>
          </cell>
          <cell r="AK9" t="str">
            <v/>
          </cell>
          <cell r="AL9" t="str">
            <v/>
          </cell>
          <cell r="AM9" t="str">
            <v/>
          </cell>
          <cell r="AN9" t="str">
            <v/>
          </cell>
          <cell r="AO9" t="str">
            <v/>
          </cell>
          <cell r="AP9" t="str">
            <v/>
          </cell>
          <cell r="AQ9" t="str">
            <v/>
          </cell>
          <cell r="AR9" t="str">
            <v/>
          </cell>
          <cell r="AS9" t="str">
            <v/>
          </cell>
          <cell r="AT9" t="str">
            <v/>
          </cell>
          <cell r="AU9" t="str">
            <v/>
          </cell>
          <cell r="AV9" t="str">
            <v/>
          </cell>
          <cell r="AW9" t="str">
            <v/>
          </cell>
          <cell r="AX9" t="str">
            <v/>
          </cell>
          <cell r="AY9" t="str">
            <v/>
          </cell>
          <cell r="AZ9" t="str">
            <v/>
          </cell>
          <cell r="BA9" t="str">
            <v/>
          </cell>
          <cell r="BB9" t="str">
            <v/>
          </cell>
          <cell r="BC9" t="str">
            <v/>
          </cell>
          <cell r="BD9" t="str">
            <v/>
          </cell>
          <cell r="BE9" t="str">
            <v/>
          </cell>
          <cell r="BF9" t="str">
            <v/>
          </cell>
          <cell r="BG9" t="str">
            <v/>
          </cell>
          <cell r="BH9" t="str">
            <v/>
          </cell>
          <cell r="BI9" t="str">
            <v/>
          </cell>
          <cell r="BJ9" t="str">
            <v/>
          </cell>
          <cell r="BK9" t="str">
            <v/>
          </cell>
          <cell r="BL9" t="str">
            <v/>
          </cell>
          <cell r="BM9" t="str">
            <v/>
          </cell>
          <cell r="BN9" t="str">
            <v/>
          </cell>
          <cell r="BO9" t="str">
            <v/>
          </cell>
          <cell r="BP9" t="str">
            <v/>
          </cell>
          <cell r="BQ9" t="str">
            <v/>
          </cell>
          <cell r="BR9" t="str">
            <v/>
          </cell>
          <cell r="BS9" t="str">
            <v/>
          </cell>
          <cell r="BT9" t="str">
            <v/>
          </cell>
          <cell r="BU9" t="str">
            <v/>
          </cell>
          <cell r="BV9" t="str">
            <v/>
          </cell>
          <cell r="BW9" t="str">
            <v/>
          </cell>
          <cell r="BX9" t="str">
            <v/>
          </cell>
          <cell r="BY9" t="str">
            <v/>
          </cell>
          <cell r="BZ9" t="str">
            <v/>
          </cell>
          <cell r="CA9" t="str">
            <v/>
          </cell>
          <cell r="CB9" t="str">
            <v/>
          </cell>
          <cell r="CC9" t="str">
            <v/>
          </cell>
          <cell r="CD9" t="str">
            <v/>
          </cell>
          <cell r="CE9" t="str">
            <v/>
          </cell>
          <cell r="CF9" t="str">
            <v/>
          </cell>
          <cell r="CG9" t="str">
            <v/>
          </cell>
          <cell r="CH9" t="str">
            <v/>
          </cell>
          <cell r="CI9" t="str">
            <v/>
          </cell>
          <cell r="CJ9" t="str">
            <v/>
          </cell>
          <cell r="CK9" t="str">
            <v/>
          </cell>
          <cell r="CL9" t="str">
            <v/>
          </cell>
          <cell r="CM9" t="str">
            <v/>
          </cell>
          <cell r="CN9" t="str">
            <v/>
          </cell>
          <cell r="CO9" t="str">
            <v/>
          </cell>
          <cell r="CP9" t="str">
            <v/>
          </cell>
          <cell r="CQ9" t="str">
            <v/>
          </cell>
          <cell r="CR9" t="str">
            <v/>
          </cell>
          <cell r="CS9" t="str">
            <v/>
          </cell>
          <cell r="CT9" t="str">
            <v/>
          </cell>
          <cell r="CU9" t="str">
            <v/>
          </cell>
          <cell r="CV9" t="str">
            <v/>
          </cell>
          <cell r="CW9" t="str">
            <v/>
          </cell>
          <cell r="CX9" t="str">
            <v/>
          </cell>
          <cell r="CY9" t="str">
            <v/>
          </cell>
          <cell r="CZ9" t="str">
            <v/>
          </cell>
          <cell r="DA9" t="str">
            <v/>
          </cell>
          <cell r="DB9" t="str">
            <v/>
          </cell>
        </row>
        <row r="10">
          <cell r="A10" t="str">
            <v/>
          </cell>
          <cell r="D10" t="str">
            <v/>
          </cell>
          <cell r="E10" t="str">
            <v/>
          </cell>
          <cell r="F10" t="str">
            <v/>
          </cell>
          <cell r="G10" t="str">
            <v/>
          </cell>
          <cell r="H10" t="str">
            <v/>
          </cell>
          <cell r="I10" t="str">
            <v/>
          </cell>
          <cell r="J10" t="str">
            <v/>
          </cell>
          <cell r="K10" t="str">
            <v/>
          </cell>
          <cell r="L10" t="str">
            <v/>
          </cell>
          <cell r="M10" t="str">
            <v/>
          </cell>
          <cell r="N10" t="str">
            <v/>
          </cell>
          <cell r="O10" t="str">
            <v/>
          </cell>
          <cell r="P10" t="str">
            <v/>
          </cell>
          <cell r="Q10" t="str">
            <v/>
          </cell>
          <cell r="R10" t="str">
            <v/>
          </cell>
          <cell r="S10" t="str">
            <v/>
          </cell>
          <cell r="T10" t="str">
            <v/>
          </cell>
          <cell r="U10" t="str">
            <v/>
          </cell>
          <cell r="V10" t="str">
            <v/>
          </cell>
          <cell r="W10" t="str">
            <v/>
          </cell>
          <cell r="X10" t="str">
            <v/>
          </cell>
          <cell r="Y10" t="str">
            <v/>
          </cell>
          <cell r="Z10" t="str">
            <v/>
          </cell>
          <cell r="AA10" t="str">
            <v/>
          </cell>
          <cell r="AB10" t="str">
            <v/>
          </cell>
          <cell r="AC10" t="str">
            <v/>
          </cell>
          <cell r="AD10" t="str">
            <v/>
          </cell>
          <cell r="AE10" t="str">
            <v/>
          </cell>
          <cell r="AF10" t="str">
            <v/>
          </cell>
          <cell r="AG10" t="str">
            <v/>
          </cell>
          <cell r="AH10" t="str">
            <v/>
          </cell>
          <cell r="AI10" t="str">
            <v/>
          </cell>
          <cell r="AJ10" t="str">
            <v/>
          </cell>
          <cell r="AK10" t="str">
            <v/>
          </cell>
          <cell r="AL10" t="str">
            <v/>
          </cell>
          <cell r="AM10" t="str">
            <v/>
          </cell>
          <cell r="AN10" t="str">
            <v/>
          </cell>
          <cell r="AO10" t="str">
            <v/>
          </cell>
          <cell r="AP10" t="str">
            <v/>
          </cell>
          <cell r="AQ10" t="str">
            <v/>
          </cell>
          <cell r="AR10" t="str">
            <v/>
          </cell>
          <cell r="AS10" t="str">
            <v/>
          </cell>
          <cell r="AT10" t="str">
            <v/>
          </cell>
          <cell r="AU10" t="str">
            <v/>
          </cell>
          <cell r="AV10" t="str">
            <v/>
          </cell>
          <cell r="AW10" t="str">
            <v/>
          </cell>
          <cell r="AX10" t="str">
            <v/>
          </cell>
          <cell r="AY10" t="str">
            <v/>
          </cell>
          <cell r="AZ10" t="str">
            <v/>
          </cell>
          <cell r="BA10" t="str">
            <v/>
          </cell>
          <cell r="BB10" t="str">
            <v/>
          </cell>
          <cell r="BC10" t="str">
            <v/>
          </cell>
          <cell r="BD10" t="str">
            <v/>
          </cell>
          <cell r="BE10" t="str">
            <v/>
          </cell>
          <cell r="BF10" t="str">
            <v/>
          </cell>
          <cell r="BG10" t="str">
            <v/>
          </cell>
          <cell r="BH10" t="str">
            <v/>
          </cell>
          <cell r="BI10" t="str">
            <v/>
          </cell>
          <cell r="BJ10" t="str">
            <v/>
          </cell>
          <cell r="BK10" t="str">
            <v/>
          </cell>
          <cell r="BL10" t="str">
            <v/>
          </cell>
          <cell r="BM10" t="str">
            <v/>
          </cell>
          <cell r="BN10" t="str">
            <v/>
          </cell>
          <cell r="BO10" t="str">
            <v/>
          </cell>
          <cell r="BP10" t="str">
            <v/>
          </cell>
          <cell r="BQ10" t="str">
            <v/>
          </cell>
          <cell r="BR10" t="str">
            <v/>
          </cell>
          <cell r="BS10" t="str">
            <v/>
          </cell>
          <cell r="BT10" t="str">
            <v/>
          </cell>
          <cell r="BU10" t="str">
            <v/>
          </cell>
          <cell r="BV10" t="str">
            <v/>
          </cell>
          <cell r="BW10" t="str">
            <v/>
          </cell>
          <cell r="BX10" t="str">
            <v/>
          </cell>
          <cell r="BY10" t="str">
            <v/>
          </cell>
          <cell r="BZ10" t="str">
            <v/>
          </cell>
          <cell r="CA10" t="str">
            <v/>
          </cell>
          <cell r="CB10" t="str">
            <v/>
          </cell>
          <cell r="CC10" t="str">
            <v/>
          </cell>
          <cell r="CD10" t="str">
            <v/>
          </cell>
          <cell r="CE10" t="str">
            <v/>
          </cell>
          <cell r="CF10" t="str">
            <v/>
          </cell>
          <cell r="CG10" t="str">
            <v/>
          </cell>
          <cell r="CH10" t="str">
            <v/>
          </cell>
          <cell r="CI10" t="str">
            <v/>
          </cell>
          <cell r="CJ10" t="str">
            <v/>
          </cell>
          <cell r="CK10" t="str">
            <v/>
          </cell>
          <cell r="CL10" t="str">
            <v/>
          </cell>
          <cell r="CM10" t="str">
            <v/>
          </cell>
          <cell r="CN10" t="str">
            <v/>
          </cell>
          <cell r="CO10" t="str">
            <v/>
          </cell>
          <cell r="CP10" t="str">
            <v/>
          </cell>
          <cell r="CQ10" t="str">
            <v/>
          </cell>
          <cell r="CR10" t="str">
            <v/>
          </cell>
          <cell r="CS10" t="str">
            <v/>
          </cell>
          <cell r="CT10" t="str">
            <v/>
          </cell>
          <cell r="CU10" t="str">
            <v/>
          </cell>
          <cell r="CV10" t="str">
            <v/>
          </cell>
          <cell r="CW10" t="str">
            <v/>
          </cell>
          <cell r="CX10" t="str">
            <v/>
          </cell>
          <cell r="CY10" t="str">
            <v/>
          </cell>
          <cell r="CZ10" t="str">
            <v/>
          </cell>
          <cell r="DA10" t="str">
            <v/>
          </cell>
          <cell r="DB10" t="str">
            <v/>
          </cell>
        </row>
        <row r="11">
          <cell r="A11" t="str">
            <v/>
          </cell>
          <cell r="D11" t="str">
            <v/>
          </cell>
          <cell r="E11" t="str">
            <v/>
          </cell>
          <cell r="F11" t="str">
            <v/>
          </cell>
          <cell r="G11" t="str">
            <v/>
          </cell>
          <cell r="H11" t="str">
            <v/>
          </cell>
          <cell r="I11" t="str">
            <v/>
          </cell>
          <cell r="J11" t="str">
            <v/>
          </cell>
          <cell r="K11" t="str">
            <v/>
          </cell>
          <cell r="L11" t="str">
            <v/>
          </cell>
          <cell r="M11" t="str">
            <v/>
          </cell>
          <cell r="N11" t="str">
            <v/>
          </cell>
          <cell r="O11" t="str">
            <v/>
          </cell>
          <cell r="P11" t="str">
            <v/>
          </cell>
          <cell r="Q11" t="str">
            <v/>
          </cell>
          <cell r="R11" t="str">
            <v/>
          </cell>
          <cell r="S11" t="str">
            <v/>
          </cell>
          <cell r="T11" t="str">
            <v/>
          </cell>
          <cell r="U11" t="str">
            <v/>
          </cell>
          <cell r="V11" t="str">
            <v/>
          </cell>
          <cell r="W11" t="str">
            <v/>
          </cell>
          <cell r="X11" t="str">
            <v/>
          </cell>
          <cell r="Y11" t="str">
            <v/>
          </cell>
          <cell r="Z11" t="str">
            <v/>
          </cell>
          <cell r="AA11" t="str">
            <v/>
          </cell>
          <cell r="AB11" t="str">
            <v/>
          </cell>
          <cell r="AC11" t="str">
            <v/>
          </cell>
          <cell r="AD11" t="str">
            <v/>
          </cell>
          <cell r="AE11" t="str">
            <v/>
          </cell>
          <cell r="AF11" t="str">
            <v/>
          </cell>
          <cell r="AG11" t="str">
            <v/>
          </cell>
          <cell r="AH11" t="str">
            <v/>
          </cell>
          <cell r="AI11" t="str">
            <v/>
          </cell>
          <cell r="AJ11" t="str">
            <v/>
          </cell>
          <cell r="AK11" t="str">
            <v/>
          </cell>
          <cell r="AL11" t="str">
            <v/>
          </cell>
          <cell r="AM11" t="str">
            <v/>
          </cell>
          <cell r="AN11" t="str">
            <v/>
          </cell>
          <cell r="AO11" t="str">
            <v/>
          </cell>
          <cell r="AP11" t="str">
            <v/>
          </cell>
          <cell r="AQ11" t="str">
            <v/>
          </cell>
          <cell r="AR11" t="str">
            <v/>
          </cell>
          <cell r="AS11" t="str">
            <v/>
          </cell>
          <cell r="AT11" t="str">
            <v/>
          </cell>
          <cell r="AU11" t="str">
            <v/>
          </cell>
          <cell r="AV11" t="str">
            <v/>
          </cell>
          <cell r="AW11" t="str">
            <v/>
          </cell>
          <cell r="AX11" t="str">
            <v/>
          </cell>
          <cell r="AY11" t="str">
            <v/>
          </cell>
          <cell r="AZ11" t="str">
            <v/>
          </cell>
          <cell r="BA11" t="str">
            <v/>
          </cell>
          <cell r="BB11" t="str">
            <v/>
          </cell>
          <cell r="BC11" t="str">
            <v/>
          </cell>
          <cell r="BD11" t="str">
            <v/>
          </cell>
          <cell r="BE11" t="str">
            <v/>
          </cell>
          <cell r="BF11" t="str">
            <v/>
          </cell>
          <cell r="BG11" t="str">
            <v/>
          </cell>
          <cell r="BH11" t="str">
            <v/>
          </cell>
          <cell r="BI11" t="str">
            <v/>
          </cell>
          <cell r="BJ11" t="str">
            <v/>
          </cell>
          <cell r="BK11" t="str">
            <v/>
          </cell>
          <cell r="BL11" t="str">
            <v/>
          </cell>
          <cell r="BM11" t="str">
            <v/>
          </cell>
          <cell r="BN11" t="str">
            <v/>
          </cell>
          <cell r="BO11" t="str">
            <v/>
          </cell>
          <cell r="BP11" t="str">
            <v/>
          </cell>
          <cell r="BQ11" t="str">
            <v/>
          </cell>
          <cell r="BR11" t="str">
            <v/>
          </cell>
          <cell r="BS11" t="str">
            <v/>
          </cell>
          <cell r="BT11" t="str">
            <v/>
          </cell>
          <cell r="BU11" t="str">
            <v/>
          </cell>
          <cell r="BV11" t="str">
            <v/>
          </cell>
          <cell r="BW11" t="str">
            <v/>
          </cell>
          <cell r="BX11" t="str">
            <v/>
          </cell>
          <cell r="BY11" t="str">
            <v/>
          </cell>
          <cell r="BZ11" t="str">
            <v/>
          </cell>
          <cell r="CA11" t="str">
            <v/>
          </cell>
          <cell r="CB11" t="str">
            <v/>
          </cell>
          <cell r="CC11" t="str">
            <v/>
          </cell>
          <cell r="CD11" t="str">
            <v/>
          </cell>
          <cell r="CE11" t="str">
            <v/>
          </cell>
          <cell r="CF11" t="str">
            <v/>
          </cell>
          <cell r="CG11" t="str">
            <v/>
          </cell>
          <cell r="CH11" t="str">
            <v/>
          </cell>
          <cell r="CI11" t="str">
            <v/>
          </cell>
          <cell r="CJ11" t="str">
            <v/>
          </cell>
          <cell r="CK11" t="str">
            <v/>
          </cell>
          <cell r="CL11" t="str">
            <v/>
          </cell>
          <cell r="CM11" t="str">
            <v/>
          </cell>
          <cell r="CN11" t="str">
            <v/>
          </cell>
          <cell r="CO11" t="str">
            <v/>
          </cell>
          <cell r="CP11" t="str">
            <v/>
          </cell>
          <cell r="CQ11" t="str">
            <v/>
          </cell>
          <cell r="CR11" t="str">
            <v/>
          </cell>
          <cell r="CS11" t="str">
            <v/>
          </cell>
          <cell r="CT11" t="str">
            <v/>
          </cell>
          <cell r="CU11" t="str">
            <v/>
          </cell>
          <cell r="CV11" t="str">
            <v/>
          </cell>
          <cell r="CW11" t="str">
            <v/>
          </cell>
          <cell r="CX11" t="str">
            <v/>
          </cell>
          <cell r="CY11" t="str">
            <v/>
          </cell>
          <cell r="CZ11" t="str">
            <v/>
          </cell>
          <cell r="DA11" t="str">
            <v/>
          </cell>
          <cell r="DB11" t="str">
            <v/>
          </cell>
        </row>
        <row r="12">
          <cell r="A12" t="str">
            <v/>
          </cell>
          <cell r="D12" t="str">
            <v/>
          </cell>
          <cell r="E12" t="str">
            <v/>
          </cell>
          <cell r="F12" t="str">
            <v/>
          </cell>
          <cell r="G12" t="str">
            <v/>
          </cell>
          <cell r="H12" t="str">
            <v/>
          </cell>
          <cell r="I12" t="str">
            <v/>
          </cell>
          <cell r="J12" t="str">
            <v/>
          </cell>
          <cell r="K12" t="str">
            <v/>
          </cell>
          <cell r="L12" t="str">
            <v/>
          </cell>
          <cell r="M12" t="str">
            <v/>
          </cell>
          <cell r="N12" t="str">
            <v/>
          </cell>
          <cell r="O12" t="str">
            <v/>
          </cell>
          <cell r="P12" t="str">
            <v/>
          </cell>
          <cell r="Q12" t="str">
            <v/>
          </cell>
          <cell r="R12" t="str">
            <v/>
          </cell>
          <cell r="S12" t="str">
            <v/>
          </cell>
          <cell r="T12" t="str">
            <v/>
          </cell>
          <cell r="U12" t="str">
            <v/>
          </cell>
          <cell r="V12" t="str">
            <v/>
          </cell>
          <cell r="W12" t="str">
            <v/>
          </cell>
          <cell r="X12" t="str">
            <v/>
          </cell>
          <cell r="Y12" t="str">
            <v/>
          </cell>
          <cell r="Z12" t="str">
            <v/>
          </cell>
          <cell r="AA12" t="str">
            <v/>
          </cell>
          <cell r="AB12" t="str">
            <v/>
          </cell>
          <cell r="AC12" t="str">
            <v/>
          </cell>
          <cell r="AD12" t="str">
            <v/>
          </cell>
          <cell r="AE12" t="str">
            <v/>
          </cell>
          <cell r="AF12" t="str">
            <v/>
          </cell>
          <cell r="AG12" t="str">
            <v/>
          </cell>
          <cell r="AH12" t="str">
            <v/>
          </cell>
          <cell r="AI12" t="str">
            <v/>
          </cell>
          <cell r="AJ12" t="str">
            <v/>
          </cell>
          <cell r="AK12" t="str">
            <v/>
          </cell>
          <cell r="AL12" t="str">
            <v/>
          </cell>
          <cell r="AM12" t="str">
            <v/>
          </cell>
          <cell r="AN12" t="str">
            <v/>
          </cell>
          <cell r="AO12" t="str">
            <v/>
          </cell>
          <cell r="AP12" t="str">
            <v/>
          </cell>
          <cell r="AQ12" t="str">
            <v/>
          </cell>
          <cell r="AR12" t="str">
            <v/>
          </cell>
          <cell r="AS12" t="str">
            <v/>
          </cell>
          <cell r="AT12" t="str">
            <v/>
          </cell>
          <cell r="AU12" t="str">
            <v/>
          </cell>
          <cell r="AV12" t="str">
            <v/>
          </cell>
          <cell r="AW12" t="str">
            <v/>
          </cell>
          <cell r="AX12" t="str">
            <v/>
          </cell>
          <cell r="AY12" t="str">
            <v/>
          </cell>
          <cell r="AZ12" t="str">
            <v/>
          </cell>
          <cell r="BA12" t="str">
            <v/>
          </cell>
          <cell r="BB12" t="str">
            <v/>
          </cell>
          <cell r="BC12" t="str">
            <v/>
          </cell>
          <cell r="BD12" t="str">
            <v/>
          </cell>
          <cell r="BE12" t="str">
            <v/>
          </cell>
          <cell r="BF12" t="str">
            <v/>
          </cell>
          <cell r="BG12" t="str">
            <v/>
          </cell>
          <cell r="BH12" t="str">
            <v/>
          </cell>
          <cell r="BI12" t="str">
            <v/>
          </cell>
          <cell r="BJ12" t="str">
            <v/>
          </cell>
          <cell r="BK12" t="str">
            <v/>
          </cell>
          <cell r="BL12" t="str">
            <v/>
          </cell>
          <cell r="BM12" t="str">
            <v/>
          </cell>
          <cell r="BN12" t="str">
            <v/>
          </cell>
          <cell r="BO12" t="str">
            <v/>
          </cell>
          <cell r="BP12" t="str">
            <v/>
          </cell>
          <cell r="BQ12" t="str">
            <v/>
          </cell>
          <cell r="BR12" t="str">
            <v/>
          </cell>
          <cell r="BS12" t="str">
            <v/>
          </cell>
          <cell r="BT12" t="str">
            <v/>
          </cell>
          <cell r="BU12" t="str">
            <v/>
          </cell>
          <cell r="BV12" t="str">
            <v/>
          </cell>
          <cell r="BW12" t="str">
            <v/>
          </cell>
          <cell r="BX12" t="str">
            <v/>
          </cell>
          <cell r="BY12" t="str">
            <v/>
          </cell>
          <cell r="BZ12" t="str">
            <v/>
          </cell>
          <cell r="CA12" t="str">
            <v/>
          </cell>
          <cell r="CB12" t="str">
            <v/>
          </cell>
          <cell r="CC12" t="str">
            <v/>
          </cell>
          <cell r="CD12" t="str">
            <v/>
          </cell>
          <cell r="CE12" t="str">
            <v/>
          </cell>
          <cell r="CF12" t="str">
            <v/>
          </cell>
          <cell r="CG12" t="str">
            <v/>
          </cell>
          <cell r="CH12" t="str">
            <v/>
          </cell>
          <cell r="CI12" t="str">
            <v/>
          </cell>
          <cell r="CJ12" t="str">
            <v/>
          </cell>
          <cell r="CK12" t="str">
            <v/>
          </cell>
          <cell r="CL12" t="str">
            <v/>
          </cell>
          <cell r="CM12" t="str">
            <v/>
          </cell>
          <cell r="CN12" t="str">
            <v/>
          </cell>
          <cell r="CO12" t="str">
            <v/>
          </cell>
          <cell r="CP12" t="str">
            <v/>
          </cell>
          <cell r="CQ12" t="str">
            <v/>
          </cell>
          <cell r="CR12" t="str">
            <v/>
          </cell>
          <cell r="CS12" t="str">
            <v/>
          </cell>
          <cell r="CT12" t="str">
            <v/>
          </cell>
          <cell r="CU12" t="str">
            <v/>
          </cell>
          <cell r="CV12" t="str">
            <v/>
          </cell>
          <cell r="CW12" t="str">
            <v/>
          </cell>
          <cell r="CX12" t="str">
            <v/>
          </cell>
          <cell r="CY12" t="str">
            <v/>
          </cell>
          <cell r="CZ12" t="str">
            <v/>
          </cell>
          <cell r="DA12" t="str">
            <v/>
          </cell>
          <cell r="DB12" t="str">
            <v/>
          </cell>
        </row>
        <row r="13">
          <cell r="A13" t="str">
            <v/>
          </cell>
          <cell r="D13" t="str">
            <v/>
          </cell>
          <cell r="E13" t="str">
            <v/>
          </cell>
          <cell r="F13" t="str">
            <v/>
          </cell>
          <cell r="G13" t="str">
            <v/>
          </cell>
          <cell r="H13" t="str">
            <v/>
          </cell>
          <cell r="I13" t="str">
            <v/>
          </cell>
          <cell r="J13" t="str">
            <v/>
          </cell>
          <cell r="K13" t="str">
            <v/>
          </cell>
          <cell r="L13" t="str">
            <v/>
          </cell>
          <cell r="M13" t="str">
            <v/>
          </cell>
          <cell r="N13" t="str">
            <v/>
          </cell>
          <cell r="O13" t="str">
            <v/>
          </cell>
          <cell r="P13" t="str">
            <v/>
          </cell>
          <cell r="Q13" t="str">
            <v/>
          </cell>
          <cell r="R13" t="str">
            <v/>
          </cell>
          <cell r="S13" t="str">
            <v/>
          </cell>
          <cell r="T13" t="str">
            <v/>
          </cell>
          <cell r="U13" t="str">
            <v/>
          </cell>
          <cell r="V13" t="str">
            <v/>
          </cell>
          <cell r="W13" t="str">
            <v/>
          </cell>
          <cell r="X13" t="str">
            <v/>
          </cell>
          <cell r="Y13" t="str">
            <v/>
          </cell>
          <cell r="Z13" t="str">
            <v/>
          </cell>
          <cell r="AA13" t="str">
            <v/>
          </cell>
          <cell r="AB13" t="str">
            <v/>
          </cell>
          <cell r="AC13" t="str">
            <v/>
          </cell>
          <cell r="AD13" t="str">
            <v/>
          </cell>
          <cell r="AE13" t="str">
            <v/>
          </cell>
          <cell r="AF13" t="str">
            <v/>
          </cell>
          <cell r="AG13" t="str">
            <v/>
          </cell>
          <cell r="AH13" t="str">
            <v/>
          </cell>
          <cell r="AI13" t="str">
            <v/>
          </cell>
          <cell r="AJ13" t="str">
            <v/>
          </cell>
          <cell r="AK13" t="str">
            <v/>
          </cell>
          <cell r="AL13" t="str">
            <v/>
          </cell>
          <cell r="AM13" t="str">
            <v/>
          </cell>
          <cell r="AN13" t="str">
            <v/>
          </cell>
          <cell r="AO13" t="str">
            <v/>
          </cell>
          <cell r="AP13" t="str">
            <v/>
          </cell>
          <cell r="AQ13" t="str">
            <v/>
          </cell>
          <cell r="AR13" t="str">
            <v/>
          </cell>
          <cell r="AS13" t="str">
            <v/>
          </cell>
          <cell r="AT13" t="str">
            <v/>
          </cell>
          <cell r="AU13" t="str">
            <v/>
          </cell>
          <cell r="AV13" t="str">
            <v/>
          </cell>
          <cell r="AW13" t="str">
            <v/>
          </cell>
          <cell r="AX13" t="str">
            <v/>
          </cell>
          <cell r="AY13" t="str">
            <v/>
          </cell>
          <cell r="AZ13" t="str">
            <v/>
          </cell>
          <cell r="BA13" t="str">
            <v/>
          </cell>
          <cell r="BB13" t="str">
            <v/>
          </cell>
          <cell r="BC13" t="str">
            <v/>
          </cell>
          <cell r="BD13" t="str">
            <v/>
          </cell>
          <cell r="BE13" t="str">
            <v/>
          </cell>
          <cell r="BF13" t="str">
            <v/>
          </cell>
          <cell r="BG13" t="str">
            <v/>
          </cell>
          <cell r="BH13" t="str">
            <v/>
          </cell>
          <cell r="BI13" t="str">
            <v/>
          </cell>
          <cell r="BJ13" t="str">
            <v/>
          </cell>
          <cell r="BK13" t="str">
            <v/>
          </cell>
          <cell r="BL13" t="str">
            <v/>
          </cell>
          <cell r="BM13" t="str">
            <v/>
          </cell>
          <cell r="BN13" t="str">
            <v/>
          </cell>
          <cell r="BO13" t="str">
            <v/>
          </cell>
          <cell r="BP13" t="str">
            <v/>
          </cell>
          <cell r="BQ13" t="str">
            <v/>
          </cell>
          <cell r="BR13" t="str">
            <v/>
          </cell>
          <cell r="BS13" t="str">
            <v/>
          </cell>
          <cell r="BT13" t="str">
            <v/>
          </cell>
          <cell r="BU13" t="str">
            <v/>
          </cell>
          <cell r="BV13" t="str">
            <v/>
          </cell>
          <cell r="BW13" t="str">
            <v/>
          </cell>
          <cell r="BX13" t="str">
            <v/>
          </cell>
          <cell r="BY13" t="str">
            <v/>
          </cell>
          <cell r="BZ13" t="str">
            <v/>
          </cell>
          <cell r="CA13" t="str">
            <v/>
          </cell>
          <cell r="CB13" t="str">
            <v/>
          </cell>
          <cell r="CC13" t="str">
            <v/>
          </cell>
          <cell r="CD13" t="str">
            <v/>
          </cell>
          <cell r="CE13" t="str">
            <v/>
          </cell>
          <cell r="CF13" t="str">
            <v/>
          </cell>
          <cell r="CG13" t="str">
            <v/>
          </cell>
          <cell r="CH13" t="str">
            <v/>
          </cell>
          <cell r="CI13" t="str">
            <v/>
          </cell>
          <cell r="CJ13" t="str">
            <v/>
          </cell>
          <cell r="CK13" t="str">
            <v/>
          </cell>
          <cell r="CL13" t="str">
            <v/>
          </cell>
          <cell r="CM13" t="str">
            <v/>
          </cell>
          <cell r="CN13" t="str">
            <v/>
          </cell>
          <cell r="CO13" t="str">
            <v/>
          </cell>
          <cell r="CP13" t="str">
            <v/>
          </cell>
          <cell r="CQ13" t="str">
            <v/>
          </cell>
          <cell r="CR13" t="str">
            <v/>
          </cell>
          <cell r="CS13" t="str">
            <v/>
          </cell>
          <cell r="CT13" t="str">
            <v/>
          </cell>
          <cell r="CU13" t="str">
            <v/>
          </cell>
          <cell r="CV13" t="str">
            <v/>
          </cell>
          <cell r="CW13" t="str">
            <v/>
          </cell>
          <cell r="CX13" t="str">
            <v/>
          </cell>
          <cell r="CY13" t="str">
            <v/>
          </cell>
          <cell r="CZ13" t="str">
            <v/>
          </cell>
          <cell r="DA13" t="str">
            <v/>
          </cell>
          <cell r="DB13" t="str">
            <v/>
          </cell>
        </row>
        <row r="14">
          <cell r="A14" t="str">
            <v/>
          </cell>
          <cell r="D14" t="str">
            <v/>
          </cell>
          <cell r="E14" t="str">
            <v/>
          </cell>
          <cell r="F14" t="str">
            <v/>
          </cell>
          <cell r="G14" t="str">
            <v/>
          </cell>
          <cell r="H14" t="str">
            <v/>
          </cell>
          <cell r="I14" t="str">
            <v/>
          </cell>
          <cell r="J14" t="str">
            <v/>
          </cell>
          <cell r="K14" t="str">
            <v/>
          </cell>
          <cell r="L14" t="str">
            <v/>
          </cell>
          <cell r="M14" t="str">
            <v/>
          </cell>
          <cell r="N14" t="str">
            <v/>
          </cell>
          <cell r="O14" t="str">
            <v/>
          </cell>
          <cell r="P14" t="str">
            <v/>
          </cell>
          <cell r="Q14" t="str">
            <v/>
          </cell>
          <cell r="R14" t="str">
            <v/>
          </cell>
          <cell r="S14" t="str">
            <v/>
          </cell>
          <cell r="T14" t="str">
            <v/>
          </cell>
          <cell r="U14" t="str">
            <v/>
          </cell>
          <cell r="V14" t="str">
            <v/>
          </cell>
          <cell r="W14" t="str">
            <v/>
          </cell>
          <cell r="X14" t="str">
            <v/>
          </cell>
          <cell r="Y14" t="str">
            <v/>
          </cell>
          <cell r="Z14" t="str">
            <v/>
          </cell>
          <cell r="AA14" t="str">
            <v/>
          </cell>
          <cell r="AB14" t="str">
            <v/>
          </cell>
          <cell r="AC14" t="str">
            <v/>
          </cell>
          <cell r="AD14" t="str">
            <v/>
          </cell>
          <cell r="AE14" t="str">
            <v/>
          </cell>
          <cell r="AF14" t="str">
            <v/>
          </cell>
          <cell r="AG14" t="str">
            <v/>
          </cell>
          <cell r="AH14" t="str">
            <v/>
          </cell>
          <cell r="AI14" t="str">
            <v/>
          </cell>
          <cell r="AJ14" t="str">
            <v/>
          </cell>
          <cell r="AK14" t="str">
            <v/>
          </cell>
          <cell r="AL14" t="str">
            <v/>
          </cell>
          <cell r="AM14" t="str">
            <v/>
          </cell>
          <cell r="AN14" t="str">
            <v/>
          </cell>
          <cell r="AO14" t="str">
            <v/>
          </cell>
          <cell r="AP14" t="str">
            <v/>
          </cell>
          <cell r="AQ14" t="str">
            <v/>
          </cell>
          <cell r="AR14" t="str">
            <v/>
          </cell>
          <cell r="AS14" t="str">
            <v/>
          </cell>
          <cell r="AT14" t="str">
            <v/>
          </cell>
          <cell r="AU14" t="str">
            <v/>
          </cell>
          <cell r="AV14" t="str">
            <v/>
          </cell>
          <cell r="AW14" t="str">
            <v/>
          </cell>
          <cell r="AX14" t="str">
            <v/>
          </cell>
          <cell r="AY14" t="str">
            <v/>
          </cell>
          <cell r="AZ14" t="str">
            <v/>
          </cell>
          <cell r="BA14" t="str">
            <v/>
          </cell>
          <cell r="BB14" t="str">
            <v/>
          </cell>
          <cell r="BC14" t="str">
            <v/>
          </cell>
          <cell r="BD14" t="str">
            <v/>
          </cell>
          <cell r="BE14" t="str">
            <v/>
          </cell>
          <cell r="BF14" t="str">
            <v/>
          </cell>
          <cell r="BG14" t="str">
            <v/>
          </cell>
          <cell r="BH14" t="str">
            <v/>
          </cell>
          <cell r="BI14" t="str">
            <v/>
          </cell>
          <cell r="BJ14" t="str">
            <v/>
          </cell>
          <cell r="BK14" t="str">
            <v/>
          </cell>
          <cell r="BL14" t="str">
            <v/>
          </cell>
          <cell r="BM14" t="str">
            <v/>
          </cell>
          <cell r="BN14" t="str">
            <v/>
          </cell>
          <cell r="BO14" t="str">
            <v/>
          </cell>
          <cell r="BP14" t="str">
            <v/>
          </cell>
          <cell r="BQ14" t="str">
            <v/>
          </cell>
          <cell r="BR14" t="str">
            <v/>
          </cell>
          <cell r="BS14" t="str">
            <v/>
          </cell>
          <cell r="BT14" t="str">
            <v/>
          </cell>
          <cell r="BU14" t="str">
            <v/>
          </cell>
          <cell r="BV14" t="str">
            <v/>
          </cell>
          <cell r="BW14" t="str">
            <v/>
          </cell>
          <cell r="BX14" t="str">
            <v/>
          </cell>
          <cell r="BY14" t="str">
            <v/>
          </cell>
          <cell r="BZ14" t="str">
            <v/>
          </cell>
          <cell r="CA14" t="str">
            <v/>
          </cell>
          <cell r="CB14" t="str">
            <v/>
          </cell>
          <cell r="CC14" t="str">
            <v/>
          </cell>
          <cell r="CD14" t="str">
            <v/>
          </cell>
          <cell r="CE14" t="str">
            <v/>
          </cell>
          <cell r="CF14" t="str">
            <v/>
          </cell>
          <cell r="CG14" t="str">
            <v/>
          </cell>
          <cell r="CH14" t="str">
            <v/>
          </cell>
          <cell r="CI14" t="str">
            <v/>
          </cell>
          <cell r="CJ14" t="str">
            <v/>
          </cell>
          <cell r="CK14" t="str">
            <v/>
          </cell>
          <cell r="CL14" t="str">
            <v/>
          </cell>
          <cell r="CM14" t="str">
            <v/>
          </cell>
          <cell r="CN14" t="str">
            <v/>
          </cell>
          <cell r="CO14" t="str">
            <v/>
          </cell>
          <cell r="CP14" t="str">
            <v/>
          </cell>
          <cell r="CQ14" t="str">
            <v/>
          </cell>
          <cell r="CR14" t="str">
            <v/>
          </cell>
          <cell r="CS14" t="str">
            <v/>
          </cell>
          <cell r="CT14" t="str">
            <v/>
          </cell>
          <cell r="CU14" t="str">
            <v/>
          </cell>
          <cell r="CV14" t="str">
            <v/>
          </cell>
          <cell r="CW14" t="str">
            <v/>
          </cell>
          <cell r="CX14" t="str">
            <v/>
          </cell>
          <cell r="CY14" t="str">
            <v/>
          </cell>
          <cell r="CZ14" t="str">
            <v/>
          </cell>
          <cell r="DA14" t="str">
            <v/>
          </cell>
          <cell r="DB14" t="str">
            <v/>
          </cell>
        </row>
        <row r="15">
          <cell r="A15" t="str">
            <v/>
          </cell>
          <cell r="D15" t="str">
            <v/>
          </cell>
          <cell r="E15" t="str">
            <v/>
          </cell>
          <cell r="F15" t="str">
            <v/>
          </cell>
          <cell r="G15" t="str">
            <v/>
          </cell>
          <cell r="H15" t="str">
            <v/>
          </cell>
          <cell r="I15" t="str">
            <v/>
          </cell>
          <cell r="J15" t="str">
            <v/>
          </cell>
          <cell r="K15" t="str">
            <v/>
          </cell>
          <cell r="L15" t="str">
            <v/>
          </cell>
          <cell r="M15" t="str">
            <v/>
          </cell>
          <cell r="N15" t="str">
            <v/>
          </cell>
          <cell r="O15" t="str">
            <v/>
          </cell>
          <cell r="P15" t="str">
            <v/>
          </cell>
          <cell r="Q15" t="str">
            <v/>
          </cell>
          <cell r="R15" t="str">
            <v/>
          </cell>
          <cell r="S15" t="str">
            <v/>
          </cell>
          <cell r="T15" t="str">
            <v/>
          </cell>
          <cell r="U15" t="str">
            <v/>
          </cell>
          <cell r="V15" t="str">
            <v/>
          </cell>
          <cell r="W15" t="str">
            <v/>
          </cell>
          <cell r="X15" t="str">
            <v/>
          </cell>
          <cell r="Y15" t="str">
            <v/>
          </cell>
          <cell r="Z15" t="str">
            <v/>
          </cell>
          <cell r="AA15" t="str">
            <v/>
          </cell>
          <cell r="AB15" t="str">
            <v/>
          </cell>
          <cell r="AC15" t="str">
            <v/>
          </cell>
          <cell r="AD15" t="str">
            <v/>
          </cell>
          <cell r="AE15" t="str">
            <v/>
          </cell>
          <cell r="AF15" t="str">
            <v/>
          </cell>
          <cell r="AG15" t="str">
            <v/>
          </cell>
          <cell r="AH15" t="str">
            <v/>
          </cell>
          <cell r="AI15" t="str">
            <v/>
          </cell>
          <cell r="AJ15" t="str">
            <v/>
          </cell>
          <cell r="AK15" t="str">
            <v/>
          </cell>
          <cell r="AL15" t="str">
            <v/>
          </cell>
          <cell r="AM15" t="str">
            <v/>
          </cell>
          <cell r="AN15" t="str">
            <v/>
          </cell>
          <cell r="AO15" t="str">
            <v/>
          </cell>
          <cell r="AP15" t="str">
            <v/>
          </cell>
          <cell r="AQ15" t="str">
            <v/>
          </cell>
          <cell r="AR15" t="str">
            <v/>
          </cell>
          <cell r="AS15" t="str">
            <v/>
          </cell>
          <cell r="AT15" t="str">
            <v/>
          </cell>
          <cell r="AU15" t="str">
            <v/>
          </cell>
          <cell r="AV15" t="str">
            <v/>
          </cell>
          <cell r="AW15" t="str">
            <v/>
          </cell>
          <cell r="AX15" t="str">
            <v/>
          </cell>
          <cell r="AY15" t="str">
            <v/>
          </cell>
          <cell r="AZ15" t="str">
            <v/>
          </cell>
          <cell r="BA15" t="str">
            <v/>
          </cell>
          <cell r="BB15" t="str">
            <v/>
          </cell>
          <cell r="BC15" t="str">
            <v/>
          </cell>
          <cell r="BD15" t="str">
            <v/>
          </cell>
          <cell r="BE15" t="str">
            <v/>
          </cell>
          <cell r="BF15" t="str">
            <v/>
          </cell>
          <cell r="BG15" t="str">
            <v/>
          </cell>
          <cell r="BH15" t="str">
            <v/>
          </cell>
          <cell r="BI15" t="str">
            <v/>
          </cell>
          <cell r="BJ15" t="str">
            <v/>
          </cell>
          <cell r="BK15" t="str">
            <v/>
          </cell>
          <cell r="BL15" t="str">
            <v/>
          </cell>
          <cell r="BM15" t="str">
            <v/>
          </cell>
          <cell r="BN15" t="str">
            <v/>
          </cell>
          <cell r="BO15" t="str">
            <v/>
          </cell>
          <cell r="BP15" t="str">
            <v/>
          </cell>
          <cell r="BQ15" t="str">
            <v/>
          </cell>
          <cell r="BR15" t="str">
            <v/>
          </cell>
          <cell r="BS15" t="str">
            <v/>
          </cell>
          <cell r="BT15" t="str">
            <v/>
          </cell>
          <cell r="BU15" t="str">
            <v/>
          </cell>
          <cell r="BV15" t="str">
            <v/>
          </cell>
          <cell r="BW15" t="str">
            <v/>
          </cell>
          <cell r="BX15" t="str">
            <v/>
          </cell>
          <cell r="BY15" t="str">
            <v/>
          </cell>
          <cell r="BZ15" t="str">
            <v/>
          </cell>
          <cell r="CA15" t="str">
            <v/>
          </cell>
          <cell r="CB15" t="str">
            <v/>
          </cell>
          <cell r="CC15" t="str">
            <v/>
          </cell>
          <cell r="CD15" t="str">
            <v/>
          </cell>
          <cell r="CE15" t="str">
            <v/>
          </cell>
          <cell r="CF15" t="str">
            <v/>
          </cell>
          <cell r="CG15" t="str">
            <v/>
          </cell>
          <cell r="CH15" t="str">
            <v/>
          </cell>
          <cell r="CI15" t="str">
            <v/>
          </cell>
          <cell r="CJ15" t="str">
            <v/>
          </cell>
          <cell r="CK15" t="str">
            <v/>
          </cell>
          <cell r="CL15" t="str">
            <v/>
          </cell>
          <cell r="CM15" t="str">
            <v/>
          </cell>
          <cell r="CN15" t="str">
            <v/>
          </cell>
          <cell r="CO15" t="str">
            <v/>
          </cell>
          <cell r="CP15" t="str">
            <v/>
          </cell>
          <cell r="CQ15" t="str">
            <v/>
          </cell>
          <cell r="CR15" t="str">
            <v/>
          </cell>
          <cell r="CS15" t="str">
            <v/>
          </cell>
          <cell r="CT15" t="str">
            <v/>
          </cell>
          <cell r="CU15" t="str">
            <v/>
          </cell>
          <cell r="CV15" t="str">
            <v/>
          </cell>
          <cell r="CW15" t="str">
            <v/>
          </cell>
          <cell r="CX15" t="str">
            <v/>
          </cell>
          <cell r="CY15" t="str">
            <v/>
          </cell>
          <cell r="CZ15" t="str">
            <v/>
          </cell>
          <cell r="DA15" t="str">
            <v/>
          </cell>
          <cell r="DB15" t="str">
            <v/>
          </cell>
        </row>
        <row r="16">
          <cell r="A16" t="str">
            <v/>
          </cell>
          <cell r="D16" t="str">
            <v/>
          </cell>
          <cell r="E16" t="str">
            <v/>
          </cell>
          <cell r="F16" t="str">
            <v/>
          </cell>
          <cell r="G16" t="str">
            <v/>
          </cell>
          <cell r="H16" t="str">
            <v/>
          </cell>
          <cell r="I16" t="str">
            <v/>
          </cell>
          <cell r="J16" t="str">
            <v/>
          </cell>
          <cell r="K16" t="str">
            <v/>
          </cell>
          <cell r="L16" t="str">
            <v/>
          </cell>
          <cell r="M16" t="str">
            <v/>
          </cell>
          <cell r="N16" t="str">
            <v/>
          </cell>
          <cell r="O16" t="str">
            <v/>
          </cell>
          <cell r="P16" t="str">
            <v/>
          </cell>
          <cell r="Q16" t="str">
            <v/>
          </cell>
          <cell r="R16" t="str">
            <v/>
          </cell>
          <cell r="S16" t="str">
            <v/>
          </cell>
          <cell r="T16" t="str">
            <v/>
          </cell>
          <cell r="U16" t="str">
            <v/>
          </cell>
          <cell r="V16" t="str">
            <v/>
          </cell>
          <cell r="W16" t="str">
            <v/>
          </cell>
          <cell r="X16" t="str">
            <v/>
          </cell>
          <cell r="Y16" t="str">
            <v/>
          </cell>
          <cell r="Z16" t="str">
            <v/>
          </cell>
          <cell r="AA16" t="str">
            <v/>
          </cell>
          <cell r="AB16" t="str">
            <v/>
          </cell>
          <cell r="AC16" t="str">
            <v/>
          </cell>
          <cell r="AD16" t="str">
            <v/>
          </cell>
          <cell r="AE16" t="str">
            <v/>
          </cell>
          <cell r="AF16" t="str">
            <v/>
          </cell>
          <cell r="AG16" t="str">
            <v/>
          </cell>
          <cell r="AH16" t="str">
            <v/>
          </cell>
          <cell r="AI16" t="str">
            <v/>
          </cell>
          <cell r="AJ16" t="str">
            <v/>
          </cell>
          <cell r="AK16" t="str">
            <v/>
          </cell>
          <cell r="AL16" t="str">
            <v/>
          </cell>
          <cell r="AM16" t="str">
            <v/>
          </cell>
          <cell r="AN16" t="str">
            <v/>
          </cell>
          <cell r="AO16" t="str">
            <v/>
          </cell>
          <cell r="AP16" t="str">
            <v/>
          </cell>
          <cell r="AQ16" t="str">
            <v/>
          </cell>
          <cell r="AR16" t="str">
            <v/>
          </cell>
          <cell r="AS16" t="str">
            <v/>
          </cell>
          <cell r="AT16" t="str">
            <v/>
          </cell>
          <cell r="AU16" t="str">
            <v/>
          </cell>
          <cell r="AV16" t="str">
            <v/>
          </cell>
          <cell r="AW16" t="str">
            <v/>
          </cell>
          <cell r="AX16" t="str">
            <v/>
          </cell>
          <cell r="AY16" t="str">
            <v/>
          </cell>
          <cell r="AZ16" t="str">
            <v/>
          </cell>
          <cell r="BA16" t="str">
            <v/>
          </cell>
          <cell r="BB16" t="str">
            <v/>
          </cell>
          <cell r="BC16" t="str">
            <v/>
          </cell>
          <cell r="BD16" t="str">
            <v/>
          </cell>
          <cell r="BE16" t="str">
            <v/>
          </cell>
          <cell r="BF16" t="str">
            <v/>
          </cell>
          <cell r="BG16" t="str">
            <v/>
          </cell>
          <cell r="BH16" t="str">
            <v/>
          </cell>
          <cell r="BI16" t="str">
            <v/>
          </cell>
          <cell r="BJ16" t="str">
            <v/>
          </cell>
          <cell r="BK16" t="str">
            <v/>
          </cell>
          <cell r="BL16" t="str">
            <v/>
          </cell>
          <cell r="BM16" t="str">
            <v/>
          </cell>
          <cell r="BN16" t="str">
            <v/>
          </cell>
          <cell r="BO16" t="str">
            <v/>
          </cell>
          <cell r="BP16" t="str">
            <v/>
          </cell>
          <cell r="BQ16" t="str">
            <v/>
          </cell>
          <cell r="BR16" t="str">
            <v/>
          </cell>
          <cell r="BS16" t="str">
            <v/>
          </cell>
          <cell r="BT16" t="str">
            <v/>
          </cell>
          <cell r="BU16" t="str">
            <v/>
          </cell>
          <cell r="BV16" t="str">
            <v/>
          </cell>
          <cell r="BW16" t="str">
            <v/>
          </cell>
          <cell r="BX16" t="str">
            <v/>
          </cell>
          <cell r="BY16" t="str">
            <v/>
          </cell>
          <cell r="BZ16" t="str">
            <v/>
          </cell>
          <cell r="CA16" t="str">
            <v/>
          </cell>
          <cell r="CB16" t="str">
            <v/>
          </cell>
          <cell r="CC16" t="str">
            <v/>
          </cell>
          <cell r="CD16" t="str">
            <v/>
          </cell>
          <cell r="CE16" t="str">
            <v/>
          </cell>
          <cell r="CF16" t="str">
            <v/>
          </cell>
          <cell r="CG16" t="str">
            <v/>
          </cell>
          <cell r="CH16" t="str">
            <v/>
          </cell>
          <cell r="CI16" t="str">
            <v/>
          </cell>
          <cell r="CJ16" t="str">
            <v/>
          </cell>
          <cell r="CK16" t="str">
            <v/>
          </cell>
          <cell r="CL16" t="str">
            <v/>
          </cell>
          <cell r="CM16" t="str">
            <v/>
          </cell>
          <cell r="CN16" t="str">
            <v/>
          </cell>
          <cell r="CO16" t="str">
            <v/>
          </cell>
          <cell r="CP16" t="str">
            <v/>
          </cell>
          <cell r="CQ16" t="str">
            <v/>
          </cell>
          <cell r="CR16" t="str">
            <v/>
          </cell>
          <cell r="CS16" t="str">
            <v/>
          </cell>
          <cell r="CT16" t="str">
            <v/>
          </cell>
          <cell r="CU16" t="str">
            <v/>
          </cell>
          <cell r="CV16" t="str">
            <v/>
          </cell>
          <cell r="CW16" t="str">
            <v/>
          </cell>
          <cell r="CX16" t="str">
            <v/>
          </cell>
          <cell r="CY16" t="str">
            <v/>
          </cell>
          <cell r="CZ16" t="str">
            <v/>
          </cell>
          <cell r="DA16" t="str">
            <v/>
          </cell>
          <cell r="DB16" t="str">
            <v/>
          </cell>
        </row>
        <row r="17">
          <cell r="A17" t="str">
            <v/>
          </cell>
          <cell r="D17" t="str">
            <v/>
          </cell>
          <cell r="E17" t="str">
            <v/>
          </cell>
          <cell r="F17" t="str">
            <v/>
          </cell>
          <cell r="G17" t="str">
            <v/>
          </cell>
          <cell r="H17" t="str">
            <v/>
          </cell>
          <cell r="I17" t="str">
            <v/>
          </cell>
          <cell r="J17" t="str">
            <v/>
          </cell>
          <cell r="K17" t="str">
            <v/>
          </cell>
          <cell r="L17" t="str">
            <v/>
          </cell>
          <cell r="M17" t="str">
            <v/>
          </cell>
          <cell r="N17" t="str">
            <v/>
          </cell>
          <cell r="O17" t="str">
            <v/>
          </cell>
          <cell r="P17" t="str">
            <v/>
          </cell>
          <cell r="Q17" t="str">
            <v/>
          </cell>
          <cell r="R17" t="str">
            <v/>
          </cell>
          <cell r="S17" t="str">
            <v/>
          </cell>
          <cell r="T17" t="str">
            <v/>
          </cell>
          <cell r="U17" t="str">
            <v/>
          </cell>
          <cell r="V17" t="str">
            <v/>
          </cell>
          <cell r="W17" t="str">
            <v/>
          </cell>
          <cell r="X17" t="str">
            <v/>
          </cell>
          <cell r="Y17" t="str">
            <v/>
          </cell>
          <cell r="Z17" t="str">
            <v/>
          </cell>
          <cell r="AA17" t="str">
            <v/>
          </cell>
          <cell r="AB17" t="str">
            <v/>
          </cell>
          <cell r="AC17" t="str">
            <v/>
          </cell>
          <cell r="AD17" t="str">
            <v/>
          </cell>
          <cell r="AE17" t="str">
            <v/>
          </cell>
          <cell r="AF17" t="str">
            <v/>
          </cell>
          <cell r="AG17" t="str">
            <v/>
          </cell>
          <cell r="AH17" t="str">
            <v/>
          </cell>
          <cell r="AI17" t="str">
            <v/>
          </cell>
          <cell r="AJ17" t="str">
            <v/>
          </cell>
          <cell r="AK17" t="str">
            <v/>
          </cell>
          <cell r="AL17" t="str">
            <v/>
          </cell>
          <cell r="AM17" t="str">
            <v/>
          </cell>
          <cell r="AN17" t="str">
            <v/>
          </cell>
          <cell r="AO17" t="str">
            <v/>
          </cell>
          <cell r="AP17" t="str">
            <v/>
          </cell>
          <cell r="AQ17" t="str">
            <v/>
          </cell>
          <cell r="AR17" t="str">
            <v/>
          </cell>
          <cell r="AS17" t="str">
            <v/>
          </cell>
          <cell r="AT17" t="str">
            <v/>
          </cell>
          <cell r="AU17" t="str">
            <v/>
          </cell>
          <cell r="AV17" t="str">
            <v/>
          </cell>
          <cell r="AW17" t="str">
            <v/>
          </cell>
          <cell r="AX17" t="str">
            <v/>
          </cell>
          <cell r="AY17" t="str">
            <v/>
          </cell>
          <cell r="AZ17" t="str">
            <v/>
          </cell>
          <cell r="BA17" t="str">
            <v/>
          </cell>
          <cell r="BB17" t="str">
            <v/>
          </cell>
          <cell r="BC17" t="str">
            <v/>
          </cell>
          <cell r="BD17" t="str">
            <v/>
          </cell>
          <cell r="BE17" t="str">
            <v/>
          </cell>
          <cell r="BF17" t="str">
            <v/>
          </cell>
          <cell r="BG17" t="str">
            <v/>
          </cell>
          <cell r="BH17" t="str">
            <v/>
          </cell>
          <cell r="BI17" t="str">
            <v/>
          </cell>
          <cell r="BJ17" t="str">
            <v/>
          </cell>
          <cell r="BK17" t="str">
            <v/>
          </cell>
          <cell r="BL17" t="str">
            <v/>
          </cell>
          <cell r="BM17" t="str">
            <v/>
          </cell>
          <cell r="BN17" t="str">
            <v/>
          </cell>
          <cell r="BO17" t="str">
            <v/>
          </cell>
          <cell r="BP17" t="str">
            <v/>
          </cell>
          <cell r="BQ17" t="str">
            <v/>
          </cell>
          <cell r="BR17" t="str">
            <v/>
          </cell>
          <cell r="BS17" t="str">
            <v/>
          </cell>
          <cell r="BT17" t="str">
            <v/>
          </cell>
          <cell r="BU17" t="str">
            <v/>
          </cell>
          <cell r="BV17" t="str">
            <v/>
          </cell>
          <cell r="BW17" t="str">
            <v/>
          </cell>
          <cell r="BX17" t="str">
            <v/>
          </cell>
          <cell r="BY17" t="str">
            <v/>
          </cell>
          <cell r="BZ17" t="str">
            <v/>
          </cell>
          <cell r="CA17" t="str">
            <v/>
          </cell>
          <cell r="CB17" t="str">
            <v/>
          </cell>
          <cell r="CC17" t="str">
            <v/>
          </cell>
          <cell r="CD17" t="str">
            <v/>
          </cell>
          <cell r="CE17" t="str">
            <v/>
          </cell>
          <cell r="CF17" t="str">
            <v/>
          </cell>
          <cell r="CG17" t="str">
            <v/>
          </cell>
          <cell r="CH17" t="str">
            <v/>
          </cell>
          <cell r="CI17" t="str">
            <v/>
          </cell>
          <cell r="CJ17" t="str">
            <v/>
          </cell>
          <cell r="CK17" t="str">
            <v/>
          </cell>
          <cell r="CL17" t="str">
            <v/>
          </cell>
          <cell r="CM17" t="str">
            <v/>
          </cell>
          <cell r="CN17" t="str">
            <v/>
          </cell>
          <cell r="CO17" t="str">
            <v/>
          </cell>
          <cell r="CP17" t="str">
            <v/>
          </cell>
          <cell r="CQ17" t="str">
            <v/>
          </cell>
          <cell r="CR17" t="str">
            <v/>
          </cell>
          <cell r="CS17" t="str">
            <v/>
          </cell>
          <cell r="CT17" t="str">
            <v/>
          </cell>
          <cell r="CU17" t="str">
            <v/>
          </cell>
          <cell r="CV17" t="str">
            <v/>
          </cell>
          <cell r="CW17" t="str">
            <v/>
          </cell>
          <cell r="CX17" t="str">
            <v/>
          </cell>
          <cell r="CY17" t="str">
            <v/>
          </cell>
          <cell r="CZ17" t="str">
            <v/>
          </cell>
          <cell r="DA17" t="str">
            <v/>
          </cell>
          <cell r="DB17" t="str">
            <v/>
          </cell>
        </row>
        <row r="18">
          <cell r="A18" t="str">
            <v/>
          </cell>
          <cell r="D18" t="str">
            <v/>
          </cell>
          <cell r="E18" t="str">
            <v/>
          </cell>
          <cell r="F18" t="str">
            <v/>
          </cell>
          <cell r="G18" t="str">
            <v/>
          </cell>
          <cell r="H18" t="str">
            <v/>
          </cell>
          <cell r="I18" t="str">
            <v/>
          </cell>
          <cell r="J18" t="str">
            <v/>
          </cell>
          <cell r="K18" t="str">
            <v/>
          </cell>
          <cell r="L18" t="str">
            <v/>
          </cell>
          <cell r="M18" t="str">
            <v/>
          </cell>
          <cell r="N18" t="str">
            <v/>
          </cell>
          <cell r="O18" t="str">
            <v/>
          </cell>
          <cell r="P18" t="str">
            <v/>
          </cell>
          <cell r="Q18" t="str">
            <v/>
          </cell>
          <cell r="R18" t="str">
            <v/>
          </cell>
          <cell r="S18" t="str">
            <v/>
          </cell>
          <cell r="T18" t="str">
            <v/>
          </cell>
          <cell r="U18" t="str">
            <v/>
          </cell>
          <cell r="V18" t="str">
            <v/>
          </cell>
          <cell r="W18" t="str">
            <v/>
          </cell>
          <cell r="X18" t="str">
            <v/>
          </cell>
          <cell r="Y18" t="str">
            <v/>
          </cell>
          <cell r="Z18" t="str">
            <v/>
          </cell>
          <cell r="AA18" t="str">
            <v/>
          </cell>
          <cell r="AB18" t="str">
            <v/>
          </cell>
          <cell r="AC18" t="str">
            <v/>
          </cell>
          <cell r="AD18" t="str">
            <v/>
          </cell>
          <cell r="AE18" t="str">
            <v/>
          </cell>
          <cell r="AF18" t="str">
            <v/>
          </cell>
          <cell r="AG18" t="str">
            <v/>
          </cell>
          <cell r="AH18" t="str">
            <v/>
          </cell>
          <cell r="AI18" t="str">
            <v/>
          </cell>
          <cell r="AJ18" t="str">
            <v/>
          </cell>
          <cell r="AK18" t="str">
            <v/>
          </cell>
          <cell r="AL18" t="str">
            <v/>
          </cell>
          <cell r="AM18" t="str">
            <v/>
          </cell>
          <cell r="AN18" t="str">
            <v/>
          </cell>
          <cell r="AO18" t="str">
            <v/>
          </cell>
          <cell r="AP18" t="str">
            <v/>
          </cell>
          <cell r="AQ18" t="str">
            <v/>
          </cell>
          <cell r="AR18" t="str">
            <v/>
          </cell>
          <cell r="AS18" t="str">
            <v/>
          </cell>
          <cell r="AT18" t="str">
            <v/>
          </cell>
          <cell r="AU18" t="str">
            <v/>
          </cell>
          <cell r="AV18" t="str">
            <v/>
          </cell>
          <cell r="AW18" t="str">
            <v/>
          </cell>
          <cell r="AX18" t="str">
            <v/>
          </cell>
          <cell r="AY18" t="str">
            <v/>
          </cell>
          <cell r="AZ18" t="str">
            <v/>
          </cell>
          <cell r="BA18" t="str">
            <v/>
          </cell>
          <cell r="BB18" t="str">
            <v/>
          </cell>
          <cell r="BC18" t="str">
            <v/>
          </cell>
          <cell r="BD18" t="str">
            <v/>
          </cell>
          <cell r="BE18" t="str">
            <v/>
          </cell>
          <cell r="BF18" t="str">
            <v/>
          </cell>
          <cell r="BG18" t="str">
            <v/>
          </cell>
          <cell r="BH18" t="str">
            <v/>
          </cell>
          <cell r="BI18" t="str">
            <v/>
          </cell>
          <cell r="BJ18" t="str">
            <v/>
          </cell>
          <cell r="BK18" t="str">
            <v/>
          </cell>
          <cell r="BL18" t="str">
            <v/>
          </cell>
          <cell r="BM18" t="str">
            <v/>
          </cell>
          <cell r="BN18" t="str">
            <v/>
          </cell>
          <cell r="BO18" t="str">
            <v/>
          </cell>
          <cell r="BP18" t="str">
            <v/>
          </cell>
          <cell r="BQ18" t="str">
            <v/>
          </cell>
          <cell r="BR18" t="str">
            <v/>
          </cell>
          <cell r="BS18" t="str">
            <v/>
          </cell>
          <cell r="BT18" t="str">
            <v/>
          </cell>
          <cell r="BU18" t="str">
            <v/>
          </cell>
          <cell r="BV18" t="str">
            <v/>
          </cell>
          <cell r="BW18" t="str">
            <v/>
          </cell>
          <cell r="BX18" t="str">
            <v/>
          </cell>
          <cell r="BY18" t="str">
            <v/>
          </cell>
          <cell r="BZ18" t="str">
            <v/>
          </cell>
          <cell r="CA18" t="str">
            <v/>
          </cell>
          <cell r="CB18" t="str">
            <v/>
          </cell>
          <cell r="CC18" t="str">
            <v/>
          </cell>
          <cell r="CD18" t="str">
            <v/>
          </cell>
          <cell r="CE18" t="str">
            <v/>
          </cell>
          <cell r="CF18" t="str">
            <v/>
          </cell>
          <cell r="CG18" t="str">
            <v/>
          </cell>
          <cell r="CH18" t="str">
            <v/>
          </cell>
          <cell r="CI18" t="str">
            <v/>
          </cell>
          <cell r="CJ18" t="str">
            <v/>
          </cell>
          <cell r="CK18" t="str">
            <v/>
          </cell>
          <cell r="CL18" t="str">
            <v/>
          </cell>
          <cell r="CM18" t="str">
            <v/>
          </cell>
          <cell r="CN18" t="str">
            <v/>
          </cell>
          <cell r="CO18" t="str">
            <v/>
          </cell>
          <cell r="CP18" t="str">
            <v/>
          </cell>
          <cell r="CQ18" t="str">
            <v/>
          </cell>
          <cell r="CR18" t="str">
            <v/>
          </cell>
          <cell r="CS18" t="str">
            <v/>
          </cell>
          <cell r="CT18" t="str">
            <v/>
          </cell>
          <cell r="CU18" t="str">
            <v/>
          </cell>
          <cell r="CV18" t="str">
            <v/>
          </cell>
          <cell r="CW18" t="str">
            <v/>
          </cell>
          <cell r="CX18" t="str">
            <v/>
          </cell>
          <cell r="CY18" t="str">
            <v/>
          </cell>
          <cell r="CZ18" t="str">
            <v/>
          </cell>
          <cell r="DA18" t="str">
            <v/>
          </cell>
          <cell r="DB18" t="str">
            <v/>
          </cell>
        </row>
        <row r="19">
          <cell r="A19" t="str">
            <v/>
          </cell>
          <cell r="D19" t="str">
            <v/>
          </cell>
          <cell r="E19" t="str">
            <v/>
          </cell>
          <cell r="F19" t="str">
            <v/>
          </cell>
          <cell r="G19" t="str">
            <v/>
          </cell>
          <cell r="H19" t="str">
            <v/>
          </cell>
          <cell r="I19" t="str">
            <v/>
          </cell>
          <cell r="J19" t="str">
            <v/>
          </cell>
          <cell r="K19" t="str">
            <v/>
          </cell>
          <cell r="L19" t="str">
            <v/>
          </cell>
          <cell r="M19" t="str">
            <v/>
          </cell>
          <cell r="N19" t="str">
            <v/>
          </cell>
          <cell r="O19" t="str">
            <v/>
          </cell>
          <cell r="P19" t="str">
            <v/>
          </cell>
          <cell r="Q19" t="str">
            <v/>
          </cell>
          <cell r="R19" t="str">
            <v/>
          </cell>
          <cell r="S19" t="str">
            <v/>
          </cell>
          <cell r="T19" t="str">
            <v/>
          </cell>
          <cell r="U19" t="str">
            <v/>
          </cell>
          <cell r="V19" t="str">
            <v/>
          </cell>
          <cell r="W19" t="str">
            <v/>
          </cell>
          <cell r="X19" t="str">
            <v/>
          </cell>
          <cell r="Y19" t="str">
            <v/>
          </cell>
          <cell r="Z19" t="str">
            <v/>
          </cell>
          <cell r="AA19" t="str">
            <v/>
          </cell>
          <cell r="AB19" t="str">
            <v/>
          </cell>
          <cell r="AC19" t="str">
            <v/>
          </cell>
          <cell r="AD19" t="str">
            <v/>
          </cell>
          <cell r="AE19" t="str">
            <v/>
          </cell>
          <cell r="AF19" t="str">
            <v/>
          </cell>
          <cell r="AG19" t="str">
            <v/>
          </cell>
          <cell r="AH19" t="str">
            <v/>
          </cell>
          <cell r="AI19" t="str">
            <v/>
          </cell>
          <cell r="AJ19" t="str">
            <v/>
          </cell>
          <cell r="AK19" t="str">
            <v/>
          </cell>
          <cell r="AL19" t="str">
            <v/>
          </cell>
          <cell r="AM19" t="str">
            <v/>
          </cell>
          <cell r="AN19" t="str">
            <v/>
          </cell>
          <cell r="AO19" t="str">
            <v/>
          </cell>
          <cell r="AP19" t="str">
            <v/>
          </cell>
          <cell r="AQ19" t="str">
            <v/>
          </cell>
          <cell r="AR19" t="str">
            <v/>
          </cell>
          <cell r="AS19" t="str">
            <v/>
          </cell>
          <cell r="AT19" t="str">
            <v/>
          </cell>
          <cell r="AU19" t="str">
            <v/>
          </cell>
          <cell r="AV19" t="str">
            <v/>
          </cell>
          <cell r="AW19" t="str">
            <v/>
          </cell>
          <cell r="AX19" t="str">
            <v/>
          </cell>
          <cell r="AY19" t="str">
            <v/>
          </cell>
          <cell r="AZ19" t="str">
            <v/>
          </cell>
          <cell r="BA19" t="str">
            <v/>
          </cell>
          <cell r="BB19" t="str">
            <v/>
          </cell>
          <cell r="BC19" t="str">
            <v/>
          </cell>
          <cell r="BD19" t="str">
            <v/>
          </cell>
          <cell r="BE19" t="str">
            <v/>
          </cell>
          <cell r="BF19" t="str">
            <v/>
          </cell>
          <cell r="BG19" t="str">
            <v/>
          </cell>
          <cell r="BH19" t="str">
            <v/>
          </cell>
          <cell r="BI19" t="str">
            <v/>
          </cell>
          <cell r="BJ19" t="str">
            <v/>
          </cell>
          <cell r="BK19" t="str">
            <v/>
          </cell>
          <cell r="BL19" t="str">
            <v/>
          </cell>
          <cell r="BM19" t="str">
            <v/>
          </cell>
          <cell r="BN19" t="str">
            <v/>
          </cell>
          <cell r="BO19" t="str">
            <v/>
          </cell>
          <cell r="BP19" t="str">
            <v/>
          </cell>
          <cell r="BQ19" t="str">
            <v/>
          </cell>
          <cell r="BR19" t="str">
            <v/>
          </cell>
          <cell r="BS19" t="str">
            <v/>
          </cell>
          <cell r="BT19" t="str">
            <v/>
          </cell>
          <cell r="BU19" t="str">
            <v/>
          </cell>
          <cell r="BV19" t="str">
            <v/>
          </cell>
          <cell r="BW19" t="str">
            <v/>
          </cell>
          <cell r="BX19" t="str">
            <v/>
          </cell>
          <cell r="BY19" t="str">
            <v/>
          </cell>
          <cell r="BZ19" t="str">
            <v/>
          </cell>
          <cell r="CA19" t="str">
            <v/>
          </cell>
          <cell r="CB19" t="str">
            <v/>
          </cell>
          <cell r="CC19" t="str">
            <v/>
          </cell>
          <cell r="CD19" t="str">
            <v/>
          </cell>
          <cell r="CE19" t="str">
            <v/>
          </cell>
          <cell r="CF19" t="str">
            <v/>
          </cell>
          <cell r="CG19" t="str">
            <v/>
          </cell>
          <cell r="CH19" t="str">
            <v/>
          </cell>
          <cell r="CI19" t="str">
            <v/>
          </cell>
          <cell r="CJ19" t="str">
            <v/>
          </cell>
          <cell r="CK19" t="str">
            <v/>
          </cell>
          <cell r="CL19" t="str">
            <v/>
          </cell>
          <cell r="CM19" t="str">
            <v/>
          </cell>
          <cell r="CN19" t="str">
            <v/>
          </cell>
          <cell r="CO19" t="str">
            <v/>
          </cell>
          <cell r="CP19" t="str">
            <v/>
          </cell>
          <cell r="CQ19" t="str">
            <v/>
          </cell>
          <cell r="CR19" t="str">
            <v/>
          </cell>
          <cell r="CS19" t="str">
            <v/>
          </cell>
          <cell r="CT19" t="str">
            <v/>
          </cell>
          <cell r="CU19" t="str">
            <v/>
          </cell>
          <cell r="CV19" t="str">
            <v/>
          </cell>
          <cell r="CW19" t="str">
            <v/>
          </cell>
          <cell r="CX19" t="str">
            <v/>
          </cell>
          <cell r="CY19" t="str">
            <v/>
          </cell>
          <cell r="CZ19" t="str">
            <v/>
          </cell>
          <cell r="DA19" t="str">
            <v/>
          </cell>
          <cell r="DB19" t="str">
            <v/>
          </cell>
        </row>
        <row r="20">
          <cell r="A20" t="str">
            <v/>
          </cell>
          <cell r="D20" t="str">
            <v/>
          </cell>
          <cell r="E20" t="str">
            <v/>
          </cell>
          <cell r="F20" t="str">
            <v/>
          </cell>
          <cell r="G20" t="str">
            <v/>
          </cell>
          <cell r="H20" t="str">
            <v/>
          </cell>
          <cell r="I20" t="str">
            <v/>
          </cell>
          <cell r="J20" t="str">
            <v/>
          </cell>
          <cell r="K20" t="str">
            <v/>
          </cell>
          <cell r="L20" t="str">
            <v/>
          </cell>
          <cell r="M20" t="str">
            <v/>
          </cell>
          <cell r="N20" t="str">
            <v/>
          </cell>
          <cell r="O20" t="str">
            <v/>
          </cell>
          <cell r="P20" t="str">
            <v/>
          </cell>
          <cell r="Q20" t="str">
            <v/>
          </cell>
          <cell r="R20" t="str">
            <v/>
          </cell>
          <cell r="S20" t="str">
            <v/>
          </cell>
          <cell r="T20" t="str">
            <v/>
          </cell>
          <cell r="U20" t="str">
            <v/>
          </cell>
          <cell r="V20" t="str">
            <v/>
          </cell>
          <cell r="W20" t="str">
            <v/>
          </cell>
          <cell r="X20" t="str">
            <v/>
          </cell>
          <cell r="Y20" t="str">
            <v/>
          </cell>
          <cell r="Z20" t="str">
            <v/>
          </cell>
          <cell r="AA20" t="str">
            <v/>
          </cell>
          <cell r="AB20" t="str">
            <v/>
          </cell>
          <cell r="AC20" t="str">
            <v/>
          </cell>
          <cell r="AD20" t="str">
            <v/>
          </cell>
          <cell r="AE20" t="str">
            <v/>
          </cell>
          <cell r="AF20" t="str">
            <v/>
          </cell>
          <cell r="AG20" t="str">
            <v/>
          </cell>
          <cell r="AH20" t="str">
            <v/>
          </cell>
          <cell r="AI20" t="str">
            <v/>
          </cell>
          <cell r="AJ20" t="str">
            <v/>
          </cell>
          <cell r="AK20" t="str">
            <v/>
          </cell>
          <cell r="AL20" t="str">
            <v/>
          </cell>
          <cell r="AM20" t="str">
            <v/>
          </cell>
          <cell r="AN20" t="str">
            <v/>
          </cell>
          <cell r="AO20" t="str">
            <v/>
          </cell>
          <cell r="AP20" t="str">
            <v/>
          </cell>
          <cell r="AQ20" t="str">
            <v/>
          </cell>
          <cell r="AR20" t="str">
            <v/>
          </cell>
          <cell r="AS20" t="str">
            <v/>
          </cell>
          <cell r="AT20" t="str">
            <v/>
          </cell>
          <cell r="AU20" t="str">
            <v/>
          </cell>
          <cell r="AV20" t="str">
            <v/>
          </cell>
          <cell r="AW20" t="str">
            <v/>
          </cell>
          <cell r="AX20" t="str">
            <v/>
          </cell>
          <cell r="AY20" t="str">
            <v/>
          </cell>
          <cell r="AZ20" t="str">
            <v/>
          </cell>
          <cell r="BA20" t="str">
            <v/>
          </cell>
          <cell r="BB20" t="str">
            <v/>
          </cell>
          <cell r="BC20" t="str">
            <v/>
          </cell>
          <cell r="BD20" t="str">
            <v/>
          </cell>
          <cell r="BE20" t="str">
            <v/>
          </cell>
          <cell r="BF20" t="str">
            <v/>
          </cell>
          <cell r="BG20" t="str">
            <v/>
          </cell>
          <cell r="BH20" t="str">
            <v/>
          </cell>
          <cell r="BI20" t="str">
            <v/>
          </cell>
          <cell r="BJ20" t="str">
            <v/>
          </cell>
          <cell r="BK20" t="str">
            <v/>
          </cell>
          <cell r="BL20" t="str">
            <v/>
          </cell>
          <cell r="BM20" t="str">
            <v/>
          </cell>
          <cell r="BN20" t="str">
            <v/>
          </cell>
          <cell r="BO20" t="str">
            <v/>
          </cell>
          <cell r="BP20" t="str">
            <v/>
          </cell>
          <cell r="BQ20" t="str">
            <v/>
          </cell>
          <cell r="BR20" t="str">
            <v/>
          </cell>
          <cell r="BS20" t="str">
            <v/>
          </cell>
          <cell r="BT20" t="str">
            <v/>
          </cell>
          <cell r="BU20" t="str">
            <v/>
          </cell>
          <cell r="BV20" t="str">
            <v/>
          </cell>
          <cell r="BW20" t="str">
            <v/>
          </cell>
          <cell r="BX20" t="str">
            <v/>
          </cell>
          <cell r="BY20" t="str">
            <v/>
          </cell>
          <cell r="BZ20" t="str">
            <v/>
          </cell>
          <cell r="CA20" t="str">
            <v/>
          </cell>
          <cell r="CB20" t="str">
            <v/>
          </cell>
          <cell r="CC20" t="str">
            <v/>
          </cell>
          <cell r="CD20" t="str">
            <v/>
          </cell>
          <cell r="CE20" t="str">
            <v/>
          </cell>
          <cell r="CF20" t="str">
            <v/>
          </cell>
          <cell r="CG20" t="str">
            <v/>
          </cell>
          <cell r="CH20" t="str">
            <v/>
          </cell>
          <cell r="CI20" t="str">
            <v/>
          </cell>
          <cell r="CJ20" t="str">
            <v/>
          </cell>
          <cell r="CK20" t="str">
            <v/>
          </cell>
          <cell r="CL20" t="str">
            <v/>
          </cell>
          <cell r="CM20" t="str">
            <v/>
          </cell>
          <cell r="CN20" t="str">
            <v/>
          </cell>
          <cell r="CO20" t="str">
            <v/>
          </cell>
          <cell r="CP20" t="str">
            <v/>
          </cell>
          <cell r="CQ20" t="str">
            <v/>
          </cell>
          <cell r="CR20" t="str">
            <v/>
          </cell>
          <cell r="CS20" t="str">
            <v/>
          </cell>
          <cell r="CT20" t="str">
            <v/>
          </cell>
          <cell r="CU20" t="str">
            <v/>
          </cell>
          <cell r="CV20" t="str">
            <v/>
          </cell>
          <cell r="CW20" t="str">
            <v/>
          </cell>
          <cell r="CX20" t="str">
            <v/>
          </cell>
          <cell r="CY20" t="str">
            <v/>
          </cell>
          <cell r="CZ20" t="str">
            <v/>
          </cell>
          <cell r="DA20" t="str">
            <v/>
          </cell>
          <cell r="DB20" t="str">
            <v/>
          </cell>
        </row>
        <row r="21">
          <cell r="A21" t="str">
            <v/>
          </cell>
          <cell r="D21" t="str">
            <v/>
          </cell>
          <cell r="E21" t="str">
            <v/>
          </cell>
          <cell r="F21" t="str">
            <v/>
          </cell>
          <cell r="G21" t="str">
            <v/>
          </cell>
          <cell r="H21" t="str">
            <v/>
          </cell>
          <cell r="I21" t="str">
            <v/>
          </cell>
          <cell r="J21" t="str">
            <v/>
          </cell>
          <cell r="K21" t="str">
            <v/>
          </cell>
          <cell r="L21" t="str">
            <v/>
          </cell>
          <cell r="M21" t="str">
            <v/>
          </cell>
          <cell r="N21" t="str">
            <v/>
          </cell>
          <cell r="O21" t="str">
            <v/>
          </cell>
          <cell r="P21" t="str">
            <v/>
          </cell>
          <cell r="Q21" t="str">
            <v/>
          </cell>
          <cell r="R21" t="str">
            <v/>
          </cell>
          <cell r="S21" t="str">
            <v/>
          </cell>
          <cell r="T21" t="str">
            <v/>
          </cell>
          <cell r="U21" t="str">
            <v/>
          </cell>
          <cell r="V21" t="str">
            <v/>
          </cell>
          <cell r="W21" t="str">
            <v/>
          </cell>
          <cell r="X21" t="str">
            <v/>
          </cell>
          <cell r="Y21" t="str">
            <v/>
          </cell>
          <cell r="Z21" t="str">
            <v/>
          </cell>
          <cell r="AA21" t="str">
            <v/>
          </cell>
          <cell r="AB21" t="str">
            <v/>
          </cell>
          <cell r="AC21" t="str">
            <v/>
          </cell>
          <cell r="AD21" t="str">
            <v/>
          </cell>
          <cell r="AE21" t="str">
            <v/>
          </cell>
          <cell r="AF21" t="str">
            <v/>
          </cell>
          <cell r="AG21" t="str">
            <v/>
          </cell>
          <cell r="AH21" t="str">
            <v/>
          </cell>
          <cell r="AI21" t="str">
            <v/>
          </cell>
          <cell r="AJ21" t="str">
            <v/>
          </cell>
          <cell r="AK21" t="str">
            <v/>
          </cell>
          <cell r="AL21" t="str">
            <v/>
          </cell>
          <cell r="AM21" t="str">
            <v/>
          </cell>
          <cell r="AN21" t="str">
            <v/>
          </cell>
          <cell r="AO21" t="str">
            <v/>
          </cell>
          <cell r="AP21" t="str">
            <v/>
          </cell>
          <cell r="AQ21" t="str">
            <v/>
          </cell>
          <cell r="AR21" t="str">
            <v/>
          </cell>
          <cell r="AS21" t="str">
            <v/>
          </cell>
          <cell r="AT21" t="str">
            <v/>
          </cell>
          <cell r="AU21" t="str">
            <v/>
          </cell>
          <cell r="AV21" t="str">
            <v/>
          </cell>
          <cell r="AW21" t="str">
            <v/>
          </cell>
          <cell r="AX21" t="str">
            <v/>
          </cell>
          <cell r="AY21" t="str">
            <v/>
          </cell>
          <cell r="AZ21" t="str">
            <v/>
          </cell>
          <cell r="BA21" t="str">
            <v/>
          </cell>
          <cell r="BB21" t="str">
            <v/>
          </cell>
          <cell r="BC21" t="str">
            <v/>
          </cell>
          <cell r="BD21" t="str">
            <v/>
          </cell>
          <cell r="BE21" t="str">
            <v/>
          </cell>
          <cell r="BF21" t="str">
            <v/>
          </cell>
          <cell r="BG21" t="str">
            <v/>
          </cell>
          <cell r="BH21" t="str">
            <v/>
          </cell>
          <cell r="BI21" t="str">
            <v/>
          </cell>
          <cell r="BJ21" t="str">
            <v/>
          </cell>
          <cell r="BK21" t="str">
            <v/>
          </cell>
          <cell r="BL21" t="str">
            <v/>
          </cell>
          <cell r="BM21" t="str">
            <v/>
          </cell>
          <cell r="BN21" t="str">
            <v/>
          </cell>
          <cell r="BO21" t="str">
            <v/>
          </cell>
          <cell r="BP21" t="str">
            <v/>
          </cell>
          <cell r="BQ21" t="str">
            <v/>
          </cell>
          <cell r="BR21" t="str">
            <v/>
          </cell>
          <cell r="BS21" t="str">
            <v/>
          </cell>
          <cell r="BT21" t="str">
            <v/>
          </cell>
          <cell r="BU21" t="str">
            <v/>
          </cell>
          <cell r="BV21" t="str">
            <v/>
          </cell>
          <cell r="BW21" t="str">
            <v/>
          </cell>
          <cell r="BX21" t="str">
            <v/>
          </cell>
          <cell r="BY21" t="str">
            <v/>
          </cell>
          <cell r="BZ21" t="str">
            <v/>
          </cell>
          <cell r="CA21" t="str">
            <v/>
          </cell>
          <cell r="CB21" t="str">
            <v/>
          </cell>
          <cell r="CC21" t="str">
            <v/>
          </cell>
          <cell r="CD21" t="str">
            <v/>
          </cell>
          <cell r="CE21" t="str">
            <v/>
          </cell>
          <cell r="CF21" t="str">
            <v/>
          </cell>
          <cell r="CG21" t="str">
            <v/>
          </cell>
          <cell r="CH21" t="str">
            <v/>
          </cell>
          <cell r="CI21" t="str">
            <v/>
          </cell>
          <cell r="CJ21" t="str">
            <v/>
          </cell>
          <cell r="CK21" t="str">
            <v/>
          </cell>
          <cell r="CL21" t="str">
            <v/>
          </cell>
          <cell r="CM21" t="str">
            <v/>
          </cell>
          <cell r="CN21" t="str">
            <v/>
          </cell>
          <cell r="CO21" t="str">
            <v/>
          </cell>
          <cell r="CP21" t="str">
            <v/>
          </cell>
          <cell r="CQ21" t="str">
            <v/>
          </cell>
          <cell r="CR21" t="str">
            <v/>
          </cell>
          <cell r="CS21" t="str">
            <v/>
          </cell>
          <cell r="CT21" t="str">
            <v/>
          </cell>
          <cell r="CU21" t="str">
            <v/>
          </cell>
          <cell r="CV21" t="str">
            <v/>
          </cell>
          <cell r="CW21" t="str">
            <v/>
          </cell>
          <cell r="CX21" t="str">
            <v/>
          </cell>
          <cell r="CY21" t="str">
            <v/>
          </cell>
          <cell r="CZ21" t="str">
            <v/>
          </cell>
          <cell r="DA21" t="str">
            <v/>
          </cell>
          <cell r="DB21" t="str">
            <v/>
          </cell>
        </row>
        <row r="22">
          <cell r="A22" t="str">
            <v/>
          </cell>
          <cell r="D22" t="str">
            <v/>
          </cell>
          <cell r="E22" t="str">
            <v/>
          </cell>
          <cell r="F22" t="str">
            <v/>
          </cell>
          <cell r="G22" t="str">
            <v/>
          </cell>
          <cell r="H22" t="str">
            <v/>
          </cell>
          <cell r="I22" t="str">
            <v/>
          </cell>
          <cell r="J22" t="str">
            <v/>
          </cell>
          <cell r="K22" t="str">
            <v/>
          </cell>
          <cell r="L22" t="str">
            <v/>
          </cell>
          <cell r="M22" t="str">
            <v/>
          </cell>
          <cell r="N22" t="str">
            <v/>
          </cell>
          <cell r="O22" t="str">
            <v/>
          </cell>
          <cell r="P22" t="str">
            <v/>
          </cell>
          <cell r="Q22" t="str">
            <v/>
          </cell>
          <cell r="R22" t="str">
            <v/>
          </cell>
          <cell r="S22" t="str">
            <v/>
          </cell>
          <cell r="T22" t="str">
            <v/>
          </cell>
          <cell r="U22" t="str">
            <v/>
          </cell>
          <cell r="V22" t="str">
            <v/>
          </cell>
          <cell r="W22" t="str">
            <v/>
          </cell>
          <cell r="X22" t="str">
            <v/>
          </cell>
          <cell r="Y22" t="str">
            <v/>
          </cell>
          <cell r="Z22" t="str">
            <v/>
          </cell>
          <cell r="AA22" t="str">
            <v/>
          </cell>
          <cell r="AB22" t="str">
            <v/>
          </cell>
          <cell r="AC22" t="str">
            <v/>
          </cell>
          <cell r="AD22" t="str">
            <v/>
          </cell>
          <cell r="AE22" t="str">
            <v/>
          </cell>
          <cell r="AF22" t="str">
            <v/>
          </cell>
          <cell r="AG22" t="str">
            <v/>
          </cell>
          <cell r="AH22" t="str">
            <v/>
          </cell>
          <cell r="AI22" t="str">
            <v/>
          </cell>
          <cell r="AJ22" t="str">
            <v/>
          </cell>
          <cell r="AK22" t="str">
            <v/>
          </cell>
          <cell r="AL22" t="str">
            <v/>
          </cell>
          <cell r="AM22" t="str">
            <v/>
          </cell>
          <cell r="AN22" t="str">
            <v/>
          </cell>
          <cell r="AO22" t="str">
            <v/>
          </cell>
          <cell r="AP22" t="str">
            <v/>
          </cell>
          <cell r="AQ22" t="str">
            <v/>
          </cell>
          <cell r="AR22" t="str">
            <v/>
          </cell>
          <cell r="AS22" t="str">
            <v/>
          </cell>
          <cell r="AT22" t="str">
            <v/>
          </cell>
          <cell r="AU22" t="str">
            <v/>
          </cell>
          <cell r="AV22" t="str">
            <v/>
          </cell>
          <cell r="AW22" t="str">
            <v/>
          </cell>
          <cell r="AX22" t="str">
            <v/>
          </cell>
          <cell r="AY22" t="str">
            <v/>
          </cell>
          <cell r="AZ22" t="str">
            <v/>
          </cell>
          <cell r="BA22" t="str">
            <v/>
          </cell>
          <cell r="BB22" t="str">
            <v/>
          </cell>
          <cell r="BC22" t="str">
            <v/>
          </cell>
          <cell r="BD22" t="str">
            <v/>
          </cell>
          <cell r="BE22" t="str">
            <v/>
          </cell>
          <cell r="BF22" t="str">
            <v/>
          </cell>
          <cell r="BG22" t="str">
            <v/>
          </cell>
          <cell r="BH22" t="str">
            <v/>
          </cell>
          <cell r="BI22" t="str">
            <v/>
          </cell>
          <cell r="BJ22" t="str">
            <v/>
          </cell>
          <cell r="BK22" t="str">
            <v/>
          </cell>
          <cell r="BL22" t="str">
            <v/>
          </cell>
          <cell r="BM22" t="str">
            <v/>
          </cell>
          <cell r="BN22" t="str">
            <v/>
          </cell>
          <cell r="BO22" t="str">
            <v/>
          </cell>
          <cell r="BP22" t="str">
            <v/>
          </cell>
          <cell r="BQ22" t="str">
            <v/>
          </cell>
          <cell r="BR22" t="str">
            <v/>
          </cell>
          <cell r="BS22" t="str">
            <v/>
          </cell>
          <cell r="BT22" t="str">
            <v/>
          </cell>
          <cell r="BU22" t="str">
            <v/>
          </cell>
          <cell r="BV22" t="str">
            <v/>
          </cell>
          <cell r="BW22" t="str">
            <v/>
          </cell>
          <cell r="BX22" t="str">
            <v/>
          </cell>
          <cell r="BY22" t="str">
            <v/>
          </cell>
          <cell r="BZ22" t="str">
            <v/>
          </cell>
          <cell r="CA22" t="str">
            <v/>
          </cell>
          <cell r="CB22" t="str">
            <v/>
          </cell>
          <cell r="CC22" t="str">
            <v/>
          </cell>
          <cell r="CD22" t="str">
            <v/>
          </cell>
          <cell r="CE22" t="str">
            <v/>
          </cell>
          <cell r="CF22" t="str">
            <v/>
          </cell>
          <cell r="CG22" t="str">
            <v/>
          </cell>
          <cell r="CH22" t="str">
            <v/>
          </cell>
          <cell r="CI22" t="str">
            <v/>
          </cell>
          <cell r="CJ22" t="str">
            <v/>
          </cell>
          <cell r="CK22" t="str">
            <v/>
          </cell>
          <cell r="CL22" t="str">
            <v/>
          </cell>
          <cell r="CM22" t="str">
            <v/>
          </cell>
          <cell r="CN22" t="str">
            <v/>
          </cell>
          <cell r="CO22" t="str">
            <v/>
          </cell>
          <cell r="CP22" t="str">
            <v/>
          </cell>
          <cell r="CQ22" t="str">
            <v/>
          </cell>
          <cell r="CR22" t="str">
            <v/>
          </cell>
          <cell r="CS22" t="str">
            <v/>
          </cell>
          <cell r="CT22" t="str">
            <v/>
          </cell>
          <cell r="CU22" t="str">
            <v/>
          </cell>
          <cell r="CV22" t="str">
            <v/>
          </cell>
          <cell r="CW22" t="str">
            <v/>
          </cell>
          <cell r="CX22" t="str">
            <v/>
          </cell>
          <cell r="CY22" t="str">
            <v/>
          </cell>
          <cell r="CZ22" t="str">
            <v/>
          </cell>
          <cell r="DA22" t="str">
            <v/>
          </cell>
          <cell r="DB22" t="str">
            <v/>
          </cell>
        </row>
        <row r="23">
          <cell r="A23" t="str">
            <v/>
          </cell>
          <cell r="D23" t="str">
            <v/>
          </cell>
          <cell r="E23" t="str">
            <v/>
          </cell>
          <cell r="F23" t="str">
            <v/>
          </cell>
          <cell r="G23" t="str">
            <v/>
          </cell>
          <cell r="H23" t="str">
            <v/>
          </cell>
          <cell r="I23" t="str">
            <v/>
          </cell>
          <cell r="J23" t="str">
            <v/>
          </cell>
          <cell r="K23" t="str">
            <v/>
          </cell>
          <cell r="L23" t="str">
            <v/>
          </cell>
          <cell r="M23" t="str">
            <v/>
          </cell>
          <cell r="N23" t="str">
            <v/>
          </cell>
          <cell r="O23" t="str">
            <v/>
          </cell>
          <cell r="P23" t="str">
            <v/>
          </cell>
          <cell r="Q23" t="str">
            <v/>
          </cell>
          <cell r="R23" t="str">
            <v/>
          </cell>
          <cell r="S23" t="str">
            <v/>
          </cell>
          <cell r="T23" t="str">
            <v/>
          </cell>
          <cell r="U23" t="str">
            <v/>
          </cell>
          <cell r="V23" t="str">
            <v/>
          </cell>
          <cell r="W23" t="str">
            <v/>
          </cell>
          <cell r="X23" t="str">
            <v/>
          </cell>
          <cell r="Y23" t="str">
            <v/>
          </cell>
          <cell r="Z23" t="str">
            <v/>
          </cell>
          <cell r="AA23" t="str">
            <v/>
          </cell>
          <cell r="AB23" t="str">
            <v/>
          </cell>
          <cell r="AC23" t="str">
            <v/>
          </cell>
          <cell r="AD23" t="str">
            <v/>
          </cell>
          <cell r="AE23" t="str">
            <v/>
          </cell>
          <cell r="AF23" t="str">
            <v/>
          </cell>
          <cell r="AG23" t="str">
            <v/>
          </cell>
          <cell r="AH23" t="str">
            <v/>
          </cell>
          <cell r="AI23" t="str">
            <v/>
          </cell>
          <cell r="AJ23" t="str">
            <v/>
          </cell>
          <cell r="AK23" t="str">
            <v/>
          </cell>
          <cell r="AL23" t="str">
            <v/>
          </cell>
          <cell r="AM23" t="str">
            <v/>
          </cell>
          <cell r="AN23" t="str">
            <v/>
          </cell>
          <cell r="AO23" t="str">
            <v/>
          </cell>
          <cell r="AP23" t="str">
            <v/>
          </cell>
          <cell r="AQ23" t="str">
            <v/>
          </cell>
          <cell r="AR23" t="str">
            <v/>
          </cell>
          <cell r="AS23" t="str">
            <v/>
          </cell>
          <cell r="AT23" t="str">
            <v/>
          </cell>
          <cell r="AU23" t="str">
            <v/>
          </cell>
          <cell r="AV23" t="str">
            <v/>
          </cell>
          <cell r="AW23" t="str">
            <v/>
          </cell>
          <cell r="AX23" t="str">
            <v/>
          </cell>
          <cell r="AY23" t="str">
            <v/>
          </cell>
          <cell r="AZ23" t="str">
            <v/>
          </cell>
          <cell r="BA23" t="str">
            <v/>
          </cell>
          <cell r="BB23" t="str">
            <v/>
          </cell>
          <cell r="BC23" t="str">
            <v/>
          </cell>
          <cell r="BD23" t="str">
            <v/>
          </cell>
          <cell r="BE23" t="str">
            <v/>
          </cell>
          <cell r="BF23" t="str">
            <v/>
          </cell>
          <cell r="BG23" t="str">
            <v/>
          </cell>
          <cell r="BH23" t="str">
            <v/>
          </cell>
          <cell r="BI23" t="str">
            <v/>
          </cell>
          <cell r="BJ23" t="str">
            <v/>
          </cell>
          <cell r="BK23" t="str">
            <v/>
          </cell>
          <cell r="BL23" t="str">
            <v/>
          </cell>
          <cell r="BM23" t="str">
            <v/>
          </cell>
          <cell r="BN23" t="str">
            <v/>
          </cell>
          <cell r="BO23" t="str">
            <v/>
          </cell>
          <cell r="BP23" t="str">
            <v/>
          </cell>
          <cell r="BQ23" t="str">
            <v/>
          </cell>
          <cell r="BR23" t="str">
            <v/>
          </cell>
          <cell r="BS23" t="str">
            <v/>
          </cell>
          <cell r="BT23" t="str">
            <v/>
          </cell>
          <cell r="BU23" t="str">
            <v/>
          </cell>
          <cell r="BV23" t="str">
            <v/>
          </cell>
          <cell r="BW23" t="str">
            <v/>
          </cell>
          <cell r="BX23" t="str">
            <v/>
          </cell>
          <cell r="BY23" t="str">
            <v/>
          </cell>
          <cell r="BZ23" t="str">
            <v/>
          </cell>
          <cell r="CA23" t="str">
            <v/>
          </cell>
          <cell r="CB23" t="str">
            <v/>
          </cell>
          <cell r="CC23" t="str">
            <v/>
          </cell>
          <cell r="CD23" t="str">
            <v/>
          </cell>
          <cell r="CE23" t="str">
            <v/>
          </cell>
          <cell r="CF23" t="str">
            <v/>
          </cell>
          <cell r="CG23" t="str">
            <v/>
          </cell>
          <cell r="CH23" t="str">
            <v/>
          </cell>
          <cell r="CI23" t="str">
            <v/>
          </cell>
          <cell r="CJ23" t="str">
            <v/>
          </cell>
          <cell r="CK23" t="str">
            <v/>
          </cell>
          <cell r="CL23" t="str">
            <v/>
          </cell>
          <cell r="CM23" t="str">
            <v/>
          </cell>
          <cell r="CN23" t="str">
            <v/>
          </cell>
          <cell r="CO23" t="str">
            <v/>
          </cell>
          <cell r="CP23" t="str">
            <v/>
          </cell>
          <cell r="CQ23" t="str">
            <v/>
          </cell>
          <cell r="CR23" t="str">
            <v/>
          </cell>
          <cell r="CS23" t="str">
            <v/>
          </cell>
          <cell r="CT23" t="str">
            <v/>
          </cell>
          <cell r="CU23" t="str">
            <v/>
          </cell>
          <cell r="CV23" t="str">
            <v/>
          </cell>
          <cell r="CW23" t="str">
            <v/>
          </cell>
          <cell r="CX23" t="str">
            <v/>
          </cell>
          <cell r="CY23" t="str">
            <v/>
          </cell>
          <cell r="CZ23" t="str">
            <v/>
          </cell>
          <cell r="DA23" t="str">
            <v/>
          </cell>
          <cell r="DB23" t="str">
            <v/>
          </cell>
        </row>
        <row r="24">
          <cell r="A24" t="str">
            <v/>
          </cell>
          <cell r="D24" t="str">
            <v/>
          </cell>
          <cell r="E24" t="str">
            <v/>
          </cell>
          <cell r="F24" t="str">
            <v/>
          </cell>
          <cell r="G24" t="str">
            <v/>
          </cell>
          <cell r="H24" t="str">
            <v/>
          </cell>
          <cell r="I24" t="str">
            <v/>
          </cell>
          <cell r="J24" t="str">
            <v/>
          </cell>
          <cell r="K24" t="str">
            <v/>
          </cell>
          <cell r="L24" t="str">
            <v/>
          </cell>
          <cell r="M24" t="str">
            <v/>
          </cell>
          <cell r="N24" t="str">
            <v/>
          </cell>
          <cell r="O24" t="str">
            <v/>
          </cell>
          <cell r="P24" t="str">
            <v/>
          </cell>
          <cell r="Q24" t="str">
            <v/>
          </cell>
          <cell r="R24" t="str">
            <v/>
          </cell>
          <cell r="S24" t="str">
            <v/>
          </cell>
          <cell r="T24" t="str">
            <v/>
          </cell>
          <cell r="U24" t="str">
            <v/>
          </cell>
          <cell r="V24" t="str">
            <v/>
          </cell>
          <cell r="W24" t="str">
            <v/>
          </cell>
          <cell r="X24" t="str">
            <v/>
          </cell>
          <cell r="Y24" t="str">
            <v/>
          </cell>
          <cell r="Z24" t="str">
            <v/>
          </cell>
          <cell r="AA24" t="str">
            <v/>
          </cell>
          <cell r="AB24" t="str">
            <v/>
          </cell>
          <cell r="AC24" t="str">
            <v/>
          </cell>
          <cell r="AD24" t="str">
            <v/>
          </cell>
          <cell r="AE24" t="str">
            <v/>
          </cell>
          <cell r="AF24" t="str">
            <v/>
          </cell>
          <cell r="AG24" t="str">
            <v/>
          </cell>
          <cell r="AH24" t="str">
            <v/>
          </cell>
          <cell r="AI24" t="str">
            <v/>
          </cell>
          <cell r="AJ24" t="str">
            <v/>
          </cell>
          <cell r="AK24" t="str">
            <v/>
          </cell>
          <cell r="AL24" t="str">
            <v/>
          </cell>
          <cell r="AM24" t="str">
            <v/>
          </cell>
          <cell r="AN24" t="str">
            <v/>
          </cell>
          <cell r="AO24" t="str">
            <v/>
          </cell>
          <cell r="AP24" t="str">
            <v/>
          </cell>
          <cell r="AQ24" t="str">
            <v/>
          </cell>
          <cell r="AR24" t="str">
            <v/>
          </cell>
          <cell r="AS24" t="str">
            <v/>
          </cell>
          <cell r="AT24" t="str">
            <v/>
          </cell>
          <cell r="AU24" t="str">
            <v/>
          </cell>
          <cell r="AV24" t="str">
            <v/>
          </cell>
          <cell r="AW24" t="str">
            <v/>
          </cell>
          <cell r="AX24" t="str">
            <v/>
          </cell>
          <cell r="AY24" t="str">
            <v/>
          </cell>
          <cell r="AZ24" t="str">
            <v/>
          </cell>
          <cell r="BA24" t="str">
            <v/>
          </cell>
          <cell r="BB24" t="str">
            <v/>
          </cell>
          <cell r="BC24" t="str">
            <v/>
          </cell>
          <cell r="BD24" t="str">
            <v/>
          </cell>
          <cell r="BE24" t="str">
            <v/>
          </cell>
          <cell r="BF24" t="str">
            <v/>
          </cell>
          <cell r="BG24" t="str">
            <v/>
          </cell>
          <cell r="BH24" t="str">
            <v/>
          </cell>
          <cell r="BI24" t="str">
            <v/>
          </cell>
          <cell r="BJ24" t="str">
            <v/>
          </cell>
          <cell r="BK24" t="str">
            <v/>
          </cell>
          <cell r="BL24" t="str">
            <v/>
          </cell>
          <cell r="BM24" t="str">
            <v/>
          </cell>
          <cell r="BN24" t="str">
            <v/>
          </cell>
          <cell r="BO24" t="str">
            <v/>
          </cell>
          <cell r="BP24" t="str">
            <v/>
          </cell>
          <cell r="BQ24" t="str">
            <v/>
          </cell>
          <cell r="BR24" t="str">
            <v/>
          </cell>
          <cell r="BS24" t="str">
            <v/>
          </cell>
          <cell r="BT24" t="str">
            <v/>
          </cell>
          <cell r="BU24" t="str">
            <v/>
          </cell>
          <cell r="BV24" t="str">
            <v/>
          </cell>
          <cell r="BW24" t="str">
            <v/>
          </cell>
          <cell r="BX24" t="str">
            <v/>
          </cell>
          <cell r="BY24" t="str">
            <v/>
          </cell>
          <cell r="BZ24" t="str">
            <v/>
          </cell>
          <cell r="CA24" t="str">
            <v/>
          </cell>
          <cell r="CB24" t="str">
            <v/>
          </cell>
          <cell r="CC24" t="str">
            <v/>
          </cell>
          <cell r="CD24" t="str">
            <v/>
          </cell>
          <cell r="CE24" t="str">
            <v/>
          </cell>
          <cell r="CF24" t="str">
            <v/>
          </cell>
          <cell r="CG24" t="str">
            <v/>
          </cell>
          <cell r="CH24" t="str">
            <v/>
          </cell>
          <cell r="CI24" t="str">
            <v/>
          </cell>
          <cell r="CJ24" t="str">
            <v/>
          </cell>
          <cell r="CK24" t="str">
            <v/>
          </cell>
          <cell r="CL24" t="str">
            <v/>
          </cell>
          <cell r="CM24" t="str">
            <v/>
          </cell>
          <cell r="CN24" t="str">
            <v/>
          </cell>
          <cell r="CO24" t="str">
            <v/>
          </cell>
          <cell r="CP24" t="str">
            <v/>
          </cell>
          <cell r="CQ24" t="str">
            <v/>
          </cell>
          <cell r="CR24" t="str">
            <v/>
          </cell>
          <cell r="CS24" t="str">
            <v/>
          </cell>
          <cell r="CT24" t="str">
            <v/>
          </cell>
          <cell r="CU24" t="str">
            <v/>
          </cell>
          <cell r="CV24" t="str">
            <v/>
          </cell>
          <cell r="CW24" t="str">
            <v/>
          </cell>
          <cell r="CX24" t="str">
            <v/>
          </cell>
          <cell r="CY24" t="str">
            <v/>
          </cell>
          <cell r="CZ24" t="str">
            <v/>
          </cell>
          <cell r="DA24" t="str">
            <v/>
          </cell>
          <cell r="DB24" t="str">
            <v/>
          </cell>
        </row>
        <row r="25">
          <cell r="A25" t="str">
            <v/>
          </cell>
          <cell r="D25" t="str">
            <v/>
          </cell>
          <cell r="E25" t="str">
            <v/>
          </cell>
          <cell r="F25" t="str">
            <v/>
          </cell>
          <cell r="G25" t="str">
            <v/>
          </cell>
          <cell r="H25" t="str">
            <v/>
          </cell>
          <cell r="I25" t="str">
            <v/>
          </cell>
          <cell r="J25" t="str">
            <v/>
          </cell>
          <cell r="K25" t="str">
            <v/>
          </cell>
          <cell r="L25" t="str">
            <v/>
          </cell>
          <cell r="M25" t="str">
            <v/>
          </cell>
          <cell r="N25" t="str">
            <v/>
          </cell>
          <cell r="O25" t="str">
            <v/>
          </cell>
          <cell r="P25" t="str">
            <v/>
          </cell>
          <cell r="Q25" t="str">
            <v/>
          </cell>
          <cell r="R25" t="str">
            <v/>
          </cell>
          <cell r="S25" t="str">
            <v/>
          </cell>
          <cell r="T25" t="str">
            <v/>
          </cell>
          <cell r="U25" t="str">
            <v/>
          </cell>
          <cell r="V25" t="str">
            <v/>
          </cell>
          <cell r="W25" t="str">
            <v/>
          </cell>
          <cell r="X25" t="str">
            <v/>
          </cell>
          <cell r="Y25" t="str">
            <v/>
          </cell>
          <cell r="Z25" t="str">
            <v/>
          </cell>
          <cell r="AA25" t="str">
            <v/>
          </cell>
          <cell r="AB25" t="str">
            <v/>
          </cell>
          <cell r="AC25" t="str">
            <v/>
          </cell>
          <cell r="AD25" t="str">
            <v/>
          </cell>
          <cell r="AE25" t="str">
            <v/>
          </cell>
          <cell r="AF25" t="str">
            <v/>
          </cell>
          <cell r="AG25" t="str">
            <v/>
          </cell>
          <cell r="AH25" t="str">
            <v/>
          </cell>
          <cell r="AI25" t="str">
            <v/>
          </cell>
          <cell r="AJ25" t="str">
            <v/>
          </cell>
          <cell r="AK25" t="str">
            <v/>
          </cell>
          <cell r="AL25" t="str">
            <v/>
          </cell>
          <cell r="AM25" t="str">
            <v/>
          </cell>
          <cell r="AN25" t="str">
            <v/>
          </cell>
          <cell r="AO25" t="str">
            <v/>
          </cell>
          <cell r="AP25" t="str">
            <v/>
          </cell>
          <cell r="AQ25" t="str">
            <v/>
          </cell>
          <cell r="AR25" t="str">
            <v/>
          </cell>
          <cell r="AS25" t="str">
            <v/>
          </cell>
          <cell r="AT25" t="str">
            <v/>
          </cell>
          <cell r="AU25" t="str">
            <v/>
          </cell>
          <cell r="AV25" t="str">
            <v/>
          </cell>
          <cell r="AW25" t="str">
            <v/>
          </cell>
          <cell r="AX25" t="str">
            <v/>
          </cell>
          <cell r="AY25" t="str">
            <v/>
          </cell>
          <cell r="AZ25" t="str">
            <v/>
          </cell>
          <cell r="BA25" t="str">
            <v/>
          </cell>
          <cell r="BB25" t="str">
            <v/>
          </cell>
          <cell r="BC25" t="str">
            <v/>
          </cell>
          <cell r="BD25" t="str">
            <v/>
          </cell>
          <cell r="BE25" t="str">
            <v/>
          </cell>
          <cell r="BF25" t="str">
            <v/>
          </cell>
          <cell r="BG25" t="str">
            <v/>
          </cell>
          <cell r="BH25" t="str">
            <v/>
          </cell>
          <cell r="BI25" t="str">
            <v/>
          </cell>
          <cell r="BJ25" t="str">
            <v/>
          </cell>
          <cell r="BK25" t="str">
            <v/>
          </cell>
          <cell r="BL25" t="str">
            <v/>
          </cell>
          <cell r="BM25" t="str">
            <v/>
          </cell>
          <cell r="BN25" t="str">
            <v/>
          </cell>
          <cell r="BO25" t="str">
            <v/>
          </cell>
          <cell r="BP25" t="str">
            <v/>
          </cell>
          <cell r="BQ25" t="str">
            <v/>
          </cell>
          <cell r="BR25" t="str">
            <v/>
          </cell>
          <cell r="BS25" t="str">
            <v/>
          </cell>
          <cell r="BT25" t="str">
            <v/>
          </cell>
          <cell r="BU25" t="str">
            <v/>
          </cell>
          <cell r="BV25" t="str">
            <v/>
          </cell>
          <cell r="BW25" t="str">
            <v/>
          </cell>
          <cell r="BX25" t="str">
            <v/>
          </cell>
          <cell r="BY25" t="str">
            <v/>
          </cell>
          <cell r="BZ25" t="str">
            <v/>
          </cell>
          <cell r="CA25" t="str">
            <v/>
          </cell>
          <cell r="CB25" t="str">
            <v/>
          </cell>
          <cell r="CC25" t="str">
            <v/>
          </cell>
          <cell r="CD25" t="str">
            <v/>
          </cell>
          <cell r="CE25" t="str">
            <v/>
          </cell>
          <cell r="CF25" t="str">
            <v/>
          </cell>
          <cell r="CG25" t="str">
            <v/>
          </cell>
          <cell r="CH25" t="str">
            <v/>
          </cell>
          <cell r="CI25" t="str">
            <v/>
          </cell>
          <cell r="CJ25" t="str">
            <v/>
          </cell>
          <cell r="CK25" t="str">
            <v/>
          </cell>
          <cell r="CL25" t="str">
            <v/>
          </cell>
          <cell r="CM25" t="str">
            <v/>
          </cell>
          <cell r="CN25" t="str">
            <v/>
          </cell>
          <cell r="CO25" t="str">
            <v/>
          </cell>
          <cell r="CP25" t="str">
            <v/>
          </cell>
          <cell r="CQ25" t="str">
            <v/>
          </cell>
          <cell r="CR25" t="str">
            <v/>
          </cell>
          <cell r="CS25" t="str">
            <v/>
          </cell>
          <cell r="CT25" t="str">
            <v/>
          </cell>
          <cell r="CU25" t="str">
            <v/>
          </cell>
          <cell r="CV25" t="str">
            <v/>
          </cell>
          <cell r="CW25" t="str">
            <v/>
          </cell>
          <cell r="CX25" t="str">
            <v/>
          </cell>
          <cell r="CY25" t="str">
            <v/>
          </cell>
          <cell r="CZ25" t="str">
            <v/>
          </cell>
          <cell r="DA25" t="str">
            <v/>
          </cell>
          <cell r="DB25" t="str">
            <v/>
          </cell>
        </row>
        <row r="26">
          <cell r="A26" t="str">
            <v/>
          </cell>
          <cell r="D26" t="str">
            <v/>
          </cell>
          <cell r="E26" t="str">
            <v/>
          </cell>
          <cell r="F26" t="str">
            <v/>
          </cell>
          <cell r="G26" t="str">
            <v/>
          </cell>
          <cell r="H26" t="str">
            <v/>
          </cell>
          <cell r="I26" t="str">
            <v/>
          </cell>
          <cell r="J26" t="str">
            <v/>
          </cell>
          <cell r="K26" t="str">
            <v/>
          </cell>
          <cell r="L26" t="str">
            <v/>
          </cell>
          <cell r="M26" t="str">
            <v/>
          </cell>
          <cell r="N26" t="str">
            <v/>
          </cell>
          <cell r="O26" t="str">
            <v/>
          </cell>
          <cell r="P26" t="str">
            <v/>
          </cell>
          <cell r="Q26" t="str">
            <v/>
          </cell>
          <cell r="R26" t="str">
            <v/>
          </cell>
          <cell r="S26" t="str">
            <v/>
          </cell>
          <cell r="T26" t="str">
            <v/>
          </cell>
          <cell r="U26" t="str">
            <v/>
          </cell>
          <cell r="V26" t="str">
            <v/>
          </cell>
          <cell r="W26" t="str">
            <v/>
          </cell>
          <cell r="X26" t="str">
            <v/>
          </cell>
          <cell r="Y26" t="str">
            <v/>
          </cell>
          <cell r="Z26" t="str">
            <v/>
          </cell>
          <cell r="AA26" t="str">
            <v/>
          </cell>
          <cell r="AB26" t="str">
            <v/>
          </cell>
          <cell r="AC26" t="str">
            <v/>
          </cell>
          <cell r="AD26" t="str">
            <v/>
          </cell>
          <cell r="AE26" t="str">
            <v/>
          </cell>
          <cell r="AF26" t="str">
            <v/>
          </cell>
          <cell r="AG26" t="str">
            <v/>
          </cell>
          <cell r="AH26" t="str">
            <v/>
          </cell>
          <cell r="AI26" t="str">
            <v/>
          </cell>
          <cell r="AJ26" t="str">
            <v/>
          </cell>
          <cell r="AK26" t="str">
            <v/>
          </cell>
          <cell r="AL26" t="str">
            <v/>
          </cell>
          <cell r="AM26" t="str">
            <v/>
          </cell>
          <cell r="AN26" t="str">
            <v/>
          </cell>
          <cell r="AO26" t="str">
            <v/>
          </cell>
          <cell r="AP26" t="str">
            <v/>
          </cell>
          <cell r="AQ26" t="str">
            <v/>
          </cell>
          <cell r="AR26" t="str">
            <v/>
          </cell>
          <cell r="AS26" t="str">
            <v/>
          </cell>
          <cell r="AT26" t="str">
            <v/>
          </cell>
          <cell r="AU26" t="str">
            <v/>
          </cell>
          <cell r="AV26" t="str">
            <v/>
          </cell>
          <cell r="AW26" t="str">
            <v/>
          </cell>
          <cell r="AX26" t="str">
            <v/>
          </cell>
          <cell r="AY26" t="str">
            <v/>
          </cell>
          <cell r="AZ26" t="str">
            <v/>
          </cell>
          <cell r="BA26" t="str">
            <v/>
          </cell>
          <cell r="BB26" t="str">
            <v/>
          </cell>
          <cell r="BC26" t="str">
            <v/>
          </cell>
          <cell r="BD26" t="str">
            <v/>
          </cell>
          <cell r="BE26" t="str">
            <v/>
          </cell>
          <cell r="BF26" t="str">
            <v/>
          </cell>
          <cell r="BG26" t="str">
            <v/>
          </cell>
          <cell r="BH26" t="str">
            <v/>
          </cell>
          <cell r="BI26" t="str">
            <v/>
          </cell>
          <cell r="BJ26" t="str">
            <v/>
          </cell>
          <cell r="BK26" t="str">
            <v/>
          </cell>
          <cell r="BL26" t="str">
            <v/>
          </cell>
          <cell r="BM26" t="str">
            <v/>
          </cell>
          <cell r="BN26" t="str">
            <v/>
          </cell>
          <cell r="BO26" t="str">
            <v/>
          </cell>
          <cell r="BP26" t="str">
            <v/>
          </cell>
          <cell r="BQ26" t="str">
            <v/>
          </cell>
          <cell r="BR26" t="str">
            <v/>
          </cell>
          <cell r="BS26" t="str">
            <v/>
          </cell>
          <cell r="BT26" t="str">
            <v/>
          </cell>
          <cell r="BU26" t="str">
            <v/>
          </cell>
          <cell r="BV26" t="str">
            <v/>
          </cell>
          <cell r="BW26" t="str">
            <v/>
          </cell>
          <cell r="BX26" t="str">
            <v/>
          </cell>
          <cell r="BY26" t="str">
            <v/>
          </cell>
          <cell r="BZ26" t="str">
            <v/>
          </cell>
          <cell r="CA26" t="str">
            <v/>
          </cell>
          <cell r="CB26" t="str">
            <v/>
          </cell>
          <cell r="CC26" t="str">
            <v/>
          </cell>
          <cell r="CD26" t="str">
            <v/>
          </cell>
          <cell r="CE26" t="str">
            <v/>
          </cell>
          <cell r="CF26" t="str">
            <v/>
          </cell>
          <cell r="CG26" t="str">
            <v/>
          </cell>
          <cell r="CH26" t="str">
            <v/>
          </cell>
          <cell r="CI26" t="str">
            <v/>
          </cell>
          <cell r="CJ26" t="str">
            <v/>
          </cell>
          <cell r="CK26" t="str">
            <v/>
          </cell>
          <cell r="CL26" t="str">
            <v/>
          </cell>
          <cell r="CM26" t="str">
            <v/>
          </cell>
          <cell r="CN26" t="str">
            <v/>
          </cell>
          <cell r="CO26" t="str">
            <v/>
          </cell>
          <cell r="CP26" t="str">
            <v/>
          </cell>
          <cell r="CQ26" t="str">
            <v/>
          </cell>
          <cell r="CR26" t="str">
            <v/>
          </cell>
          <cell r="CS26" t="str">
            <v/>
          </cell>
          <cell r="CT26" t="str">
            <v/>
          </cell>
          <cell r="CU26" t="str">
            <v/>
          </cell>
          <cell r="CV26" t="str">
            <v/>
          </cell>
          <cell r="CW26" t="str">
            <v/>
          </cell>
          <cell r="CX26" t="str">
            <v/>
          </cell>
          <cell r="CY26" t="str">
            <v/>
          </cell>
          <cell r="CZ26" t="str">
            <v/>
          </cell>
          <cell r="DA26" t="str">
            <v/>
          </cell>
          <cell r="DB26" t="str">
            <v/>
          </cell>
        </row>
        <row r="27">
          <cell r="A27" t="str">
            <v/>
          </cell>
          <cell r="D27" t="str">
            <v/>
          </cell>
          <cell r="E27" t="str">
            <v/>
          </cell>
          <cell r="F27" t="str">
            <v/>
          </cell>
          <cell r="G27" t="str">
            <v/>
          </cell>
          <cell r="H27" t="str">
            <v/>
          </cell>
          <cell r="I27" t="str">
            <v/>
          </cell>
          <cell r="J27" t="str">
            <v/>
          </cell>
          <cell r="K27" t="str">
            <v/>
          </cell>
          <cell r="L27" t="str">
            <v/>
          </cell>
          <cell r="M27" t="str">
            <v/>
          </cell>
          <cell r="N27" t="str">
            <v/>
          </cell>
          <cell r="O27" t="str">
            <v/>
          </cell>
          <cell r="P27" t="str">
            <v/>
          </cell>
          <cell r="Q27" t="str">
            <v/>
          </cell>
          <cell r="R27" t="str">
            <v/>
          </cell>
          <cell r="S27" t="str">
            <v/>
          </cell>
          <cell r="T27" t="str">
            <v/>
          </cell>
          <cell r="U27" t="str">
            <v/>
          </cell>
          <cell r="V27" t="str">
            <v/>
          </cell>
          <cell r="W27" t="str">
            <v/>
          </cell>
          <cell r="X27" t="str">
            <v/>
          </cell>
          <cell r="Y27" t="str">
            <v/>
          </cell>
          <cell r="Z27" t="str">
            <v/>
          </cell>
          <cell r="AA27" t="str">
            <v/>
          </cell>
          <cell r="AB27" t="str">
            <v/>
          </cell>
          <cell r="AC27" t="str">
            <v/>
          </cell>
          <cell r="AD27" t="str">
            <v/>
          </cell>
          <cell r="AE27" t="str">
            <v/>
          </cell>
          <cell r="AF27" t="str">
            <v/>
          </cell>
          <cell r="AG27" t="str">
            <v/>
          </cell>
          <cell r="AH27" t="str">
            <v/>
          </cell>
          <cell r="AI27" t="str">
            <v/>
          </cell>
          <cell r="AJ27" t="str">
            <v/>
          </cell>
          <cell r="AK27" t="str">
            <v/>
          </cell>
          <cell r="AL27" t="str">
            <v/>
          </cell>
          <cell r="AM27" t="str">
            <v/>
          </cell>
          <cell r="AN27" t="str">
            <v/>
          </cell>
          <cell r="AO27" t="str">
            <v/>
          </cell>
          <cell r="AP27" t="str">
            <v/>
          </cell>
          <cell r="AQ27" t="str">
            <v/>
          </cell>
          <cell r="AR27" t="str">
            <v/>
          </cell>
          <cell r="AS27" t="str">
            <v/>
          </cell>
          <cell r="AT27" t="str">
            <v/>
          </cell>
          <cell r="AU27" t="str">
            <v/>
          </cell>
          <cell r="AV27" t="str">
            <v/>
          </cell>
          <cell r="AW27" t="str">
            <v/>
          </cell>
          <cell r="AX27" t="str">
            <v/>
          </cell>
          <cell r="AY27" t="str">
            <v/>
          </cell>
          <cell r="AZ27" t="str">
            <v/>
          </cell>
          <cell r="BA27" t="str">
            <v/>
          </cell>
          <cell r="BB27" t="str">
            <v/>
          </cell>
          <cell r="BC27" t="str">
            <v/>
          </cell>
          <cell r="BD27" t="str">
            <v/>
          </cell>
          <cell r="BE27" t="str">
            <v/>
          </cell>
          <cell r="BF27" t="str">
            <v/>
          </cell>
          <cell r="BG27" t="str">
            <v/>
          </cell>
          <cell r="BH27" t="str">
            <v/>
          </cell>
          <cell r="BI27" t="str">
            <v/>
          </cell>
          <cell r="BJ27" t="str">
            <v/>
          </cell>
          <cell r="BK27" t="str">
            <v/>
          </cell>
          <cell r="BL27" t="str">
            <v/>
          </cell>
          <cell r="BM27" t="str">
            <v/>
          </cell>
          <cell r="BN27" t="str">
            <v/>
          </cell>
          <cell r="BO27" t="str">
            <v/>
          </cell>
          <cell r="BP27" t="str">
            <v/>
          </cell>
          <cell r="BQ27" t="str">
            <v/>
          </cell>
          <cell r="BR27" t="str">
            <v/>
          </cell>
          <cell r="BS27" t="str">
            <v/>
          </cell>
          <cell r="BT27" t="str">
            <v/>
          </cell>
          <cell r="BU27" t="str">
            <v/>
          </cell>
          <cell r="BV27" t="str">
            <v/>
          </cell>
          <cell r="BW27" t="str">
            <v/>
          </cell>
          <cell r="BX27" t="str">
            <v/>
          </cell>
          <cell r="BY27" t="str">
            <v/>
          </cell>
          <cell r="BZ27" t="str">
            <v/>
          </cell>
          <cell r="CA27" t="str">
            <v/>
          </cell>
          <cell r="CB27" t="str">
            <v/>
          </cell>
          <cell r="CC27" t="str">
            <v/>
          </cell>
          <cell r="CD27" t="str">
            <v/>
          </cell>
          <cell r="CE27" t="str">
            <v/>
          </cell>
          <cell r="CF27" t="str">
            <v/>
          </cell>
          <cell r="CG27" t="str">
            <v/>
          </cell>
          <cell r="CH27" t="str">
            <v/>
          </cell>
          <cell r="CI27" t="str">
            <v/>
          </cell>
          <cell r="CJ27" t="str">
            <v/>
          </cell>
          <cell r="CK27" t="str">
            <v/>
          </cell>
          <cell r="CL27" t="str">
            <v/>
          </cell>
          <cell r="CM27" t="str">
            <v/>
          </cell>
          <cell r="CN27" t="str">
            <v/>
          </cell>
          <cell r="CO27" t="str">
            <v/>
          </cell>
          <cell r="CP27" t="str">
            <v/>
          </cell>
          <cell r="CQ27" t="str">
            <v/>
          </cell>
          <cell r="CR27" t="str">
            <v/>
          </cell>
          <cell r="CS27" t="str">
            <v/>
          </cell>
          <cell r="CT27" t="str">
            <v/>
          </cell>
          <cell r="CU27" t="str">
            <v/>
          </cell>
          <cell r="CV27" t="str">
            <v/>
          </cell>
          <cell r="CW27" t="str">
            <v/>
          </cell>
          <cell r="CX27" t="str">
            <v/>
          </cell>
          <cell r="CY27" t="str">
            <v/>
          </cell>
          <cell r="CZ27" t="str">
            <v/>
          </cell>
          <cell r="DA27" t="str">
            <v/>
          </cell>
          <cell r="DB27" t="str">
            <v/>
          </cell>
        </row>
        <row r="28">
          <cell r="A28" t="str">
            <v/>
          </cell>
          <cell r="D28" t="str">
            <v/>
          </cell>
          <cell r="E28" t="str">
            <v/>
          </cell>
          <cell r="F28" t="str">
            <v/>
          </cell>
          <cell r="G28" t="str">
            <v/>
          </cell>
          <cell r="H28" t="str">
            <v/>
          </cell>
          <cell r="I28" t="str">
            <v/>
          </cell>
          <cell r="J28" t="str">
            <v/>
          </cell>
          <cell r="K28" t="str">
            <v/>
          </cell>
          <cell r="L28" t="str">
            <v/>
          </cell>
          <cell r="M28" t="str">
            <v/>
          </cell>
          <cell r="N28" t="str">
            <v/>
          </cell>
          <cell r="O28" t="str">
            <v/>
          </cell>
          <cell r="P28" t="str">
            <v/>
          </cell>
          <cell r="Q28" t="str">
            <v/>
          </cell>
          <cell r="R28" t="str">
            <v/>
          </cell>
          <cell r="S28" t="str">
            <v/>
          </cell>
          <cell r="T28" t="str">
            <v/>
          </cell>
          <cell r="U28" t="str">
            <v/>
          </cell>
          <cell r="V28" t="str">
            <v/>
          </cell>
          <cell r="W28" t="str">
            <v/>
          </cell>
          <cell r="X28" t="str">
            <v/>
          </cell>
          <cell r="Y28" t="str">
            <v/>
          </cell>
          <cell r="Z28" t="str">
            <v/>
          </cell>
          <cell r="AA28" t="str">
            <v/>
          </cell>
          <cell r="AB28" t="str">
            <v/>
          </cell>
          <cell r="AC28" t="str">
            <v/>
          </cell>
          <cell r="AD28" t="str">
            <v/>
          </cell>
          <cell r="AE28" t="str">
            <v/>
          </cell>
          <cell r="AF28" t="str">
            <v/>
          </cell>
          <cell r="AG28" t="str">
            <v/>
          </cell>
          <cell r="AH28" t="str">
            <v/>
          </cell>
          <cell r="AI28" t="str">
            <v/>
          </cell>
          <cell r="AJ28" t="str">
            <v/>
          </cell>
          <cell r="AK28" t="str">
            <v/>
          </cell>
          <cell r="AL28" t="str">
            <v/>
          </cell>
          <cell r="AM28" t="str">
            <v/>
          </cell>
          <cell r="AN28" t="str">
            <v/>
          </cell>
          <cell r="AO28" t="str">
            <v/>
          </cell>
          <cell r="AP28" t="str">
            <v/>
          </cell>
          <cell r="AQ28" t="str">
            <v/>
          </cell>
          <cell r="AR28" t="str">
            <v/>
          </cell>
          <cell r="AS28" t="str">
            <v/>
          </cell>
          <cell r="AT28" t="str">
            <v/>
          </cell>
          <cell r="AU28" t="str">
            <v/>
          </cell>
          <cell r="AV28" t="str">
            <v/>
          </cell>
          <cell r="AW28" t="str">
            <v/>
          </cell>
          <cell r="AX28" t="str">
            <v/>
          </cell>
          <cell r="AY28" t="str">
            <v/>
          </cell>
          <cell r="AZ28" t="str">
            <v/>
          </cell>
          <cell r="BA28" t="str">
            <v/>
          </cell>
          <cell r="BB28" t="str">
            <v/>
          </cell>
          <cell r="BC28" t="str">
            <v/>
          </cell>
          <cell r="BD28" t="str">
            <v/>
          </cell>
          <cell r="BE28" t="str">
            <v/>
          </cell>
          <cell r="BF28" t="str">
            <v/>
          </cell>
          <cell r="BG28" t="str">
            <v/>
          </cell>
          <cell r="BH28" t="str">
            <v/>
          </cell>
          <cell r="BI28" t="str">
            <v/>
          </cell>
          <cell r="BJ28" t="str">
            <v/>
          </cell>
          <cell r="BK28" t="str">
            <v/>
          </cell>
          <cell r="BL28" t="str">
            <v/>
          </cell>
          <cell r="BM28" t="str">
            <v/>
          </cell>
          <cell r="BN28" t="str">
            <v/>
          </cell>
          <cell r="BO28" t="str">
            <v/>
          </cell>
          <cell r="BP28" t="str">
            <v/>
          </cell>
          <cell r="BQ28" t="str">
            <v/>
          </cell>
          <cell r="BR28" t="str">
            <v/>
          </cell>
          <cell r="BS28" t="str">
            <v/>
          </cell>
          <cell r="BT28" t="str">
            <v/>
          </cell>
          <cell r="BU28" t="str">
            <v/>
          </cell>
          <cell r="BV28" t="str">
            <v/>
          </cell>
          <cell r="BW28" t="str">
            <v/>
          </cell>
          <cell r="BX28" t="str">
            <v/>
          </cell>
          <cell r="BY28" t="str">
            <v/>
          </cell>
          <cell r="BZ28" t="str">
            <v/>
          </cell>
          <cell r="CA28" t="str">
            <v/>
          </cell>
          <cell r="CB28" t="str">
            <v/>
          </cell>
          <cell r="CC28" t="str">
            <v/>
          </cell>
          <cell r="CD28" t="str">
            <v/>
          </cell>
          <cell r="CE28" t="str">
            <v/>
          </cell>
          <cell r="CF28" t="str">
            <v/>
          </cell>
          <cell r="CG28" t="str">
            <v/>
          </cell>
          <cell r="CH28" t="str">
            <v/>
          </cell>
          <cell r="CI28" t="str">
            <v/>
          </cell>
          <cell r="CJ28" t="str">
            <v/>
          </cell>
          <cell r="CK28" t="str">
            <v/>
          </cell>
          <cell r="CL28" t="str">
            <v/>
          </cell>
          <cell r="CM28" t="str">
            <v/>
          </cell>
          <cell r="CN28" t="str">
            <v/>
          </cell>
          <cell r="CO28" t="str">
            <v/>
          </cell>
          <cell r="CP28" t="str">
            <v/>
          </cell>
          <cell r="CQ28" t="str">
            <v/>
          </cell>
          <cell r="CR28" t="str">
            <v/>
          </cell>
          <cell r="CS28" t="str">
            <v/>
          </cell>
          <cell r="CT28" t="str">
            <v/>
          </cell>
          <cell r="CU28" t="str">
            <v/>
          </cell>
          <cell r="CV28" t="str">
            <v/>
          </cell>
          <cell r="CW28" t="str">
            <v/>
          </cell>
          <cell r="CX28" t="str">
            <v/>
          </cell>
          <cell r="CY28" t="str">
            <v/>
          </cell>
          <cell r="CZ28" t="str">
            <v/>
          </cell>
          <cell r="DA28" t="str">
            <v/>
          </cell>
          <cell r="DB28" t="str">
            <v/>
          </cell>
        </row>
        <row r="29">
          <cell r="A29" t="str">
            <v/>
          </cell>
          <cell r="D29" t="str">
            <v/>
          </cell>
          <cell r="E29" t="str">
            <v/>
          </cell>
          <cell r="F29" t="str">
            <v/>
          </cell>
          <cell r="G29" t="str">
            <v/>
          </cell>
          <cell r="H29" t="str">
            <v/>
          </cell>
          <cell r="I29" t="str">
            <v/>
          </cell>
          <cell r="J29" t="str">
            <v/>
          </cell>
          <cell r="K29" t="str">
            <v/>
          </cell>
          <cell r="L29" t="str">
            <v/>
          </cell>
          <cell r="M29" t="str">
            <v/>
          </cell>
          <cell r="N29" t="str">
            <v/>
          </cell>
          <cell r="O29" t="str">
            <v/>
          </cell>
          <cell r="P29" t="str">
            <v/>
          </cell>
          <cell r="Q29" t="str">
            <v/>
          </cell>
          <cell r="R29" t="str">
            <v/>
          </cell>
          <cell r="S29" t="str">
            <v/>
          </cell>
          <cell r="T29" t="str">
            <v/>
          </cell>
          <cell r="U29" t="str">
            <v/>
          </cell>
          <cell r="V29" t="str">
            <v/>
          </cell>
          <cell r="W29" t="str">
            <v/>
          </cell>
          <cell r="X29" t="str">
            <v/>
          </cell>
          <cell r="Y29" t="str">
            <v/>
          </cell>
          <cell r="Z29" t="str">
            <v/>
          </cell>
          <cell r="AA29" t="str">
            <v/>
          </cell>
          <cell r="AB29" t="str">
            <v/>
          </cell>
          <cell r="AC29" t="str">
            <v/>
          </cell>
          <cell r="AD29" t="str">
            <v/>
          </cell>
          <cell r="AE29" t="str">
            <v/>
          </cell>
          <cell r="AF29" t="str">
            <v/>
          </cell>
          <cell r="AG29" t="str">
            <v/>
          </cell>
          <cell r="AH29" t="str">
            <v/>
          </cell>
          <cell r="AI29" t="str">
            <v/>
          </cell>
          <cell r="AJ29" t="str">
            <v/>
          </cell>
          <cell r="AK29" t="str">
            <v/>
          </cell>
          <cell r="AL29" t="str">
            <v/>
          </cell>
          <cell r="AM29" t="str">
            <v/>
          </cell>
          <cell r="AN29" t="str">
            <v/>
          </cell>
          <cell r="AO29" t="str">
            <v/>
          </cell>
          <cell r="AP29" t="str">
            <v/>
          </cell>
          <cell r="AQ29" t="str">
            <v/>
          </cell>
          <cell r="AR29" t="str">
            <v/>
          </cell>
          <cell r="AS29" t="str">
            <v/>
          </cell>
          <cell r="AT29" t="str">
            <v/>
          </cell>
          <cell r="AU29" t="str">
            <v/>
          </cell>
          <cell r="AV29" t="str">
            <v/>
          </cell>
          <cell r="AW29" t="str">
            <v/>
          </cell>
          <cell r="AX29" t="str">
            <v/>
          </cell>
          <cell r="AY29" t="str">
            <v/>
          </cell>
          <cell r="AZ29" t="str">
            <v/>
          </cell>
          <cell r="BA29" t="str">
            <v/>
          </cell>
          <cell r="BB29" t="str">
            <v/>
          </cell>
          <cell r="BC29" t="str">
            <v/>
          </cell>
          <cell r="BD29" t="str">
            <v/>
          </cell>
          <cell r="BE29" t="str">
            <v/>
          </cell>
          <cell r="BF29" t="str">
            <v/>
          </cell>
          <cell r="BG29" t="str">
            <v/>
          </cell>
          <cell r="BH29" t="str">
            <v/>
          </cell>
          <cell r="BI29" t="str">
            <v/>
          </cell>
          <cell r="BJ29" t="str">
            <v/>
          </cell>
          <cell r="BK29" t="str">
            <v/>
          </cell>
          <cell r="BL29" t="str">
            <v/>
          </cell>
          <cell r="BM29" t="str">
            <v/>
          </cell>
          <cell r="BN29" t="str">
            <v/>
          </cell>
          <cell r="BO29" t="str">
            <v/>
          </cell>
          <cell r="BP29" t="str">
            <v/>
          </cell>
          <cell r="BQ29" t="str">
            <v/>
          </cell>
          <cell r="BR29" t="str">
            <v/>
          </cell>
          <cell r="BS29" t="str">
            <v/>
          </cell>
          <cell r="BT29" t="str">
            <v/>
          </cell>
          <cell r="BU29" t="str">
            <v/>
          </cell>
          <cell r="BV29" t="str">
            <v/>
          </cell>
          <cell r="BW29" t="str">
            <v/>
          </cell>
          <cell r="BX29" t="str">
            <v/>
          </cell>
          <cell r="BY29" t="str">
            <v/>
          </cell>
          <cell r="BZ29" t="str">
            <v/>
          </cell>
          <cell r="CA29" t="str">
            <v/>
          </cell>
          <cell r="CB29" t="str">
            <v/>
          </cell>
          <cell r="CC29" t="str">
            <v/>
          </cell>
          <cell r="CD29" t="str">
            <v/>
          </cell>
          <cell r="CE29" t="str">
            <v/>
          </cell>
          <cell r="CF29" t="str">
            <v/>
          </cell>
          <cell r="CG29" t="str">
            <v/>
          </cell>
          <cell r="CH29" t="str">
            <v/>
          </cell>
          <cell r="CI29" t="str">
            <v/>
          </cell>
          <cell r="CJ29" t="str">
            <v/>
          </cell>
          <cell r="CK29" t="str">
            <v/>
          </cell>
          <cell r="CL29" t="str">
            <v/>
          </cell>
          <cell r="CM29" t="str">
            <v/>
          </cell>
          <cell r="CN29" t="str">
            <v/>
          </cell>
          <cell r="CO29" t="str">
            <v/>
          </cell>
          <cell r="CP29" t="str">
            <v/>
          </cell>
          <cell r="CQ29" t="str">
            <v/>
          </cell>
          <cell r="CR29" t="str">
            <v/>
          </cell>
          <cell r="CS29" t="str">
            <v/>
          </cell>
          <cell r="CT29" t="str">
            <v/>
          </cell>
          <cell r="CU29" t="str">
            <v/>
          </cell>
          <cell r="CV29" t="str">
            <v/>
          </cell>
          <cell r="CW29" t="str">
            <v/>
          </cell>
          <cell r="CX29" t="str">
            <v/>
          </cell>
          <cell r="CY29" t="str">
            <v/>
          </cell>
          <cell r="CZ29" t="str">
            <v/>
          </cell>
          <cell r="DA29" t="str">
            <v/>
          </cell>
          <cell r="DB29" t="str">
            <v/>
          </cell>
        </row>
        <row r="30">
          <cell r="A30" t="str">
            <v/>
          </cell>
          <cell r="D30" t="str">
            <v/>
          </cell>
          <cell r="E30" t="str">
            <v/>
          </cell>
          <cell r="F30" t="str">
            <v/>
          </cell>
          <cell r="G30" t="str">
            <v/>
          </cell>
          <cell r="H30" t="str">
            <v/>
          </cell>
          <cell r="I30" t="str">
            <v/>
          </cell>
          <cell r="J30" t="str">
            <v/>
          </cell>
          <cell r="K30" t="str">
            <v/>
          </cell>
          <cell r="L30" t="str">
            <v/>
          </cell>
          <cell r="M30" t="str">
            <v/>
          </cell>
          <cell r="N30" t="str">
            <v/>
          </cell>
          <cell r="O30" t="str">
            <v/>
          </cell>
          <cell r="P30" t="str">
            <v/>
          </cell>
          <cell r="Q30" t="str">
            <v/>
          </cell>
          <cell r="R30" t="str">
            <v/>
          </cell>
          <cell r="S30" t="str">
            <v/>
          </cell>
          <cell r="T30" t="str">
            <v/>
          </cell>
          <cell r="U30" t="str">
            <v/>
          </cell>
          <cell r="V30" t="str">
            <v/>
          </cell>
          <cell r="W30" t="str">
            <v/>
          </cell>
          <cell r="X30" t="str">
            <v/>
          </cell>
          <cell r="Y30" t="str">
            <v/>
          </cell>
          <cell r="Z30" t="str">
            <v/>
          </cell>
          <cell r="AA30" t="str">
            <v/>
          </cell>
          <cell r="AB30" t="str">
            <v/>
          </cell>
          <cell r="AC30" t="str">
            <v/>
          </cell>
          <cell r="AD30" t="str">
            <v/>
          </cell>
          <cell r="AE30" t="str">
            <v/>
          </cell>
          <cell r="AF30" t="str">
            <v/>
          </cell>
          <cell r="AG30" t="str">
            <v/>
          </cell>
          <cell r="AH30" t="str">
            <v/>
          </cell>
          <cell r="AI30" t="str">
            <v/>
          </cell>
          <cell r="AJ30" t="str">
            <v/>
          </cell>
          <cell r="AK30" t="str">
            <v/>
          </cell>
          <cell r="AL30" t="str">
            <v/>
          </cell>
          <cell r="AM30" t="str">
            <v/>
          </cell>
          <cell r="AN30" t="str">
            <v/>
          </cell>
          <cell r="AO30" t="str">
            <v/>
          </cell>
          <cell r="AP30" t="str">
            <v/>
          </cell>
          <cell r="AQ30" t="str">
            <v/>
          </cell>
          <cell r="AR30" t="str">
            <v/>
          </cell>
          <cell r="AS30" t="str">
            <v/>
          </cell>
          <cell r="AT30" t="str">
            <v/>
          </cell>
          <cell r="AU30" t="str">
            <v/>
          </cell>
          <cell r="AV30" t="str">
            <v/>
          </cell>
          <cell r="AW30" t="str">
            <v/>
          </cell>
          <cell r="AX30" t="str">
            <v/>
          </cell>
          <cell r="AY30" t="str">
            <v/>
          </cell>
          <cell r="AZ30" t="str">
            <v/>
          </cell>
          <cell r="BA30" t="str">
            <v/>
          </cell>
          <cell r="BB30" t="str">
            <v/>
          </cell>
          <cell r="BC30" t="str">
            <v/>
          </cell>
          <cell r="BD30" t="str">
            <v/>
          </cell>
          <cell r="BE30" t="str">
            <v/>
          </cell>
          <cell r="BF30" t="str">
            <v/>
          </cell>
          <cell r="BG30" t="str">
            <v/>
          </cell>
          <cell r="BH30" t="str">
            <v/>
          </cell>
          <cell r="BI30" t="str">
            <v/>
          </cell>
          <cell r="BJ30" t="str">
            <v/>
          </cell>
          <cell r="BK30" t="str">
            <v/>
          </cell>
          <cell r="BL30" t="str">
            <v/>
          </cell>
          <cell r="BM30" t="str">
            <v/>
          </cell>
          <cell r="BN30" t="str">
            <v/>
          </cell>
          <cell r="BO30" t="str">
            <v/>
          </cell>
          <cell r="BP30" t="str">
            <v/>
          </cell>
          <cell r="BQ30" t="str">
            <v/>
          </cell>
          <cell r="BR30" t="str">
            <v/>
          </cell>
          <cell r="BS30" t="str">
            <v/>
          </cell>
          <cell r="BT30" t="str">
            <v/>
          </cell>
          <cell r="BU30" t="str">
            <v/>
          </cell>
          <cell r="BV30" t="str">
            <v/>
          </cell>
          <cell r="BW30" t="str">
            <v/>
          </cell>
          <cell r="BX30" t="str">
            <v/>
          </cell>
          <cell r="BY30" t="str">
            <v/>
          </cell>
          <cell r="BZ30" t="str">
            <v/>
          </cell>
          <cell r="CA30" t="str">
            <v/>
          </cell>
          <cell r="CB30" t="str">
            <v/>
          </cell>
          <cell r="CC30" t="str">
            <v/>
          </cell>
          <cell r="CD30" t="str">
            <v/>
          </cell>
          <cell r="CE30" t="str">
            <v/>
          </cell>
          <cell r="CF30" t="str">
            <v/>
          </cell>
          <cell r="CG30" t="str">
            <v/>
          </cell>
          <cell r="CH30" t="str">
            <v/>
          </cell>
          <cell r="CI30" t="str">
            <v/>
          </cell>
          <cell r="CJ30" t="str">
            <v/>
          </cell>
          <cell r="CK30" t="str">
            <v/>
          </cell>
          <cell r="CL30" t="str">
            <v/>
          </cell>
          <cell r="CM30" t="str">
            <v/>
          </cell>
          <cell r="CN30" t="str">
            <v/>
          </cell>
          <cell r="CO30" t="str">
            <v/>
          </cell>
          <cell r="CP30" t="str">
            <v/>
          </cell>
          <cell r="CQ30" t="str">
            <v/>
          </cell>
          <cell r="CR30" t="str">
            <v/>
          </cell>
          <cell r="CS30" t="str">
            <v/>
          </cell>
          <cell r="CT30" t="str">
            <v/>
          </cell>
          <cell r="CU30" t="str">
            <v/>
          </cell>
          <cell r="CV30" t="str">
            <v/>
          </cell>
          <cell r="CW30" t="str">
            <v/>
          </cell>
          <cell r="CX30" t="str">
            <v/>
          </cell>
          <cell r="CY30" t="str">
            <v/>
          </cell>
          <cell r="CZ30" t="str">
            <v/>
          </cell>
          <cell r="DA30" t="str">
            <v/>
          </cell>
          <cell r="DB30" t="str">
            <v/>
          </cell>
        </row>
        <row r="31">
          <cell r="A31" t="str">
            <v/>
          </cell>
          <cell r="D31" t="str">
            <v/>
          </cell>
          <cell r="E31" t="str">
            <v/>
          </cell>
          <cell r="F31" t="str">
            <v/>
          </cell>
          <cell r="G31" t="str">
            <v/>
          </cell>
          <cell r="H31" t="str">
            <v/>
          </cell>
          <cell r="I31" t="str">
            <v/>
          </cell>
          <cell r="J31" t="str">
            <v/>
          </cell>
          <cell r="K31" t="str">
            <v/>
          </cell>
          <cell r="L31" t="str">
            <v/>
          </cell>
          <cell r="M31" t="str">
            <v/>
          </cell>
          <cell r="N31" t="str">
            <v/>
          </cell>
          <cell r="O31" t="str">
            <v/>
          </cell>
          <cell r="P31" t="str">
            <v/>
          </cell>
          <cell r="Q31" t="str">
            <v/>
          </cell>
          <cell r="R31" t="str">
            <v/>
          </cell>
          <cell r="S31" t="str">
            <v/>
          </cell>
          <cell r="T31" t="str">
            <v/>
          </cell>
          <cell r="U31" t="str">
            <v/>
          </cell>
          <cell r="V31" t="str">
            <v/>
          </cell>
          <cell r="W31" t="str">
            <v/>
          </cell>
          <cell r="X31" t="str">
            <v/>
          </cell>
          <cell r="Y31" t="str">
            <v/>
          </cell>
          <cell r="Z31" t="str">
            <v/>
          </cell>
          <cell r="AA31" t="str">
            <v/>
          </cell>
          <cell r="AB31" t="str">
            <v/>
          </cell>
          <cell r="AC31" t="str">
            <v/>
          </cell>
          <cell r="AD31" t="str">
            <v/>
          </cell>
          <cell r="AE31" t="str">
            <v/>
          </cell>
          <cell r="AF31" t="str">
            <v/>
          </cell>
          <cell r="AG31" t="str">
            <v/>
          </cell>
          <cell r="AH31" t="str">
            <v/>
          </cell>
          <cell r="AI31" t="str">
            <v/>
          </cell>
          <cell r="AJ31" t="str">
            <v/>
          </cell>
          <cell r="AK31" t="str">
            <v/>
          </cell>
          <cell r="AL31" t="str">
            <v/>
          </cell>
          <cell r="AM31" t="str">
            <v/>
          </cell>
          <cell r="AN31" t="str">
            <v/>
          </cell>
          <cell r="AO31" t="str">
            <v/>
          </cell>
          <cell r="AP31" t="str">
            <v/>
          </cell>
          <cell r="AQ31" t="str">
            <v/>
          </cell>
          <cell r="AR31" t="str">
            <v/>
          </cell>
          <cell r="AS31" t="str">
            <v/>
          </cell>
          <cell r="AT31" t="str">
            <v/>
          </cell>
          <cell r="AU31" t="str">
            <v/>
          </cell>
          <cell r="AV31" t="str">
            <v/>
          </cell>
          <cell r="AW31" t="str">
            <v/>
          </cell>
          <cell r="AX31" t="str">
            <v/>
          </cell>
          <cell r="AY31" t="str">
            <v/>
          </cell>
          <cell r="AZ31" t="str">
            <v/>
          </cell>
          <cell r="BA31" t="str">
            <v/>
          </cell>
          <cell r="BB31" t="str">
            <v/>
          </cell>
          <cell r="BC31" t="str">
            <v/>
          </cell>
          <cell r="BD31" t="str">
            <v/>
          </cell>
          <cell r="BE31" t="str">
            <v/>
          </cell>
          <cell r="BF31" t="str">
            <v/>
          </cell>
          <cell r="BG31" t="str">
            <v/>
          </cell>
          <cell r="BH31" t="str">
            <v/>
          </cell>
          <cell r="BI31" t="str">
            <v/>
          </cell>
          <cell r="BJ31" t="str">
            <v/>
          </cell>
          <cell r="BK31" t="str">
            <v/>
          </cell>
          <cell r="BL31" t="str">
            <v/>
          </cell>
          <cell r="BM31" t="str">
            <v/>
          </cell>
          <cell r="BN31" t="str">
            <v/>
          </cell>
          <cell r="BO31" t="str">
            <v/>
          </cell>
          <cell r="BP31" t="str">
            <v/>
          </cell>
          <cell r="BQ31" t="str">
            <v/>
          </cell>
          <cell r="BR31" t="str">
            <v/>
          </cell>
          <cell r="BS31" t="str">
            <v/>
          </cell>
          <cell r="BT31" t="str">
            <v/>
          </cell>
          <cell r="BU31" t="str">
            <v/>
          </cell>
          <cell r="BV31" t="str">
            <v/>
          </cell>
          <cell r="BW31" t="str">
            <v/>
          </cell>
          <cell r="BX31" t="str">
            <v/>
          </cell>
          <cell r="BY31" t="str">
            <v/>
          </cell>
          <cell r="BZ31" t="str">
            <v/>
          </cell>
          <cell r="CA31" t="str">
            <v/>
          </cell>
          <cell r="CB31" t="str">
            <v/>
          </cell>
          <cell r="CC31" t="str">
            <v/>
          </cell>
          <cell r="CD31" t="str">
            <v/>
          </cell>
          <cell r="CE31" t="str">
            <v/>
          </cell>
          <cell r="CF31" t="str">
            <v/>
          </cell>
          <cell r="CG31" t="str">
            <v/>
          </cell>
          <cell r="CH31" t="str">
            <v/>
          </cell>
          <cell r="CI31" t="str">
            <v/>
          </cell>
          <cell r="CJ31" t="str">
            <v/>
          </cell>
          <cell r="CK31" t="str">
            <v/>
          </cell>
          <cell r="CL31" t="str">
            <v/>
          </cell>
          <cell r="CM31" t="str">
            <v/>
          </cell>
          <cell r="CN31" t="str">
            <v/>
          </cell>
          <cell r="CO31" t="str">
            <v/>
          </cell>
          <cell r="CP31" t="str">
            <v/>
          </cell>
          <cell r="CQ31" t="str">
            <v/>
          </cell>
          <cell r="CR31" t="str">
            <v/>
          </cell>
          <cell r="CS31" t="str">
            <v/>
          </cell>
          <cell r="CT31" t="str">
            <v/>
          </cell>
          <cell r="CU31" t="str">
            <v/>
          </cell>
          <cell r="CV31" t="str">
            <v/>
          </cell>
          <cell r="CW31" t="str">
            <v/>
          </cell>
          <cell r="CX31" t="str">
            <v/>
          </cell>
          <cell r="CY31" t="str">
            <v/>
          </cell>
          <cell r="CZ31" t="str">
            <v/>
          </cell>
          <cell r="DA31" t="str">
            <v/>
          </cell>
          <cell r="DB31" t="str">
            <v/>
          </cell>
        </row>
        <row r="32">
          <cell r="A32" t="str">
            <v/>
          </cell>
          <cell r="D32" t="str">
            <v/>
          </cell>
          <cell r="E32" t="str">
            <v/>
          </cell>
          <cell r="F32" t="str">
            <v/>
          </cell>
          <cell r="G32" t="str">
            <v/>
          </cell>
          <cell r="H32" t="str">
            <v/>
          </cell>
          <cell r="I32" t="str">
            <v/>
          </cell>
          <cell r="J32" t="str">
            <v/>
          </cell>
          <cell r="K32" t="str">
            <v/>
          </cell>
          <cell r="L32" t="str">
            <v/>
          </cell>
          <cell r="M32" t="str">
            <v/>
          </cell>
          <cell r="N32" t="str">
            <v/>
          </cell>
          <cell r="O32" t="str">
            <v/>
          </cell>
          <cell r="P32" t="str">
            <v/>
          </cell>
          <cell r="Q32" t="str">
            <v/>
          </cell>
          <cell r="R32" t="str">
            <v/>
          </cell>
          <cell r="S32" t="str">
            <v/>
          </cell>
          <cell r="T32" t="str">
            <v/>
          </cell>
          <cell r="U32" t="str">
            <v/>
          </cell>
          <cell r="V32" t="str">
            <v/>
          </cell>
          <cell r="W32" t="str">
            <v/>
          </cell>
          <cell r="X32" t="str">
            <v/>
          </cell>
          <cell r="Y32" t="str">
            <v/>
          </cell>
          <cell r="Z32" t="str">
            <v/>
          </cell>
          <cell r="AA32" t="str">
            <v/>
          </cell>
          <cell r="AB32" t="str">
            <v/>
          </cell>
          <cell r="AC32" t="str">
            <v/>
          </cell>
          <cell r="AD32" t="str">
            <v/>
          </cell>
          <cell r="AE32" t="str">
            <v/>
          </cell>
          <cell r="AF32" t="str">
            <v/>
          </cell>
          <cell r="AG32" t="str">
            <v/>
          </cell>
          <cell r="AH32" t="str">
            <v/>
          </cell>
          <cell r="AI32" t="str">
            <v/>
          </cell>
          <cell r="AJ32" t="str">
            <v/>
          </cell>
          <cell r="AK32" t="str">
            <v/>
          </cell>
          <cell r="AL32" t="str">
            <v/>
          </cell>
          <cell r="AM32" t="str">
            <v/>
          </cell>
          <cell r="AN32" t="str">
            <v/>
          </cell>
          <cell r="AO32" t="str">
            <v/>
          </cell>
          <cell r="AP32" t="str">
            <v/>
          </cell>
          <cell r="AQ32" t="str">
            <v/>
          </cell>
          <cell r="AR32" t="str">
            <v/>
          </cell>
          <cell r="AS32" t="str">
            <v/>
          </cell>
          <cell r="AT32" t="str">
            <v/>
          </cell>
          <cell r="AU32" t="str">
            <v/>
          </cell>
          <cell r="AV32" t="str">
            <v/>
          </cell>
          <cell r="AW32" t="str">
            <v/>
          </cell>
          <cell r="AX32" t="str">
            <v/>
          </cell>
          <cell r="AY32" t="str">
            <v/>
          </cell>
          <cell r="AZ32" t="str">
            <v/>
          </cell>
          <cell r="BA32" t="str">
            <v/>
          </cell>
          <cell r="BB32" t="str">
            <v/>
          </cell>
          <cell r="BC32" t="str">
            <v/>
          </cell>
          <cell r="BD32" t="str">
            <v/>
          </cell>
          <cell r="BE32" t="str">
            <v/>
          </cell>
          <cell r="BF32" t="str">
            <v/>
          </cell>
          <cell r="BG32" t="str">
            <v/>
          </cell>
          <cell r="BH32" t="str">
            <v/>
          </cell>
          <cell r="BI32" t="str">
            <v/>
          </cell>
          <cell r="BJ32" t="str">
            <v/>
          </cell>
          <cell r="BK32" t="str">
            <v/>
          </cell>
          <cell r="BL32" t="str">
            <v/>
          </cell>
          <cell r="BM32" t="str">
            <v/>
          </cell>
          <cell r="BN32" t="str">
            <v/>
          </cell>
          <cell r="BO32" t="str">
            <v/>
          </cell>
          <cell r="BP32" t="str">
            <v/>
          </cell>
          <cell r="BQ32" t="str">
            <v/>
          </cell>
          <cell r="BR32" t="str">
            <v/>
          </cell>
          <cell r="BS32" t="str">
            <v/>
          </cell>
          <cell r="BT32" t="str">
            <v/>
          </cell>
          <cell r="BU32" t="str">
            <v/>
          </cell>
          <cell r="BV32" t="str">
            <v/>
          </cell>
          <cell r="BW32" t="str">
            <v/>
          </cell>
          <cell r="BX32" t="str">
            <v/>
          </cell>
          <cell r="BY32" t="str">
            <v/>
          </cell>
          <cell r="BZ32" t="str">
            <v/>
          </cell>
          <cell r="CA32" t="str">
            <v/>
          </cell>
          <cell r="CB32" t="str">
            <v/>
          </cell>
          <cell r="CC32" t="str">
            <v/>
          </cell>
          <cell r="CD32" t="str">
            <v/>
          </cell>
          <cell r="CE32" t="str">
            <v/>
          </cell>
          <cell r="CF32" t="str">
            <v/>
          </cell>
          <cell r="CG32" t="str">
            <v/>
          </cell>
          <cell r="CH32" t="str">
            <v/>
          </cell>
          <cell r="CI32" t="str">
            <v/>
          </cell>
          <cell r="CJ32" t="str">
            <v/>
          </cell>
          <cell r="CK32" t="str">
            <v/>
          </cell>
          <cell r="CL32" t="str">
            <v/>
          </cell>
          <cell r="CM32" t="str">
            <v/>
          </cell>
          <cell r="CN32" t="str">
            <v/>
          </cell>
          <cell r="CO32" t="str">
            <v/>
          </cell>
          <cell r="CP32" t="str">
            <v/>
          </cell>
          <cell r="CQ32" t="str">
            <v/>
          </cell>
          <cell r="CR32" t="str">
            <v/>
          </cell>
          <cell r="CS32" t="str">
            <v/>
          </cell>
          <cell r="CT32" t="str">
            <v/>
          </cell>
          <cell r="CU32" t="str">
            <v/>
          </cell>
          <cell r="CV32" t="str">
            <v/>
          </cell>
          <cell r="CW32" t="str">
            <v/>
          </cell>
          <cell r="CX32" t="str">
            <v/>
          </cell>
          <cell r="CY32" t="str">
            <v/>
          </cell>
          <cell r="CZ32" t="str">
            <v/>
          </cell>
          <cell r="DA32" t="str">
            <v/>
          </cell>
          <cell r="DB32" t="str">
            <v/>
          </cell>
        </row>
        <row r="33">
          <cell r="A33" t="str">
            <v/>
          </cell>
        </row>
      </sheetData>
      <sheetData sheetId="5">
        <row r="1">
          <cell r="B1">
            <v>9</v>
          </cell>
        </row>
        <row r="2">
          <cell r="B2">
            <v>1</v>
          </cell>
        </row>
        <row r="50">
          <cell r="B50">
            <v>13</v>
          </cell>
        </row>
        <row r="51">
          <cell r="B51">
            <v>56.090909090909093</v>
          </cell>
          <cell r="C51">
            <v>49.858585858585862</v>
          </cell>
          <cell r="D51">
            <v>43.62626262626263</v>
          </cell>
          <cell r="E51">
            <v>37.393939393939391</v>
          </cell>
          <cell r="F51">
            <v>31.161616161616163</v>
          </cell>
          <cell r="G51">
            <v>24.929292929292927</v>
          </cell>
          <cell r="H51">
            <v>18.696969696969695</v>
          </cell>
          <cell r="I51">
            <v>12.464646464646471</v>
          </cell>
          <cell r="J51">
            <v>6.2323232323232318</v>
          </cell>
          <cell r="K51">
            <v>0</v>
          </cell>
          <cell r="L51" t="str">
            <v/>
          </cell>
          <cell r="M51" t="str">
            <v/>
          </cell>
          <cell r="N51" t="str">
            <v/>
          </cell>
          <cell r="O51" t="str">
            <v/>
          </cell>
          <cell r="P51" t="str">
            <v/>
          </cell>
          <cell r="Q51" t="str">
            <v/>
          </cell>
          <cell r="R51" t="str">
            <v/>
          </cell>
          <cell r="S51" t="str">
            <v/>
          </cell>
          <cell r="T51" t="str">
            <v/>
          </cell>
          <cell r="U51" t="str">
            <v/>
          </cell>
          <cell r="V51" t="str">
            <v/>
          </cell>
          <cell r="W51" t="str">
            <v/>
          </cell>
          <cell r="X51" t="str">
            <v/>
          </cell>
          <cell r="Y51" t="str">
            <v/>
          </cell>
          <cell r="Z51" t="str">
            <v/>
          </cell>
          <cell r="AA51" t="str">
            <v/>
          </cell>
          <cell r="AB51" t="str">
            <v/>
          </cell>
          <cell r="AC51" t="str">
            <v/>
          </cell>
          <cell r="AD51" t="str">
            <v/>
          </cell>
          <cell r="AE51" t="str">
            <v/>
          </cell>
          <cell r="AF51" t="str">
            <v/>
          </cell>
          <cell r="AG51" t="str">
            <v/>
          </cell>
          <cell r="AH51" t="str">
            <v/>
          </cell>
          <cell r="AI51" t="str">
            <v/>
          </cell>
          <cell r="AJ51" t="str">
            <v/>
          </cell>
          <cell r="AK51" t="str">
            <v/>
          </cell>
          <cell r="AL51" t="str">
            <v/>
          </cell>
          <cell r="AM51" t="str">
            <v/>
          </cell>
          <cell r="AN51" t="str">
            <v/>
          </cell>
          <cell r="AO51" t="str">
            <v/>
          </cell>
          <cell r="AP51" t="str">
            <v/>
          </cell>
          <cell r="AQ51" t="str">
            <v/>
          </cell>
          <cell r="AR51" t="str">
            <v/>
          </cell>
          <cell r="AS51" t="str">
            <v/>
          </cell>
          <cell r="AT51" t="str">
            <v/>
          </cell>
          <cell r="AU51" t="str">
            <v/>
          </cell>
          <cell r="AV51" t="str">
            <v/>
          </cell>
          <cell r="AW51" t="str">
            <v/>
          </cell>
          <cell r="AX51" t="str">
            <v/>
          </cell>
          <cell r="AY51" t="str">
            <v/>
          </cell>
          <cell r="AZ51" t="str">
            <v/>
          </cell>
          <cell r="BA51" t="str">
            <v/>
          </cell>
          <cell r="BB51" t="str">
            <v/>
          </cell>
          <cell r="BC51" t="str">
            <v/>
          </cell>
          <cell r="BD51" t="str">
            <v/>
          </cell>
          <cell r="BE51" t="str">
            <v/>
          </cell>
          <cell r="BF51" t="str">
            <v/>
          </cell>
          <cell r="BG51" t="str">
            <v/>
          </cell>
          <cell r="BH51" t="str">
            <v/>
          </cell>
          <cell r="BI51" t="str">
            <v/>
          </cell>
          <cell r="BJ51" t="str">
            <v/>
          </cell>
          <cell r="BK51" t="str">
            <v/>
          </cell>
          <cell r="BL51" t="str">
            <v/>
          </cell>
          <cell r="BM51" t="str">
            <v/>
          </cell>
          <cell r="BN51" t="str">
            <v/>
          </cell>
          <cell r="BO51" t="str">
            <v/>
          </cell>
          <cell r="BP51" t="str">
            <v/>
          </cell>
          <cell r="BQ51" t="str">
            <v/>
          </cell>
          <cell r="BR51" t="str">
            <v/>
          </cell>
          <cell r="BS51" t="str">
            <v/>
          </cell>
          <cell r="BT51" t="str">
            <v/>
          </cell>
          <cell r="BU51" t="str">
            <v/>
          </cell>
          <cell r="BV51" t="str">
            <v/>
          </cell>
          <cell r="BW51" t="str">
            <v/>
          </cell>
          <cell r="BX51" t="str">
            <v/>
          </cell>
          <cell r="BY51" t="str">
            <v/>
          </cell>
          <cell r="BZ51" t="str">
            <v/>
          </cell>
          <cell r="CA51" t="str">
            <v/>
          </cell>
          <cell r="CB51" t="str">
            <v/>
          </cell>
          <cell r="CC51" t="str">
            <v/>
          </cell>
          <cell r="CD51" t="str">
            <v/>
          </cell>
          <cell r="CE51" t="str">
            <v/>
          </cell>
          <cell r="CF51" t="str">
            <v/>
          </cell>
          <cell r="CG51" t="str">
            <v/>
          </cell>
          <cell r="CH51" t="str">
            <v/>
          </cell>
          <cell r="CI51" t="str">
            <v/>
          </cell>
          <cell r="CJ51" t="str">
            <v/>
          </cell>
          <cell r="CK51" t="str">
            <v/>
          </cell>
          <cell r="CL51" t="str">
            <v/>
          </cell>
          <cell r="CM51" t="str">
            <v/>
          </cell>
          <cell r="CN51" t="str">
            <v/>
          </cell>
          <cell r="CO51" t="str">
            <v/>
          </cell>
          <cell r="CP51" t="str">
            <v/>
          </cell>
          <cell r="CQ51" t="str">
            <v/>
          </cell>
          <cell r="CR51" t="str">
            <v/>
          </cell>
          <cell r="CS51" t="str">
            <v/>
          </cell>
          <cell r="CT51" t="str">
            <v/>
          </cell>
          <cell r="CU51" t="str">
            <v/>
          </cell>
          <cell r="CV51" t="str">
            <v/>
          </cell>
          <cell r="CW51" t="str">
            <v/>
          </cell>
          <cell r="CX51" t="str">
            <v/>
          </cell>
          <cell r="CY51" t="str">
            <v/>
          </cell>
          <cell r="CZ51" t="str">
            <v/>
          </cell>
        </row>
        <row r="52">
          <cell r="B52" t="b">
            <v>1</v>
          </cell>
          <cell r="C52" t="b">
            <v>1</v>
          </cell>
          <cell r="D52" t="b">
            <v>1</v>
          </cell>
          <cell r="E52" t="b">
            <v>1</v>
          </cell>
          <cell r="F52" t="b">
            <v>0</v>
          </cell>
          <cell r="G52" t="b">
            <v>0</v>
          </cell>
          <cell r="H52" t="b">
            <v>0</v>
          </cell>
          <cell r="I52" t="b">
            <v>0</v>
          </cell>
          <cell r="J52" t="b">
            <v>0</v>
          </cell>
          <cell r="K52" t="b">
            <v>0</v>
          </cell>
          <cell r="L52" t="b">
            <v>0</v>
          </cell>
          <cell r="M52" t="b">
            <v>0</v>
          </cell>
          <cell r="N52" t="b">
            <v>0</v>
          </cell>
          <cell r="O52" t="b">
            <v>0</v>
          </cell>
          <cell r="P52" t="b">
            <v>0</v>
          </cell>
          <cell r="Q52" t="b">
            <v>0</v>
          </cell>
          <cell r="R52" t="b">
            <v>0</v>
          </cell>
          <cell r="S52" t="b">
            <v>0</v>
          </cell>
          <cell r="T52" t="b">
            <v>0</v>
          </cell>
          <cell r="U52" t="b">
            <v>0</v>
          </cell>
          <cell r="V52" t="b">
            <v>0</v>
          </cell>
          <cell r="W52" t="b">
            <v>0</v>
          </cell>
          <cell r="X52" t="b">
            <v>0</v>
          </cell>
          <cell r="Y52" t="b">
            <v>0</v>
          </cell>
          <cell r="Z52" t="b">
            <v>0</v>
          </cell>
          <cell r="AA52" t="b">
            <v>0</v>
          </cell>
          <cell r="AB52" t="b">
            <v>0</v>
          </cell>
          <cell r="AC52" t="b">
            <v>0</v>
          </cell>
          <cell r="AD52" t="b">
            <v>0</v>
          </cell>
          <cell r="AE52" t="b">
            <v>0</v>
          </cell>
          <cell r="AF52" t="b">
            <v>0</v>
          </cell>
          <cell r="AG52" t="b">
            <v>0</v>
          </cell>
          <cell r="AH52" t="b">
            <v>0</v>
          </cell>
          <cell r="AI52" t="b">
            <v>0</v>
          </cell>
          <cell r="AJ52" t="b">
            <v>0</v>
          </cell>
          <cell r="AK52" t="b">
            <v>0</v>
          </cell>
          <cell r="AL52" t="b">
            <v>0</v>
          </cell>
          <cell r="AM52" t="b">
            <v>0</v>
          </cell>
          <cell r="AN52" t="b">
            <v>0</v>
          </cell>
          <cell r="AO52" t="b">
            <v>0</v>
          </cell>
          <cell r="AP52" t="b">
            <v>0</v>
          </cell>
          <cell r="AQ52" t="b">
            <v>0</v>
          </cell>
          <cell r="AR52" t="b">
            <v>0</v>
          </cell>
          <cell r="AS52" t="b">
            <v>0</v>
          </cell>
          <cell r="AT52" t="b">
            <v>0</v>
          </cell>
          <cell r="AU52" t="b">
            <v>0</v>
          </cell>
          <cell r="AV52" t="b">
            <v>0</v>
          </cell>
          <cell r="AW52" t="b">
            <v>0</v>
          </cell>
          <cell r="AX52" t="b">
            <v>0</v>
          </cell>
          <cell r="AY52" t="b">
            <v>0</v>
          </cell>
          <cell r="AZ52" t="b">
            <v>0</v>
          </cell>
          <cell r="BA52" t="b">
            <v>0</v>
          </cell>
          <cell r="BB52" t="b">
            <v>0</v>
          </cell>
          <cell r="BC52" t="b">
            <v>0</v>
          </cell>
          <cell r="BD52" t="b">
            <v>0</v>
          </cell>
          <cell r="BE52" t="b">
            <v>0</v>
          </cell>
          <cell r="BF52" t="b">
            <v>0</v>
          </cell>
          <cell r="BG52" t="b">
            <v>0</v>
          </cell>
          <cell r="BH52" t="b">
            <v>0</v>
          </cell>
          <cell r="BI52" t="b">
            <v>0</v>
          </cell>
          <cell r="BJ52" t="b">
            <v>0</v>
          </cell>
          <cell r="BK52" t="b">
            <v>0</v>
          </cell>
          <cell r="BL52" t="b">
            <v>0</v>
          </cell>
          <cell r="BM52" t="b">
            <v>0</v>
          </cell>
          <cell r="BN52" t="b">
            <v>0</v>
          </cell>
          <cell r="BO52" t="b">
            <v>0</v>
          </cell>
          <cell r="BP52" t="b">
            <v>0</v>
          </cell>
          <cell r="BQ52" t="b">
            <v>0</v>
          </cell>
          <cell r="BR52" t="b">
            <v>0</v>
          </cell>
          <cell r="BS52" t="b">
            <v>0</v>
          </cell>
          <cell r="BT52" t="b">
            <v>0</v>
          </cell>
          <cell r="BU52" t="b">
            <v>0</v>
          </cell>
          <cell r="BV52" t="b">
            <v>0</v>
          </cell>
          <cell r="BW52" t="b">
            <v>0</v>
          </cell>
          <cell r="BX52" t="b">
            <v>0</v>
          </cell>
          <cell r="BY52" t="b">
            <v>0</v>
          </cell>
          <cell r="BZ52" t="b">
            <v>0</v>
          </cell>
          <cell r="CA52" t="b">
            <v>0</v>
          </cell>
          <cell r="CB52" t="b">
            <v>0</v>
          </cell>
          <cell r="CC52" t="b">
            <v>0</v>
          </cell>
          <cell r="CD52" t="b">
            <v>0</v>
          </cell>
          <cell r="CE52" t="b">
            <v>0</v>
          </cell>
          <cell r="CF52" t="b">
            <v>0</v>
          </cell>
          <cell r="CG52" t="b">
            <v>0</v>
          </cell>
          <cell r="CH52" t="b">
            <v>0</v>
          </cell>
          <cell r="CI52" t="b">
            <v>0</v>
          </cell>
          <cell r="CJ52" t="b">
            <v>0</v>
          </cell>
          <cell r="CK52" t="b">
            <v>0</v>
          </cell>
          <cell r="CL52" t="b">
            <v>0</v>
          </cell>
          <cell r="CM52" t="b">
            <v>0</v>
          </cell>
          <cell r="CN52" t="b">
            <v>0</v>
          </cell>
          <cell r="CO52" t="b">
            <v>0</v>
          </cell>
          <cell r="CP52" t="b">
            <v>0</v>
          </cell>
          <cell r="CQ52" t="b">
            <v>0</v>
          </cell>
          <cell r="CR52" t="b">
            <v>0</v>
          </cell>
          <cell r="CS52" t="b">
            <v>0</v>
          </cell>
          <cell r="CT52" t="b">
            <v>0</v>
          </cell>
          <cell r="CU52" t="b">
            <v>0</v>
          </cell>
          <cell r="CV52" t="b">
            <v>0</v>
          </cell>
          <cell r="CW52" t="b">
            <v>0</v>
          </cell>
          <cell r="CX52" t="b">
            <v>0</v>
          </cell>
          <cell r="CY52" t="b">
            <v>0</v>
          </cell>
          <cell r="CZ52" t="b">
            <v>0</v>
          </cell>
        </row>
        <row r="53">
          <cell r="B53" t="str">
            <v>Yes</v>
          </cell>
          <cell r="C53" t="str">
            <v>No</v>
          </cell>
        </row>
        <row r="54">
          <cell r="B54">
            <v>0</v>
          </cell>
          <cell r="C54">
            <v>0</v>
          </cell>
          <cell r="D54">
            <v>0</v>
          </cell>
          <cell r="E54">
            <v>0</v>
          </cell>
          <cell r="F54">
            <v>0</v>
          </cell>
          <cell r="G54">
            <v>0</v>
          </cell>
          <cell r="H54">
            <v>0</v>
          </cell>
          <cell r="I54">
            <v>0</v>
          </cell>
          <cell r="J54">
            <v>0</v>
          </cell>
          <cell r="K54">
            <v>0</v>
          </cell>
          <cell r="L54" t="str">
            <v/>
          </cell>
          <cell r="M54" t="str">
            <v/>
          </cell>
          <cell r="N54" t="str">
            <v/>
          </cell>
          <cell r="O54" t="str">
            <v/>
          </cell>
          <cell r="P54" t="str">
            <v/>
          </cell>
          <cell r="Q54" t="str">
            <v/>
          </cell>
          <cell r="R54" t="str">
            <v/>
          </cell>
          <cell r="S54" t="str">
            <v/>
          </cell>
          <cell r="T54" t="str">
            <v/>
          </cell>
          <cell r="U54" t="str">
            <v/>
          </cell>
          <cell r="V54" t="str">
            <v/>
          </cell>
          <cell r="W54" t="str">
            <v/>
          </cell>
          <cell r="X54" t="str">
            <v/>
          </cell>
          <cell r="Y54" t="str">
            <v/>
          </cell>
          <cell r="Z54" t="str">
            <v/>
          </cell>
          <cell r="AA54" t="str">
            <v/>
          </cell>
          <cell r="AB54" t="str">
            <v/>
          </cell>
          <cell r="AC54" t="str">
            <v/>
          </cell>
          <cell r="AD54" t="str">
            <v/>
          </cell>
          <cell r="AE54" t="str">
            <v/>
          </cell>
          <cell r="AF54" t="str">
            <v/>
          </cell>
          <cell r="AG54" t="str">
            <v/>
          </cell>
          <cell r="AH54" t="str">
            <v/>
          </cell>
          <cell r="AI54" t="str">
            <v/>
          </cell>
          <cell r="AJ54" t="str">
            <v/>
          </cell>
          <cell r="AK54" t="str">
            <v/>
          </cell>
          <cell r="AL54" t="str">
            <v/>
          </cell>
          <cell r="AM54" t="str">
            <v/>
          </cell>
          <cell r="AN54" t="str">
            <v/>
          </cell>
          <cell r="AO54" t="str">
            <v/>
          </cell>
          <cell r="AP54" t="str">
            <v/>
          </cell>
          <cell r="AQ54" t="str">
            <v/>
          </cell>
          <cell r="AR54" t="str">
            <v/>
          </cell>
          <cell r="AS54" t="str">
            <v/>
          </cell>
          <cell r="AT54" t="str">
            <v/>
          </cell>
          <cell r="AU54" t="str">
            <v/>
          </cell>
          <cell r="AV54" t="str">
            <v/>
          </cell>
          <cell r="AW54" t="str">
            <v/>
          </cell>
          <cell r="AX54" t="str">
            <v/>
          </cell>
          <cell r="AY54" t="str">
            <v/>
          </cell>
          <cell r="AZ54" t="str">
            <v/>
          </cell>
          <cell r="BA54" t="str">
            <v/>
          </cell>
          <cell r="BB54" t="str">
            <v/>
          </cell>
          <cell r="BC54" t="str">
            <v/>
          </cell>
          <cell r="BD54" t="str">
            <v/>
          </cell>
          <cell r="BE54" t="str">
            <v/>
          </cell>
          <cell r="BF54" t="str">
            <v/>
          </cell>
          <cell r="BG54" t="str">
            <v/>
          </cell>
          <cell r="BH54" t="str">
            <v/>
          </cell>
          <cell r="BI54" t="str">
            <v/>
          </cell>
          <cell r="BJ54" t="str">
            <v/>
          </cell>
          <cell r="BK54" t="str">
            <v/>
          </cell>
          <cell r="BL54" t="str">
            <v/>
          </cell>
          <cell r="BM54" t="str">
            <v/>
          </cell>
          <cell r="BN54" t="str">
            <v/>
          </cell>
          <cell r="BO54" t="str">
            <v/>
          </cell>
          <cell r="BP54" t="str">
            <v/>
          </cell>
          <cell r="BQ54" t="str">
            <v/>
          </cell>
          <cell r="BR54" t="str">
            <v/>
          </cell>
          <cell r="BS54" t="str">
            <v/>
          </cell>
          <cell r="BT54" t="str">
            <v/>
          </cell>
          <cell r="BU54" t="str">
            <v/>
          </cell>
          <cell r="BV54" t="str">
            <v/>
          </cell>
          <cell r="BW54" t="str">
            <v/>
          </cell>
          <cell r="BX54" t="str">
            <v/>
          </cell>
          <cell r="BY54" t="str">
            <v/>
          </cell>
          <cell r="BZ54" t="str">
            <v/>
          </cell>
          <cell r="CA54" t="str">
            <v/>
          </cell>
          <cell r="CB54" t="str">
            <v/>
          </cell>
          <cell r="CC54" t="str">
            <v/>
          </cell>
          <cell r="CD54" t="str">
            <v/>
          </cell>
          <cell r="CE54" t="str">
            <v/>
          </cell>
          <cell r="CF54" t="str">
            <v/>
          </cell>
          <cell r="CG54" t="str">
            <v/>
          </cell>
          <cell r="CH54" t="str">
            <v/>
          </cell>
          <cell r="CI54" t="str">
            <v/>
          </cell>
          <cell r="CJ54" t="str">
            <v/>
          </cell>
          <cell r="CK54" t="str">
            <v/>
          </cell>
          <cell r="CL54" t="str">
            <v/>
          </cell>
          <cell r="CM54" t="str">
            <v/>
          </cell>
          <cell r="CN54" t="str">
            <v/>
          </cell>
          <cell r="CO54" t="str">
            <v/>
          </cell>
          <cell r="CP54" t="str">
            <v/>
          </cell>
          <cell r="CQ54" t="str">
            <v/>
          </cell>
          <cell r="CR54" t="str">
            <v/>
          </cell>
          <cell r="CS54" t="str">
            <v/>
          </cell>
          <cell r="CT54" t="str">
            <v/>
          </cell>
          <cell r="CU54" t="str">
            <v/>
          </cell>
          <cell r="CV54" t="str">
            <v/>
          </cell>
          <cell r="CW54" t="str">
            <v/>
          </cell>
          <cell r="CX54" t="str">
            <v/>
          </cell>
          <cell r="CY54" t="str">
            <v/>
          </cell>
          <cell r="CZ54" t="str">
            <v/>
          </cell>
        </row>
        <row r="58">
          <cell r="A58" t="str">
            <v>Upper Trend</v>
          </cell>
          <cell r="B58">
            <v>122.5</v>
          </cell>
          <cell r="C58">
            <v>105</v>
          </cell>
          <cell r="D58">
            <v>87.5</v>
          </cell>
          <cell r="E58">
            <v>70</v>
          </cell>
          <cell r="F58">
            <v>52.5</v>
          </cell>
          <cell r="G58">
            <v>35</v>
          </cell>
          <cell r="H58">
            <v>17.5</v>
          </cell>
          <cell r="I58">
            <v>0</v>
          </cell>
          <cell r="J58">
            <v>-17.5</v>
          </cell>
          <cell r="K58" t="str">
            <v/>
          </cell>
          <cell r="L58" t="str">
            <v/>
          </cell>
          <cell r="M58" t="str">
            <v/>
          </cell>
          <cell r="N58" t="str">
            <v/>
          </cell>
          <cell r="O58" t="str">
            <v/>
          </cell>
          <cell r="P58" t="str">
            <v/>
          </cell>
          <cell r="Q58" t="str">
            <v/>
          </cell>
          <cell r="R58" t="str">
            <v/>
          </cell>
          <cell r="S58" t="str">
            <v/>
          </cell>
          <cell r="T58" t="str">
            <v/>
          </cell>
          <cell r="U58" t="str">
            <v/>
          </cell>
          <cell r="V58" t="str">
            <v/>
          </cell>
          <cell r="W58" t="str">
            <v/>
          </cell>
          <cell r="X58" t="str">
            <v/>
          </cell>
          <cell r="Y58" t="str">
            <v/>
          </cell>
          <cell r="Z58" t="str">
            <v/>
          </cell>
          <cell r="AA58" t="str">
            <v/>
          </cell>
          <cell r="AB58" t="str">
            <v/>
          </cell>
          <cell r="AC58" t="str">
            <v/>
          </cell>
          <cell r="AD58" t="str">
            <v/>
          </cell>
          <cell r="AE58" t="str">
            <v/>
          </cell>
          <cell r="AF58" t="str">
            <v/>
          </cell>
          <cell r="AG58" t="str">
            <v/>
          </cell>
          <cell r="AH58" t="str">
            <v/>
          </cell>
          <cell r="AI58" t="str">
            <v/>
          </cell>
          <cell r="AJ58" t="str">
            <v/>
          </cell>
          <cell r="AK58" t="str">
            <v/>
          </cell>
          <cell r="AL58" t="str">
            <v/>
          </cell>
          <cell r="AM58" t="str">
            <v/>
          </cell>
          <cell r="AN58" t="str">
            <v/>
          </cell>
          <cell r="AO58" t="str">
            <v/>
          </cell>
          <cell r="AP58" t="str">
            <v/>
          </cell>
          <cell r="AQ58" t="str">
            <v/>
          </cell>
          <cell r="AR58" t="str">
            <v/>
          </cell>
          <cell r="AS58" t="str">
            <v/>
          </cell>
          <cell r="AT58" t="str">
            <v/>
          </cell>
          <cell r="AU58" t="str">
            <v/>
          </cell>
          <cell r="AV58" t="str">
            <v/>
          </cell>
          <cell r="AW58" t="str">
            <v/>
          </cell>
          <cell r="AX58" t="str">
            <v/>
          </cell>
          <cell r="AY58" t="str">
            <v/>
          </cell>
          <cell r="AZ58" t="str">
            <v/>
          </cell>
          <cell r="BA58" t="str">
            <v/>
          </cell>
          <cell r="BB58" t="str">
            <v/>
          </cell>
          <cell r="BC58" t="str">
            <v/>
          </cell>
          <cell r="BD58" t="str">
            <v/>
          </cell>
          <cell r="BE58" t="str">
            <v/>
          </cell>
          <cell r="BF58" t="str">
            <v/>
          </cell>
          <cell r="BG58" t="str">
            <v/>
          </cell>
          <cell r="BH58" t="str">
            <v/>
          </cell>
          <cell r="BI58" t="str">
            <v/>
          </cell>
          <cell r="BJ58" t="str">
            <v/>
          </cell>
          <cell r="BK58" t="str">
            <v/>
          </cell>
          <cell r="BL58" t="str">
            <v/>
          </cell>
          <cell r="BM58" t="str">
            <v/>
          </cell>
          <cell r="BN58" t="str">
            <v/>
          </cell>
          <cell r="BO58" t="str">
            <v/>
          </cell>
          <cell r="BP58" t="str">
            <v/>
          </cell>
          <cell r="BQ58" t="str">
            <v/>
          </cell>
          <cell r="BR58" t="str">
            <v/>
          </cell>
          <cell r="BS58" t="str">
            <v/>
          </cell>
          <cell r="BT58" t="str">
            <v/>
          </cell>
          <cell r="BU58" t="str">
            <v/>
          </cell>
          <cell r="BV58" t="str">
            <v/>
          </cell>
          <cell r="BW58" t="str">
            <v/>
          </cell>
          <cell r="BX58" t="str">
            <v/>
          </cell>
          <cell r="BY58" t="str">
            <v/>
          </cell>
          <cell r="BZ58" t="str">
            <v/>
          </cell>
          <cell r="CA58" t="str">
            <v/>
          </cell>
          <cell r="CB58" t="str">
            <v/>
          </cell>
          <cell r="CC58" t="str">
            <v/>
          </cell>
          <cell r="CD58" t="str">
            <v/>
          </cell>
          <cell r="CE58" t="str">
            <v/>
          </cell>
          <cell r="CF58" t="str">
            <v/>
          </cell>
          <cell r="CG58" t="str">
            <v/>
          </cell>
          <cell r="CH58" t="str">
            <v/>
          </cell>
          <cell r="CI58" t="str">
            <v/>
          </cell>
          <cell r="CJ58" t="str">
            <v/>
          </cell>
          <cell r="CK58" t="str">
            <v/>
          </cell>
          <cell r="CL58" t="str">
            <v/>
          </cell>
          <cell r="CM58" t="str">
            <v/>
          </cell>
          <cell r="CN58" t="str">
            <v/>
          </cell>
          <cell r="CO58" t="str">
            <v/>
          </cell>
          <cell r="CP58" t="str">
            <v/>
          </cell>
          <cell r="CQ58" t="str">
            <v/>
          </cell>
          <cell r="CR58" t="str">
            <v/>
          </cell>
          <cell r="CS58" t="str">
            <v/>
          </cell>
          <cell r="CT58" t="str">
            <v/>
          </cell>
          <cell r="CU58" t="str">
            <v/>
          </cell>
          <cell r="CV58" t="str">
            <v/>
          </cell>
          <cell r="CW58" t="str">
            <v/>
          </cell>
          <cell r="CX58" t="str">
            <v/>
          </cell>
          <cell r="CY58" t="str">
            <v/>
          </cell>
          <cell r="CZ58" t="str">
            <v/>
          </cell>
          <cell r="DA58" t="str">
            <v/>
          </cell>
          <cell r="DB58" t="str">
            <v/>
          </cell>
          <cell r="DC58" t="str">
            <v/>
          </cell>
          <cell r="DD58" t="str">
            <v/>
          </cell>
          <cell r="DE58" t="str">
            <v/>
          </cell>
          <cell r="DF58" t="str">
            <v/>
          </cell>
          <cell r="DG58" t="str">
            <v/>
          </cell>
          <cell r="DH58" t="str">
            <v/>
          </cell>
          <cell r="DI58" t="str">
            <v/>
          </cell>
          <cell r="DJ58" t="str">
            <v/>
          </cell>
          <cell r="DK58" t="str">
            <v/>
          </cell>
          <cell r="DL58" t="str">
            <v/>
          </cell>
          <cell r="DM58" t="str">
            <v/>
          </cell>
          <cell r="DN58" t="str">
            <v/>
          </cell>
          <cell r="DO58" t="str">
            <v/>
          </cell>
          <cell r="DP58" t="str">
            <v/>
          </cell>
          <cell r="DQ58" t="str">
            <v/>
          </cell>
          <cell r="DR58" t="str">
            <v/>
          </cell>
          <cell r="DS58" t="str">
            <v/>
          </cell>
          <cell r="DT58" t="str">
            <v/>
          </cell>
          <cell r="DU58" t="str">
            <v/>
          </cell>
          <cell r="DV58" t="str">
            <v/>
          </cell>
          <cell r="DW58" t="str">
            <v/>
          </cell>
          <cell r="DX58" t="str">
            <v/>
          </cell>
          <cell r="DY58" t="str">
            <v/>
          </cell>
          <cell r="DZ58" t="str">
            <v/>
          </cell>
          <cell r="EA58" t="str">
            <v/>
          </cell>
          <cell r="EB58" t="str">
            <v/>
          </cell>
          <cell r="EC58" t="str">
            <v/>
          </cell>
          <cell r="ED58" t="str">
            <v/>
          </cell>
          <cell r="EE58" t="str">
            <v/>
          </cell>
          <cell r="EF58" t="str">
            <v/>
          </cell>
          <cell r="EG58" t="str">
            <v/>
          </cell>
          <cell r="EH58" t="str">
            <v/>
          </cell>
          <cell r="EI58" t="str">
            <v/>
          </cell>
          <cell r="EJ58" t="str">
            <v/>
          </cell>
          <cell r="EK58" t="str">
            <v/>
          </cell>
          <cell r="EL58" t="str">
            <v/>
          </cell>
          <cell r="EM58" t="str">
            <v/>
          </cell>
          <cell r="EN58" t="str">
            <v/>
          </cell>
          <cell r="EO58" t="str">
            <v/>
          </cell>
          <cell r="EP58" t="str">
            <v/>
          </cell>
          <cell r="EQ58" t="str">
            <v/>
          </cell>
          <cell r="ER58" t="str">
            <v/>
          </cell>
          <cell r="ES58" t="str">
            <v/>
          </cell>
          <cell r="ET58" t="str">
            <v/>
          </cell>
          <cell r="EU58" t="str">
            <v/>
          </cell>
          <cell r="EV58" t="str">
            <v/>
          </cell>
          <cell r="EW58" t="str">
            <v/>
          </cell>
          <cell r="EX58" t="str">
            <v/>
          </cell>
          <cell r="EY58" t="str">
            <v/>
          </cell>
          <cell r="EZ58" t="str">
            <v/>
          </cell>
          <cell r="FA58" t="str">
            <v/>
          </cell>
        </row>
        <row r="59">
          <cell r="A59" t="str">
            <v>Lower Trend</v>
          </cell>
          <cell r="B59">
            <v>-1.5</v>
          </cell>
          <cell r="C59">
            <v>-2.5</v>
          </cell>
          <cell r="D59">
            <v>-3.5</v>
          </cell>
          <cell r="E59">
            <v>-4.5</v>
          </cell>
          <cell r="F59">
            <v>-5.5</v>
          </cell>
          <cell r="G59">
            <v>-6.5</v>
          </cell>
          <cell r="H59">
            <v>-7.5</v>
          </cell>
          <cell r="I59">
            <v>-8.5</v>
          </cell>
          <cell r="J59">
            <v>-9.5</v>
          </cell>
          <cell r="K59" t="str">
            <v/>
          </cell>
          <cell r="L59" t="str">
            <v/>
          </cell>
          <cell r="M59" t="str">
            <v/>
          </cell>
          <cell r="N59" t="str">
            <v/>
          </cell>
          <cell r="O59" t="str">
            <v/>
          </cell>
          <cell r="P59" t="str">
            <v/>
          </cell>
          <cell r="Q59" t="str">
            <v/>
          </cell>
          <cell r="R59" t="str">
            <v/>
          </cell>
          <cell r="S59" t="str">
            <v/>
          </cell>
          <cell r="T59" t="str">
            <v/>
          </cell>
          <cell r="U59" t="str">
            <v/>
          </cell>
          <cell r="V59" t="str">
            <v/>
          </cell>
          <cell r="W59" t="str">
            <v/>
          </cell>
          <cell r="X59" t="str">
            <v/>
          </cell>
          <cell r="Y59" t="str">
            <v/>
          </cell>
          <cell r="Z59" t="str">
            <v/>
          </cell>
          <cell r="AA59" t="str">
            <v/>
          </cell>
          <cell r="AB59" t="str">
            <v/>
          </cell>
          <cell r="AC59" t="str">
            <v/>
          </cell>
          <cell r="AD59" t="str">
            <v/>
          </cell>
          <cell r="AE59" t="str">
            <v/>
          </cell>
          <cell r="AF59" t="str">
            <v/>
          </cell>
          <cell r="AG59" t="str">
            <v/>
          </cell>
          <cell r="AH59" t="str">
            <v/>
          </cell>
          <cell r="AI59" t="str">
            <v/>
          </cell>
          <cell r="AJ59" t="str">
            <v/>
          </cell>
          <cell r="AK59" t="str">
            <v/>
          </cell>
          <cell r="AL59" t="str">
            <v/>
          </cell>
          <cell r="AM59" t="str">
            <v/>
          </cell>
          <cell r="AN59" t="str">
            <v/>
          </cell>
          <cell r="AO59" t="str">
            <v/>
          </cell>
          <cell r="AP59" t="str">
            <v/>
          </cell>
          <cell r="AQ59" t="str">
            <v/>
          </cell>
          <cell r="AR59" t="str">
            <v/>
          </cell>
          <cell r="AS59" t="str">
            <v/>
          </cell>
          <cell r="AT59" t="str">
            <v/>
          </cell>
          <cell r="AU59" t="str">
            <v/>
          </cell>
          <cell r="AV59" t="str">
            <v/>
          </cell>
          <cell r="AW59" t="str">
            <v/>
          </cell>
          <cell r="AX59" t="str">
            <v/>
          </cell>
          <cell r="AY59" t="str">
            <v/>
          </cell>
          <cell r="AZ59" t="str">
            <v/>
          </cell>
          <cell r="BA59" t="str">
            <v/>
          </cell>
          <cell r="BB59" t="str">
            <v/>
          </cell>
          <cell r="BC59" t="str">
            <v/>
          </cell>
          <cell r="BD59" t="str">
            <v/>
          </cell>
          <cell r="BE59" t="str">
            <v/>
          </cell>
          <cell r="BF59" t="str">
            <v/>
          </cell>
          <cell r="BG59" t="str">
            <v/>
          </cell>
          <cell r="BH59" t="str">
            <v/>
          </cell>
          <cell r="BI59" t="str">
            <v/>
          </cell>
          <cell r="BJ59" t="str">
            <v/>
          </cell>
          <cell r="BK59" t="str">
            <v/>
          </cell>
          <cell r="BL59" t="str">
            <v/>
          </cell>
          <cell r="BM59" t="str">
            <v/>
          </cell>
          <cell r="BN59" t="str">
            <v/>
          </cell>
          <cell r="BO59" t="str">
            <v/>
          </cell>
          <cell r="BP59" t="str">
            <v/>
          </cell>
          <cell r="BQ59" t="str">
            <v/>
          </cell>
          <cell r="BR59" t="str">
            <v/>
          </cell>
          <cell r="BS59" t="str">
            <v/>
          </cell>
          <cell r="BT59" t="str">
            <v/>
          </cell>
          <cell r="BU59" t="str">
            <v/>
          </cell>
          <cell r="BV59" t="str">
            <v/>
          </cell>
          <cell r="BW59" t="str">
            <v/>
          </cell>
          <cell r="BX59" t="str">
            <v/>
          </cell>
          <cell r="BY59" t="str">
            <v/>
          </cell>
          <cell r="BZ59" t="str">
            <v/>
          </cell>
          <cell r="CA59" t="str">
            <v/>
          </cell>
          <cell r="CB59" t="str">
            <v/>
          </cell>
          <cell r="CC59" t="str">
            <v/>
          </cell>
          <cell r="CD59" t="str">
            <v/>
          </cell>
          <cell r="CE59" t="str">
            <v/>
          </cell>
          <cell r="CF59" t="str">
            <v/>
          </cell>
          <cell r="CG59" t="str">
            <v/>
          </cell>
          <cell r="CH59" t="str">
            <v/>
          </cell>
          <cell r="CI59" t="str">
            <v/>
          </cell>
          <cell r="CJ59" t="str">
            <v/>
          </cell>
          <cell r="CK59" t="str">
            <v/>
          </cell>
          <cell r="CL59" t="str">
            <v/>
          </cell>
          <cell r="CM59" t="str">
            <v/>
          </cell>
          <cell r="CN59" t="str">
            <v/>
          </cell>
          <cell r="CO59" t="str">
            <v/>
          </cell>
          <cell r="CP59" t="str">
            <v/>
          </cell>
          <cell r="CQ59" t="str">
            <v/>
          </cell>
          <cell r="CR59" t="str">
            <v/>
          </cell>
          <cell r="CS59" t="str">
            <v/>
          </cell>
          <cell r="CT59" t="str">
            <v/>
          </cell>
          <cell r="CU59" t="str">
            <v/>
          </cell>
          <cell r="CV59" t="str">
            <v/>
          </cell>
          <cell r="CW59" t="str">
            <v/>
          </cell>
          <cell r="CX59" t="str">
            <v/>
          </cell>
          <cell r="CY59" t="str">
            <v/>
          </cell>
          <cell r="CZ59" t="str">
            <v/>
          </cell>
          <cell r="DA59" t="str">
            <v/>
          </cell>
          <cell r="DB59" t="str">
            <v/>
          </cell>
          <cell r="DC59" t="str">
            <v/>
          </cell>
          <cell r="DD59" t="str">
            <v/>
          </cell>
          <cell r="DE59" t="str">
            <v/>
          </cell>
          <cell r="DF59" t="str">
            <v/>
          </cell>
          <cell r="DG59" t="str">
            <v/>
          </cell>
          <cell r="DH59" t="str">
            <v/>
          </cell>
          <cell r="DI59" t="str">
            <v/>
          </cell>
          <cell r="DJ59" t="str">
            <v/>
          </cell>
          <cell r="DK59" t="str">
            <v/>
          </cell>
          <cell r="DL59" t="str">
            <v/>
          </cell>
          <cell r="DM59" t="str">
            <v/>
          </cell>
          <cell r="DN59" t="str">
            <v/>
          </cell>
          <cell r="DO59" t="str">
            <v/>
          </cell>
          <cell r="DP59" t="str">
            <v/>
          </cell>
          <cell r="DQ59" t="str">
            <v/>
          </cell>
          <cell r="DR59" t="str">
            <v/>
          </cell>
          <cell r="DS59" t="str">
            <v/>
          </cell>
          <cell r="DT59" t="str">
            <v/>
          </cell>
          <cell r="DU59" t="str">
            <v/>
          </cell>
          <cell r="DV59" t="str">
            <v/>
          </cell>
          <cell r="DW59" t="str">
            <v/>
          </cell>
          <cell r="DX59" t="str">
            <v/>
          </cell>
          <cell r="DY59" t="str">
            <v/>
          </cell>
          <cell r="DZ59" t="str">
            <v/>
          </cell>
          <cell r="EA59" t="str">
            <v/>
          </cell>
          <cell r="EB59" t="str">
            <v/>
          </cell>
          <cell r="EC59" t="str">
            <v/>
          </cell>
          <cell r="ED59" t="str">
            <v/>
          </cell>
          <cell r="EE59" t="str">
            <v/>
          </cell>
          <cell r="EF59" t="str">
            <v/>
          </cell>
          <cell r="EG59" t="str">
            <v/>
          </cell>
          <cell r="EH59" t="str">
            <v/>
          </cell>
          <cell r="EI59" t="str">
            <v/>
          </cell>
          <cell r="EJ59" t="str">
            <v/>
          </cell>
          <cell r="EK59" t="str">
            <v/>
          </cell>
          <cell r="EL59" t="str">
            <v/>
          </cell>
          <cell r="EM59" t="str">
            <v/>
          </cell>
          <cell r="EN59" t="str">
            <v/>
          </cell>
          <cell r="EO59" t="str">
            <v/>
          </cell>
          <cell r="EP59" t="str">
            <v/>
          </cell>
          <cell r="EQ59" t="str">
            <v/>
          </cell>
          <cell r="ER59" t="str">
            <v/>
          </cell>
          <cell r="ES59" t="str">
            <v/>
          </cell>
          <cell r="ET59" t="str">
            <v/>
          </cell>
          <cell r="EU59" t="str">
            <v/>
          </cell>
          <cell r="EV59" t="str">
            <v/>
          </cell>
          <cell r="EW59" t="str">
            <v/>
          </cell>
          <cell r="EX59" t="str">
            <v/>
          </cell>
          <cell r="EY59" t="str">
            <v/>
          </cell>
          <cell r="EZ59" t="str">
            <v/>
          </cell>
          <cell r="FA59" t="str">
            <v/>
          </cell>
        </row>
      </sheetData>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17" Type="http://schemas.openxmlformats.org/officeDocument/2006/relationships/hyperlink" Target="https://webgate.ec.europa.eu/CITnet/jira/browse/OPPOSTWARD-176" TargetMode="External"/><Relationship Id="rId21" Type="http://schemas.openxmlformats.org/officeDocument/2006/relationships/hyperlink" Target="https://webgate.ec.europa.eu/CITnet/jira/browse/OPSYSIOP-1345" TargetMode="External"/><Relationship Id="rId42" Type="http://schemas.openxmlformats.org/officeDocument/2006/relationships/hyperlink" Target="https://webgate.ec.europa.eu/CITnet/jira/browse/OPPREAWA-1160" TargetMode="External"/><Relationship Id="rId63" Type="http://schemas.openxmlformats.org/officeDocument/2006/relationships/hyperlink" Target="https://webgate.ec.europa.eu/CITnet/jira/browse/OPPOSTWARD-400" TargetMode="External"/><Relationship Id="rId84" Type="http://schemas.openxmlformats.org/officeDocument/2006/relationships/hyperlink" Target="https://webgate.ec.europa.eu/CITnet/jira/browse/OPPOSTWARD-209" TargetMode="External"/><Relationship Id="rId138" Type="http://schemas.openxmlformats.org/officeDocument/2006/relationships/hyperlink" Target="https://webgate.ec.europa.eu/CITnet/jira/browse/OPPOSTWARD-155" TargetMode="External"/><Relationship Id="rId159" Type="http://schemas.openxmlformats.org/officeDocument/2006/relationships/hyperlink" Target="https://webgate.ec.europa.eu/CITnet/jira/browse/OPPOSTWARD-95" TargetMode="External"/><Relationship Id="rId170" Type="http://schemas.openxmlformats.org/officeDocument/2006/relationships/hyperlink" Target="https://webgate.ec.europa.eu/CITnet/jira/browse/OPRESULT-911" TargetMode="External"/><Relationship Id="rId191" Type="http://schemas.openxmlformats.org/officeDocument/2006/relationships/hyperlink" Target="https://webgate.ec.europa.eu/CITnet/jira/browse/OPPREAWA-1407" TargetMode="External"/><Relationship Id="rId205" Type="http://schemas.openxmlformats.org/officeDocument/2006/relationships/hyperlink" Target="https://webgate.ec.europa.eu/CITnet/jira/browse/OPPREAWA-377" TargetMode="External"/><Relationship Id="rId226" Type="http://schemas.openxmlformats.org/officeDocument/2006/relationships/hyperlink" Target="https://webgate.ec.europa.eu/CITnet/jira/browse/OPPREAWA-1411" TargetMode="External"/><Relationship Id="rId107" Type="http://schemas.openxmlformats.org/officeDocument/2006/relationships/hyperlink" Target="https://webgate.ec.europa.eu/CITnet/jira/browse/OPPOSTWARD-192" TargetMode="External"/><Relationship Id="rId11" Type="http://schemas.openxmlformats.org/officeDocument/2006/relationships/hyperlink" Target="https://webgate.ec.europa.eu/CITnet/jira/browse/OPSYSIOP-1360" TargetMode="External"/><Relationship Id="rId32" Type="http://schemas.openxmlformats.org/officeDocument/2006/relationships/hyperlink" Target="https://webgate.ec.europa.eu/CITnet/jira/browse/OPSYSIOP-1353" TargetMode="External"/><Relationship Id="rId53" Type="http://schemas.openxmlformats.org/officeDocument/2006/relationships/hyperlink" Target="https://webgate.ec.europa.eu/CITnet/jira/browse/OPPREAWA-1679" TargetMode="External"/><Relationship Id="rId74" Type="http://schemas.openxmlformats.org/officeDocument/2006/relationships/hyperlink" Target="https://webgate.ec.europa.eu/CITnet/jira/browse/OPPOSTWARD-220" TargetMode="External"/><Relationship Id="rId128" Type="http://schemas.openxmlformats.org/officeDocument/2006/relationships/hyperlink" Target="https://webgate.ec.europa.eu/CITnet/jira/browse/OPPOSTWARD-204" TargetMode="External"/><Relationship Id="rId149" Type="http://schemas.openxmlformats.org/officeDocument/2006/relationships/hyperlink" Target="https://webgate.ec.europa.eu/CITnet/jira/browse/OPPOSTWARD-104" TargetMode="External"/><Relationship Id="rId5" Type="http://schemas.openxmlformats.org/officeDocument/2006/relationships/hyperlink" Target="https://webgate.ec.europa.eu/CITnet/jira/browse/OPSYSIOP-1402" TargetMode="External"/><Relationship Id="rId95" Type="http://schemas.openxmlformats.org/officeDocument/2006/relationships/hyperlink" Target="https://webgate.ec.europa.eu/CITnet/jira/browse/OPPREAWA-1031" TargetMode="External"/><Relationship Id="rId160" Type="http://schemas.openxmlformats.org/officeDocument/2006/relationships/hyperlink" Target="https://webgate.ec.europa.eu/CITnet/jira/browse/OPPOSTWARD-71" TargetMode="External"/><Relationship Id="rId181" Type="http://schemas.openxmlformats.org/officeDocument/2006/relationships/hyperlink" Target="https://webgate.ec.europa.eu/CITnet/jira/browse/OPPREAWA-1430" TargetMode="External"/><Relationship Id="rId216" Type="http://schemas.openxmlformats.org/officeDocument/2006/relationships/hyperlink" Target="https://webgate.ec.europa.eu/CITnet/jira/browse/OPPREAWA-769" TargetMode="External"/><Relationship Id="rId22" Type="http://schemas.openxmlformats.org/officeDocument/2006/relationships/hyperlink" Target="https://webgate.ec.europa.eu/CITnet/jira/browse/OPSYSIOP-1346" TargetMode="External"/><Relationship Id="rId43" Type="http://schemas.openxmlformats.org/officeDocument/2006/relationships/hyperlink" Target="https://webgate.ec.europa.eu/CITnet/jira/browse/OPPREAWA-1153" TargetMode="External"/><Relationship Id="rId64" Type="http://schemas.openxmlformats.org/officeDocument/2006/relationships/hyperlink" Target="https://webgate.ec.europa.eu/CITnet/jira/browse/OPPOSTWARD-399" TargetMode="External"/><Relationship Id="rId118" Type="http://schemas.openxmlformats.org/officeDocument/2006/relationships/hyperlink" Target="https://webgate.ec.europa.eu/CITnet/jira/browse/OPPOSTWARD-172" TargetMode="External"/><Relationship Id="rId139" Type="http://schemas.openxmlformats.org/officeDocument/2006/relationships/hyperlink" Target="https://webgate.ec.europa.eu/CITnet/jira/browse/OPPOSTWARD-157" TargetMode="External"/><Relationship Id="rId80" Type="http://schemas.openxmlformats.org/officeDocument/2006/relationships/hyperlink" Target="https://webgate.ec.europa.eu/CITnet/jira/browse/OPPOSTWARD-207" TargetMode="External"/><Relationship Id="rId85" Type="http://schemas.openxmlformats.org/officeDocument/2006/relationships/hyperlink" Target="https://webgate.ec.europa.eu/CITnet/jira/browse/OPPOSTWARD-219" TargetMode="External"/><Relationship Id="rId150" Type="http://schemas.openxmlformats.org/officeDocument/2006/relationships/hyperlink" Target="https://webgate.ec.europa.eu/CITnet/jira/browse/OPPOSTWARD-101" TargetMode="External"/><Relationship Id="rId155" Type="http://schemas.openxmlformats.org/officeDocument/2006/relationships/hyperlink" Target="https://webgate.ec.europa.eu/CITnet/jira/browse/OPPOSTWARD-103" TargetMode="External"/><Relationship Id="rId171" Type="http://schemas.openxmlformats.org/officeDocument/2006/relationships/hyperlink" Target="https://webgate.ec.europa.eu/CITnet/jira/browse/OPRESULT-910" TargetMode="External"/><Relationship Id="rId176" Type="http://schemas.openxmlformats.org/officeDocument/2006/relationships/hyperlink" Target="https://webgate.ec.europa.eu/CITnet/jira/browse/OPPREAWA-1393" TargetMode="External"/><Relationship Id="rId192" Type="http://schemas.openxmlformats.org/officeDocument/2006/relationships/hyperlink" Target="https://webgate.ec.europa.eu/CITnet/jira/browse/OPPREAWA-1406" TargetMode="External"/><Relationship Id="rId197" Type="http://schemas.openxmlformats.org/officeDocument/2006/relationships/hyperlink" Target="https://webgate.ec.europa.eu/CITnet/jira/browse/OPPREAWA-117" TargetMode="External"/><Relationship Id="rId206" Type="http://schemas.openxmlformats.org/officeDocument/2006/relationships/hyperlink" Target="https://webgate.ec.europa.eu/CITnet/jira/browse/OPPREAWA-374" TargetMode="External"/><Relationship Id="rId227" Type="http://schemas.openxmlformats.org/officeDocument/2006/relationships/hyperlink" Target="https://webgate.ec.europa.eu/CITnet/jira/browse/OPPREAWA-1414" TargetMode="External"/><Relationship Id="rId201" Type="http://schemas.openxmlformats.org/officeDocument/2006/relationships/hyperlink" Target="https://webgate.ec.europa.eu/CITnet/jira/browse/OPSYSIOP-802" TargetMode="External"/><Relationship Id="rId222" Type="http://schemas.openxmlformats.org/officeDocument/2006/relationships/hyperlink" Target="https://webgate.ec.europa.eu/CITnet/jira/browse/OPPREAWA-1410" TargetMode="External"/><Relationship Id="rId12" Type="http://schemas.openxmlformats.org/officeDocument/2006/relationships/hyperlink" Target="https://webgate.ec.europa.eu/CITnet/jira/browse/OPPOSTWARD-292" TargetMode="External"/><Relationship Id="rId17" Type="http://schemas.openxmlformats.org/officeDocument/2006/relationships/hyperlink" Target="https://webgate.ec.europa.eu/CITnet/jira/browse/OPSYSIOP-1359" TargetMode="External"/><Relationship Id="rId33" Type="http://schemas.openxmlformats.org/officeDocument/2006/relationships/hyperlink" Target="https://webgate.ec.europa.eu/CITnet/jira/browse/OPSYSIOP-1354" TargetMode="External"/><Relationship Id="rId38" Type="http://schemas.openxmlformats.org/officeDocument/2006/relationships/hyperlink" Target="https://webgate.ec.europa.eu/CITnet/jira/browse/OPPREAWA-1462" TargetMode="External"/><Relationship Id="rId59" Type="http://schemas.openxmlformats.org/officeDocument/2006/relationships/hyperlink" Target="https://webgate.ec.europa.eu/CITnet/jira/browse/OPPOSTWARD-403" TargetMode="External"/><Relationship Id="rId103" Type="http://schemas.openxmlformats.org/officeDocument/2006/relationships/hyperlink" Target="https://webgate.ec.europa.eu/CITnet/jira/browse/OPPOSTWARD-195" TargetMode="External"/><Relationship Id="rId108" Type="http://schemas.openxmlformats.org/officeDocument/2006/relationships/hyperlink" Target="https://webgate.ec.europa.eu/CITnet/jira/browse/OPPOSTWARD-187" TargetMode="External"/><Relationship Id="rId124" Type="http://schemas.openxmlformats.org/officeDocument/2006/relationships/hyperlink" Target="https://webgate.ec.europa.eu/CITnet/jira/browse/OPPOSTWARD-227" TargetMode="External"/><Relationship Id="rId129" Type="http://schemas.openxmlformats.org/officeDocument/2006/relationships/hyperlink" Target="https://webgate.ec.europa.eu/CITnet/jira/browse/OPPOSTWARD-222" TargetMode="External"/><Relationship Id="rId54" Type="http://schemas.openxmlformats.org/officeDocument/2006/relationships/hyperlink" Target="https://webgate.ec.europa.eu/CITnet/jira/browse/OPPREAWA-1601" TargetMode="External"/><Relationship Id="rId70" Type="http://schemas.openxmlformats.org/officeDocument/2006/relationships/hyperlink" Target="https://webgate.ec.europa.eu/CITnet/jira/browse/OPPOSTWARD-230" TargetMode="External"/><Relationship Id="rId75" Type="http://schemas.openxmlformats.org/officeDocument/2006/relationships/hyperlink" Target="https://webgate.ec.europa.eu/CITnet/jira/browse/OPPOSTWARD-221" TargetMode="External"/><Relationship Id="rId91" Type="http://schemas.openxmlformats.org/officeDocument/2006/relationships/hyperlink" Target="https://webgate.ec.europa.eu/CITnet/jira/browse/OPPOSTWARD-159" TargetMode="External"/><Relationship Id="rId96" Type="http://schemas.openxmlformats.org/officeDocument/2006/relationships/hyperlink" Target="https://webgate.ec.europa.eu/CITnet/jira/browse/OPPOSTWARD-199" TargetMode="External"/><Relationship Id="rId140" Type="http://schemas.openxmlformats.org/officeDocument/2006/relationships/hyperlink" Target="https://webgate.ec.europa.eu/CITnet/jira/browse/OPPOSTWARD-228" TargetMode="External"/><Relationship Id="rId145" Type="http://schemas.openxmlformats.org/officeDocument/2006/relationships/hyperlink" Target="https://webgate.ec.europa.eu/CITnet/jira/browse/OPRESULT-808" TargetMode="External"/><Relationship Id="rId161" Type="http://schemas.openxmlformats.org/officeDocument/2006/relationships/hyperlink" Target="https://webgate.ec.europa.eu/CITnet/jira/browse/OPPOSTWARD-139" TargetMode="External"/><Relationship Id="rId166" Type="http://schemas.openxmlformats.org/officeDocument/2006/relationships/hyperlink" Target="https://webgate.ec.europa.eu/CITnet/jira/browse/OPPOSTWARD-87" TargetMode="External"/><Relationship Id="rId182" Type="http://schemas.openxmlformats.org/officeDocument/2006/relationships/hyperlink" Target="https://webgate.ec.europa.eu/CITnet/jira/browse/OPPREAWA-1423" TargetMode="External"/><Relationship Id="rId187" Type="http://schemas.openxmlformats.org/officeDocument/2006/relationships/hyperlink" Target="https://webgate.ec.europa.eu/CITnet/jira/browse/OPPREAWA-1409" TargetMode="External"/><Relationship Id="rId217" Type="http://schemas.openxmlformats.org/officeDocument/2006/relationships/hyperlink" Target="https://webgate.ec.europa.eu/CITnet/jira/browse/OPRESULT-687" TargetMode="External"/><Relationship Id="rId1" Type="http://schemas.openxmlformats.org/officeDocument/2006/relationships/hyperlink" Target="https://webgate.ec.europa.eu/CITnet/jira/issues/?jql=project+in+%2890300%2C+89200%2C+MWP%2C+88600%2C+85400%2C+86500%2C+89700%2C+89800%2C+90000%2C+EUI%29+AND+issuetype+in+%28Enabler%2C+%22New+Feature%22%29+AND+fixVersion+in+%28%22OPSYS+PI+9%22%29+ORDER+BY+WSJF+DESC+" TargetMode="External"/><Relationship Id="rId6" Type="http://schemas.openxmlformats.org/officeDocument/2006/relationships/hyperlink" Target="https://webgate.ec.europa.eu/CITnet/jira/browse/OPPREAWA-1293" TargetMode="External"/><Relationship Id="rId212" Type="http://schemas.openxmlformats.org/officeDocument/2006/relationships/hyperlink" Target="https://webgate.ec.europa.eu/CITnet/jira/browse/OPPREAWA-845" TargetMode="External"/><Relationship Id="rId233" Type="http://schemas.openxmlformats.org/officeDocument/2006/relationships/hyperlink" Target="https://webgate.ec.europa.eu/CITnet/jira/browse/OPPREAWA-727" TargetMode="External"/><Relationship Id="rId23" Type="http://schemas.openxmlformats.org/officeDocument/2006/relationships/hyperlink" Target="https://webgate.ec.europa.eu/CITnet/jira/browse/OPSYSIOP-1349" TargetMode="External"/><Relationship Id="rId28" Type="http://schemas.openxmlformats.org/officeDocument/2006/relationships/hyperlink" Target="https://webgate.ec.europa.eu/CITnet/jira/browse/OPSYSIOP-1364" TargetMode="External"/><Relationship Id="rId49" Type="http://schemas.openxmlformats.org/officeDocument/2006/relationships/hyperlink" Target="https://webgate.ec.europa.eu/CITnet/jira/browse/OPPOSTWARD-290" TargetMode="External"/><Relationship Id="rId114" Type="http://schemas.openxmlformats.org/officeDocument/2006/relationships/hyperlink" Target="https://webgate.ec.europa.eu/CITnet/jira/browse/OPPOSTWARD-168" TargetMode="External"/><Relationship Id="rId119" Type="http://schemas.openxmlformats.org/officeDocument/2006/relationships/hyperlink" Target="https://webgate.ec.europa.eu/CITnet/jira/browse/OPPOSTWARD-166" TargetMode="External"/><Relationship Id="rId44" Type="http://schemas.openxmlformats.org/officeDocument/2006/relationships/hyperlink" Target="https://webgate.ec.europa.eu/CITnet/jira/browse/OPPREAWA-1158" TargetMode="External"/><Relationship Id="rId60" Type="http://schemas.openxmlformats.org/officeDocument/2006/relationships/hyperlink" Target="https://webgate.ec.europa.eu/CITnet/jira/browse/OPPOSTWARD-410" TargetMode="External"/><Relationship Id="rId65" Type="http://schemas.openxmlformats.org/officeDocument/2006/relationships/hyperlink" Target="https://webgate.ec.europa.eu/CITnet/jira/browse/OPPOSTWARD-401" TargetMode="External"/><Relationship Id="rId81" Type="http://schemas.openxmlformats.org/officeDocument/2006/relationships/hyperlink" Target="https://webgate.ec.europa.eu/CITnet/jira/browse/OPPOSTWARD-223" TargetMode="External"/><Relationship Id="rId86" Type="http://schemas.openxmlformats.org/officeDocument/2006/relationships/hyperlink" Target="https://webgate.ec.europa.eu/CITnet/jira/browse/OPPOSTWARD-216" TargetMode="External"/><Relationship Id="rId130" Type="http://schemas.openxmlformats.org/officeDocument/2006/relationships/hyperlink" Target="https://webgate.ec.europa.eu/CITnet/jira/browse/OPPOSTWARD-198" TargetMode="External"/><Relationship Id="rId135" Type="http://schemas.openxmlformats.org/officeDocument/2006/relationships/hyperlink" Target="https://webgate.ec.europa.eu/CITnet/jira/browse/OPPOSTWARD-153" TargetMode="External"/><Relationship Id="rId151" Type="http://schemas.openxmlformats.org/officeDocument/2006/relationships/hyperlink" Target="https://webgate.ec.europa.eu/CITnet/jira/browse/OPPOSTWARD-109" TargetMode="External"/><Relationship Id="rId156" Type="http://schemas.openxmlformats.org/officeDocument/2006/relationships/hyperlink" Target="https://webgate.ec.europa.eu/CITnet/jira/browse/OPPOSTWARD-89" TargetMode="External"/><Relationship Id="rId177" Type="http://schemas.openxmlformats.org/officeDocument/2006/relationships/hyperlink" Target="https://webgate.ec.europa.eu/CITnet/jira/browse/OPPREAWA-1365" TargetMode="External"/><Relationship Id="rId198" Type="http://schemas.openxmlformats.org/officeDocument/2006/relationships/hyperlink" Target="https://webgate.ec.europa.eu/CITnet/jira/browse/OPSYSIOP-818" TargetMode="External"/><Relationship Id="rId172" Type="http://schemas.openxmlformats.org/officeDocument/2006/relationships/hyperlink" Target="https://webgate.ec.europa.eu/CITnet/jira/browse/OPPREAWA-1067" TargetMode="External"/><Relationship Id="rId193" Type="http://schemas.openxmlformats.org/officeDocument/2006/relationships/hyperlink" Target="https://webgate.ec.europa.eu/CITnet/jira/browse/OPSYSIOP-1515" TargetMode="External"/><Relationship Id="rId202" Type="http://schemas.openxmlformats.org/officeDocument/2006/relationships/hyperlink" Target="https://webgate.ec.europa.eu/CITnet/jira/browse/OPPREAWA-397" TargetMode="External"/><Relationship Id="rId207" Type="http://schemas.openxmlformats.org/officeDocument/2006/relationships/hyperlink" Target="https://webgate.ec.europa.eu/CITnet/jira/browse/OPPREAWA-346" TargetMode="External"/><Relationship Id="rId223" Type="http://schemas.openxmlformats.org/officeDocument/2006/relationships/hyperlink" Target="https://webgate.ec.europa.eu/CITnet/jira/browse/OPPREAWA-1181" TargetMode="External"/><Relationship Id="rId228" Type="http://schemas.openxmlformats.org/officeDocument/2006/relationships/hyperlink" Target="https://webgate.ec.europa.eu/CITnet/jira/browse/OPPREAWA-826" TargetMode="External"/><Relationship Id="rId13" Type="http://schemas.openxmlformats.org/officeDocument/2006/relationships/hyperlink" Target="https://webgate.ec.europa.eu/CITnet/jira/browse/OPSYSIOP-1473" TargetMode="External"/><Relationship Id="rId18" Type="http://schemas.openxmlformats.org/officeDocument/2006/relationships/hyperlink" Target="https://webgate.ec.europa.eu/CITnet/jira/browse/OPSYSIOP-1343" TargetMode="External"/><Relationship Id="rId39" Type="http://schemas.openxmlformats.org/officeDocument/2006/relationships/hyperlink" Target="https://webgate.ec.europa.eu/CITnet/jira/browse/OPPREAWA-1449" TargetMode="External"/><Relationship Id="rId109" Type="http://schemas.openxmlformats.org/officeDocument/2006/relationships/hyperlink" Target="https://webgate.ec.europa.eu/CITnet/jira/browse/OPPOSTWARD-181" TargetMode="External"/><Relationship Id="rId34" Type="http://schemas.openxmlformats.org/officeDocument/2006/relationships/hyperlink" Target="https://webgate.ec.europa.eu/CITnet/jira/browse/OPSYSIOP-1340" TargetMode="External"/><Relationship Id="rId50" Type="http://schemas.openxmlformats.org/officeDocument/2006/relationships/hyperlink" Target="https://webgate.ec.europa.eu/CITnet/jira/browse/OPPREAWA-1723" TargetMode="External"/><Relationship Id="rId55" Type="http://schemas.openxmlformats.org/officeDocument/2006/relationships/hyperlink" Target="https://webgate.ec.europa.eu/CITnet/jira/browse/OPPREAWA-1602" TargetMode="External"/><Relationship Id="rId76" Type="http://schemas.openxmlformats.org/officeDocument/2006/relationships/hyperlink" Target="https://webgate.ec.europa.eu/CITnet/jira/browse/OPPOSTWARD-212" TargetMode="External"/><Relationship Id="rId97" Type="http://schemas.openxmlformats.org/officeDocument/2006/relationships/hyperlink" Target="https://webgate.ec.europa.eu/CITnet/jira/browse/OPPOSTWARD-213" TargetMode="External"/><Relationship Id="rId104" Type="http://schemas.openxmlformats.org/officeDocument/2006/relationships/hyperlink" Target="https://webgate.ec.europa.eu/CITnet/jira/browse/OPPOSTWARD-191" TargetMode="External"/><Relationship Id="rId120" Type="http://schemas.openxmlformats.org/officeDocument/2006/relationships/hyperlink" Target="https://webgate.ec.europa.eu/CITnet/jira/browse/OPPOSTWARD-178" TargetMode="External"/><Relationship Id="rId125" Type="http://schemas.openxmlformats.org/officeDocument/2006/relationships/hyperlink" Target="https://webgate.ec.europa.eu/CITnet/jira/browse/OPPOSTWARD-205" TargetMode="External"/><Relationship Id="rId141" Type="http://schemas.openxmlformats.org/officeDocument/2006/relationships/hyperlink" Target="https://webgate.ec.europa.eu/CITnet/jira/browse/OPPOSTWARD-225" TargetMode="External"/><Relationship Id="rId146" Type="http://schemas.openxmlformats.org/officeDocument/2006/relationships/hyperlink" Target="https://webgate.ec.europa.eu/CITnet/jira/browse/OPPOSTWARD-146" TargetMode="External"/><Relationship Id="rId167" Type="http://schemas.openxmlformats.org/officeDocument/2006/relationships/hyperlink" Target="https://webgate.ec.europa.eu/CITnet/jira/browse/OPPOSTWARD-74" TargetMode="External"/><Relationship Id="rId188" Type="http://schemas.openxmlformats.org/officeDocument/2006/relationships/hyperlink" Target="https://webgate.ec.europa.eu/CITnet/jira/browse/OPPREAWA-1416" TargetMode="External"/><Relationship Id="rId7" Type="http://schemas.openxmlformats.org/officeDocument/2006/relationships/hyperlink" Target="https://webgate.ec.europa.eu/CITnet/jira/browse/OPSYSIOP-1477" TargetMode="External"/><Relationship Id="rId71" Type="http://schemas.openxmlformats.org/officeDocument/2006/relationships/hyperlink" Target="https://webgate.ec.europa.eu/CITnet/jira/browse/OPPOSTWARD-229" TargetMode="External"/><Relationship Id="rId92" Type="http://schemas.openxmlformats.org/officeDocument/2006/relationships/hyperlink" Target="https://webgate.ec.europa.eu/CITnet/jira/browse/OPPOSTWARD-165" TargetMode="External"/><Relationship Id="rId162" Type="http://schemas.openxmlformats.org/officeDocument/2006/relationships/hyperlink" Target="https://webgate.ec.europa.eu/CITnet/jira/browse/OPPOSTWARD-126" TargetMode="External"/><Relationship Id="rId183" Type="http://schemas.openxmlformats.org/officeDocument/2006/relationships/hyperlink" Target="https://webgate.ec.europa.eu/CITnet/jira/browse/OPPREAWA-1426" TargetMode="External"/><Relationship Id="rId213" Type="http://schemas.openxmlformats.org/officeDocument/2006/relationships/hyperlink" Target="https://webgate.ec.europa.eu/CITnet/jira/browse/OPPREAWA-764" TargetMode="External"/><Relationship Id="rId218" Type="http://schemas.openxmlformats.org/officeDocument/2006/relationships/hyperlink" Target="https://webgate.ec.europa.eu/CITnet/jira/browse/OPSYSIOP-845" TargetMode="External"/><Relationship Id="rId234" Type="http://schemas.openxmlformats.org/officeDocument/2006/relationships/hyperlink" Target="https://webgate.ec.europa.eu/CITnet/jira/browse/OPSYSIOP-260" TargetMode="External"/><Relationship Id="rId2" Type="http://schemas.openxmlformats.org/officeDocument/2006/relationships/hyperlink" Target="https://webgate.ec.europa.eu/CITnet/jira/browse/OPSYSIOP-1483" TargetMode="External"/><Relationship Id="rId29" Type="http://schemas.openxmlformats.org/officeDocument/2006/relationships/hyperlink" Target="https://webgate.ec.europa.eu/CITnet/jira/browse/OPSYSIOP-1385" TargetMode="External"/><Relationship Id="rId24" Type="http://schemas.openxmlformats.org/officeDocument/2006/relationships/hyperlink" Target="https://webgate.ec.europa.eu/CITnet/jira/browse/OPSYSIOP-1356" TargetMode="External"/><Relationship Id="rId40" Type="http://schemas.openxmlformats.org/officeDocument/2006/relationships/hyperlink" Target="https://webgate.ec.europa.eu/CITnet/jira/browse/OPPREAWA-1164" TargetMode="External"/><Relationship Id="rId45" Type="http://schemas.openxmlformats.org/officeDocument/2006/relationships/hyperlink" Target="https://webgate.ec.europa.eu/CITnet/jira/browse/OPPREAWA-1204" TargetMode="External"/><Relationship Id="rId66" Type="http://schemas.openxmlformats.org/officeDocument/2006/relationships/hyperlink" Target="https://webgate.ec.europa.eu/CITnet/jira/browse/OPPOSTWARD-396" TargetMode="External"/><Relationship Id="rId87" Type="http://schemas.openxmlformats.org/officeDocument/2006/relationships/hyperlink" Target="https://webgate.ec.europa.eu/CITnet/jira/browse/OPPOSTWARD-206" TargetMode="External"/><Relationship Id="rId110" Type="http://schemas.openxmlformats.org/officeDocument/2006/relationships/hyperlink" Target="https://webgate.ec.europa.eu/CITnet/jira/browse/OPPOSTWARD-184" TargetMode="External"/><Relationship Id="rId115" Type="http://schemas.openxmlformats.org/officeDocument/2006/relationships/hyperlink" Target="https://webgate.ec.europa.eu/CITnet/jira/browse/OPPOSTWARD-173" TargetMode="External"/><Relationship Id="rId131" Type="http://schemas.openxmlformats.org/officeDocument/2006/relationships/hyperlink" Target="https://webgate.ec.europa.eu/CITnet/jira/browse/OPPOSTWARD-202" TargetMode="External"/><Relationship Id="rId136" Type="http://schemas.openxmlformats.org/officeDocument/2006/relationships/hyperlink" Target="https://webgate.ec.europa.eu/CITnet/jira/browse/OPPOSTWARD-154" TargetMode="External"/><Relationship Id="rId157" Type="http://schemas.openxmlformats.org/officeDocument/2006/relationships/hyperlink" Target="https://webgate.ec.europa.eu/CITnet/jira/browse/OPPOSTWARD-94" TargetMode="External"/><Relationship Id="rId178" Type="http://schemas.openxmlformats.org/officeDocument/2006/relationships/hyperlink" Target="https://webgate.ec.europa.eu/CITnet/jira/browse/OPPREAWA-1371" TargetMode="External"/><Relationship Id="rId61" Type="http://schemas.openxmlformats.org/officeDocument/2006/relationships/hyperlink" Target="https://webgate.ec.europa.eu/CITnet/jira/browse/OPPOSTWARD-405" TargetMode="External"/><Relationship Id="rId82" Type="http://schemas.openxmlformats.org/officeDocument/2006/relationships/hyperlink" Target="https://webgate.ec.europa.eu/CITnet/jira/browse/OPPOSTWARD-208" TargetMode="External"/><Relationship Id="rId152" Type="http://schemas.openxmlformats.org/officeDocument/2006/relationships/hyperlink" Target="https://webgate.ec.europa.eu/CITnet/jira/browse/OPPOSTWARD-105" TargetMode="External"/><Relationship Id="rId173" Type="http://schemas.openxmlformats.org/officeDocument/2006/relationships/hyperlink" Target="https://webgate.ec.europa.eu/CITnet/jira/browse/OPPOSTWARD-325" TargetMode="External"/><Relationship Id="rId194" Type="http://schemas.openxmlformats.org/officeDocument/2006/relationships/hyperlink" Target="https://webgate.ec.europa.eu/CITnet/jira/browse/OPSYSIOP-1514" TargetMode="External"/><Relationship Id="rId199" Type="http://schemas.openxmlformats.org/officeDocument/2006/relationships/hyperlink" Target="https://webgate.ec.europa.eu/CITnet/jira/browse/OPPREAWA-416" TargetMode="External"/><Relationship Id="rId203" Type="http://schemas.openxmlformats.org/officeDocument/2006/relationships/hyperlink" Target="https://webgate.ec.europa.eu/CITnet/jira/browse/OPSYSIOP-803" TargetMode="External"/><Relationship Id="rId208" Type="http://schemas.openxmlformats.org/officeDocument/2006/relationships/hyperlink" Target="https://webgate.ec.europa.eu/CITnet/jira/browse/OPPREAWA-726" TargetMode="External"/><Relationship Id="rId229" Type="http://schemas.openxmlformats.org/officeDocument/2006/relationships/hyperlink" Target="https://webgate.ec.europa.eu/CITnet/jira/browse/OPRESULT-791" TargetMode="External"/><Relationship Id="rId19" Type="http://schemas.openxmlformats.org/officeDocument/2006/relationships/hyperlink" Target="https://webgate.ec.europa.eu/CITnet/jira/browse/OPSYSIOP-1348" TargetMode="External"/><Relationship Id="rId224" Type="http://schemas.openxmlformats.org/officeDocument/2006/relationships/hyperlink" Target="https://webgate.ec.europa.eu/CITnet/jira/browse/OPPREAWA-333" TargetMode="External"/><Relationship Id="rId14" Type="http://schemas.openxmlformats.org/officeDocument/2006/relationships/hyperlink" Target="https://webgate.ec.europa.eu/CITnet/jira/browse/OPSYSIOP-1380" TargetMode="External"/><Relationship Id="rId30" Type="http://schemas.openxmlformats.org/officeDocument/2006/relationships/hyperlink" Target="https://webgate.ec.europa.eu/CITnet/jira/browse/OPSYSIOP-1355" TargetMode="External"/><Relationship Id="rId35" Type="http://schemas.openxmlformats.org/officeDocument/2006/relationships/hyperlink" Target="https://webgate.ec.europa.eu/CITnet/jira/browse/OPSYSIOP-1341" TargetMode="External"/><Relationship Id="rId56" Type="http://schemas.openxmlformats.org/officeDocument/2006/relationships/hyperlink" Target="https://webgate.ec.europa.eu/CITnet/jira/browse/OPPOSTWARD-404" TargetMode="External"/><Relationship Id="rId77" Type="http://schemas.openxmlformats.org/officeDocument/2006/relationships/hyperlink" Target="https://webgate.ec.europa.eu/CITnet/jira/browse/OPPOSTWARD-224" TargetMode="External"/><Relationship Id="rId100" Type="http://schemas.openxmlformats.org/officeDocument/2006/relationships/hyperlink" Target="https://webgate.ec.europa.eu/CITnet/jira/browse/OPPOSTWARD-183" TargetMode="External"/><Relationship Id="rId105" Type="http://schemas.openxmlformats.org/officeDocument/2006/relationships/hyperlink" Target="https://webgate.ec.europa.eu/CITnet/jira/browse/OPPOSTWARD-190" TargetMode="External"/><Relationship Id="rId126" Type="http://schemas.openxmlformats.org/officeDocument/2006/relationships/hyperlink" Target="https://webgate.ec.europa.eu/CITnet/jira/browse/OPPOSTWARD-200" TargetMode="External"/><Relationship Id="rId147" Type="http://schemas.openxmlformats.org/officeDocument/2006/relationships/hyperlink" Target="https://webgate.ec.europa.eu/CITnet/jira/browse/OPPOSTWARD-110" TargetMode="External"/><Relationship Id="rId168" Type="http://schemas.openxmlformats.org/officeDocument/2006/relationships/hyperlink" Target="https://webgate.ec.europa.eu/CITnet/jira/browse/OPPOSTWARD-73" TargetMode="External"/><Relationship Id="rId8" Type="http://schemas.openxmlformats.org/officeDocument/2006/relationships/hyperlink" Target="https://webgate.ec.europa.eu/CITnet/jira/browse/OPSYSIOP-1475" TargetMode="External"/><Relationship Id="rId51" Type="http://schemas.openxmlformats.org/officeDocument/2006/relationships/hyperlink" Target="https://webgate.ec.europa.eu/CITnet/jira/browse/OPPREAWA-1702" TargetMode="External"/><Relationship Id="rId72" Type="http://schemas.openxmlformats.org/officeDocument/2006/relationships/hyperlink" Target="https://webgate.ec.europa.eu/CITnet/jira/browse/OPPOSTWARD-231" TargetMode="External"/><Relationship Id="rId93" Type="http://schemas.openxmlformats.org/officeDocument/2006/relationships/hyperlink" Target="https://webgate.ec.europa.eu/CITnet/jira/browse/OPPOSTWARD-162" TargetMode="External"/><Relationship Id="rId98" Type="http://schemas.openxmlformats.org/officeDocument/2006/relationships/hyperlink" Target="https://webgate.ec.europa.eu/CITnet/jira/browse/OPPOSTWARD-203" TargetMode="External"/><Relationship Id="rId121" Type="http://schemas.openxmlformats.org/officeDocument/2006/relationships/hyperlink" Target="https://webgate.ec.europa.eu/CITnet/jira/browse/OPPOSTWARD-175" TargetMode="External"/><Relationship Id="rId142" Type="http://schemas.openxmlformats.org/officeDocument/2006/relationships/hyperlink" Target="https://webgate.ec.europa.eu/CITnet/jira/browse/OPPOSTWARD-194" TargetMode="External"/><Relationship Id="rId163" Type="http://schemas.openxmlformats.org/officeDocument/2006/relationships/hyperlink" Target="https://webgate.ec.europa.eu/CITnet/jira/browse/OPPOSTWARD-130" TargetMode="External"/><Relationship Id="rId184" Type="http://schemas.openxmlformats.org/officeDocument/2006/relationships/hyperlink" Target="https://webgate.ec.europa.eu/CITnet/jira/browse/OPPREAWA-1415" TargetMode="External"/><Relationship Id="rId189" Type="http://schemas.openxmlformats.org/officeDocument/2006/relationships/hyperlink" Target="https://webgate.ec.europa.eu/CITnet/jira/browse/OPPREAWA-1408" TargetMode="External"/><Relationship Id="rId219" Type="http://schemas.openxmlformats.org/officeDocument/2006/relationships/hyperlink" Target="https://webgate.ec.europa.eu/CITnet/jira/browse/OPSYSIOP-843" TargetMode="External"/><Relationship Id="rId3" Type="http://schemas.openxmlformats.org/officeDocument/2006/relationships/hyperlink" Target="https://webgate.ec.europa.eu/CITnet/jira/browse/OPSYSIOP-1350" TargetMode="External"/><Relationship Id="rId214" Type="http://schemas.openxmlformats.org/officeDocument/2006/relationships/hyperlink" Target="https://webgate.ec.europa.eu/CITnet/jira/browse/OPRESULT-660" TargetMode="External"/><Relationship Id="rId230" Type="http://schemas.openxmlformats.org/officeDocument/2006/relationships/hyperlink" Target="https://webgate.ec.europa.eu/CITnet/jira/browse/OPRESULT-661" TargetMode="External"/><Relationship Id="rId235" Type="http://schemas.openxmlformats.org/officeDocument/2006/relationships/drawing" Target="../drawings/drawing2.xml"/><Relationship Id="rId25" Type="http://schemas.openxmlformats.org/officeDocument/2006/relationships/hyperlink" Target="https://webgate.ec.europa.eu/CITnet/jira/browse/OPSYSIOP-1344" TargetMode="External"/><Relationship Id="rId46" Type="http://schemas.openxmlformats.org/officeDocument/2006/relationships/hyperlink" Target="https://webgate.ec.europa.eu/CITnet/jira/browse/OPPOSTWARD-291" TargetMode="External"/><Relationship Id="rId67" Type="http://schemas.openxmlformats.org/officeDocument/2006/relationships/hyperlink" Target="https://webgate.ec.europa.eu/CITnet/jira/browse/OPPOSTWARD-397" TargetMode="External"/><Relationship Id="rId116" Type="http://schemas.openxmlformats.org/officeDocument/2006/relationships/hyperlink" Target="https://webgate.ec.europa.eu/CITnet/jira/browse/OPPOSTWARD-174" TargetMode="External"/><Relationship Id="rId137" Type="http://schemas.openxmlformats.org/officeDocument/2006/relationships/hyperlink" Target="https://webgate.ec.europa.eu/CITnet/jira/browse/OPPOSTWARD-152" TargetMode="External"/><Relationship Id="rId158" Type="http://schemas.openxmlformats.org/officeDocument/2006/relationships/hyperlink" Target="https://webgate.ec.europa.eu/CITnet/jira/browse/OPPOSTWARD-86" TargetMode="External"/><Relationship Id="rId20" Type="http://schemas.openxmlformats.org/officeDocument/2006/relationships/hyperlink" Target="https://webgate.ec.europa.eu/CITnet/jira/browse/OPSYSIOP-1351" TargetMode="External"/><Relationship Id="rId41" Type="http://schemas.openxmlformats.org/officeDocument/2006/relationships/hyperlink" Target="https://webgate.ec.europa.eu/CITnet/jira/browse/OPPREAWA-1159" TargetMode="External"/><Relationship Id="rId62" Type="http://schemas.openxmlformats.org/officeDocument/2006/relationships/hyperlink" Target="https://webgate.ec.europa.eu/CITnet/jira/browse/OPPOSTWARD-398" TargetMode="External"/><Relationship Id="rId83" Type="http://schemas.openxmlformats.org/officeDocument/2006/relationships/hyperlink" Target="https://webgate.ec.europa.eu/CITnet/jira/browse/OPPOSTWARD-218" TargetMode="External"/><Relationship Id="rId88" Type="http://schemas.openxmlformats.org/officeDocument/2006/relationships/hyperlink" Target="https://webgate.ec.europa.eu/CITnet/jira/browse/OPPOSTWARD-158" TargetMode="External"/><Relationship Id="rId111" Type="http://schemas.openxmlformats.org/officeDocument/2006/relationships/hyperlink" Target="https://webgate.ec.europa.eu/CITnet/jira/browse/OPPOSTWARD-170" TargetMode="External"/><Relationship Id="rId132" Type="http://schemas.openxmlformats.org/officeDocument/2006/relationships/hyperlink" Target="https://webgate.ec.europa.eu/CITnet/jira/browse/OPPOSTWARD-214" TargetMode="External"/><Relationship Id="rId153" Type="http://schemas.openxmlformats.org/officeDocument/2006/relationships/hyperlink" Target="https://webgate.ec.europa.eu/CITnet/jira/browse/OPPOSTWARD-102" TargetMode="External"/><Relationship Id="rId174" Type="http://schemas.openxmlformats.org/officeDocument/2006/relationships/hyperlink" Target="https://webgate.ec.europa.eu/CITnet/jira/browse/OPPREAWA-1396" TargetMode="External"/><Relationship Id="rId179" Type="http://schemas.openxmlformats.org/officeDocument/2006/relationships/hyperlink" Target="https://webgate.ec.europa.eu/CITnet/jira/browse/OPPREAWA-1439" TargetMode="External"/><Relationship Id="rId195" Type="http://schemas.openxmlformats.org/officeDocument/2006/relationships/hyperlink" Target="https://webgate.ec.europa.eu/CITnet/jira/browse/OPPREAWA-792" TargetMode="External"/><Relationship Id="rId209" Type="http://schemas.openxmlformats.org/officeDocument/2006/relationships/hyperlink" Target="https://webgate.ec.europa.eu/CITnet/jira/browse/OPPREAWA-892" TargetMode="External"/><Relationship Id="rId190" Type="http://schemas.openxmlformats.org/officeDocument/2006/relationships/hyperlink" Target="https://webgate.ec.europa.eu/CITnet/jira/browse/OPPREAWA-1413" TargetMode="External"/><Relationship Id="rId204" Type="http://schemas.openxmlformats.org/officeDocument/2006/relationships/hyperlink" Target="https://webgate.ec.europa.eu/CITnet/jira/browse/OPPREAWA-398" TargetMode="External"/><Relationship Id="rId220" Type="http://schemas.openxmlformats.org/officeDocument/2006/relationships/hyperlink" Target="https://webgate.ec.europa.eu/CITnet/jira/browse/OPSYSIOP-1358" TargetMode="External"/><Relationship Id="rId225" Type="http://schemas.openxmlformats.org/officeDocument/2006/relationships/hyperlink" Target="https://webgate.ec.europa.eu/CITnet/jira/browse/OPPREAWA-373" TargetMode="External"/><Relationship Id="rId15" Type="http://schemas.openxmlformats.org/officeDocument/2006/relationships/hyperlink" Target="https://webgate.ec.europa.eu/CITnet/jira/browse/OPSYSIOP-1370" TargetMode="External"/><Relationship Id="rId36" Type="http://schemas.openxmlformats.org/officeDocument/2006/relationships/hyperlink" Target="https://webgate.ec.europa.eu/CITnet/jira/browse/OPSYSIOP-1339" TargetMode="External"/><Relationship Id="rId57" Type="http://schemas.openxmlformats.org/officeDocument/2006/relationships/hyperlink" Target="https://webgate.ec.europa.eu/CITnet/jira/browse/OPPOSTWARD-402" TargetMode="External"/><Relationship Id="rId106" Type="http://schemas.openxmlformats.org/officeDocument/2006/relationships/hyperlink" Target="https://webgate.ec.europa.eu/CITnet/jira/browse/OPPOSTWARD-185" TargetMode="External"/><Relationship Id="rId127" Type="http://schemas.openxmlformats.org/officeDocument/2006/relationships/hyperlink" Target="https://webgate.ec.europa.eu/CITnet/jira/browse/OPPOSTWARD-201" TargetMode="External"/><Relationship Id="rId10" Type="http://schemas.openxmlformats.org/officeDocument/2006/relationships/hyperlink" Target="https://webgate.ec.europa.eu/CITnet/jira/browse/OPSYSIOP-1476" TargetMode="External"/><Relationship Id="rId31" Type="http://schemas.openxmlformats.org/officeDocument/2006/relationships/hyperlink" Target="https://webgate.ec.europa.eu/CITnet/jira/browse/OPSYSIOP-1357" TargetMode="External"/><Relationship Id="rId52" Type="http://schemas.openxmlformats.org/officeDocument/2006/relationships/hyperlink" Target="https://webgate.ec.europa.eu/CITnet/jira/browse/OPPREAWA-1647" TargetMode="External"/><Relationship Id="rId73" Type="http://schemas.openxmlformats.org/officeDocument/2006/relationships/hyperlink" Target="https://webgate.ec.europa.eu/CITnet/jira/browse/OPPOSTWARD-226" TargetMode="External"/><Relationship Id="rId78" Type="http://schemas.openxmlformats.org/officeDocument/2006/relationships/hyperlink" Target="https://webgate.ec.europa.eu/CITnet/jira/browse/OPPOSTWARD-217" TargetMode="External"/><Relationship Id="rId94" Type="http://schemas.openxmlformats.org/officeDocument/2006/relationships/hyperlink" Target="https://webgate.ec.europa.eu/CITnet/jira/browse/OPPOSTWARD-161" TargetMode="External"/><Relationship Id="rId99" Type="http://schemas.openxmlformats.org/officeDocument/2006/relationships/hyperlink" Target="https://webgate.ec.europa.eu/CITnet/jira/browse/OPPOSTWARD-179" TargetMode="External"/><Relationship Id="rId101" Type="http://schemas.openxmlformats.org/officeDocument/2006/relationships/hyperlink" Target="https://webgate.ec.europa.eu/CITnet/jira/browse/OPPOSTWARD-182" TargetMode="External"/><Relationship Id="rId122" Type="http://schemas.openxmlformats.org/officeDocument/2006/relationships/hyperlink" Target="https://webgate.ec.europa.eu/CITnet/jira/browse/OPPOSTWARD-167" TargetMode="External"/><Relationship Id="rId143" Type="http://schemas.openxmlformats.org/officeDocument/2006/relationships/hyperlink" Target="https://webgate.ec.europa.eu/CITnet/jira/browse/OPPOSTWARD-193" TargetMode="External"/><Relationship Id="rId148" Type="http://schemas.openxmlformats.org/officeDocument/2006/relationships/hyperlink" Target="https://webgate.ec.europa.eu/CITnet/jira/browse/OPPOSTWARD-107" TargetMode="External"/><Relationship Id="rId164" Type="http://schemas.openxmlformats.org/officeDocument/2006/relationships/hyperlink" Target="https://webgate.ec.europa.eu/CITnet/jira/browse/OPRESULT-789" TargetMode="External"/><Relationship Id="rId169" Type="http://schemas.openxmlformats.org/officeDocument/2006/relationships/hyperlink" Target="https://webgate.ec.europa.eu/CITnet/jira/browse/OPRESULT-912" TargetMode="External"/><Relationship Id="rId185" Type="http://schemas.openxmlformats.org/officeDocument/2006/relationships/hyperlink" Target="https://webgate.ec.europa.eu/CITnet/jira/browse/OPPREAWA-1417" TargetMode="External"/><Relationship Id="rId4" Type="http://schemas.openxmlformats.org/officeDocument/2006/relationships/hyperlink" Target="https://webgate.ec.europa.eu/CITnet/jira/browse/OPSYSIOP-1352" TargetMode="External"/><Relationship Id="rId9" Type="http://schemas.openxmlformats.org/officeDocument/2006/relationships/hyperlink" Target="https://webgate.ec.europa.eu/CITnet/jira/browse/OPSYSIOP-1474" TargetMode="External"/><Relationship Id="rId180" Type="http://schemas.openxmlformats.org/officeDocument/2006/relationships/hyperlink" Target="https://webgate.ec.europa.eu/CITnet/jira/browse/OPPREAWA-1429" TargetMode="External"/><Relationship Id="rId210" Type="http://schemas.openxmlformats.org/officeDocument/2006/relationships/hyperlink" Target="https://webgate.ec.europa.eu/CITnet/jira/browse/OPPOSTWARD-15" TargetMode="External"/><Relationship Id="rId215" Type="http://schemas.openxmlformats.org/officeDocument/2006/relationships/hyperlink" Target="https://webgate.ec.europa.eu/CITnet/jira/browse/OPPREAWA-766" TargetMode="External"/><Relationship Id="rId26" Type="http://schemas.openxmlformats.org/officeDocument/2006/relationships/hyperlink" Target="https://webgate.ec.europa.eu/CITnet/jira/browse/OPSYSIOP-1342" TargetMode="External"/><Relationship Id="rId231" Type="http://schemas.openxmlformats.org/officeDocument/2006/relationships/hyperlink" Target="https://webgate.ec.europa.eu/CITnet/jira/browse/OPPREAWA-481" TargetMode="External"/><Relationship Id="rId47" Type="http://schemas.openxmlformats.org/officeDocument/2006/relationships/hyperlink" Target="https://webgate.ec.europa.eu/CITnet/jira/browse/OPPREAWA-1191" TargetMode="External"/><Relationship Id="rId68" Type="http://schemas.openxmlformats.org/officeDocument/2006/relationships/hyperlink" Target="https://webgate.ec.europa.eu/CITnet/jira/browse/OPPOSTWARD-395" TargetMode="External"/><Relationship Id="rId89" Type="http://schemas.openxmlformats.org/officeDocument/2006/relationships/hyperlink" Target="https://webgate.ec.europa.eu/CITnet/jira/browse/OPPOSTWARD-164" TargetMode="External"/><Relationship Id="rId112" Type="http://schemas.openxmlformats.org/officeDocument/2006/relationships/hyperlink" Target="https://webgate.ec.europa.eu/CITnet/jira/browse/OPPOSTWARD-171" TargetMode="External"/><Relationship Id="rId133" Type="http://schemas.openxmlformats.org/officeDocument/2006/relationships/hyperlink" Target="https://webgate.ec.europa.eu/CITnet/jira/browse/OPPOSTWARD-211" TargetMode="External"/><Relationship Id="rId154" Type="http://schemas.openxmlformats.org/officeDocument/2006/relationships/hyperlink" Target="https://webgate.ec.europa.eu/CITnet/jira/browse/OPPOSTWARD-93" TargetMode="External"/><Relationship Id="rId175" Type="http://schemas.openxmlformats.org/officeDocument/2006/relationships/hyperlink" Target="https://webgate.ec.europa.eu/CITnet/jira/browse/OPPREAWA-1394" TargetMode="External"/><Relationship Id="rId196" Type="http://schemas.openxmlformats.org/officeDocument/2006/relationships/hyperlink" Target="https://webgate.ec.europa.eu/CITnet/jira/browse/OPSYSIOP-583" TargetMode="External"/><Relationship Id="rId200" Type="http://schemas.openxmlformats.org/officeDocument/2006/relationships/hyperlink" Target="https://webgate.ec.europa.eu/CITnet/jira/browse/OPPREAWA-392" TargetMode="External"/><Relationship Id="rId16" Type="http://schemas.openxmlformats.org/officeDocument/2006/relationships/hyperlink" Target="https://webgate.ec.europa.eu/CITnet/jira/browse/OPSYSIOP-1362" TargetMode="External"/><Relationship Id="rId221" Type="http://schemas.openxmlformats.org/officeDocument/2006/relationships/hyperlink" Target="https://webgate.ec.europa.eu/CITnet/jira/browse/OPPREAWA-1607" TargetMode="External"/><Relationship Id="rId37" Type="http://schemas.openxmlformats.org/officeDocument/2006/relationships/hyperlink" Target="https://webgate.ec.europa.eu/CITnet/jira/browse/OPPREAWA-1257" TargetMode="External"/><Relationship Id="rId58" Type="http://schemas.openxmlformats.org/officeDocument/2006/relationships/hyperlink" Target="https://webgate.ec.europa.eu/CITnet/jira/browse/OPPOSTWARD-406" TargetMode="External"/><Relationship Id="rId79" Type="http://schemas.openxmlformats.org/officeDocument/2006/relationships/hyperlink" Target="https://webgate.ec.europa.eu/CITnet/jira/browse/OPPOSTWARD-215" TargetMode="External"/><Relationship Id="rId102" Type="http://schemas.openxmlformats.org/officeDocument/2006/relationships/hyperlink" Target="https://webgate.ec.europa.eu/CITnet/jira/browse/OPPOSTWARD-186" TargetMode="External"/><Relationship Id="rId123" Type="http://schemas.openxmlformats.org/officeDocument/2006/relationships/hyperlink" Target="https://webgate.ec.europa.eu/CITnet/jira/browse/OPPOSTWARD-180" TargetMode="External"/><Relationship Id="rId144" Type="http://schemas.openxmlformats.org/officeDocument/2006/relationships/hyperlink" Target="https://webgate.ec.europa.eu/CITnet/jira/browse/OPPOSTWARD-196" TargetMode="External"/><Relationship Id="rId90" Type="http://schemas.openxmlformats.org/officeDocument/2006/relationships/hyperlink" Target="https://webgate.ec.europa.eu/CITnet/jira/browse/OPPOSTWARD-160" TargetMode="External"/><Relationship Id="rId165" Type="http://schemas.openxmlformats.org/officeDocument/2006/relationships/hyperlink" Target="https://webgate.ec.europa.eu/CITnet/jira/browse/OPRESULT-798" TargetMode="External"/><Relationship Id="rId186" Type="http://schemas.openxmlformats.org/officeDocument/2006/relationships/hyperlink" Target="https://webgate.ec.europa.eu/CITnet/jira/browse/OPPREAWA-1412" TargetMode="External"/><Relationship Id="rId211" Type="http://schemas.openxmlformats.org/officeDocument/2006/relationships/hyperlink" Target="https://webgate.ec.europa.eu/CITnet/jira/browse/OPPREAWA-903" TargetMode="External"/><Relationship Id="rId232" Type="http://schemas.openxmlformats.org/officeDocument/2006/relationships/hyperlink" Target="https://webgate.ec.europa.eu/CITnet/jira/browse/OPSYSIOP-1478" TargetMode="External"/><Relationship Id="rId27" Type="http://schemas.openxmlformats.org/officeDocument/2006/relationships/hyperlink" Target="https://webgate.ec.europa.eu/CITnet/jira/browse/OPSYSIOP-1347" TargetMode="External"/><Relationship Id="rId48" Type="http://schemas.openxmlformats.org/officeDocument/2006/relationships/hyperlink" Target="https://webgate.ec.europa.eu/CITnet/jira/browse/OPPOSTWARD-289" TargetMode="External"/><Relationship Id="rId69" Type="http://schemas.openxmlformats.org/officeDocument/2006/relationships/hyperlink" Target="https://webgate.ec.europa.eu/CITnet/jira/browse/OPPOSTWARD-392" TargetMode="External"/><Relationship Id="rId113" Type="http://schemas.openxmlformats.org/officeDocument/2006/relationships/hyperlink" Target="https://webgate.ec.europa.eu/CITnet/jira/browse/OPPOSTWARD-169" TargetMode="External"/><Relationship Id="rId134" Type="http://schemas.openxmlformats.org/officeDocument/2006/relationships/hyperlink" Target="https://webgate.ec.europa.eu/CITnet/jira/browse/OPPOSTWARD-156" TargetMode="External"/></Relationships>
</file>

<file path=xl/worksheets/_rels/sheet6.xml.rels><?xml version="1.0" encoding="UTF-8" standalone="yes"?>
<Relationships xmlns="http://schemas.openxmlformats.org/package/2006/relationships"><Relationship Id="rId117" Type="http://schemas.openxmlformats.org/officeDocument/2006/relationships/hyperlink" Target="https://webgate.ec.europa.eu/CITnet/jira/browse/OPPOSTWARD-391" TargetMode="External"/><Relationship Id="rId299" Type="http://schemas.openxmlformats.org/officeDocument/2006/relationships/hyperlink" Target="https://webgate.ec.europa.eu/CITnet/jira/browse/OPSYSIOP-1538" TargetMode="External"/><Relationship Id="rId303" Type="http://schemas.openxmlformats.org/officeDocument/2006/relationships/hyperlink" Target="https://webgate.ec.europa.eu/CITnet/jira/browse/OPPREAWA-1331" TargetMode="External"/><Relationship Id="rId21" Type="http://schemas.openxmlformats.org/officeDocument/2006/relationships/hyperlink" Target="https://webgate.ec.europa.eu/CITnet/jira/browse/EUI-1419" TargetMode="External"/><Relationship Id="rId42" Type="http://schemas.openxmlformats.org/officeDocument/2006/relationships/hyperlink" Target="https://webgate.ec.europa.eu/CITnet/jira/browse/OPPREAWA-1728" TargetMode="External"/><Relationship Id="rId63" Type="http://schemas.openxmlformats.org/officeDocument/2006/relationships/hyperlink" Target="https://webgate.ec.europa.eu/CITnet/jira/browse/MWP-857" TargetMode="External"/><Relationship Id="rId84" Type="http://schemas.openxmlformats.org/officeDocument/2006/relationships/hyperlink" Target="https://webgate.ec.europa.eu/CITnet/jira/browse/OPSYSIOP-1952" TargetMode="External"/><Relationship Id="rId138" Type="http://schemas.openxmlformats.org/officeDocument/2006/relationships/hyperlink" Target="https://webgate.ec.europa.eu/CITnet/jira/browse/OPPOSTWARD-370" TargetMode="External"/><Relationship Id="rId159" Type="http://schemas.openxmlformats.org/officeDocument/2006/relationships/hyperlink" Target="https://webgate.ec.europa.eu/CITnet/jira/browse/OPPOSTWARD-350" TargetMode="External"/><Relationship Id="rId170" Type="http://schemas.openxmlformats.org/officeDocument/2006/relationships/hyperlink" Target="https://webgate.ec.europa.eu/CITnet/jira/browse/OPPOSTWARD-341" TargetMode="External"/><Relationship Id="rId191" Type="http://schemas.openxmlformats.org/officeDocument/2006/relationships/hyperlink" Target="https://webgate.ec.europa.eu/CITnet/jira/browse/OPPOSTWARD-320" TargetMode="External"/><Relationship Id="rId205" Type="http://schemas.openxmlformats.org/officeDocument/2006/relationships/hyperlink" Target="https://webgate.ec.europa.eu/CITnet/jira/browse/OPRESULT-1312" TargetMode="External"/><Relationship Id="rId226" Type="http://schemas.openxmlformats.org/officeDocument/2006/relationships/hyperlink" Target="https://webgate.ec.europa.eu/CITnet/jira/browse/MWP-781" TargetMode="External"/><Relationship Id="rId247" Type="http://schemas.openxmlformats.org/officeDocument/2006/relationships/hyperlink" Target="https://webgate.ec.europa.eu/CITnet/jira/browse/OPPREAWA-1437" TargetMode="External"/><Relationship Id="rId107" Type="http://schemas.openxmlformats.org/officeDocument/2006/relationships/hyperlink" Target="https://webgate.ec.europa.eu/CITnet/jira/browse/OPPREAWA-1617" TargetMode="External"/><Relationship Id="rId268" Type="http://schemas.openxmlformats.org/officeDocument/2006/relationships/hyperlink" Target="https://webgate.ec.europa.eu/CITnet/jira/browse/OPRESULT-1162" TargetMode="External"/><Relationship Id="rId289" Type="http://schemas.openxmlformats.org/officeDocument/2006/relationships/hyperlink" Target="https://webgate.ec.europa.eu/CITnet/jira/browse/OPSEDPORT-44" TargetMode="External"/><Relationship Id="rId11" Type="http://schemas.openxmlformats.org/officeDocument/2006/relationships/hyperlink" Target="https://webgate.ec.europa.eu/CITnet/jira/browse/OPCITNET-247" TargetMode="External"/><Relationship Id="rId32" Type="http://schemas.openxmlformats.org/officeDocument/2006/relationships/hyperlink" Target="https://webgate.ec.europa.eu/CITnet/jira/browse/OPSYSIOP-2011" TargetMode="External"/><Relationship Id="rId53" Type="http://schemas.openxmlformats.org/officeDocument/2006/relationships/hyperlink" Target="https://webgate.ec.europa.eu/CITnet/jira/browse/OPRESULT-1456" TargetMode="External"/><Relationship Id="rId74" Type="http://schemas.openxmlformats.org/officeDocument/2006/relationships/hyperlink" Target="https://webgate.ec.europa.eu/CITnet/jira/browse/MWP-842" TargetMode="External"/><Relationship Id="rId128" Type="http://schemas.openxmlformats.org/officeDocument/2006/relationships/hyperlink" Target="https://webgate.ec.europa.eu/CITnet/jira/browse/OPPOSTWARD-380" TargetMode="External"/><Relationship Id="rId149" Type="http://schemas.openxmlformats.org/officeDocument/2006/relationships/hyperlink" Target="https://webgate.ec.europa.eu/CITnet/jira/browse/OPPOSTWARD-360" TargetMode="External"/><Relationship Id="rId5" Type="http://schemas.openxmlformats.org/officeDocument/2006/relationships/hyperlink" Target="https://webgate.ec.europa.eu/CITnet/jira/browse/OPPREAWA-1886" TargetMode="External"/><Relationship Id="rId95" Type="http://schemas.openxmlformats.org/officeDocument/2006/relationships/hyperlink" Target="https://webgate.ec.europa.eu/CITnet/jira/browse/MWP-823" TargetMode="External"/><Relationship Id="rId160" Type="http://schemas.openxmlformats.org/officeDocument/2006/relationships/hyperlink" Target="https://webgate.ec.europa.eu/CITnet/jira/browse/OPPOSTWARD-349" TargetMode="External"/><Relationship Id="rId181" Type="http://schemas.openxmlformats.org/officeDocument/2006/relationships/hyperlink" Target="https://webgate.ec.europa.eu/CITnet/jira/browse/OPPOSTWARD-330" TargetMode="External"/><Relationship Id="rId216" Type="http://schemas.openxmlformats.org/officeDocument/2006/relationships/hyperlink" Target="https://webgate.ec.europa.eu/CITnet/jira/browse/OPPREAWA-1499" TargetMode="External"/><Relationship Id="rId237" Type="http://schemas.openxmlformats.org/officeDocument/2006/relationships/hyperlink" Target="https://webgate.ec.europa.eu/CITnet/jira/browse/OPPREAWA-1460" TargetMode="External"/><Relationship Id="rId258" Type="http://schemas.openxmlformats.org/officeDocument/2006/relationships/hyperlink" Target="https://webgate.ec.europa.eu/CITnet/jira/browse/OPPREAWA-1424" TargetMode="External"/><Relationship Id="rId279" Type="http://schemas.openxmlformats.org/officeDocument/2006/relationships/hyperlink" Target="https://webgate.ec.europa.eu/CITnet/jira/browse/OPPREAWA-1342" TargetMode="External"/><Relationship Id="rId22" Type="http://schemas.openxmlformats.org/officeDocument/2006/relationships/hyperlink" Target="https://webgate.ec.europa.eu/CITnet/jira/browse/OPPREAWA-1788" TargetMode="External"/><Relationship Id="rId43" Type="http://schemas.openxmlformats.org/officeDocument/2006/relationships/hyperlink" Target="https://webgate.ec.europa.eu/CITnet/jira/browse/OPPREAWA-1727" TargetMode="External"/><Relationship Id="rId64" Type="http://schemas.openxmlformats.org/officeDocument/2006/relationships/hyperlink" Target="https://webgate.ec.europa.eu/CITnet/jira/browse/MWP-856" TargetMode="External"/><Relationship Id="rId118" Type="http://schemas.openxmlformats.org/officeDocument/2006/relationships/hyperlink" Target="https://webgate.ec.europa.eu/CITnet/jira/browse/OPPOSTWARD-390" TargetMode="External"/><Relationship Id="rId139" Type="http://schemas.openxmlformats.org/officeDocument/2006/relationships/hyperlink" Target="https://webgate.ec.europa.eu/CITnet/jira/browse/OPPOSTWARD-369" TargetMode="External"/><Relationship Id="rId290" Type="http://schemas.openxmlformats.org/officeDocument/2006/relationships/hyperlink" Target="https://webgate.ec.europa.eu/CITnet/jira/browse/OPSEDPORT-43" TargetMode="External"/><Relationship Id="rId304" Type="http://schemas.openxmlformats.org/officeDocument/2006/relationships/drawing" Target="../drawings/drawing3.xml"/><Relationship Id="rId85" Type="http://schemas.openxmlformats.org/officeDocument/2006/relationships/hyperlink" Target="https://webgate.ec.europa.eu/CITnet/jira/browse/OPSYSIOP-1951" TargetMode="External"/><Relationship Id="rId150" Type="http://schemas.openxmlformats.org/officeDocument/2006/relationships/hyperlink" Target="https://webgate.ec.europa.eu/CITnet/jira/browse/OPPOSTWARD-359" TargetMode="External"/><Relationship Id="rId171" Type="http://schemas.openxmlformats.org/officeDocument/2006/relationships/hyperlink" Target="https://webgate.ec.europa.eu/CITnet/jira/browse/OPPOSTWARD-340" TargetMode="External"/><Relationship Id="rId192" Type="http://schemas.openxmlformats.org/officeDocument/2006/relationships/hyperlink" Target="https://webgate.ec.europa.eu/CITnet/jira/browse/OPPOSTWARD-319" TargetMode="External"/><Relationship Id="rId206" Type="http://schemas.openxmlformats.org/officeDocument/2006/relationships/hyperlink" Target="https://webgate.ec.europa.eu/CITnet/jira/browse/OPRESULT-1308" TargetMode="External"/><Relationship Id="rId227" Type="http://schemas.openxmlformats.org/officeDocument/2006/relationships/hyperlink" Target="https://webgate.ec.europa.eu/CITnet/jira/browse/MWP-773" TargetMode="External"/><Relationship Id="rId248" Type="http://schemas.openxmlformats.org/officeDocument/2006/relationships/hyperlink" Target="https://webgate.ec.europa.eu/CITnet/jira/browse/OPPREAWA-1436" TargetMode="External"/><Relationship Id="rId269" Type="http://schemas.openxmlformats.org/officeDocument/2006/relationships/hyperlink" Target="https://webgate.ec.europa.eu/CITnet/jira/browse/OPPREAWA-1386" TargetMode="External"/><Relationship Id="rId12" Type="http://schemas.openxmlformats.org/officeDocument/2006/relationships/hyperlink" Target="https://webgate.ec.europa.eu/CITnet/jira/browse/OPCITNET-246" TargetMode="External"/><Relationship Id="rId33" Type="http://schemas.openxmlformats.org/officeDocument/2006/relationships/hyperlink" Target="https://webgate.ec.europa.eu/CITnet/jira/browse/OPSYSIOP-2005" TargetMode="External"/><Relationship Id="rId108" Type="http://schemas.openxmlformats.org/officeDocument/2006/relationships/hyperlink" Target="https://webgate.ec.europa.eu/CITnet/jira/browse/OPPREAWA-1616" TargetMode="External"/><Relationship Id="rId129" Type="http://schemas.openxmlformats.org/officeDocument/2006/relationships/hyperlink" Target="https://webgate.ec.europa.eu/CITnet/jira/browse/OPPOSTWARD-379" TargetMode="External"/><Relationship Id="rId280" Type="http://schemas.openxmlformats.org/officeDocument/2006/relationships/hyperlink" Target="https://webgate.ec.europa.eu/CITnet/jira/browse/OPPREAWA-1341" TargetMode="External"/><Relationship Id="rId54" Type="http://schemas.openxmlformats.org/officeDocument/2006/relationships/hyperlink" Target="https://webgate.ec.europa.eu/CITnet/jira/browse/OPRESULT-1455" TargetMode="External"/><Relationship Id="rId75" Type="http://schemas.openxmlformats.org/officeDocument/2006/relationships/hyperlink" Target="https://webgate.ec.europa.eu/CITnet/jira/browse/MWP-841" TargetMode="External"/><Relationship Id="rId96" Type="http://schemas.openxmlformats.org/officeDocument/2006/relationships/hyperlink" Target="https://webgate.ec.europa.eu/CITnet/jira/browse/OPPREAWA-1633" TargetMode="External"/><Relationship Id="rId140" Type="http://schemas.openxmlformats.org/officeDocument/2006/relationships/hyperlink" Target="https://webgate.ec.europa.eu/CITnet/jira/browse/OPPOSTWARD-368" TargetMode="External"/><Relationship Id="rId161" Type="http://schemas.openxmlformats.org/officeDocument/2006/relationships/hyperlink" Target="https://webgate.ec.europa.eu/CITnet/jira/browse/OPPOSTWARD-348" TargetMode="External"/><Relationship Id="rId182" Type="http://schemas.openxmlformats.org/officeDocument/2006/relationships/hyperlink" Target="https://webgate.ec.europa.eu/CITnet/jira/browse/OPPOSTWARD-329" TargetMode="External"/><Relationship Id="rId217" Type="http://schemas.openxmlformats.org/officeDocument/2006/relationships/hyperlink" Target="https://webgate.ec.europa.eu/CITnet/jira/browse/OPPREAWA-1493" TargetMode="External"/><Relationship Id="rId6" Type="http://schemas.openxmlformats.org/officeDocument/2006/relationships/hyperlink" Target="https://webgate.ec.europa.eu/CITnet/jira/browse/OPPREAWA-1885" TargetMode="External"/><Relationship Id="rId238" Type="http://schemas.openxmlformats.org/officeDocument/2006/relationships/hyperlink" Target="https://webgate.ec.europa.eu/CITnet/jira/browse/OPPREAWA-1456" TargetMode="External"/><Relationship Id="rId259" Type="http://schemas.openxmlformats.org/officeDocument/2006/relationships/hyperlink" Target="https://webgate.ec.europa.eu/CITnet/jira/browse/MWP-602" TargetMode="External"/><Relationship Id="rId23" Type="http://schemas.openxmlformats.org/officeDocument/2006/relationships/hyperlink" Target="https://webgate.ec.europa.eu/CITnet/jira/browse/EUI-1421" TargetMode="External"/><Relationship Id="rId119" Type="http://schemas.openxmlformats.org/officeDocument/2006/relationships/hyperlink" Target="https://webgate.ec.europa.eu/CITnet/jira/browse/OPPOSTWARD-389" TargetMode="External"/><Relationship Id="rId270" Type="http://schemas.openxmlformats.org/officeDocument/2006/relationships/hyperlink" Target="https://webgate.ec.europa.eu/CITnet/jira/browse/OPSYSIOP-1614" TargetMode="External"/><Relationship Id="rId291" Type="http://schemas.openxmlformats.org/officeDocument/2006/relationships/hyperlink" Target="https://webgate.ec.europa.eu/CITnet/jira/browse/OPSEDPORT-42" TargetMode="External"/><Relationship Id="rId44" Type="http://schemas.openxmlformats.org/officeDocument/2006/relationships/hyperlink" Target="https://webgate.ec.europa.eu/CITnet/jira/browse/MWP-861" TargetMode="External"/><Relationship Id="rId65" Type="http://schemas.openxmlformats.org/officeDocument/2006/relationships/hyperlink" Target="https://webgate.ec.europa.eu/CITnet/jira/browse/OPSYSIOP-1980" TargetMode="External"/><Relationship Id="rId86" Type="http://schemas.openxmlformats.org/officeDocument/2006/relationships/hyperlink" Target="https://webgate.ec.europa.eu/CITnet/jira/browse/OPSYSIOP-1950" TargetMode="External"/><Relationship Id="rId130" Type="http://schemas.openxmlformats.org/officeDocument/2006/relationships/hyperlink" Target="https://webgate.ec.europa.eu/CITnet/jira/browse/OPPOSTWARD-378" TargetMode="External"/><Relationship Id="rId151" Type="http://schemas.openxmlformats.org/officeDocument/2006/relationships/hyperlink" Target="https://webgate.ec.europa.eu/CITnet/jira/browse/OPPOSTWARD-358" TargetMode="External"/><Relationship Id="rId172" Type="http://schemas.openxmlformats.org/officeDocument/2006/relationships/hyperlink" Target="https://webgate.ec.europa.eu/CITnet/jira/browse/OPPOSTWARD-339" TargetMode="External"/><Relationship Id="rId193" Type="http://schemas.openxmlformats.org/officeDocument/2006/relationships/hyperlink" Target="https://webgate.ec.europa.eu/CITnet/jira/browse/OPPOSTWARD-318" TargetMode="External"/><Relationship Id="rId207" Type="http://schemas.openxmlformats.org/officeDocument/2006/relationships/hyperlink" Target="https://webgate.ec.europa.eu/CITnet/jira/browse/OPRESULT-1305" TargetMode="External"/><Relationship Id="rId228" Type="http://schemas.openxmlformats.org/officeDocument/2006/relationships/hyperlink" Target="https://webgate.ec.europa.eu/CITnet/jira/browse/OPPREAWA-1467" TargetMode="External"/><Relationship Id="rId249" Type="http://schemas.openxmlformats.org/officeDocument/2006/relationships/hyperlink" Target="https://webgate.ec.europa.eu/CITnet/jira/browse/OPPREAWA-1435" TargetMode="External"/><Relationship Id="rId13" Type="http://schemas.openxmlformats.org/officeDocument/2006/relationships/hyperlink" Target="https://webgate.ec.europa.eu/CITnet/jira/browse/OPPREAWA-1834" TargetMode="External"/><Relationship Id="rId109" Type="http://schemas.openxmlformats.org/officeDocument/2006/relationships/hyperlink" Target="https://webgate.ec.europa.eu/CITnet/jira/browse/OPPREAWA-1613" TargetMode="External"/><Relationship Id="rId260" Type="http://schemas.openxmlformats.org/officeDocument/2006/relationships/hyperlink" Target="https://webgate.ec.europa.eu/CITnet/jira/browse/OPPREAWA-1422" TargetMode="External"/><Relationship Id="rId281" Type="http://schemas.openxmlformats.org/officeDocument/2006/relationships/hyperlink" Target="https://webgate.ec.europa.eu/CITnet/jira/browse/OPPREAWA-1340" TargetMode="External"/><Relationship Id="rId34" Type="http://schemas.openxmlformats.org/officeDocument/2006/relationships/hyperlink" Target="https://webgate.ec.europa.eu/CITnet/jira/browse/OPPREAWA-1743" TargetMode="External"/><Relationship Id="rId55" Type="http://schemas.openxmlformats.org/officeDocument/2006/relationships/hyperlink" Target="https://webgate.ec.europa.eu/CITnet/jira/browse/OPRESULT-1454" TargetMode="External"/><Relationship Id="rId76" Type="http://schemas.openxmlformats.org/officeDocument/2006/relationships/hyperlink" Target="https://webgate.ec.europa.eu/CITnet/jira/browse/OPPOSTWARD-417" TargetMode="External"/><Relationship Id="rId97" Type="http://schemas.openxmlformats.org/officeDocument/2006/relationships/hyperlink" Target="https://webgate.ec.europa.eu/CITnet/jira/browse/OPPREAWA-1628" TargetMode="External"/><Relationship Id="rId120" Type="http://schemas.openxmlformats.org/officeDocument/2006/relationships/hyperlink" Target="https://webgate.ec.europa.eu/CITnet/jira/browse/OPPOSTWARD-388" TargetMode="External"/><Relationship Id="rId141" Type="http://schemas.openxmlformats.org/officeDocument/2006/relationships/hyperlink" Target="https://webgate.ec.europa.eu/CITnet/jira/browse/OPPOSTWARD-367" TargetMode="External"/><Relationship Id="rId7" Type="http://schemas.openxmlformats.org/officeDocument/2006/relationships/hyperlink" Target="https://webgate.ec.europa.eu/CITnet/jira/browse/MWP-882" TargetMode="External"/><Relationship Id="rId162" Type="http://schemas.openxmlformats.org/officeDocument/2006/relationships/hyperlink" Target="https://webgate.ec.europa.eu/CITnet/jira/browse/OPPOSTWARD-347" TargetMode="External"/><Relationship Id="rId183" Type="http://schemas.openxmlformats.org/officeDocument/2006/relationships/hyperlink" Target="https://webgate.ec.europa.eu/CITnet/jira/browse/OPPOSTWARD-328" TargetMode="External"/><Relationship Id="rId218" Type="http://schemas.openxmlformats.org/officeDocument/2006/relationships/hyperlink" Target="https://webgate.ec.europa.eu/CITnet/jira/browse/OPPREAWA-1489" TargetMode="External"/><Relationship Id="rId239" Type="http://schemas.openxmlformats.org/officeDocument/2006/relationships/hyperlink" Target="https://webgate.ec.europa.eu/CITnet/jira/browse/MWP-692" TargetMode="External"/><Relationship Id="rId2" Type="http://schemas.openxmlformats.org/officeDocument/2006/relationships/hyperlink" Target="https://webgate.ec.europa.eu/CITnet/jira/browse/OPPREAWA-1887" TargetMode="External"/><Relationship Id="rId29" Type="http://schemas.openxmlformats.org/officeDocument/2006/relationships/hyperlink" Target="https://webgate.ec.europa.eu/CITnet/jira/browse/OPPREAWA-1769" TargetMode="External"/><Relationship Id="rId250" Type="http://schemas.openxmlformats.org/officeDocument/2006/relationships/hyperlink" Target="https://webgate.ec.europa.eu/CITnet/jira/browse/OPPREAWA-1434" TargetMode="External"/><Relationship Id="rId255" Type="http://schemas.openxmlformats.org/officeDocument/2006/relationships/hyperlink" Target="https://webgate.ec.europa.eu/CITnet/jira/browse/OPPREAWA-1427" TargetMode="External"/><Relationship Id="rId271" Type="http://schemas.openxmlformats.org/officeDocument/2006/relationships/hyperlink" Target="https://webgate.ec.europa.eu/CITnet/jira/browse/OPPREAWA-1373" TargetMode="External"/><Relationship Id="rId276" Type="http://schemas.openxmlformats.org/officeDocument/2006/relationships/hyperlink" Target="https://webgate.ec.europa.eu/CITnet/jira/browse/OPPREAWA-1344" TargetMode="External"/><Relationship Id="rId292" Type="http://schemas.openxmlformats.org/officeDocument/2006/relationships/hyperlink" Target="https://webgate.ec.europa.eu/CITnet/jira/browse/OPSEDPORT-41" TargetMode="External"/><Relationship Id="rId297" Type="http://schemas.openxmlformats.org/officeDocument/2006/relationships/hyperlink" Target="https://webgate.ec.europa.eu/CITnet/jira/browse/OPSYSIOP-1540" TargetMode="External"/><Relationship Id="rId24" Type="http://schemas.openxmlformats.org/officeDocument/2006/relationships/hyperlink" Target="https://webgate.ec.europa.eu/CITnet/jira/browse/OPSYSIOP-2023" TargetMode="External"/><Relationship Id="rId40" Type="http://schemas.openxmlformats.org/officeDocument/2006/relationships/hyperlink" Target="https://webgate.ec.europa.eu/CITnet/jira/browse/OPPREAWA-1730" TargetMode="External"/><Relationship Id="rId45" Type="http://schemas.openxmlformats.org/officeDocument/2006/relationships/hyperlink" Target="https://webgate.ec.europa.eu/CITnet/jira/browse/MWP-860" TargetMode="External"/><Relationship Id="rId66" Type="http://schemas.openxmlformats.org/officeDocument/2006/relationships/hyperlink" Target="https://webgate.ec.europa.eu/CITnet/jira/browse/OPPREAWA-1707" TargetMode="External"/><Relationship Id="rId87" Type="http://schemas.openxmlformats.org/officeDocument/2006/relationships/hyperlink" Target="https://webgate.ec.europa.eu/CITnet/jira/browse/OPSYSIOP-1949" TargetMode="External"/><Relationship Id="rId110" Type="http://schemas.openxmlformats.org/officeDocument/2006/relationships/hyperlink" Target="https://webgate.ec.europa.eu/CITnet/jira/browse/OPPREAWA-1612" TargetMode="External"/><Relationship Id="rId115" Type="http://schemas.openxmlformats.org/officeDocument/2006/relationships/hyperlink" Target="https://webgate.ec.europa.eu/CITnet/jira/browse/OPSYSIOP-1931" TargetMode="External"/><Relationship Id="rId131" Type="http://schemas.openxmlformats.org/officeDocument/2006/relationships/hyperlink" Target="https://webgate.ec.europa.eu/CITnet/jira/browse/OPPOSTWARD-377" TargetMode="External"/><Relationship Id="rId136" Type="http://schemas.openxmlformats.org/officeDocument/2006/relationships/hyperlink" Target="https://webgate.ec.europa.eu/CITnet/jira/browse/OPPOSTWARD-372" TargetMode="External"/><Relationship Id="rId157" Type="http://schemas.openxmlformats.org/officeDocument/2006/relationships/hyperlink" Target="https://webgate.ec.europa.eu/CITnet/jira/browse/OPPOSTWARD-352" TargetMode="External"/><Relationship Id="rId178" Type="http://schemas.openxmlformats.org/officeDocument/2006/relationships/hyperlink" Target="https://webgate.ec.europa.eu/CITnet/jira/browse/OPPOSTWARD-333" TargetMode="External"/><Relationship Id="rId301" Type="http://schemas.openxmlformats.org/officeDocument/2006/relationships/hyperlink" Target="https://webgate.ec.europa.eu/CITnet/jira/browse/OPSEDPORT-31" TargetMode="External"/><Relationship Id="rId61" Type="http://schemas.openxmlformats.org/officeDocument/2006/relationships/hyperlink" Target="https://webgate.ec.europa.eu/CITnet/jira/browse/MWP-858" TargetMode="External"/><Relationship Id="rId82" Type="http://schemas.openxmlformats.org/officeDocument/2006/relationships/hyperlink" Target="https://webgate.ec.europa.eu/CITnet/jira/browse/OPSYSIOP-1954" TargetMode="External"/><Relationship Id="rId152" Type="http://schemas.openxmlformats.org/officeDocument/2006/relationships/hyperlink" Target="https://webgate.ec.europa.eu/CITnet/jira/browse/OPPOSTWARD-357" TargetMode="External"/><Relationship Id="rId173" Type="http://schemas.openxmlformats.org/officeDocument/2006/relationships/hyperlink" Target="https://webgate.ec.europa.eu/CITnet/jira/browse/OPPOSTWARD-338" TargetMode="External"/><Relationship Id="rId194" Type="http://schemas.openxmlformats.org/officeDocument/2006/relationships/hyperlink" Target="https://webgate.ec.europa.eu/CITnet/jira/browse/OPPOSTWARD-317" TargetMode="External"/><Relationship Id="rId199" Type="http://schemas.openxmlformats.org/officeDocument/2006/relationships/hyperlink" Target="https://webgate.ec.europa.eu/CITnet/jira/browse/OPPREAWA-1558" TargetMode="External"/><Relationship Id="rId203" Type="http://schemas.openxmlformats.org/officeDocument/2006/relationships/hyperlink" Target="https://webgate.ec.europa.eu/CITnet/jira/browse/MWP-801" TargetMode="External"/><Relationship Id="rId208" Type="http://schemas.openxmlformats.org/officeDocument/2006/relationships/hyperlink" Target="https://webgate.ec.europa.eu/CITnet/jira/browse/OPRESULT-1302" TargetMode="External"/><Relationship Id="rId229" Type="http://schemas.openxmlformats.org/officeDocument/2006/relationships/hyperlink" Target="https://webgate.ec.europa.eu/CITnet/jira/browse/MWP-762" TargetMode="External"/><Relationship Id="rId19" Type="http://schemas.openxmlformats.org/officeDocument/2006/relationships/hyperlink" Target="https://webgate.ec.europa.eu/CITnet/jira/browse/OPPREAWA-1805" TargetMode="External"/><Relationship Id="rId224" Type="http://schemas.openxmlformats.org/officeDocument/2006/relationships/hyperlink" Target="https://webgate.ec.europa.eu/CITnet/jira/browse/OPPREAWA-1470" TargetMode="External"/><Relationship Id="rId240" Type="http://schemas.openxmlformats.org/officeDocument/2006/relationships/hyperlink" Target="https://webgate.ec.europa.eu/CITnet/jira/browse/OPPREAWA-1447" TargetMode="External"/><Relationship Id="rId245" Type="http://schemas.openxmlformats.org/officeDocument/2006/relationships/hyperlink" Target="https://webgate.ec.europa.eu/CITnet/jira/browse/MWP-641" TargetMode="External"/><Relationship Id="rId261" Type="http://schemas.openxmlformats.org/officeDocument/2006/relationships/hyperlink" Target="https://webgate.ec.europa.eu/CITnet/jira/browse/OPPREAWA-1421" TargetMode="External"/><Relationship Id="rId266" Type="http://schemas.openxmlformats.org/officeDocument/2006/relationships/hyperlink" Target="https://webgate.ec.europa.eu/CITnet/jira/browse/OPPREAWA-1418" TargetMode="External"/><Relationship Id="rId287" Type="http://schemas.openxmlformats.org/officeDocument/2006/relationships/hyperlink" Target="https://webgate.ec.europa.eu/CITnet/jira/browse/OPSEDPORT-48" TargetMode="External"/><Relationship Id="rId14" Type="http://schemas.openxmlformats.org/officeDocument/2006/relationships/hyperlink" Target="https://webgate.ec.europa.eu/CITnet/jira/browse/OPSYSIOP-2035" TargetMode="External"/><Relationship Id="rId30" Type="http://schemas.openxmlformats.org/officeDocument/2006/relationships/hyperlink" Target="https://webgate.ec.europa.eu/CITnet/jira/browse/OPPREAWA-1768" TargetMode="External"/><Relationship Id="rId35" Type="http://schemas.openxmlformats.org/officeDocument/2006/relationships/hyperlink" Target="https://webgate.ec.europa.eu/CITnet/jira/browse/OPPREAWA-1742" TargetMode="External"/><Relationship Id="rId56" Type="http://schemas.openxmlformats.org/officeDocument/2006/relationships/hyperlink" Target="https://webgate.ec.europa.eu/CITnet/jira/browse/OPRESULT-1453" TargetMode="External"/><Relationship Id="rId77" Type="http://schemas.openxmlformats.org/officeDocument/2006/relationships/hyperlink" Target="https://webgate.ec.europa.eu/CITnet/jira/browse/OPPREAWA-1667" TargetMode="External"/><Relationship Id="rId100" Type="http://schemas.openxmlformats.org/officeDocument/2006/relationships/hyperlink" Target="https://webgate.ec.europa.eu/CITnet/jira/browse/OPPREAWA-1624" TargetMode="External"/><Relationship Id="rId105" Type="http://schemas.openxmlformats.org/officeDocument/2006/relationships/hyperlink" Target="https://webgate.ec.europa.eu/CITnet/jira/browse/OPPREAWA-1619" TargetMode="External"/><Relationship Id="rId126" Type="http://schemas.openxmlformats.org/officeDocument/2006/relationships/hyperlink" Target="https://webgate.ec.europa.eu/CITnet/jira/browse/OPPOSTWARD-382" TargetMode="External"/><Relationship Id="rId147" Type="http://schemas.openxmlformats.org/officeDocument/2006/relationships/hyperlink" Target="https://webgate.ec.europa.eu/CITnet/jira/browse/OPPOSTWARD-362" TargetMode="External"/><Relationship Id="rId168" Type="http://schemas.openxmlformats.org/officeDocument/2006/relationships/hyperlink" Target="https://webgate.ec.europa.eu/CITnet/jira/browse/OPPREAWA-1588" TargetMode="External"/><Relationship Id="rId282" Type="http://schemas.openxmlformats.org/officeDocument/2006/relationships/hyperlink" Target="https://webgate.ec.europa.eu/CITnet/jira/browse/OPSEDPORT-55" TargetMode="External"/><Relationship Id="rId8" Type="http://schemas.openxmlformats.org/officeDocument/2006/relationships/hyperlink" Target="https://webgate.ec.europa.eu/CITnet/jira/browse/OPRESULT-1549" TargetMode="External"/><Relationship Id="rId51" Type="http://schemas.openxmlformats.org/officeDocument/2006/relationships/hyperlink" Target="https://webgate.ec.europa.eu/CITnet/jira/browse/OPRESULT-1458" TargetMode="External"/><Relationship Id="rId72" Type="http://schemas.openxmlformats.org/officeDocument/2006/relationships/hyperlink" Target="https://webgate.ec.europa.eu/CITnet/jira/browse/OPPOSTWARD-419" TargetMode="External"/><Relationship Id="rId93" Type="http://schemas.openxmlformats.org/officeDocument/2006/relationships/hyperlink" Target="https://webgate.ec.europa.eu/CITnet/jira/browse/OPPREAWA-1638" TargetMode="External"/><Relationship Id="rId98" Type="http://schemas.openxmlformats.org/officeDocument/2006/relationships/hyperlink" Target="https://webgate.ec.europa.eu/CITnet/jira/browse/OPPREAWA-1627" TargetMode="External"/><Relationship Id="rId121" Type="http://schemas.openxmlformats.org/officeDocument/2006/relationships/hyperlink" Target="https://webgate.ec.europa.eu/CITnet/jira/browse/OPPOSTWARD-387" TargetMode="External"/><Relationship Id="rId142" Type="http://schemas.openxmlformats.org/officeDocument/2006/relationships/hyperlink" Target="https://webgate.ec.europa.eu/CITnet/jira/browse/OPPOSTWARD-366" TargetMode="External"/><Relationship Id="rId163" Type="http://schemas.openxmlformats.org/officeDocument/2006/relationships/hyperlink" Target="https://webgate.ec.europa.eu/CITnet/jira/browse/OPPOSTWARD-346" TargetMode="External"/><Relationship Id="rId184" Type="http://schemas.openxmlformats.org/officeDocument/2006/relationships/hyperlink" Target="https://webgate.ec.europa.eu/CITnet/jira/browse/OPPOSTWARD-327" TargetMode="External"/><Relationship Id="rId189" Type="http://schemas.openxmlformats.org/officeDocument/2006/relationships/hyperlink" Target="https://webgate.ec.europa.eu/CITnet/jira/browse/OPSYSIOP-1923" TargetMode="External"/><Relationship Id="rId219" Type="http://schemas.openxmlformats.org/officeDocument/2006/relationships/hyperlink" Target="https://webgate.ec.europa.eu/CITnet/jira/browse/OPRESULT-1221" TargetMode="External"/><Relationship Id="rId3" Type="http://schemas.openxmlformats.org/officeDocument/2006/relationships/hyperlink" Target="https://webgate.ec.europa.eu/CITnet/jira/browse/OPSYSIOP-2046" TargetMode="External"/><Relationship Id="rId214" Type="http://schemas.openxmlformats.org/officeDocument/2006/relationships/hyperlink" Target="https://webgate.ec.europa.eu/CITnet/jira/browse/OPRESULT-1266" TargetMode="External"/><Relationship Id="rId230" Type="http://schemas.openxmlformats.org/officeDocument/2006/relationships/hyperlink" Target="https://webgate.ec.europa.eu/CITnet/jira/browse/MWP-754" TargetMode="External"/><Relationship Id="rId235" Type="http://schemas.openxmlformats.org/officeDocument/2006/relationships/hyperlink" Target="https://webgate.ec.europa.eu/CITnet/jira/browse/MWP-700" TargetMode="External"/><Relationship Id="rId251" Type="http://schemas.openxmlformats.org/officeDocument/2006/relationships/hyperlink" Target="https://webgate.ec.europa.eu/CITnet/jira/browse/OPPREAWA-1433" TargetMode="External"/><Relationship Id="rId256" Type="http://schemas.openxmlformats.org/officeDocument/2006/relationships/hyperlink" Target="https://webgate.ec.europa.eu/CITnet/jira/browse/MWP-608" TargetMode="External"/><Relationship Id="rId277" Type="http://schemas.openxmlformats.org/officeDocument/2006/relationships/hyperlink" Target="https://webgate.ec.europa.eu/CITnet/jira/browse/OPPREAWA-1343" TargetMode="External"/><Relationship Id="rId298" Type="http://schemas.openxmlformats.org/officeDocument/2006/relationships/hyperlink" Target="https://webgate.ec.europa.eu/CITnet/jira/browse/OPPREAWA-1335" TargetMode="External"/><Relationship Id="rId25" Type="http://schemas.openxmlformats.org/officeDocument/2006/relationships/hyperlink" Target="https://webgate.ec.europa.eu/CITnet/jira/browse/OPPREAWA-1781" TargetMode="External"/><Relationship Id="rId46" Type="http://schemas.openxmlformats.org/officeDocument/2006/relationships/hyperlink" Target="https://webgate.ec.europa.eu/CITnet/jira/browse/OPPREAWA-1720" TargetMode="External"/><Relationship Id="rId67" Type="http://schemas.openxmlformats.org/officeDocument/2006/relationships/hyperlink" Target="https://webgate.ec.europa.eu/CITnet/jira/browse/MWP-855" TargetMode="External"/><Relationship Id="rId116" Type="http://schemas.openxmlformats.org/officeDocument/2006/relationships/hyperlink" Target="https://webgate.ec.europa.eu/CITnet/jira/browse/OPPREAWA-1594" TargetMode="External"/><Relationship Id="rId137" Type="http://schemas.openxmlformats.org/officeDocument/2006/relationships/hyperlink" Target="https://webgate.ec.europa.eu/CITnet/jira/browse/OPPOSTWARD-371" TargetMode="External"/><Relationship Id="rId158" Type="http://schemas.openxmlformats.org/officeDocument/2006/relationships/hyperlink" Target="https://webgate.ec.europa.eu/CITnet/jira/browse/OPPOSTWARD-351" TargetMode="External"/><Relationship Id="rId272" Type="http://schemas.openxmlformats.org/officeDocument/2006/relationships/hyperlink" Target="https://webgate.ec.europa.eu/CITnet/jira/browse/OPPREAWA-1372" TargetMode="External"/><Relationship Id="rId293" Type="http://schemas.openxmlformats.org/officeDocument/2006/relationships/hyperlink" Target="https://webgate.ec.europa.eu/CITnet/jira/browse/OPSEDPORT-40" TargetMode="External"/><Relationship Id="rId302" Type="http://schemas.openxmlformats.org/officeDocument/2006/relationships/hyperlink" Target="https://webgate.ec.europa.eu/CITnet/jira/browse/OPSYSIOP-1536" TargetMode="External"/><Relationship Id="rId20" Type="http://schemas.openxmlformats.org/officeDocument/2006/relationships/hyperlink" Target="https://webgate.ec.europa.eu/CITnet/jira/browse/OPPREAWA-1799" TargetMode="External"/><Relationship Id="rId41" Type="http://schemas.openxmlformats.org/officeDocument/2006/relationships/hyperlink" Target="https://webgate.ec.europa.eu/CITnet/jira/browse/OPPREAWA-1729" TargetMode="External"/><Relationship Id="rId62" Type="http://schemas.openxmlformats.org/officeDocument/2006/relationships/hyperlink" Target="https://webgate.ec.europa.eu/CITnet/jira/browse/OPPREAWA-1712" TargetMode="External"/><Relationship Id="rId83" Type="http://schemas.openxmlformats.org/officeDocument/2006/relationships/hyperlink" Target="https://webgate.ec.europa.eu/CITnet/jira/browse/OPSYSIOP-1953" TargetMode="External"/><Relationship Id="rId88" Type="http://schemas.openxmlformats.org/officeDocument/2006/relationships/hyperlink" Target="https://webgate.ec.europa.eu/CITnet/jira/browse/OPSYSIOP-1948" TargetMode="External"/><Relationship Id="rId111" Type="http://schemas.openxmlformats.org/officeDocument/2006/relationships/hyperlink" Target="https://webgate.ec.europa.eu/CITnet/jira/browse/OPPREAWA-1609" TargetMode="External"/><Relationship Id="rId132" Type="http://schemas.openxmlformats.org/officeDocument/2006/relationships/hyperlink" Target="https://webgate.ec.europa.eu/CITnet/jira/browse/OPPOSTWARD-376" TargetMode="External"/><Relationship Id="rId153" Type="http://schemas.openxmlformats.org/officeDocument/2006/relationships/hyperlink" Target="https://webgate.ec.europa.eu/CITnet/jira/browse/OPPOSTWARD-356" TargetMode="External"/><Relationship Id="rId174" Type="http://schemas.openxmlformats.org/officeDocument/2006/relationships/hyperlink" Target="https://webgate.ec.europa.eu/CITnet/jira/browse/OPPOSTWARD-337" TargetMode="External"/><Relationship Id="rId179" Type="http://schemas.openxmlformats.org/officeDocument/2006/relationships/hyperlink" Target="https://webgate.ec.europa.eu/CITnet/jira/browse/OPPOSTWARD-332" TargetMode="External"/><Relationship Id="rId195" Type="http://schemas.openxmlformats.org/officeDocument/2006/relationships/hyperlink" Target="https://webgate.ec.europa.eu/CITnet/jira/browse/OPPOSTWARD-316" TargetMode="External"/><Relationship Id="rId209" Type="http://schemas.openxmlformats.org/officeDocument/2006/relationships/hyperlink" Target="https://webgate.ec.europa.eu/CITnet/jira/browse/OPRESULT-1298" TargetMode="External"/><Relationship Id="rId190" Type="http://schemas.openxmlformats.org/officeDocument/2006/relationships/hyperlink" Target="https://webgate.ec.europa.eu/CITnet/jira/browse/OPPOSTWARD-321" TargetMode="External"/><Relationship Id="rId204" Type="http://schemas.openxmlformats.org/officeDocument/2006/relationships/hyperlink" Target="https://webgate.ec.europa.eu/CITnet/jira/browse/OPPREAWA-1546" TargetMode="External"/><Relationship Id="rId220" Type="http://schemas.openxmlformats.org/officeDocument/2006/relationships/hyperlink" Target="https://webgate.ec.europa.eu/CITnet/jira/browse/OPRESULT-1220" TargetMode="External"/><Relationship Id="rId225" Type="http://schemas.openxmlformats.org/officeDocument/2006/relationships/hyperlink" Target="https://webgate.ec.europa.eu/CITnet/jira/browse/OPPREAWA-1468" TargetMode="External"/><Relationship Id="rId241" Type="http://schemas.openxmlformats.org/officeDocument/2006/relationships/hyperlink" Target="https://webgate.ec.europa.eu/CITnet/jira/browse/MWP-679" TargetMode="External"/><Relationship Id="rId246" Type="http://schemas.openxmlformats.org/officeDocument/2006/relationships/hyperlink" Target="https://webgate.ec.europa.eu/CITnet/jira/browse/OPPREAWA-1438" TargetMode="External"/><Relationship Id="rId267" Type="http://schemas.openxmlformats.org/officeDocument/2006/relationships/hyperlink" Target="https://webgate.ec.europa.eu/CITnet/jira/browse/EUI-1420" TargetMode="External"/><Relationship Id="rId288" Type="http://schemas.openxmlformats.org/officeDocument/2006/relationships/hyperlink" Target="https://webgate.ec.europa.eu/CITnet/jira/browse/OPSEDPORT-47" TargetMode="External"/><Relationship Id="rId15" Type="http://schemas.openxmlformats.org/officeDocument/2006/relationships/hyperlink" Target="https://webgate.ec.europa.eu/CITnet/jira/browse/OPPREAWA-1829" TargetMode="External"/><Relationship Id="rId36" Type="http://schemas.openxmlformats.org/officeDocument/2006/relationships/hyperlink" Target="https://webgate.ec.europa.eu/CITnet/jira/browse/OPPREAWA-1740" TargetMode="External"/><Relationship Id="rId57" Type="http://schemas.openxmlformats.org/officeDocument/2006/relationships/hyperlink" Target="https://webgate.ec.europa.eu/CITnet/jira/browse/OPRESULT-1452" TargetMode="External"/><Relationship Id="rId106" Type="http://schemas.openxmlformats.org/officeDocument/2006/relationships/hyperlink" Target="https://webgate.ec.europa.eu/CITnet/jira/browse/OPPREAWA-1618" TargetMode="External"/><Relationship Id="rId127" Type="http://schemas.openxmlformats.org/officeDocument/2006/relationships/hyperlink" Target="https://webgate.ec.europa.eu/CITnet/jira/browse/OPPOSTWARD-381" TargetMode="External"/><Relationship Id="rId262" Type="http://schemas.openxmlformats.org/officeDocument/2006/relationships/hyperlink" Target="https://webgate.ec.europa.eu/CITnet/jira/browse/MWP-601" TargetMode="External"/><Relationship Id="rId283" Type="http://schemas.openxmlformats.org/officeDocument/2006/relationships/hyperlink" Target="https://webgate.ec.europa.eu/CITnet/jira/browse/OPSEDPORT-54" TargetMode="External"/><Relationship Id="rId10" Type="http://schemas.openxmlformats.org/officeDocument/2006/relationships/hyperlink" Target="https://webgate.ec.europa.eu/CITnet/jira/browse/OPSYSIOP-2036" TargetMode="External"/><Relationship Id="rId31" Type="http://schemas.openxmlformats.org/officeDocument/2006/relationships/hyperlink" Target="https://webgate.ec.europa.eu/CITnet/jira/browse/OPSYSIOP-2012" TargetMode="External"/><Relationship Id="rId52" Type="http://schemas.openxmlformats.org/officeDocument/2006/relationships/hyperlink" Target="https://webgate.ec.europa.eu/CITnet/jira/browse/OPRESULT-1457" TargetMode="External"/><Relationship Id="rId73" Type="http://schemas.openxmlformats.org/officeDocument/2006/relationships/hyperlink" Target="https://webgate.ec.europa.eu/CITnet/jira/browse/EUI-1387" TargetMode="External"/><Relationship Id="rId78" Type="http://schemas.openxmlformats.org/officeDocument/2006/relationships/hyperlink" Target="https://webgate.ec.europa.eu/CITnet/jira/browse/MWP-837" TargetMode="External"/><Relationship Id="rId94" Type="http://schemas.openxmlformats.org/officeDocument/2006/relationships/hyperlink" Target="https://webgate.ec.europa.eu/CITnet/jira/browse/MWP-830" TargetMode="External"/><Relationship Id="rId99" Type="http://schemas.openxmlformats.org/officeDocument/2006/relationships/hyperlink" Target="https://webgate.ec.europa.eu/CITnet/jira/browse/OPSYSIOP-1933" TargetMode="External"/><Relationship Id="rId101" Type="http://schemas.openxmlformats.org/officeDocument/2006/relationships/hyperlink" Target="https://webgate.ec.europa.eu/CITnet/jira/browse/OPPREAWA-1623" TargetMode="External"/><Relationship Id="rId122" Type="http://schemas.openxmlformats.org/officeDocument/2006/relationships/hyperlink" Target="https://webgate.ec.europa.eu/CITnet/jira/browse/OPPOSTWARD-386" TargetMode="External"/><Relationship Id="rId143" Type="http://schemas.openxmlformats.org/officeDocument/2006/relationships/hyperlink" Target="https://webgate.ec.europa.eu/CITnet/jira/browse/OPPOSTWARD-365" TargetMode="External"/><Relationship Id="rId148" Type="http://schemas.openxmlformats.org/officeDocument/2006/relationships/hyperlink" Target="https://webgate.ec.europa.eu/CITnet/jira/browse/OPPOSTWARD-361" TargetMode="External"/><Relationship Id="rId164" Type="http://schemas.openxmlformats.org/officeDocument/2006/relationships/hyperlink" Target="https://webgate.ec.europa.eu/CITnet/jira/browse/OPPOSTWARD-345" TargetMode="External"/><Relationship Id="rId169" Type="http://schemas.openxmlformats.org/officeDocument/2006/relationships/hyperlink" Target="https://webgate.ec.europa.eu/CITnet/jira/browse/OPSYSIOP-1928" TargetMode="External"/><Relationship Id="rId185" Type="http://schemas.openxmlformats.org/officeDocument/2006/relationships/hyperlink" Target="https://webgate.ec.europa.eu/CITnet/jira/browse/OPPOSTWARD-326" TargetMode="External"/><Relationship Id="rId4" Type="http://schemas.openxmlformats.org/officeDocument/2006/relationships/hyperlink" Target="https://webgate.ec.europa.eu/CITnet/jira/browse/OPSYSIOP-2045" TargetMode="External"/><Relationship Id="rId9" Type="http://schemas.openxmlformats.org/officeDocument/2006/relationships/hyperlink" Target="https://webgate.ec.europa.eu/CITnet/jira/browse/OPCITNET-248" TargetMode="External"/><Relationship Id="rId180" Type="http://schemas.openxmlformats.org/officeDocument/2006/relationships/hyperlink" Target="https://webgate.ec.europa.eu/CITnet/jira/browse/OPPOSTWARD-331" TargetMode="External"/><Relationship Id="rId210" Type="http://schemas.openxmlformats.org/officeDocument/2006/relationships/hyperlink" Target="https://webgate.ec.europa.eu/CITnet/jira/browse/OPRESULT-1294" TargetMode="External"/><Relationship Id="rId215" Type="http://schemas.openxmlformats.org/officeDocument/2006/relationships/hyperlink" Target="https://webgate.ec.europa.eu/CITnet/jira/browse/OPPREAWA-1532" TargetMode="External"/><Relationship Id="rId236" Type="http://schemas.openxmlformats.org/officeDocument/2006/relationships/hyperlink" Target="https://webgate.ec.europa.eu/CITnet/jira/browse/OPPREAWA-1463" TargetMode="External"/><Relationship Id="rId257" Type="http://schemas.openxmlformats.org/officeDocument/2006/relationships/hyperlink" Target="https://webgate.ec.europa.eu/CITnet/jira/browse/OPPREAWA-1425" TargetMode="External"/><Relationship Id="rId278" Type="http://schemas.openxmlformats.org/officeDocument/2006/relationships/hyperlink" Target="https://webgate.ec.europa.eu/CITnet/jira/browse/OPSYSIOP-1562" TargetMode="External"/><Relationship Id="rId26" Type="http://schemas.openxmlformats.org/officeDocument/2006/relationships/hyperlink" Target="https://webgate.ec.europa.eu/CITnet/jira/browse/OPPREAWA-1779" TargetMode="External"/><Relationship Id="rId231" Type="http://schemas.openxmlformats.org/officeDocument/2006/relationships/hyperlink" Target="https://webgate.ec.europa.eu/CITnet/jira/browse/MWP-743" TargetMode="External"/><Relationship Id="rId252" Type="http://schemas.openxmlformats.org/officeDocument/2006/relationships/hyperlink" Target="https://webgate.ec.europa.eu/CITnet/jira/browse/OPPREAWA-1432" TargetMode="External"/><Relationship Id="rId273" Type="http://schemas.openxmlformats.org/officeDocument/2006/relationships/hyperlink" Target="https://webgate.ec.europa.eu/CITnet/jira/browse/OPPREAWA-1369" TargetMode="External"/><Relationship Id="rId294" Type="http://schemas.openxmlformats.org/officeDocument/2006/relationships/hyperlink" Target="https://webgate.ec.europa.eu/CITnet/jira/browse/OPSEDPORT-39" TargetMode="External"/><Relationship Id="rId47" Type="http://schemas.openxmlformats.org/officeDocument/2006/relationships/hyperlink" Target="https://webgate.ec.europa.eu/CITnet/jira/browse/OPRESULT-1466" TargetMode="External"/><Relationship Id="rId68" Type="http://schemas.openxmlformats.org/officeDocument/2006/relationships/hyperlink" Target="https://webgate.ec.europa.eu/CITnet/jira/browse/MWP-853" TargetMode="External"/><Relationship Id="rId89" Type="http://schemas.openxmlformats.org/officeDocument/2006/relationships/hyperlink" Target="https://webgate.ec.europa.eu/CITnet/jira/browse/OPPOSTWARD-416" TargetMode="External"/><Relationship Id="rId112" Type="http://schemas.openxmlformats.org/officeDocument/2006/relationships/hyperlink" Target="https://webgate.ec.europa.eu/CITnet/jira/browse/OPPREAWA-1608" TargetMode="External"/><Relationship Id="rId133" Type="http://schemas.openxmlformats.org/officeDocument/2006/relationships/hyperlink" Target="https://webgate.ec.europa.eu/CITnet/jira/browse/OPPOSTWARD-375" TargetMode="External"/><Relationship Id="rId154" Type="http://schemas.openxmlformats.org/officeDocument/2006/relationships/hyperlink" Target="https://webgate.ec.europa.eu/CITnet/jira/browse/OPPOSTWARD-355" TargetMode="External"/><Relationship Id="rId175" Type="http://schemas.openxmlformats.org/officeDocument/2006/relationships/hyperlink" Target="https://webgate.ec.europa.eu/CITnet/jira/browse/OPPOSTWARD-336" TargetMode="External"/><Relationship Id="rId196" Type="http://schemas.openxmlformats.org/officeDocument/2006/relationships/hyperlink" Target="https://webgate.ec.europa.eu/CITnet/jira/browse/OPCITNET-230" TargetMode="External"/><Relationship Id="rId200" Type="http://schemas.openxmlformats.org/officeDocument/2006/relationships/hyperlink" Target="https://webgate.ec.europa.eu/CITnet/jira/browse/OPSYSIOP-1921" TargetMode="External"/><Relationship Id="rId16" Type="http://schemas.openxmlformats.org/officeDocument/2006/relationships/hyperlink" Target="https://webgate.ec.europa.eu/CITnet/jira/browse/OPRESULT-1536" TargetMode="External"/><Relationship Id="rId221" Type="http://schemas.openxmlformats.org/officeDocument/2006/relationships/hyperlink" Target="https://webgate.ec.europa.eu/CITnet/jira/browse/OPPREAWA-1481" TargetMode="External"/><Relationship Id="rId242" Type="http://schemas.openxmlformats.org/officeDocument/2006/relationships/hyperlink" Target="https://webgate.ec.europa.eu/CITnet/jira/browse/MWP-667" TargetMode="External"/><Relationship Id="rId263" Type="http://schemas.openxmlformats.org/officeDocument/2006/relationships/hyperlink" Target="https://webgate.ec.europa.eu/CITnet/jira/browse/MWP-600" TargetMode="External"/><Relationship Id="rId284" Type="http://schemas.openxmlformats.org/officeDocument/2006/relationships/hyperlink" Target="https://webgate.ec.europa.eu/CITnet/jira/browse/OPSEDPORT-53" TargetMode="External"/><Relationship Id="rId37" Type="http://schemas.openxmlformats.org/officeDocument/2006/relationships/hyperlink" Target="https://webgate.ec.europa.eu/CITnet/jira/browse/OPPREAWA-1737" TargetMode="External"/><Relationship Id="rId58" Type="http://schemas.openxmlformats.org/officeDocument/2006/relationships/hyperlink" Target="https://webgate.ec.europa.eu/CITnet/jira/browse/OPRESULT-1451" TargetMode="External"/><Relationship Id="rId79" Type="http://schemas.openxmlformats.org/officeDocument/2006/relationships/hyperlink" Target="https://webgate.ec.europa.eu/CITnet/jira/browse/OPPREAWA-1652" TargetMode="External"/><Relationship Id="rId102" Type="http://schemas.openxmlformats.org/officeDocument/2006/relationships/hyperlink" Target="https://webgate.ec.europa.eu/CITnet/jira/browse/OPPREAWA-1622" TargetMode="External"/><Relationship Id="rId123" Type="http://schemas.openxmlformats.org/officeDocument/2006/relationships/hyperlink" Target="https://webgate.ec.europa.eu/CITnet/jira/browse/OPPOSTWARD-385" TargetMode="External"/><Relationship Id="rId144" Type="http://schemas.openxmlformats.org/officeDocument/2006/relationships/hyperlink" Target="https://webgate.ec.europa.eu/CITnet/jira/browse/OPPOSTWARD-364" TargetMode="External"/><Relationship Id="rId90" Type="http://schemas.openxmlformats.org/officeDocument/2006/relationships/hyperlink" Target="https://webgate.ec.europa.eu/CITnet/jira/browse/OPPOSTWARD-415" TargetMode="External"/><Relationship Id="rId165" Type="http://schemas.openxmlformats.org/officeDocument/2006/relationships/hyperlink" Target="https://webgate.ec.europa.eu/CITnet/jira/browse/OPPOSTWARD-344" TargetMode="External"/><Relationship Id="rId186" Type="http://schemas.openxmlformats.org/officeDocument/2006/relationships/hyperlink" Target="https://webgate.ec.europa.eu/CITnet/jira/browse/OPPOSTWARD-324" TargetMode="External"/><Relationship Id="rId211" Type="http://schemas.openxmlformats.org/officeDocument/2006/relationships/hyperlink" Target="https://webgate.ec.europa.eu/CITnet/jira/browse/OPRESULT-1289" TargetMode="External"/><Relationship Id="rId232" Type="http://schemas.openxmlformats.org/officeDocument/2006/relationships/hyperlink" Target="https://webgate.ec.europa.eu/CITnet/jira/browse/MWP-735" TargetMode="External"/><Relationship Id="rId253" Type="http://schemas.openxmlformats.org/officeDocument/2006/relationships/hyperlink" Target="https://webgate.ec.europa.eu/CITnet/jira/browse/OPPREAWA-1431" TargetMode="External"/><Relationship Id="rId274" Type="http://schemas.openxmlformats.org/officeDocument/2006/relationships/hyperlink" Target="https://webgate.ec.europa.eu/CITnet/jira/browse/OPPREAWA-1354" TargetMode="External"/><Relationship Id="rId295" Type="http://schemas.openxmlformats.org/officeDocument/2006/relationships/hyperlink" Target="https://webgate.ec.europa.eu/CITnet/jira/browse/OPSEDPORT-38" TargetMode="External"/><Relationship Id="rId27" Type="http://schemas.openxmlformats.org/officeDocument/2006/relationships/hyperlink" Target="https://webgate.ec.europa.eu/CITnet/jira/browse/OPPREAWA-1775" TargetMode="External"/><Relationship Id="rId48" Type="http://schemas.openxmlformats.org/officeDocument/2006/relationships/hyperlink" Target="https://webgate.ec.europa.eu/CITnet/jira/browse/EUI-1398" TargetMode="External"/><Relationship Id="rId69" Type="http://schemas.openxmlformats.org/officeDocument/2006/relationships/hyperlink" Target="https://webgate.ec.europa.eu/CITnet/jira/browse/OPSYSIOP-1975" TargetMode="External"/><Relationship Id="rId113" Type="http://schemas.openxmlformats.org/officeDocument/2006/relationships/hyperlink" Target="https://webgate.ec.europa.eu/CITnet/jira/browse/OPPREAWA-1604" TargetMode="External"/><Relationship Id="rId134" Type="http://schemas.openxmlformats.org/officeDocument/2006/relationships/hyperlink" Target="https://webgate.ec.europa.eu/CITnet/jira/browse/OPPOSTWARD-374" TargetMode="External"/><Relationship Id="rId80" Type="http://schemas.openxmlformats.org/officeDocument/2006/relationships/hyperlink" Target="https://webgate.ec.europa.eu/CITnet/jira/browse/OPPREAWA-1651" TargetMode="External"/><Relationship Id="rId155" Type="http://schemas.openxmlformats.org/officeDocument/2006/relationships/hyperlink" Target="https://webgate.ec.europa.eu/CITnet/jira/browse/OPPOSTWARD-354" TargetMode="External"/><Relationship Id="rId176" Type="http://schemas.openxmlformats.org/officeDocument/2006/relationships/hyperlink" Target="https://webgate.ec.europa.eu/CITnet/jira/browse/OPPOSTWARD-335" TargetMode="External"/><Relationship Id="rId197" Type="http://schemas.openxmlformats.org/officeDocument/2006/relationships/hyperlink" Target="https://webgate.ec.europa.eu/CITnet/jira/browse/OPPREAWA-1572" TargetMode="External"/><Relationship Id="rId201" Type="http://schemas.openxmlformats.org/officeDocument/2006/relationships/hyperlink" Target="https://webgate.ec.europa.eu/CITnet/jira/browse/OPPREAWA-1550" TargetMode="External"/><Relationship Id="rId222" Type="http://schemas.openxmlformats.org/officeDocument/2006/relationships/hyperlink" Target="https://webgate.ec.europa.eu/CITnet/jira/browse/OPPREAWA-1473" TargetMode="External"/><Relationship Id="rId243" Type="http://schemas.openxmlformats.org/officeDocument/2006/relationships/hyperlink" Target="https://webgate.ec.europa.eu/CITnet/jira/browse/OPPREAWA-1444" TargetMode="External"/><Relationship Id="rId264" Type="http://schemas.openxmlformats.org/officeDocument/2006/relationships/hyperlink" Target="https://webgate.ec.europa.eu/CITnet/jira/browse/MWP-599" TargetMode="External"/><Relationship Id="rId285" Type="http://schemas.openxmlformats.org/officeDocument/2006/relationships/hyperlink" Target="https://webgate.ec.europa.eu/CITnet/jira/browse/OPSEDPORT-50" TargetMode="External"/><Relationship Id="rId17" Type="http://schemas.openxmlformats.org/officeDocument/2006/relationships/hyperlink" Target="https://webgate.ec.europa.eu/CITnet/jira/browse/OPPREAWA-1816" TargetMode="External"/><Relationship Id="rId38" Type="http://schemas.openxmlformats.org/officeDocument/2006/relationships/hyperlink" Target="https://webgate.ec.europa.eu/CITnet/jira/browse/OPPREAWA-1736" TargetMode="External"/><Relationship Id="rId59" Type="http://schemas.openxmlformats.org/officeDocument/2006/relationships/hyperlink" Target="https://webgate.ec.europa.eu/CITnet/jira/browse/OPRESULT-1449" TargetMode="External"/><Relationship Id="rId103" Type="http://schemas.openxmlformats.org/officeDocument/2006/relationships/hyperlink" Target="https://webgate.ec.europa.eu/CITnet/jira/browse/OPPREAWA-1621" TargetMode="External"/><Relationship Id="rId124" Type="http://schemas.openxmlformats.org/officeDocument/2006/relationships/hyperlink" Target="https://webgate.ec.europa.eu/CITnet/jira/browse/OPPOSTWARD-384" TargetMode="External"/><Relationship Id="rId70" Type="http://schemas.openxmlformats.org/officeDocument/2006/relationships/hyperlink" Target="https://webgate.ec.europa.eu/CITnet/jira/browse/OPPREAWA-1689" TargetMode="External"/><Relationship Id="rId91" Type="http://schemas.openxmlformats.org/officeDocument/2006/relationships/hyperlink" Target="https://webgate.ec.europa.eu/CITnet/jira/browse/OPPOSTWARD-414" TargetMode="External"/><Relationship Id="rId145" Type="http://schemas.openxmlformats.org/officeDocument/2006/relationships/hyperlink" Target="https://webgate.ec.europa.eu/CITnet/jira/browse/MWP-808" TargetMode="External"/><Relationship Id="rId166" Type="http://schemas.openxmlformats.org/officeDocument/2006/relationships/hyperlink" Target="https://webgate.ec.europa.eu/CITnet/jira/browse/OPPOSTWARD-343" TargetMode="External"/><Relationship Id="rId187" Type="http://schemas.openxmlformats.org/officeDocument/2006/relationships/hyperlink" Target="https://webgate.ec.europa.eu/CITnet/jira/browse/OPPOSTWARD-323" TargetMode="External"/><Relationship Id="rId1" Type="http://schemas.openxmlformats.org/officeDocument/2006/relationships/hyperlink" Target="https://webgate.ec.europa.eu/CITnet/jira/issues/?jql=project+in+%2890300%2C+89200%2C+MWP%2C+88600%2C+85400%2C+86500%2C+89700%2C+89800%2C+90000%2C+EUI%29+AND+issuetype+in+%28Story%29+AND+created+%3E%3D+%222018%2F10%2F15%22+AND+created+%3C+endOfDay%28-0d%29+ORDER+BY+created+" TargetMode="External"/><Relationship Id="rId212" Type="http://schemas.openxmlformats.org/officeDocument/2006/relationships/hyperlink" Target="https://webgate.ec.europa.eu/CITnet/jira/browse/OPRESULT-1287" TargetMode="External"/><Relationship Id="rId233" Type="http://schemas.openxmlformats.org/officeDocument/2006/relationships/hyperlink" Target="https://webgate.ec.europa.eu/CITnet/jira/browse/MWP-724" TargetMode="External"/><Relationship Id="rId254" Type="http://schemas.openxmlformats.org/officeDocument/2006/relationships/hyperlink" Target="https://webgate.ec.europa.eu/CITnet/jira/browse/MWP-617" TargetMode="External"/><Relationship Id="rId28" Type="http://schemas.openxmlformats.org/officeDocument/2006/relationships/hyperlink" Target="https://webgate.ec.europa.eu/CITnet/jira/browse/EUI-1409" TargetMode="External"/><Relationship Id="rId49" Type="http://schemas.openxmlformats.org/officeDocument/2006/relationships/hyperlink" Target="https://webgate.ec.europa.eu/CITnet/jira/browse/OPRESULT-1460" TargetMode="External"/><Relationship Id="rId114" Type="http://schemas.openxmlformats.org/officeDocument/2006/relationships/hyperlink" Target="https://webgate.ec.europa.eu/CITnet/jira/browse/OPPREAWA-1603" TargetMode="External"/><Relationship Id="rId275" Type="http://schemas.openxmlformats.org/officeDocument/2006/relationships/hyperlink" Target="https://webgate.ec.europa.eu/CITnet/jira/browse/OPSYSIOP-1567" TargetMode="External"/><Relationship Id="rId296" Type="http://schemas.openxmlformats.org/officeDocument/2006/relationships/hyperlink" Target="https://webgate.ec.europa.eu/CITnet/jira/browse/OPSEDPORT-33" TargetMode="External"/><Relationship Id="rId300" Type="http://schemas.openxmlformats.org/officeDocument/2006/relationships/hyperlink" Target="https://webgate.ec.europa.eu/CITnet/jira/browse/OPSYSIOP-1537" TargetMode="External"/><Relationship Id="rId60" Type="http://schemas.openxmlformats.org/officeDocument/2006/relationships/hyperlink" Target="https://webgate.ec.europa.eu/CITnet/jira/browse/OPRESULT-1448" TargetMode="External"/><Relationship Id="rId81" Type="http://schemas.openxmlformats.org/officeDocument/2006/relationships/hyperlink" Target="https://webgate.ec.europa.eu/CITnet/jira/browse/OPSYSIOP-1955" TargetMode="External"/><Relationship Id="rId135" Type="http://schemas.openxmlformats.org/officeDocument/2006/relationships/hyperlink" Target="https://webgate.ec.europa.eu/CITnet/jira/browse/OPPOSTWARD-373" TargetMode="External"/><Relationship Id="rId156" Type="http://schemas.openxmlformats.org/officeDocument/2006/relationships/hyperlink" Target="https://webgate.ec.europa.eu/CITnet/jira/browse/OPPOSTWARD-353" TargetMode="External"/><Relationship Id="rId177" Type="http://schemas.openxmlformats.org/officeDocument/2006/relationships/hyperlink" Target="https://webgate.ec.europa.eu/CITnet/jira/browse/OPPOSTWARD-334" TargetMode="External"/><Relationship Id="rId198" Type="http://schemas.openxmlformats.org/officeDocument/2006/relationships/hyperlink" Target="https://webgate.ec.europa.eu/CITnet/jira/browse/MWP-803" TargetMode="External"/><Relationship Id="rId202" Type="http://schemas.openxmlformats.org/officeDocument/2006/relationships/hyperlink" Target="https://webgate.ec.europa.eu/CITnet/jira/browse/OPPREAWA-1548" TargetMode="External"/><Relationship Id="rId223" Type="http://schemas.openxmlformats.org/officeDocument/2006/relationships/hyperlink" Target="https://webgate.ec.europa.eu/CITnet/jira/browse/MWP-792" TargetMode="External"/><Relationship Id="rId244" Type="http://schemas.openxmlformats.org/officeDocument/2006/relationships/hyperlink" Target="https://webgate.ec.europa.eu/CITnet/jira/browse/OPRESULT-1203" TargetMode="External"/><Relationship Id="rId18" Type="http://schemas.openxmlformats.org/officeDocument/2006/relationships/hyperlink" Target="https://webgate.ec.europa.eu/CITnet/jira/browse/OPPREAWA-1815" TargetMode="External"/><Relationship Id="rId39" Type="http://schemas.openxmlformats.org/officeDocument/2006/relationships/hyperlink" Target="https://webgate.ec.europa.eu/CITnet/jira/browse/OPRESULT-1478" TargetMode="External"/><Relationship Id="rId265" Type="http://schemas.openxmlformats.org/officeDocument/2006/relationships/hyperlink" Target="https://webgate.ec.europa.eu/CITnet/jira/browse/OPPREAWA-1419" TargetMode="External"/><Relationship Id="rId286" Type="http://schemas.openxmlformats.org/officeDocument/2006/relationships/hyperlink" Target="https://webgate.ec.europa.eu/CITnet/jira/browse/OPSEDPORT-49" TargetMode="External"/><Relationship Id="rId50" Type="http://schemas.openxmlformats.org/officeDocument/2006/relationships/hyperlink" Target="https://webgate.ec.europa.eu/CITnet/jira/browse/OPRESULT-1459" TargetMode="External"/><Relationship Id="rId104" Type="http://schemas.openxmlformats.org/officeDocument/2006/relationships/hyperlink" Target="https://webgate.ec.europa.eu/CITnet/jira/browse/OPPREAWA-1620" TargetMode="External"/><Relationship Id="rId125" Type="http://schemas.openxmlformats.org/officeDocument/2006/relationships/hyperlink" Target="https://webgate.ec.europa.eu/CITnet/jira/browse/OPPOSTWARD-383" TargetMode="External"/><Relationship Id="rId146" Type="http://schemas.openxmlformats.org/officeDocument/2006/relationships/hyperlink" Target="https://webgate.ec.europa.eu/CITnet/jira/browse/OPPOSTWARD-363" TargetMode="External"/><Relationship Id="rId167" Type="http://schemas.openxmlformats.org/officeDocument/2006/relationships/hyperlink" Target="https://webgate.ec.europa.eu/CITnet/jira/browse/OPPREAWA-1589" TargetMode="External"/><Relationship Id="rId188" Type="http://schemas.openxmlformats.org/officeDocument/2006/relationships/hyperlink" Target="https://webgate.ec.europa.eu/CITnet/jira/browse/OPPOSTWARD-322" TargetMode="External"/><Relationship Id="rId71" Type="http://schemas.openxmlformats.org/officeDocument/2006/relationships/hyperlink" Target="https://webgate.ec.europa.eu/CITnet/jira/browse/OPPREAWA-1687" TargetMode="External"/><Relationship Id="rId92" Type="http://schemas.openxmlformats.org/officeDocument/2006/relationships/hyperlink" Target="https://webgate.ec.europa.eu/CITnet/jira/browse/OPPOSTWARD-413" TargetMode="External"/><Relationship Id="rId213" Type="http://schemas.openxmlformats.org/officeDocument/2006/relationships/hyperlink" Target="https://webgate.ec.europa.eu/CITnet/jira/browse/MWP-798" TargetMode="External"/><Relationship Id="rId234" Type="http://schemas.openxmlformats.org/officeDocument/2006/relationships/hyperlink" Target="https://webgate.ec.europa.eu/CITnet/jira/browse/MWP-713" TargetMode="External"/></Relationships>
</file>

<file path=xl/worksheets/_rels/sheet7.xml.rels><?xml version="1.0" encoding="UTF-8" standalone="yes"?>
<Relationships xmlns="http://schemas.openxmlformats.org/package/2006/relationships"><Relationship Id="rId117" Type="http://schemas.openxmlformats.org/officeDocument/2006/relationships/hyperlink" Target="https://webgate.ec.europa.eu/CITnet/jira/browse/OPSYSIOP-1271" TargetMode="External"/><Relationship Id="rId299" Type="http://schemas.openxmlformats.org/officeDocument/2006/relationships/hyperlink" Target="https://webgate.ec.europa.eu/CITnet/jira/browse/OPPOSTWARD-239" TargetMode="External"/><Relationship Id="rId21" Type="http://schemas.openxmlformats.org/officeDocument/2006/relationships/hyperlink" Target="https://webgate.ec.europa.eu/CITnet/jira/browse/OPPREAWA-1311" TargetMode="External"/><Relationship Id="rId63" Type="http://schemas.openxmlformats.org/officeDocument/2006/relationships/hyperlink" Target="https://webgate.ec.europa.eu/CITnet/jira/browse/OPSYSIOP-1436" TargetMode="External"/><Relationship Id="rId159" Type="http://schemas.openxmlformats.org/officeDocument/2006/relationships/hyperlink" Target="https://webgate.ec.europa.eu/CITnet/jira/browse/EUI-1294" TargetMode="External"/><Relationship Id="rId324" Type="http://schemas.openxmlformats.org/officeDocument/2006/relationships/hyperlink" Target="https://webgate.ec.europa.eu/CITnet/jira/browse/OPPOSTWARD-133" TargetMode="External"/><Relationship Id="rId366" Type="http://schemas.openxmlformats.org/officeDocument/2006/relationships/hyperlink" Target="https://webgate.ec.europa.eu/CITnet/jira/browse/OPRESULT-704" TargetMode="External"/><Relationship Id="rId170" Type="http://schemas.openxmlformats.org/officeDocument/2006/relationships/hyperlink" Target="https://webgate.ec.europa.eu/CITnet/jira/browse/EUI-1287" TargetMode="External"/><Relationship Id="rId226" Type="http://schemas.openxmlformats.org/officeDocument/2006/relationships/hyperlink" Target="https://webgate.ec.europa.eu/CITnet/jira/browse/OPPOSTWARD-276" TargetMode="External"/><Relationship Id="rId433" Type="http://schemas.openxmlformats.org/officeDocument/2006/relationships/hyperlink" Target="https://webgate.ec.europa.eu/CITnet/jira/browse/OPPREAWA-771" TargetMode="External"/><Relationship Id="rId268" Type="http://schemas.openxmlformats.org/officeDocument/2006/relationships/hyperlink" Target="https://webgate.ec.europa.eu/CITnet/jira/browse/OPPOSTWARD-271" TargetMode="External"/><Relationship Id="rId475" Type="http://schemas.openxmlformats.org/officeDocument/2006/relationships/hyperlink" Target="https://webgate.ec.europa.eu/CITnet/jira/browse/OPRESULT-666" TargetMode="External"/><Relationship Id="rId32" Type="http://schemas.openxmlformats.org/officeDocument/2006/relationships/hyperlink" Target="https://webgate.ec.europa.eu/CITnet/jira/browse/OPRESULT-1065" TargetMode="External"/><Relationship Id="rId74" Type="http://schemas.openxmlformats.org/officeDocument/2006/relationships/hyperlink" Target="https://webgate.ec.europa.eu/CITnet/jira/browse/OPSYSIOP-1395" TargetMode="External"/><Relationship Id="rId128" Type="http://schemas.openxmlformats.org/officeDocument/2006/relationships/hyperlink" Target="https://webgate.ec.europa.eu/CITnet/jira/browse/MWP-538" TargetMode="External"/><Relationship Id="rId335" Type="http://schemas.openxmlformats.org/officeDocument/2006/relationships/hyperlink" Target="https://webgate.ec.europa.eu/CITnet/jira/browse/OPPOSTWARD-118" TargetMode="External"/><Relationship Id="rId377" Type="http://schemas.openxmlformats.org/officeDocument/2006/relationships/hyperlink" Target="https://webgate.ec.europa.eu/CITnet/jira/browse/OPPREAWA-871" TargetMode="External"/><Relationship Id="rId5" Type="http://schemas.openxmlformats.org/officeDocument/2006/relationships/hyperlink" Target="https://webgate.ec.europa.eu/CITnet/jira/browse/OPSYSIOP-1513" TargetMode="External"/><Relationship Id="rId181" Type="http://schemas.openxmlformats.org/officeDocument/2006/relationships/hyperlink" Target="https://webgate.ec.europa.eu/CITnet/jira/browse/OPRESULT-885" TargetMode="External"/><Relationship Id="rId237" Type="http://schemas.openxmlformats.org/officeDocument/2006/relationships/hyperlink" Target="https://webgate.ec.europa.eu/CITnet/jira/browse/OPPREAWA-983" TargetMode="External"/><Relationship Id="rId402" Type="http://schemas.openxmlformats.org/officeDocument/2006/relationships/hyperlink" Target="https://webgate.ec.europa.eu/CITnet/jira/browse/OPPREAWA-794" TargetMode="External"/><Relationship Id="rId279" Type="http://schemas.openxmlformats.org/officeDocument/2006/relationships/hyperlink" Target="https://webgate.ec.europa.eu/CITnet/jira/browse/OPPOSTWARD-260" TargetMode="External"/><Relationship Id="rId444" Type="http://schemas.openxmlformats.org/officeDocument/2006/relationships/hyperlink" Target="https://webgate.ec.europa.eu/CITnet/jira/browse/OPPREAWA-765" TargetMode="External"/><Relationship Id="rId486" Type="http://schemas.openxmlformats.org/officeDocument/2006/relationships/hyperlink" Target="https://webgate.ec.europa.eu/CITnet/jira/browse/OPSYSIOP-900" TargetMode="External"/><Relationship Id="rId43" Type="http://schemas.openxmlformats.org/officeDocument/2006/relationships/hyperlink" Target="https://webgate.ec.europa.eu/CITnet/jira/browse/OPRESULT-1047" TargetMode="External"/><Relationship Id="rId139" Type="http://schemas.openxmlformats.org/officeDocument/2006/relationships/hyperlink" Target="https://webgate.ec.europa.eu/CITnet/jira/browse/MWP-536" TargetMode="External"/><Relationship Id="rId290" Type="http://schemas.openxmlformats.org/officeDocument/2006/relationships/hyperlink" Target="https://webgate.ec.europa.eu/CITnet/jira/browse/OPPOSTWARD-248" TargetMode="External"/><Relationship Id="rId304" Type="http://schemas.openxmlformats.org/officeDocument/2006/relationships/hyperlink" Target="https://webgate.ec.europa.eu/CITnet/jira/browse/OPPREAWA-927" TargetMode="External"/><Relationship Id="rId346" Type="http://schemas.openxmlformats.org/officeDocument/2006/relationships/hyperlink" Target="https://webgate.ec.europa.eu/CITnet/jira/browse/OPPREAWA-921" TargetMode="External"/><Relationship Id="rId388" Type="http://schemas.openxmlformats.org/officeDocument/2006/relationships/hyperlink" Target="https://webgate.ec.europa.eu/CITnet/jira/browse/OPPREAWA-821" TargetMode="External"/><Relationship Id="rId85" Type="http://schemas.openxmlformats.org/officeDocument/2006/relationships/hyperlink" Target="https://webgate.ec.europa.eu/CITnet/jira/browse/OPSYSIOP-1363" TargetMode="External"/><Relationship Id="rId150" Type="http://schemas.openxmlformats.org/officeDocument/2006/relationships/hyperlink" Target="https://webgate.ec.europa.eu/CITnet/jira/browse/EUI-1301" TargetMode="External"/><Relationship Id="rId192" Type="http://schemas.openxmlformats.org/officeDocument/2006/relationships/hyperlink" Target="https://webgate.ec.europa.eu/CITnet/jira/browse/MWP-525" TargetMode="External"/><Relationship Id="rId206" Type="http://schemas.openxmlformats.org/officeDocument/2006/relationships/hyperlink" Target="https://webgate.ec.europa.eu/CITnet/jira/browse/OPPREAWA-1040" TargetMode="External"/><Relationship Id="rId413" Type="http://schemas.openxmlformats.org/officeDocument/2006/relationships/hyperlink" Target="https://webgate.ec.europa.eu/CITnet/jira/browse/OPSYSIOP-1046" TargetMode="External"/><Relationship Id="rId248" Type="http://schemas.openxmlformats.org/officeDocument/2006/relationships/hyperlink" Target="https://webgate.ec.europa.eu/CITnet/jira/browse/OPSYSIOP-1154" TargetMode="External"/><Relationship Id="rId455" Type="http://schemas.openxmlformats.org/officeDocument/2006/relationships/hyperlink" Target="https://webgate.ec.europa.eu/CITnet/jira/browse/OPPREAWA-574" TargetMode="External"/><Relationship Id="rId497" Type="http://schemas.openxmlformats.org/officeDocument/2006/relationships/drawing" Target="../drawings/drawing4.xml"/><Relationship Id="rId12" Type="http://schemas.openxmlformats.org/officeDocument/2006/relationships/hyperlink" Target="https://webgate.ec.europa.eu/CITnet/jira/browse/OPSYSIOP-1502" TargetMode="External"/><Relationship Id="rId108" Type="http://schemas.openxmlformats.org/officeDocument/2006/relationships/hyperlink" Target="https://webgate.ec.europa.eu/CITnet/jira/browse/OPPREAWA-1233" TargetMode="External"/><Relationship Id="rId315" Type="http://schemas.openxmlformats.org/officeDocument/2006/relationships/hyperlink" Target="https://webgate.ec.europa.eu/CITnet/jira/browse/OPPOSTWARD-141" TargetMode="External"/><Relationship Id="rId357" Type="http://schemas.openxmlformats.org/officeDocument/2006/relationships/hyperlink" Target="https://webgate.ec.europa.eu/CITnet/jira/browse/OPPREAWA-915" TargetMode="External"/><Relationship Id="rId54" Type="http://schemas.openxmlformats.org/officeDocument/2006/relationships/hyperlink" Target="https://webgate.ec.europa.eu/CITnet/jira/browse/OPSYSIOP-1454" TargetMode="External"/><Relationship Id="rId96" Type="http://schemas.openxmlformats.org/officeDocument/2006/relationships/hyperlink" Target="https://webgate.ec.europa.eu/CITnet/jira/browse/OPPREAWA-1261" TargetMode="External"/><Relationship Id="rId161" Type="http://schemas.openxmlformats.org/officeDocument/2006/relationships/hyperlink" Target="https://webgate.ec.europa.eu/CITnet/jira/browse/OPPREAWA-1130" TargetMode="External"/><Relationship Id="rId217" Type="http://schemas.openxmlformats.org/officeDocument/2006/relationships/hyperlink" Target="https://webgate.ec.europa.eu/CITnet/jira/browse/OPPREAWA-1012" TargetMode="External"/><Relationship Id="rId399" Type="http://schemas.openxmlformats.org/officeDocument/2006/relationships/hyperlink" Target="https://webgate.ec.europa.eu/CITnet/jira/browse/OPPREAWA-797" TargetMode="External"/><Relationship Id="rId259" Type="http://schemas.openxmlformats.org/officeDocument/2006/relationships/hyperlink" Target="https://webgate.ec.europa.eu/CITnet/jira/browse/OPPREAWA-958" TargetMode="External"/><Relationship Id="rId424" Type="http://schemas.openxmlformats.org/officeDocument/2006/relationships/hyperlink" Target="https://webgate.ec.europa.eu/CITnet/jira/browse/OPSYSIOP-1034" TargetMode="External"/><Relationship Id="rId466" Type="http://schemas.openxmlformats.org/officeDocument/2006/relationships/hyperlink" Target="https://webgate.ec.europa.eu/CITnet/jira/browse/OPSYSIOP-949" TargetMode="External"/><Relationship Id="rId23" Type="http://schemas.openxmlformats.org/officeDocument/2006/relationships/hyperlink" Target="https://webgate.ec.europa.eu/CITnet/jira/browse/OPPREAWA-1309" TargetMode="External"/><Relationship Id="rId119" Type="http://schemas.openxmlformats.org/officeDocument/2006/relationships/hyperlink" Target="https://webgate.ec.europa.eu/CITnet/jira/browse/OPRESULT-998" TargetMode="External"/><Relationship Id="rId270" Type="http://schemas.openxmlformats.org/officeDocument/2006/relationships/hyperlink" Target="https://webgate.ec.europa.eu/CITnet/jira/browse/OPPOSTWARD-269" TargetMode="External"/><Relationship Id="rId326" Type="http://schemas.openxmlformats.org/officeDocument/2006/relationships/hyperlink" Target="https://webgate.ec.europa.eu/CITnet/jira/browse/OPPOSTWARD-129" TargetMode="External"/><Relationship Id="rId65" Type="http://schemas.openxmlformats.org/officeDocument/2006/relationships/hyperlink" Target="https://webgate.ec.europa.eu/CITnet/jira/browse/OPSYSIOP-1427" TargetMode="External"/><Relationship Id="rId130" Type="http://schemas.openxmlformats.org/officeDocument/2006/relationships/hyperlink" Target="https://webgate.ec.europa.eu/CITnet/jira/browse/OPCITNET-219" TargetMode="External"/><Relationship Id="rId368" Type="http://schemas.openxmlformats.org/officeDocument/2006/relationships/hyperlink" Target="https://webgate.ec.europa.eu/CITnet/jira/browse/OPRESULT-701" TargetMode="External"/><Relationship Id="rId172" Type="http://schemas.openxmlformats.org/officeDocument/2006/relationships/hyperlink" Target="https://webgate.ec.europa.eu/CITnet/jira/browse/OPRESULT-899" TargetMode="External"/><Relationship Id="rId228" Type="http://schemas.openxmlformats.org/officeDocument/2006/relationships/hyperlink" Target="https://webgate.ec.europa.eu/CITnet/jira/browse/EUI-1263" TargetMode="External"/><Relationship Id="rId435" Type="http://schemas.openxmlformats.org/officeDocument/2006/relationships/hyperlink" Target="https://webgate.ec.europa.eu/CITnet/jira/browse/OPSYSIOP-1022" TargetMode="External"/><Relationship Id="rId477" Type="http://schemas.openxmlformats.org/officeDocument/2006/relationships/hyperlink" Target="https://webgate.ec.europa.eu/CITnet/jira/browse/OPPREAWA-506" TargetMode="External"/><Relationship Id="rId281" Type="http://schemas.openxmlformats.org/officeDocument/2006/relationships/hyperlink" Target="https://webgate.ec.europa.eu/CITnet/jira/browse/OPPOSTWARD-258" TargetMode="External"/><Relationship Id="rId337" Type="http://schemas.openxmlformats.org/officeDocument/2006/relationships/hyperlink" Target="https://webgate.ec.europa.eu/CITnet/jira/browse/OPPOSTWARD-116" TargetMode="External"/><Relationship Id="rId34" Type="http://schemas.openxmlformats.org/officeDocument/2006/relationships/hyperlink" Target="https://webgate.ec.europa.eu/CITnet/jira/browse/OPRESULT-1062" TargetMode="External"/><Relationship Id="rId76" Type="http://schemas.openxmlformats.org/officeDocument/2006/relationships/hyperlink" Target="https://webgate.ec.europa.eu/CITnet/jira/browse/OPSYSIOP-1392" TargetMode="External"/><Relationship Id="rId141" Type="http://schemas.openxmlformats.org/officeDocument/2006/relationships/hyperlink" Target="https://webgate.ec.europa.eu/CITnet/jira/browse/MWP-534" TargetMode="External"/><Relationship Id="rId379" Type="http://schemas.openxmlformats.org/officeDocument/2006/relationships/hyperlink" Target="https://webgate.ec.europa.eu/CITnet/jira/browse/OPPREAWA-862" TargetMode="External"/><Relationship Id="rId7" Type="http://schemas.openxmlformats.org/officeDocument/2006/relationships/hyperlink" Target="https://webgate.ec.europa.eu/CITnet/jira/browse/OPRESULT-1072" TargetMode="External"/><Relationship Id="rId183" Type="http://schemas.openxmlformats.org/officeDocument/2006/relationships/hyperlink" Target="https://webgate.ec.europa.eu/CITnet/jira/browse/OPRESULT-883" TargetMode="External"/><Relationship Id="rId239" Type="http://schemas.openxmlformats.org/officeDocument/2006/relationships/hyperlink" Target="https://webgate.ec.europa.eu/CITnet/jira/browse/OPSYSIOP-1166" TargetMode="External"/><Relationship Id="rId390" Type="http://schemas.openxmlformats.org/officeDocument/2006/relationships/hyperlink" Target="https://webgate.ec.europa.eu/CITnet/jira/browse/OPPREAWA-818" TargetMode="External"/><Relationship Id="rId404" Type="http://schemas.openxmlformats.org/officeDocument/2006/relationships/hyperlink" Target="https://webgate.ec.europa.eu/CITnet/jira/browse/OPPREAWA-790" TargetMode="External"/><Relationship Id="rId446" Type="http://schemas.openxmlformats.org/officeDocument/2006/relationships/hyperlink" Target="https://webgate.ec.europa.eu/CITnet/jira/browse/OPSYSIOP-1006" TargetMode="External"/><Relationship Id="rId250" Type="http://schemas.openxmlformats.org/officeDocument/2006/relationships/hyperlink" Target="https://webgate.ec.europa.eu/CITnet/jira/browse/OPSYSIOP-1152" TargetMode="External"/><Relationship Id="rId271" Type="http://schemas.openxmlformats.org/officeDocument/2006/relationships/hyperlink" Target="https://webgate.ec.europa.eu/CITnet/jira/browse/OPPOSTWARD-268" TargetMode="External"/><Relationship Id="rId292" Type="http://schemas.openxmlformats.org/officeDocument/2006/relationships/hyperlink" Target="https://webgate.ec.europa.eu/CITnet/jira/browse/OPPOSTWARD-246" TargetMode="External"/><Relationship Id="rId306" Type="http://schemas.openxmlformats.org/officeDocument/2006/relationships/hyperlink" Target="https://webgate.ec.europa.eu/CITnet/jira/browse/OPPOSTWARD-151" TargetMode="External"/><Relationship Id="rId488" Type="http://schemas.openxmlformats.org/officeDocument/2006/relationships/hyperlink" Target="https://webgate.ec.europa.eu/CITnet/jira/browse/OPSYSIOP-895" TargetMode="External"/><Relationship Id="rId24" Type="http://schemas.openxmlformats.org/officeDocument/2006/relationships/hyperlink" Target="https://webgate.ec.europa.eu/CITnet/jira/browse/OPSYSIOP-1482" TargetMode="External"/><Relationship Id="rId45" Type="http://schemas.openxmlformats.org/officeDocument/2006/relationships/hyperlink" Target="https://webgate.ec.europa.eu/CITnet/jira/browse/OPPREAWA-1295" TargetMode="External"/><Relationship Id="rId66" Type="http://schemas.openxmlformats.org/officeDocument/2006/relationships/hyperlink" Target="https://webgate.ec.europa.eu/CITnet/jira/browse/OPSYSIOP-1415" TargetMode="External"/><Relationship Id="rId87" Type="http://schemas.openxmlformats.org/officeDocument/2006/relationships/hyperlink" Target="https://webgate.ec.europa.eu/CITnet/jira/browse/OPPREAWA-1290" TargetMode="External"/><Relationship Id="rId110" Type="http://schemas.openxmlformats.org/officeDocument/2006/relationships/hyperlink" Target="https://webgate.ec.europa.eu/CITnet/jira/browse/OPPREAWA-1230" TargetMode="External"/><Relationship Id="rId131" Type="http://schemas.openxmlformats.org/officeDocument/2006/relationships/hyperlink" Target="https://webgate.ec.europa.eu/CITnet/jira/browse/OPSYSIOP-1268" TargetMode="External"/><Relationship Id="rId327" Type="http://schemas.openxmlformats.org/officeDocument/2006/relationships/hyperlink" Target="https://webgate.ec.europa.eu/CITnet/jira/browse/OPPOSTWARD-128" TargetMode="External"/><Relationship Id="rId348" Type="http://schemas.openxmlformats.org/officeDocument/2006/relationships/hyperlink" Target="https://webgate.ec.europa.eu/CITnet/jira/browse/MWP-470" TargetMode="External"/><Relationship Id="rId369" Type="http://schemas.openxmlformats.org/officeDocument/2006/relationships/hyperlink" Target="https://webgate.ec.europa.eu/CITnet/jira/browse/OPPREAWA-885" TargetMode="External"/><Relationship Id="rId152" Type="http://schemas.openxmlformats.org/officeDocument/2006/relationships/hyperlink" Target="https://webgate.ec.europa.eu/CITnet/jira/browse/OPPREAWA-1148" TargetMode="External"/><Relationship Id="rId173" Type="http://schemas.openxmlformats.org/officeDocument/2006/relationships/hyperlink" Target="https://webgate.ec.europa.eu/CITnet/jira/browse/OPRESULT-898" TargetMode="External"/><Relationship Id="rId194" Type="http://schemas.openxmlformats.org/officeDocument/2006/relationships/hyperlink" Target="https://webgate.ec.europa.eu/CITnet/jira/browse/OPPOSTWARD-282" TargetMode="External"/><Relationship Id="rId208" Type="http://schemas.openxmlformats.org/officeDocument/2006/relationships/hyperlink" Target="https://webgate.ec.europa.eu/CITnet/jira/browse/EUI-1269" TargetMode="External"/><Relationship Id="rId229" Type="http://schemas.openxmlformats.org/officeDocument/2006/relationships/hyperlink" Target="https://webgate.ec.europa.eu/CITnet/jira/browse/OPRESULT-850" TargetMode="External"/><Relationship Id="rId380" Type="http://schemas.openxmlformats.org/officeDocument/2006/relationships/hyperlink" Target="https://webgate.ec.europa.eu/CITnet/jira/browse/OPPREAWA-860" TargetMode="External"/><Relationship Id="rId415" Type="http://schemas.openxmlformats.org/officeDocument/2006/relationships/hyperlink" Target="https://webgate.ec.europa.eu/CITnet/jira/browse/OPSYSIOP-1044" TargetMode="External"/><Relationship Id="rId436" Type="http://schemas.openxmlformats.org/officeDocument/2006/relationships/hyperlink" Target="https://webgate.ec.europa.eu/CITnet/jira/browse/OPSYSIOP-1021" TargetMode="External"/><Relationship Id="rId457" Type="http://schemas.openxmlformats.org/officeDocument/2006/relationships/hyperlink" Target="https://webgate.ec.europa.eu/CITnet/jira/browse/OPPREAWA-571" TargetMode="External"/><Relationship Id="rId240" Type="http://schemas.openxmlformats.org/officeDocument/2006/relationships/hyperlink" Target="https://webgate.ec.europa.eu/CITnet/jira/browse/OPSYSIOP-1165" TargetMode="External"/><Relationship Id="rId261" Type="http://schemas.openxmlformats.org/officeDocument/2006/relationships/hyperlink" Target="https://webgate.ec.europa.eu/CITnet/jira/browse/OPPREAWA-956" TargetMode="External"/><Relationship Id="rId478" Type="http://schemas.openxmlformats.org/officeDocument/2006/relationships/hyperlink" Target="https://webgate.ec.europa.eu/CITnet/jira/browse/OPRESULT-664" TargetMode="External"/><Relationship Id="rId14" Type="http://schemas.openxmlformats.org/officeDocument/2006/relationships/hyperlink" Target="https://webgate.ec.europa.eu/CITnet/jira/browse/OPSYSIOP-1499" TargetMode="External"/><Relationship Id="rId35" Type="http://schemas.openxmlformats.org/officeDocument/2006/relationships/hyperlink" Target="https://webgate.ec.europa.eu/CITnet/jira/browse/OPRESULT-1061" TargetMode="External"/><Relationship Id="rId56" Type="http://schemas.openxmlformats.org/officeDocument/2006/relationships/hyperlink" Target="https://webgate.ec.europa.eu/CITnet/jira/browse/OPSYSIOP-1451" TargetMode="External"/><Relationship Id="rId77" Type="http://schemas.openxmlformats.org/officeDocument/2006/relationships/hyperlink" Target="https://webgate.ec.europa.eu/CITnet/jira/browse/OPSYSIOP-1390" TargetMode="External"/><Relationship Id="rId100" Type="http://schemas.openxmlformats.org/officeDocument/2006/relationships/hyperlink" Target="https://webgate.ec.europa.eu/CITnet/jira/browse/EUI-1323" TargetMode="External"/><Relationship Id="rId282" Type="http://schemas.openxmlformats.org/officeDocument/2006/relationships/hyperlink" Target="https://webgate.ec.europa.eu/CITnet/jira/browse/OPPOSTWARD-257" TargetMode="External"/><Relationship Id="rId317" Type="http://schemas.openxmlformats.org/officeDocument/2006/relationships/hyperlink" Target="https://webgate.ec.europa.eu/CITnet/jira/browse/OPPOSTWARD-138" TargetMode="External"/><Relationship Id="rId338" Type="http://schemas.openxmlformats.org/officeDocument/2006/relationships/hyperlink" Target="https://webgate.ec.europa.eu/CITnet/jira/browse/OPPOSTWARD-115" TargetMode="External"/><Relationship Id="rId359" Type="http://schemas.openxmlformats.org/officeDocument/2006/relationships/hyperlink" Target="https://webgate.ec.europa.eu/CITnet/jira/browse/EUI-1231" TargetMode="External"/><Relationship Id="rId8" Type="http://schemas.openxmlformats.org/officeDocument/2006/relationships/hyperlink" Target="https://webgate.ec.europa.eu/CITnet/jira/browse/OPPREAWA-1320" TargetMode="External"/><Relationship Id="rId98" Type="http://schemas.openxmlformats.org/officeDocument/2006/relationships/hyperlink" Target="https://webgate.ec.europa.eu/CITnet/jira/browse/OPSYSIOP-1332" TargetMode="External"/><Relationship Id="rId121" Type="http://schemas.openxmlformats.org/officeDocument/2006/relationships/hyperlink" Target="https://webgate.ec.europa.eu/CITnet/jira/browse/OPPREAWA-1214" TargetMode="External"/><Relationship Id="rId142" Type="http://schemas.openxmlformats.org/officeDocument/2006/relationships/hyperlink" Target="https://webgate.ec.europa.eu/CITnet/jira/browse/OPPREAWA-1183" TargetMode="External"/><Relationship Id="rId163" Type="http://schemas.openxmlformats.org/officeDocument/2006/relationships/hyperlink" Target="https://webgate.ec.europa.eu/CITnet/jira/browse/OPPREAWA-1123" TargetMode="External"/><Relationship Id="rId184" Type="http://schemas.openxmlformats.org/officeDocument/2006/relationships/hyperlink" Target="https://webgate.ec.europa.eu/CITnet/jira/browse/OPRESULT-882" TargetMode="External"/><Relationship Id="rId219" Type="http://schemas.openxmlformats.org/officeDocument/2006/relationships/hyperlink" Target="https://webgate.ec.europa.eu/CITnet/jira/browse/OPPREAWA-1008" TargetMode="External"/><Relationship Id="rId370" Type="http://schemas.openxmlformats.org/officeDocument/2006/relationships/hyperlink" Target="https://webgate.ec.europa.eu/CITnet/jira/browse/EUI-1228" TargetMode="External"/><Relationship Id="rId391" Type="http://schemas.openxmlformats.org/officeDocument/2006/relationships/hyperlink" Target="https://webgate.ec.europa.eu/CITnet/jira/browse/OPPREAWA-817" TargetMode="External"/><Relationship Id="rId405" Type="http://schemas.openxmlformats.org/officeDocument/2006/relationships/hyperlink" Target="https://webgate.ec.europa.eu/CITnet/jira/browse/OPPREAWA-784" TargetMode="External"/><Relationship Id="rId426" Type="http://schemas.openxmlformats.org/officeDocument/2006/relationships/hyperlink" Target="https://webgate.ec.europa.eu/CITnet/jira/browse/OPSYSIOP-1032" TargetMode="External"/><Relationship Id="rId447" Type="http://schemas.openxmlformats.org/officeDocument/2006/relationships/hyperlink" Target="https://webgate.ec.europa.eu/CITnet/jira/browse/OPSYSIOP-1005" TargetMode="External"/><Relationship Id="rId230" Type="http://schemas.openxmlformats.org/officeDocument/2006/relationships/hyperlink" Target="https://webgate.ec.europa.eu/CITnet/jira/browse/OPRESULT-849" TargetMode="External"/><Relationship Id="rId251" Type="http://schemas.openxmlformats.org/officeDocument/2006/relationships/hyperlink" Target="https://webgate.ec.europa.eu/CITnet/jira/browse/EUI-1250" TargetMode="External"/><Relationship Id="rId468" Type="http://schemas.openxmlformats.org/officeDocument/2006/relationships/hyperlink" Target="https://webgate.ec.europa.eu/CITnet/jira/browse/OPRESULT-675" TargetMode="External"/><Relationship Id="rId489" Type="http://schemas.openxmlformats.org/officeDocument/2006/relationships/hyperlink" Target="https://webgate.ec.europa.eu/CITnet/jira/browse/OPRESULT-663" TargetMode="External"/><Relationship Id="rId25" Type="http://schemas.openxmlformats.org/officeDocument/2006/relationships/hyperlink" Target="https://webgate.ec.europa.eu/CITnet/jira/browse/OPSYSIOP-1481" TargetMode="External"/><Relationship Id="rId46" Type="http://schemas.openxmlformats.org/officeDocument/2006/relationships/hyperlink" Target="https://webgate.ec.europa.eu/CITnet/jira/browse/OPSYSIOP-1464" TargetMode="External"/><Relationship Id="rId67" Type="http://schemas.openxmlformats.org/officeDocument/2006/relationships/hyperlink" Target="https://webgate.ec.europa.eu/CITnet/jira/browse/OPSYSIOP-1413" TargetMode="External"/><Relationship Id="rId272" Type="http://schemas.openxmlformats.org/officeDocument/2006/relationships/hyperlink" Target="https://webgate.ec.europa.eu/CITnet/jira/browse/OPPOSTWARD-267" TargetMode="External"/><Relationship Id="rId293" Type="http://schemas.openxmlformats.org/officeDocument/2006/relationships/hyperlink" Target="https://webgate.ec.europa.eu/CITnet/jira/browse/OPPOSTWARD-245" TargetMode="External"/><Relationship Id="rId307" Type="http://schemas.openxmlformats.org/officeDocument/2006/relationships/hyperlink" Target="https://webgate.ec.europa.eu/CITnet/jira/browse/OPPOSTWARD-150" TargetMode="External"/><Relationship Id="rId328" Type="http://schemas.openxmlformats.org/officeDocument/2006/relationships/hyperlink" Target="https://webgate.ec.europa.eu/CITnet/jira/browse/OPPOSTWARD-127" TargetMode="External"/><Relationship Id="rId349" Type="http://schemas.openxmlformats.org/officeDocument/2006/relationships/hyperlink" Target="https://webgate.ec.europa.eu/CITnet/jira/browse/EUI-1240" TargetMode="External"/><Relationship Id="rId88" Type="http://schemas.openxmlformats.org/officeDocument/2006/relationships/hyperlink" Target="https://webgate.ec.europa.eu/CITnet/jira/browse/OPPREAWA-1289" TargetMode="External"/><Relationship Id="rId111" Type="http://schemas.openxmlformats.org/officeDocument/2006/relationships/hyperlink" Target="https://webgate.ec.europa.eu/CITnet/jira/browse/OPPREAWA-1228" TargetMode="External"/><Relationship Id="rId132" Type="http://schemas.openxmlformats.org/officeDocument/2006/relationships/hyperlink" Target="https://webgate.ec.europa.eu/CITnet/jira/browse/OPPREAWA-1202" TargetMode="External"/><Relationship Id="rId153" Type="http://schemas.openxmlformats.org/officeDocument/2006/relationships/hyperlink" Target="https://webgate.ec.europa.eu/CITnet/jira/browse/OPPREAWA-1144" TargetMode="External"/><Relationship Id="rId174" Type="http://schemas.openxmlformats.org/officeDocument/2006/relationships/hyperlink" Target="https://webgate.ec.europa.eu/CITnet/jira/browse/MWP-528" TargetMode="External"/><Relationship Id="rId195" Type="http://schemas.openxmlformats.org/officeDocument/2006/relationships/hyperlink" Target="https://webgate.ec.europa.eu/CITnet/jira/browse/EUI-1278" TargetMode="External"/><Relationship Id="rId209" Type="http://schemas.openxmlformats.org/officeDocument/2006/relationships/hyperlink" Target="https://webgate.ec.europa.eu/CITnet/jira/browse/OPSYSIOP-1210" TargetMode="External"/><Relationship Id="rId360" Type="http://schemas.openxmlformats.org/officeDocument/2006/relationships/hyperlink" Target="https://webgate.ec.europa.eu/CITnet/jira/browse/OPPREAWA-914" TargetMode="External"/><Relationship Id="rId381" Type="http://schemas.openxmlformats.org/officeDocument/2006/relationships/hyperlink" Target="https://webgate.ec.europa.eu/CITnet/jira/browse/OPPREAWA-859" TargetMode="External"/><Relationship Id="rId416" Type="http://schemas.openxmlformats.org/officeDocument/2006/relationships/hyperlink" Target="https://webgate.ec.europa.eu/CITnet/jira/browse/OPSYSIOP-1043" TargetMode="External"/><Relationship Id="rId220" Type="http://schemas.openxmlformats.org/officeDocument/2006/relationships/hyperlink" Target="https://webgate.ec.europa.eu/CITnet/jira/browse/MWP-507" TargetMode="External"/><Relationship Id="rId241" Type="http://schemas.openxmlformats.org/officeDocument/2006/relationships/hyperlink" Target="https://webgate.ec.europa.eu/CITnet/jira/browse/OPSYSIOP-1164" TargetMode="External"/><Relationship Id="rId437" Type="http://schemas.openxmlformats.org/officeDocument/2006/relationships/hyperlink" Target="https://webgate.ec.europa.eu/CITnet/jira/browse/OPSYSIOP-1020" TargetMode="External"/><Relationship Id="rId458" Type="http://schemas.openxmlformats.org/officeDocument/2006/relationships/hyperlink" Target="https://webgate.ec.europa.eu/CITnet/jira/browse/OPPREAWA-566" TargetMode="External"/><Relationship Id="rId479" Type="http://schemas.openxmlformats.org/officeDocument/2006/relationships/hyperlink" Target="https://webgate.ec.europa.eu/CITnet/jira/browse/OPPREAWA-494" TargetMode="External"/><Relationship Id="rId15" Type="http://schemas.openxmlformats.org/officeDocument/2006/relationships/hyperlink" Target="https://webgate.ec.europa.eu/CITnet/jira/browse/OPSYSIOP-1496" TargetMode="External"/><Relationship Id="rId36" Type="http://schemas.openxmlformats.org/officeDocument/2006/relationships/hyperlink" Target="https://webgate.ec.europa.eu/CITnet/jira/browse/OPRESULT-1060" TargetMode="External"/><Relationship Id="rId57" Type="http://schemas.openxmlformats.org/officeDocument/2006/relationships/hyperlink" Target="https://webgate.ec.europa.eu/CITnet/jira/browse/OPSYSIOP-1450" TargetMode="External"/><Relationship Id="rId262" Type="http://schemas.openxmlformats.org/officeDocument/2006/relationships/hyperlink" Target="https://webgate.ec.europa.eu/CITnet/jira/browse/MWP-480" TargetMode="External"/><Relationship Id="rId283" Type="http://schemas.openxmlformats.org/officeDocument/2006/relationships/hyperlink" Target="https://webgate.ec.europa.eu/CITnet/jira/browse/OPPOSTWARD-256" TargetMode="External"/><Relationship Id="rId318" Type="http://schemas.openxmlformats.org/officeDocument/2006/relationships/hyperlink" Target="https://webgate.ec.europa.eu/CITnet/jira/browse/OPSEDPORT-24" TargetMode="External"/><Relationship Id="rId339" Type="http://schemas.openxmlformats.org/officeDocument/2006/relationships/hyperlink" Target="https://webgate.ec.europa.eu/CITnet/jira/browse/OPPOSTWARD-114" TargetMode="External"/><Relationship Id="rId490" Type="http://schemas.openxmlformats.org/officeDocument/2006/relationships/hyperlink" Target="https://webgate.ec.europa.eu/CITnet/jira/browse/OPSYSIOP-893" TargetMode="External"/><Relationship Id="rId78" Type="http://schemas.openxmlformats.org/officeDocument/2006/relationships/hyperlink" Target="https://webgate.ec.europa.eu/CITnet/jira/browse/OPSYSIOP-1388" TargetMode="External"/><Relationship Id="rId99" Type="http://schemas.openxmlformats.org/officeDocument/2006/relationships/hyperlink" Target="https://webgate.ec.europa.eu/CITnet/jira/browse/OPPREAWA-1254" TargetMode="External"/><Relationship Id="rId101" Type="http://schemas.openxmlformats.org/officeDocument/2006/relationships/hyperlink" Target="https://webgate.ec.europa.eu/CITnet/jira/browse/OPPREAWA-1249" TargetMode="External"/><Relationship Id="rId122" Type="http://schemas.openxmlformats.org/officeDocument/2006/relationships/hyperlink" Target="https://webgate.ec.europa.eu/CITnet/jira/browse/OPPREAWA-1213" TargetMode="External"/><Relationship Id="rId143" Type="http://schemas.openxmlformats.org/officeDocument/2006/relationships/hyperlink" Target="https://webgate.ec.europa.eu/CITnet/jira/browse/OPPREAWA-1182" TargetMode="External"/><Relationship Id="rId164" Type="http://schemas.openxmlformats.org/officeDocument/2006/relationships/hyperlink" Target="https://webgate.ec.europa.eu/CITnet/jira/browse/OPPREAWA-1118" TargetMode="External"/><Relationship Id="rId185" Type="http://schemas.openxmlformats.org/officeDocument/2006/relationships/hyperlink" Target="https://webgate.ec.europa.eu/CITnet/jira/browse/OPRESULT-881" TargetMode="External"/><Relationship Id="rId350" Type="http://schemas.openxmlformats.org/officeDocument/2006/relationships/hyperlink" Target="https://webgate.ec.europa.eu/CITnet/jira/browse/EUI-1239" TargetMode="External"/><Relationship Id="rId371" Type="http://schemas.openxmlformats.org/officeDocument/2006/relationships/hyperlink" Target="https://webgate.ec.europa.eu/CITnet/jira/browse/OPPREAWA-882" TargetMode="External"/><Relationship Id="rId406" Type="http://schemas.openxmlformats.org/officeDocument/2006/relationships/hyperlink" Target="https://webgate.ec.europa.eu/CITnet/jira/browse/OPPREAWA-781" TargetMode="External"/><Relationship Id="rId9" Type="http://schemas.openxmlformats.org/officeDocument/2006/relationships/hyperlink" Target="https://webgate.ec.europa.eu/CITnet/jira/browse/OPPREAWA-1319" TargetMode="External"/><Relationship Id="rId210" Type="http://schemas.openxmlformats.org/officeDocument/2006/relationships/hyperlink" Target="https://webgate.ec.europa.eu/CITnet/jira/browse/OPPREAWA-1028" TargetMode="External"/><Relationship Id="rId392" Type="http://schemas.openxmlformats.org/officeDocument/2006/relationships/hyperlink" Target="https://webgate.ec.europa.eu/CITnet/jira/browse/OPPREAWA-816" TargetMode="External"/><Relationship Id="rId427" Type="http://schemas.openxmlformats.org/officeDocument/2006/relationships/hyperlink" Target="https://webgate.ec.europa.eu/CITnet/jira/browse/OPSYSIOP-1031" TargetMode="External"/><Relationship Id="rId448" Type="http://schemas.openxmlformats.org/officeDocument/2006/relationships/hyperlink" Target="https://webgate.ec.europa.eu/CITnet/jira/browse/OPPREAWA-583" TargetMode="External"/><Relationship Id="rId469" Type="http://schemas.openxmlformats.org/officeDocument/2006/relationships/hyperlink" Target="https://webgate.ec.europa.eu/CITnet/jira/browse/OPSYSIOP-936" TargetMode="External"/><Relationship Id="rId26" Type="http://schemas.openxmlformats.org/officeDocument/2006/relationships/hyperlink" Target="https://webgate.ec.europa.eu/CITnet/jira/browse/OPSYSIOP-1480" TargetMode="External"/><Relationship Id="rId231" Type="http://schemas.openxmlformats.org/officeDocument/2006/relationships/hyperlink" Target="https://webgate.ec.europa.eu/CITnet/jira/browse/OPRESULT-846" TargetMode="External"/><Relationship Id="rId252" Type="http://schemas.openxmlformats.org/officeDocument/2006/relationships/hyperlink" Target="https://webgate.ec.europa.eu/CITnet/jira/browse/OPSYSIOP-1151" TargetMode="External"/><Relationship Id="rId273" Type="http://schemas.openxmlformats.org/officeDocument/2006/relationships/hyperlink" Target="https://webgate.ec.europa.eu/CITnet/jira/browse/OPPOSTWARD-266" TargetMode="External"/><Relationship Id="rId294" Type="http://schemas.openxmlformats.org/officeDocument/2006/relationships/hyperlink" Target="https://webgate.ec.europa.eu/CITnet/jira/browse/OPPOSTWARD-244" TargetMode="External"/><Relationship Id="rId308" Type="http://schemas.openxmlformats.org/officeDocument/2006/relationships/hyperlink" Target="https://webgate.ec.europa.eu/CITnet/jira/browse/OPPOSTWARD-149" TargetMode="External"/><Relationship Id="rId329" Type="http://schemas.openxmlformats.org/officeDocument/2006/relationships/hyperlink" Target="https://webgate.ec.europa.eu/CITnet/jira/browse/OPPOSTWARD-125" TargetMode="External"/><Relationship Id="rId480" Type="http://schemas.openxmlformats.org/officeDocument/2006/relationships/hyperlink" Target="https://webgate.ec.europa.eu/CITnet/jira/browse/OPPREAWA-492" TargetMode="External"/><Relationship Id="rId47" Type="http://schemas.openxmlformats.org/officeDocument/2006/relationships/hyperlink" Target="https://webgate.ec.europa.eu/CITnet/jira/browse/OPSYSIOP-1463" TargetMode="External"/><Relationship Id="rId68" Type="http://schemas.openxmlformats.org/officeDocument/2006/relationships/hyperlink" Target="https://webgate.ec.europa.eu/CITnet/jira/browse/OPSYSIOP-1409" TargetMode="External"/><Relationship Id="rId89" Type="http://schemas.openxmlformats.org/officeDocument/2006/relationships/hyperlink" Target="https://webgate.ec.europa.eu/CITnet/jira/browse/OPPREAWA-1288" TargetMode="External"/><Relationship Id="rId112" Type="http://schemas.openxmlformats.org/officeDocument/2006/relationships/hyperlink" Target="https://webgate.ec.europa.eu/CITnet/jira/browse/OPPREAWA-1223" TargetMode="External"/><Relationship Id="rId133" Type="http://schemas.openxmlformats.org/officeDocument/2006/relationships/hyperlink" Target="https://webgate.ec.europa.eu/CITnet/jira/browse/OPSYSIOP-1266" TargetMode="External"/><Relationship Id="rId154" Type="http://schemas.openxmlformats.org/officeDocument/2006/relationships/hyperlink" Target="https://webgate.ec.europa.eu/CITnet/jira/browse/OPSYSIOP-1237" TargetMode="External"/><Relationship Id="rId175" Type="http://schemas.openxmlformats.org/officeDocument/2006/relationships/hyperlink" Target="https://webgate.ec.europa.eu/CITnet/jira/browse/OPPREAWA-1075" TargetMode="External"/><Relationship Id="rId340" Type="http://schemas.openxmlformats.org/officeDocument/2006/relationships/hyperlink" Target="https://webgate.ec.europa.eu/CITnet/jira/browse/OPPOSTWARD-113" TargetMode="External"/><Relationship Id="rId361" Type="http://schemas.openxmlformats.org/officeDocument/2006/relationships/hyperlink" Target="https://webgate.ec.europa.eu/CITnet/jira/browse/OPPREAWA-913" TargetMode="External"/><Relationship Id="rId196" Type="http://schemas.openxmlformats.org/officeDocument/2006/relationships/hyperlink" Target="https://webgate.ec.europa.eu/CITnet/jira/browse/MWP-524" TargetMode="External"/><Relationship Id="rId200" Type="http://schemas.openxmlformats.org/officeDocument/2006/relationships/hyperlink" Target="https://webgate.ec.europa.eu/CITnet/jira/browse/EUI-1274" TargetMode="External"/><Relationship Id="rId382" Type="http://schemas.openxmlformats.org/officeDocument/2006/relationships/hyperlink" Target="https://webgate.ec.europa.eu/CITnet/jira/browse/OPPREAWA-852" TargetMode="External"/><Relationship Id="rId417" Type="http://schemas.openxmlformats.org/officeDocument/2006/relationships/hyperlink" Target="https://webgate.ec.europa.eu/CITnet/jira/browse/OPSYSIOP-1041" TargetMode="External"/><Relationship Id="rId438" Type="http://schemas.openxmlformats.org/officeDocument/2006/relationships/hyperlink" Target="https://webgate.ec.europa.eu/CITnet/jira/browse/OPSYSIOP-1019" TargetMode="External"/><Relationship Id="rId459" Type="http://schemas.openxmlformats.org/officeDocument/2006/relationships/hyperlink" Target="https://webgate.ec.europa.eu/CITnet/jira/browse/OPPREAWA-564" TargetMode="External"/><Relationship Id="rId16" Type="http://schemas.openxmlformats.org/officeDocument/2006/relationships/hyperlink" Target="https://webgate.ec.europa.eu/CITnet/jira/browse/OPSYSIOP-1495" TargetMode="External"/><Relationship Id="rId221" Type="http://schemas.openxmlformats.org/officeDocument/2006/relationships/hyperlink" Target="https://webgate.ec.europa.eu/CITnet/jira/browse/MWP-503" TargetMode="External"/><Relationship Id="rId242" Type="http://schemas.openxmlformats.org/officeDocument/2006/relationships/hyperlink" Target="https://webgate.ec.europa.eu/CITnet/jira/browse/OPSYSIOP-1159" TargetMode="External"/><Relationship Id="rId263" Type="http://schemas.openxmlformats.org/officeDocument/2006/relationships/hyperlink" Target="https://webgate.ec.europa.eu/CITnet/jira/browse/MWP-479" TargetMode="External"/><Relationship Id="rId284" Type="http://schemas.openxmlformats.org/officeDocument/2006/relationships/hyperlink" Target="https://webgate.ec.europa.eu/CITnet/jira/browse/OPPOSTWARD-255" TargetMode="External"/><Relationship Id="rId319" Type="http://schemas.openxmlformats.org/officeDocument/2006/relationships/hyperlink" Target="https://webgate.ec.europa.eu/CITnet/jira/browse/OPPREAWA-923" TargetMode="External"/><Relationship Id="rId470" Type="http://schemas.openxmlformats.org/officeDocument/2006/relationships/hyperlink" Target="https://webgate.ec.europa.eu/CITnet/jira/browse/OPRESULT-674" TargetMode="External"/><Relationship Id="rId491" Type="http://schemas.openxmlformats.org/officeDocument/2006/relationships/hyperlink" Target="https://webgate.ec.europa.eu/CITnet/jira/browse/OPSYSIOP-891" TargetMode="External"/><Relationship Id="rId37" Type="http://schemas.openxmlformats.org/officeDocument/2006/relationships/hyperlink" Target="https://webgate.ec.europa.eu/CITnet/jira/browse/OPRESULT-1059" TargetMode="External"/><Relationship Id="rId58" Type="http://schemas.openxmlformats.org/officeDocument/2006/relationships/hyperlink" Target="https://webgate.ec.europa.eu/CITnet/jira/browse/OPSYSIOP-1449" TargetMode="External"/><Relationship Id="rId79" Type="http://schemas.openxmlformats.org/officeDocument/2006/relationships/hyperlink" Target="https://webgate.ec.europa.eu/CITnet/jira/browse/OPSYSIOP-1387" TargetMode="External"/><Relationship Id="rId102" Type="http://schemas.openxmlformats.org/officeDocument/2006/relationships/hyperlink" Target="https://webgate.ec.europa.eu/CITnet/jira/browse/EUI-1322" TargetMode="External"/><Relationship Id="rId123" Type="http://schemas.openxmlformats.org/officeDocument/2006/relationships/hyperlink" Target="https://webgate.ec.europa.eu/CITnet/jira/browse/OPRESULT-991" TargetMode="External"/><Relationship Id="rId144" Type="http://schemas.openxmlformats.org/officeDocument/2006/relationships/hyperlink" Target="https://webgate.ec.europa.eu/CITnet/jira/browse/OPPREAWA-1173" TargetMode="External"/><Relationship Id="rId330" Type="http://schemas.openxmlformats.org/officeDocument/2006/relationships/hyperlink" Target="https://webgate.ec.europa.eu/CITnet/jira/browse/OPPOSTWARD-124" TargetMode="External"/><Relationship Id="rId90" Type="http://schemas.openxmlformats.org/officeDocument/2006/relationships/hyperlink" Target="https://webgate.ec.europa.eu/CITnet/jira/browse/EUI-1327" TargetMode="External"/><Relationship Id="rId165" Type="http://schemas.openxmlformats.org/officeDocument/2006/relationships/hyperlink" Target="https://webgate.ec.europa.eu/CITnet/jira/browse/OPPOSTWARD-284" TargetMode="External"/><Relationship Id="rId186" Type="http://schemas.openxmlformats.org/officeDocument/2006/relationships/hyperlink" Target="https://webgate.ec.europa.eu/CITnet/jira/browse/OPRESULT-880" TargetMode="External"/><Relationship Id="rId351" Type="http://schemas.openxmlformats.org/officeDocument/2006/relationships/hyperlink" Target="https://webgate.ec.europa.eu/CITnet/jira/browse/EUI-1238" TargetMode="External"/><Relationship Id="rId372" Type="http://schemas.openxmlformats.org/officeDocument/2006/relationships/hyperlink" Target="https://webgate.ec.europa.eu/CITnet/jira/browse/OPPREAWA-881" TargetMode="External"/><Relationship Id="rId393" Type="http://schemas.openxmlformats.org/officeDocument/2006/relationships/hyperlink" Target="https://webgate.ec.europa.eu/CITnet/jira/browse/OPPREAWA-810" TargetMode="External"/><Relationship Id="rId407" Type="http://schemas.openxmlformats.org/officeDocument/2006/relationships/hyperlink" Target="https://webgate.ec.europa.eu/CITnet/jira/browse/OPPREAWA-780" TargetMode="External"/><Relationship Id="rId428" Type="http://schemas.openxmlformats.org/officeDocument/2006/relationships/hyperlink" Target="https://webgate.ec.europa.eu/CITnet/jira/browse/OPSYSIOP-1030" TargetMode="External"/><Relationship Id="rId449" Type="http://schemas.openxmlformats.org/officeDocument/2006/relationships/hyperlink" Target="https://webgate.ec.europa.eu/CITnet/jira/browse/OPPREAWA-582" TargetMode="External"/><Relationship Id="rId211" Type="http://schemas.openxmlformats.org/officeDocument/2006/relationships/hyperlink" Target="https://webgate.ec.europa.eu/CITnet/jira/browse/MWP-513" TargetMode="External"/><Relationship Id="rId232" Type="http://schemas.openxmlformats.org/officeDocument/2006/relationships/hyperlink" Target="https://webgate.ec.europa.eu/CITnet/jira/browse/OPRESULT-844" TargetMode="External"/><Relationship Id="rId253" Type="http://schemas.openxmlformats.org/officeDocument/2006/relationships/hyperlink" Target="https://webgate.ec.europa.eu/CITnet/jira/browse/OPSYSIOP-1150" TargetMode="External"/><Relationship Id="rId274" Type="http://schemas.openxmlformats.org/officeDocument/2006/relationships/hyperlink" Target="https://webgate.ec.europa.eu/CITnet/jira/browse/OPPOSTWARD-265" TargetMode="External"/><Relationship Id="rId295" Type="http://schemas.openxmlformats.org/officeDocument/2006/relationships/hyperlink" Target="https://webgate.ec.europa.eu/CITnet/jira/browse/OPPOSTWARD-243" TargetMode="External"/><Relationship Id="rId309" Type="http://schemas.openxmlformats.org/officeDocument/2006/relationships/hyperlink" Target="https://webgate.ec.europa.eu/CITnet/jira/browse/OPPOSTWARD-148" TargetMode="External"/><Relationship Id="rId460" Type="http://schemas.openxmlformats.org/officeDocument/2006/relationships/hyperlink" Target="https://webgate.ec.europa.eu/CITnet/jira/browse/OPPREAWA-561" TargetMode="External"/><Relationship Id="rId481" Type="http://schemas.openxmlformats.org/officeDocument/2006/relationships/hyperlink" Target="https://webgate.ec.europa.eu/CITnet/jira/browse/OPPREAWA-491" TargetMode="External"/><Relationship Id="rId27" Type="http://schemas.openxmlformats.org/officeDocument/2006/relationships/hyperlink" Target="https://webgate.ec.europa.eu/CITnet/jira/browse/OPSYSIOP-1479" TargetMode="External"/><Relationship Id="rId48" Type="http://schemas.openxmlformats.org/officeDocument/2006/relationships/hyperlink" Target="https://webgate.ec.europa.eu/CITnet/jira/browse/OPSYSIOP-1462" TargetMode="External"/><Relationship Id="rId69" Type="http://schemas.openxmlformats.org/officeDocument/2006/relationships/hyperlink" Target="https://webgate.ec.europa.eu/CITnet/jira/browse/OPSYSIOP-1408" TargetMode="External"/><Relationship Id="rId113" Type="http://schemas.openxmlformats.org/officeDocument/2006/relationships/hyperlink" Target="https://webgate.ec.europa.eu/CITnet/jira/browse/OPPREAWA-1221" TargetMode="External"/><Relationship Id="rId134" Type="http://schemas.openxmlformats.org/officeDocument/2006/relationships/hyperlink" Target="https://webgate.ec.europa.eu/CITnet/jira/browse/OPPREAWA-1195" TargetMode="External"/><Relationship Id="rId320" Type="http://schemas.openxmlformats.org/officeDocument/2006/relationships/hyperlink" Target="https://webgate.ec.europa.eu/CITnet/jira/browse/OPPOSTWARD-137" TargetMode="External"/><Relationship Id="rId80" Type="http://schemas.openxmlformats.org/officeDocument/2006/relationships/hyperlink" Target="https://webgate.ec.europa.eu/CITnet/jira/browse/OPSYSIOP-1386" TargetMode="External"/><Relationship Id="rId155" Type="http://schemas.openxmlformats.org/officeDocument/2006/relationships/hyperlink" Target="https://webgate.ec.europa.eu/CITnet/jira/browse/OPRESULT-918" TargetMode="External"/><Relationship Id="rId176" Type="http://schemas.openxmlformats.org/officeDocument/2006/relationships/hyperlink" Target="https://webgate.ec.europa.eu/CITnet/jira/browse/OPPREAWA-1071" TargetMode="External"/><Relationship Id="rId197" Type="http://schemas.openxmlformats.org/officeDocument/2006/relationships/hyperlink" Target="https://webgate.ec.europa.eu/CITnet/jira/browse/OPPREAWA-1053" TargetMode="External"/><Relationship Id="rId341" Type="http://schemas.openxmlformats.org/officeDocument/2006/relationships/hyperlink" Target="https://webgate.ec.europa.eu/CITnet/jira/browse/OPPOSTWARD-112" TargetMode="External"/><Relationship Id="rId362" Type="http://schemas.openxmlformats.org/officeDocument/2006/relationships/hyperlink" Target="https://webgate.ec.europa.eu/CITnet/jira/browse/OPRESULT-711" TargetMode="External"/><Relationship Id="rId383" Type="http://schemas.openxmlformats.org/officeDocument/2006/relationships/hyperlink" Target="https://webgate.ec.europa.eu/CITnet/jira/browse/OPSYSIOP-1081" TargetMode="External"/><Relationship Id="rId418" Type="http://schemas.openxmlformats.org/officeDocument/2006/relationships/hyperlink" Target="https://webgate.ec.europa.eu/CITnet/jira/browse/OPSYSIOP-1040" TargetMode="External"/><Relationship Id="rId439" Type="http://schemas.openxmlformats.org/officeDocument/2006/relationships/hyperlink" Target="https://webgate.ec.europa.eu/CITnet/jira/browse/OPSYSIOP-1018" TargetMode="External"/><Relationship Id="rId201" Type="http://schemas.openxmlformats.org/officeDocument/2006/relationships/hyperlink" Target="https://webgate.ec.europa.eu/CITnet/jira/browse/OPPOSTWARD-281" TargetMode="External"/><Relationship Id="rId222" Type="http://schemas.openxmlformats.org/officeDocument/2006/relationships/hyperlink" Target="https://webgate.ec.europa.eu/CITnet/jira/browse/MWP-502" TargetMode="External"/><Relationship Id="rId243" Type="http://schemas.openxmlformats.org/officeDocument/2006/relationships/hyperlink" Target="https://webgate.ec.europa.eu/CITnet/jira/browse/OPSYSIOP-1158" TargetMode="External"/><Relationship Id="rId264" Type="http://schemas.openxmlformats.org/officeDocument/2006/relationships/hyperlink" Target="https://webgate.ec.europa.eu/CITnet/jira/browse/MWP-478" TargetMode="External"/><Relationship Id="rId285" Type="http://schemas.openxmlformats.org/officeDocument/2006/relationships/hyperlink" Target="https://webgate.ec.europa.eu/CITnet/jira/browse/OPPOSTWARD-254" TargetMode="External"/><Relationship Id="rId450" Type="http://schemas.openxmlformats.org/officeDocument/2006/relationships/hyperlink" Target="https://webgate.ec.europa.eu/CITnet/jira/browse/OPPREAWA-580" TargetMode="External"/><Relationship Id="rId471" Type="http://schemas.openxmlformats.org/officeDocument/2006/relationships/hyperlink" Target="https://webgate.ec.europa.eu/CITnet/jira/browse/OPRESULT-673" TargetMode="External"/><Relationship Id="rId17" Type="http://schemas.openxmlformats.org/officeDocument/2006/relationships/hyperlink" Target="https://webgate.ec.europa.eu/CITnet/jira/browse/OPSYSIOP-1492" TargetMode="External"/><Relationship Id="rId38" Type="http://schemas.openxmlformats.org/officeDocument/2006/relationships/hyperlink" Target="https://webgate.ec.europa.eu/CITnet/jira/browse/OPRESULT-1056" TargetMode="External"/><Relationship Id="rId59" Type="http://schemas.openxmlformats.org/officeDocument/2006/relationships/hyperlink" Target="https://webgate.ec.europa.eu/CITnet/jira/browse/OPSYSIOP-1448" TargetMode="External"/><Relationship Id="rId103" Type="http://schemas.openxmlformats.org/officeDocument/2006/relationships/hyperlink" Target="https://webgate.ec.europa.eu/CITnet/jira/browse/EUI-1321" TargetMode="External"/><Relationship Id="rId124" Type="http://schemas.openxmlformats.org/officeDocument/2006/relationships/hyperlink" Target="https://webgate.ec.europa.eu/CITnet/jira/browse/OPPREAWA-1212" TargetMode="External"/><Relationship Id="rId310" Type="http://schemas.openxmlformats.org/officeDocument/2006/relationships/hyperlink" Target="https://webgate.ec.europa.eu/CITnet/jira/browse/OPPOSTWARD-147" TargetMode="External"/><Relationship Id="rId492" Type="http://schemas.openxmlformats.org/officeDocument/2006/relationships/hyperlink" Target="https://webgate.ec.europa.eu/CITnet/jira/browse/OPSYSIOP-886" TargetMode="External"/><Relationship Id="rId70" Type="http://schemas.openxmlformats.org/officeDocument/2006/relationships/hyperlink" Target="https://webgate.ec.europa.eu/CITnet/jira/browse/OPSYSIOP-1407" TargetMode="External"/><Relationship Id="rId91" Type="http://schemas.openxmlformats.org/officeDocument/2006/relationships/hyperlink" Target="https://webgate.ec.europa.eu/CITnet/jira/browse/OPPREAWA-1282" TargetMode="External"/><Relationship Id="rId145" Type="http://schemas.openxmlformats.org/officeDocument/2006/relationships/hyperlink" Target="https://webgate.ec.europa.eu/CITnet/jira/browse/OPPREAWA-1172" TargetMode="External"/><Relationship Id="rId166" Type="http://schemas.openxmlformats.org/officeDocument/2006/relationships/hyperlink" Target="https://webgate.ec.europa.eu/CITnet/jira/browse/EUI-1289" TargetMode="External"/><Relationship Id="rId187" Type="http://schemas.openxmlformats.org/officeDocument/2006/relationships/hyperlink" Target="https://webgate.ec.europa.eu/CITnet/jira/browse/OPRESULT-879" TargetMode="External"/><Relationship Id="rId331" Type="http://schemas.openxmlformats.org/officeDocument/2006/relationships/hyperlink" Target="https://webgate.ec.europa.eu/CITnet/jira/browse/OPPOSTWARD-123" TargetMode="External"/><Relationship Id="rId352" Type="http://schemas.openxmlformats.org/officeDocument/2006/relationships/hyperlink" Target="https://webgate.ec.europa.eu/CITnet/jira/browse/MWP-468" TargetMode="External"/><Relationship Id="rId373" Type="http://schemas.openxmlformats.org/officeDocument/2006/relationships/hyperlink" Target="https://webgate.ec.europa.eu/CITnet/jira/browse/OPPREAWA-880" TargetMode="External"/><Relationship Id="rId394" Type="http://schemas.openxmlformats.org/officeDocument/2006/relationships/hyperlink" Target="https://webgate.ec.europa.eu/CITnet/jira/browse/OPPREAWA-809" TargetMode="External"/><Relationship Id="rId408" Type="http://schemas.openxmlformats.org/officeDocument/2006/relationships/hyperlink" Target="https://webgate.ec.europa.eu/CITnet/jira/browse/OPPREAWA-779" TargetMode="External"/><Relationship Id="rId429" Type="http://schemas.openxmlformats.org/officeDocument/2006/relationships/hyperlink" Target="https://webgate.ec.europa.eu/CITnet/jira/browse/OPSYSIOP-1029" TargetMode="External"/><Relationship Id="rId1" Type="http://schemas.openxmlformats.org/officeDocument/2006/relationships/hyperlink" Target="https://webgate.ec.europa.eu/CITnet/jira/issues/?jql=project+in+%2890300%2C+89200%2C+MWP%2C+88600%2C+85400%2C+86500%2C+89700%2C+89800%2C+90000%2C+EUI%29+AND+issuetype+in+%28Story%29+AND+created+%3E%3D+%222018%2F08%2F06%22+AND+created+%3C+%222018%2F10%2F15%22+ORDER+BY+created+" TargetMode="External"/><Relationship Id="rId212" Type="http://schemas.openxmlformats.org/officeDocument/2006/relationships/hyperlink" Target="https://webgate.ec.europa.eu/CITnet/jira/browse/MWP-512" TargetMode="External"/><Relationship Id="rId233" Type="http://schemas.openxmlformats.org/officeDocument/2006/relationships/hyperlink" Target="https://webgate.ec.europa.eu/CITnet/jira/browse/OPRESULT-832" TargetMode="External"/><Relationship Id="rId254" Type="http://schemas.openxmlformats.org/officeDocument/2006/relationships/hyperlink" Target="https://webgate.ec.europa.eu/CITnet/jira/browse/OPSYSIOP-1149" TargetMode="External"/><Relationship Id="rId440" Type="http://schemas.openxmlformats.org/officeDocument/2006/relationships/hyperlink" Target="https://webgate.ec.europa.eu/CITnet/jira/browse/OPSYSIOP-1017" TargetMode="External"/><Relationship Id="rId28" Type="http://schemas.openxmlformats.org/officeDocument/2006/relationships/hyperlink" Target="https://webgate.ec.europa.eu/CITnet/jira/browse/OPRESULT-1069" TargetMode="External"/><Relationship Id="rId49" Type="http://schemas.openxmlformats.org/officeDocument/2006/relationships/hyperlink" Target="https://webgate.ec.europa.eu/CITnet/jira/browse/OPSYSIOP-1461" TargetMode="External"/><Relationship Id="rId114" Type="http://schemas.openxmlformats.org/officeDocument/2006/relationships/hyperlink" Target="https://webgate.ec.europa.eu/CITnet/jira/browse/OPPREAWA-1218" TargetMode="External"/><Relationship Id="rId275" Type="http://schemas.openxmlformats.org/officeDocument/2006/relationships/hyperlink" Target="https://webgate.ec.europa.eu/CITnet/jira/browse/OPPOSTWARD-264" TargetMode="External"/><Relationship Id="rId296" Type="http://schemas.openxmlformats.org/officeDocument/2006/relationships/hyperlink" Target="https://webgate.ec.europa.eu/CITnet/jira/browse/OPPOSTWARD-242" TargetMode="External"/><Relationship Id="rId300" Type="http://schemas.openxmlformats.org/officeDocument/2006/relationships/hyperlink" Target="https://webgate.ec.europa.eu/CITnet/jira/browse/OPPOSTWARD-238" TargetMode="External"/><Relationship Id="rId461" Type="http://schemas.openxmlformats.org/officeDocument/2006/relationships/hyperlink" Target="https://webgate.ec.europa.eu/CITnet/jira/browse/OPPREAWA-560" TargetMode="External"/><Relationship Id="rId482" Type="http://schemas.openxmlformats.org/officeDocument/2006/relationships/hyperlink" Target="https://webgate.ec.europa.eu/CITnet/jira/browse/OPPREAWA-489" TargetMode="External"/><Relationship Id="rId60" Type="http://schemas.openxmlformats.org/officeDocument/2006/relationships/hyperlink" Target="https://webgate.ec.europa.eu/CITnet/jira/browse/OPSYSIOP-1447" TargetMode="External"/><Relationship Id="rId81" Type="http://schemas.openxmlformats.org/officeDocument/2006/relationships/hyperlink" Target="https://webgate.ec.europa.eu/CITnet/jira/browse/OPSYSIOP-1384" TargetMode="External"/><Relationship Id="rId135" Type="http://schemas.openxmlformats.org/officeDocument/2006/relationships/hyperlink" Target="https://webgate.ec.europa.eu/CITnet/jira/browse/OPRESULT-964" TargetMode="External"/><Relationship Id="rId156" Type="http://schemas.openxmlformats.org/officeDocument/2006/relationships/hyperlink" Target="https://webgate.ec.europa.eu/CITnet/jira/browse/MWP-532" TargetMode="External"/><Relationship Id="rId177" Type="http://schemas.openxmlformats.org/officeDocument/2006/relationships/hyperlink" Target="https://webgate.ec.europa.eu/CITnet/jira/browse/OPPREAWA-1070" TargetMode="External"/><Relationship Id="rId198" Type="http://schemas.openxmlformats.org/officeDocument/2006/relationships/hyperlink" Target="https://webgate.ec.europa.eu/CITnet/jira/browse/OPPREAWA-1052" TargetMode="External"/><Relationship Id="rId321" Type="http://schemas.openxmlformats.org/officeDocument/2006/relationships/hyperlink" Target="https://webgate.ec.europa.eu/CITnet/jira/browse/OPPOSTWARD-136" TargetMode="External"/><Relationship Id="rId342" Type="http://schemas.openxmlformats.org/officeDocument/2006/relationships/hyperlink" Target="https://webgate.ec.europa.eu/CITnet/jira/browse/OPPOSTWARD-111" TargetMode="External"/><Relationship Id="rId363" Type="http://schemas.openxmlformats.org/officeDocument/2006/relationships/hyperlink" Target="https://webgate.ec.europa.eu/CITnet/jira/browse/OPRESULT-710" TargetMode="External"/><Relationship Id="rId384" Type="http://schemas.openxmlformats.org/officeDocument/2006/relationships/hyperlink" Target="https://webgate.ec.europa.eu/CITnet/jira/browse/OPPREAWA-832" TargetMode="External"/><Relationship Id="rId419" Type="http://schemas.openxmlformats.org/officeDocument/2006/relationships/hyperlink" Target="https://webgate.ec.europa.eu/CITnet/jira/browse/OPSYSIOP-1039" TargetMode="External"/><Relationship Id="rId202" Type="http://schemas.openxmlformats.org/officeDocument/2006/relationships/hyperlink" Target="https://webgate.ec.europa.eu/CITnet/jira/browse/OPPOSTWARD-280" TargetMode="External"/><Relationship Id="rId223" Type="http://schemas.openxmlformats.org/officeDocument/2006/relationships/hyperlink" Target="https://webgate.ec.europa.eu/CITnet/jira/browse/OPPREAWA-1002" TargetMode="External"/><Relationship Id="rId244" Type="http://schemas.openxmlformats.org/officeDocument/2006/relationships/hyperlink" Target="https://webgate.ec.europa.eu/CITnet/jira/browse/MWP-488" TargetMode="External"/><Relationship Id="rId430" Type="http://schemas.openxmlformats.org/officeDocument/2006/relationships/hyperlink" Target="https://webgate.ec.europa.eu/CITnet/jira/browse/OPSYSIOP-1028" TargetMode="External"/><Relationship Id="rId18" Type="http://schemas.openxmlformats.org/officeDocument/2006/relationships/hyperlink" Target="https://webgate.ec.europa.eu/CITnet/jira/browse/OPSYSIOP-1491" TargetMode="External"/><Relationship Id="rId39" Type="http://schemas.openxmlformats.org/officeDocument/2006/relationships/hyperlink" Target="https://webgate.ec.europa.eu/CITnet/jira/browse/OPRESULT-1055" TargetMode="External"/><Relationship Id="rId265" Type="http://schemas.openxmlformats.org/officeDocument/2006/relationships/hyperlink" Target="https://webgate.ec.europa.eu/CITnet/jira/browse/OPPOSTWARD-274" TargetMode="External"/><Relationship Id="rId286" Type="http://schemas.openxmlformats.org/officeDocument/2006/relationships/hyperlink" Target="https://webgate.ec.europa.eu/CITnet/jira/browse/OPPOSTWARD-253" TargetMode="External"/><Relationship Id="rId451" Type="http://schemas.openxmlformats.org/officeDocument/2006/relationships/hyperlink" Target="https://webgate.ec.europa.eu/CITnet/jira/browse/OPPREAWA-578" TargetMode="External"/><Relationship Id="rId472" Type="http://schemas.openxmlformats.org/officeDocument/2006/relationships/hyperlink" Target="https://webgate.ec.europa.eu/CITnet/jira/browse/OPSYSIOP-931" TargetMode="External"/><Relationship Id="rId493" Type="http://schemas.openxmlformats.org/officeDocument/2006/relationships/hyperlink" Target="https://webgate.ec.europa.eu/CITnet/jira/browse/OPSYSIOP-881" TargetMode="External"/><Relationship Id="rId50" Type="http://schemas.openxmlformats.org/officeDocument/2006/relationships/hyperlink" Target="https://webgate.ec.europa.eu/CITnet/jira/browse/OPSYSIOP-1460" TargetMode="External"/><Relationship Id="rId104" Type="http://schemas.openxmlformats.org/officeDocument/2006/relationships/hyperlink" Target="https://webgate.ec.europa.eu/CITnet/jira/browse/OPPREAWA-1241" TargetMode="External"/><Relationship Id="rId125" Type="http://schemas.openxmlformats.org/officeDocument/2006/relationships/hyperlink" Target="https://webgate.ec.europa.eu/CITnet/jira/browse/OPPREAWA-1210" TargetMode="External"/><Relationship Id="rId146" Type="http://schemas.openxmlformats.org/officeDocument/2006/relationships/hyperlink" Target="https://webgate.ec.europa.eu/CITnet/jira/browse/OPRESULT-933" TargetMode="External"/><Relationship Id="rId167" Type="http://schemas.openxmlformats.org/officeDocument/2006/relationships/hyperlink" Target="https://webgate.ec.europa.eu/CITnet/jira/browse/OPPOSTWARD-283" TargetMode="External"/><Relationship Id="rId188" Type="http://schemas.openxmlformats.org/officeDocument/2006/relationships/hyperlink" Target="https://webgate.ec.europa.eu/CITnet/jira/browse/EUI-1284" TargetMode="External"/><Relationship Id="rId311" Type="http://schemas.openxmlformats.org/officeDocument/2006/relationships/hyperlink" Target="https://webgate.ec.europa.eu/CITnet/jira/browse/OPPOSTWARD-145" TargetMode="External"/><Relationship Id="rId332" Type="http://schemas.openxmlformats.org/officeDocument/2006/relationships/hyperlink" Target="https://webgate.ec.europa.eu/CITnet/jira/browse/OPRESULT-786" TargetMode="External"/><Relationship Id="rId353" Type="http://schemas.openxmlformats.org/officeDocument/2006/relationships/hyperlink" Target="https://webgate.ec.europa.eu/CITnet/jira/browse/MWP-467" TargetMode="External"/><Relationship Id="rId374" Type="http://schemas.openxmlformats.org/officeDocument/2006/relationships/hyperlink" Target="https://webgate.ec.europa.eu/CITnet/jira/browse/OPPREAWA-879" TargetMode="External"/><Relationship Id="rId395" Type="http://schemas.openxmlformats.org/officeDocument/2006/relationships/hyperlink" Target="https://webgate.ec.europa.eu/CITnet/jira/browse/OPPREAWA-808" TargetMode="External"/><Relationship Id="rId409" Type="http://schemas.openxmlformats.org/officeDocument/2006/relationships/hyperlink" Target="https://webgate.ec.europa.eu/CITnet/jira/browse/OPSYSIOP-1056" TargetMode="External"/><Relationship Id="rId71" Type="http://schemas.openxmlformats.org/officeDocument/2006/relationships/hyperlink" Target="https://webgate.ec.europa.eu/CITnet/jira/browse/OPSYSIOP-1404" TargetMode="External"/><Relationship Id="rId92" Type="http://schemas.openxmlformats.org/officeDocument/2006/relationships/hyperlink" Target="https://webgate.ec.europa.eu/CITnet/jira/browse/OPPREAWA-1270" TargetMode="External"/><Relationship Id="rId213" Type="http://schemas.openxmlformats.org/officeDocument/2006/relationships/hyperlink" Target="https://webgate.ec.europa.eu/CITnet/jira/browse/OPPREAWA-1022" TargetMode="External"/><Relationship Id="rId234" Type="http://schemas.openxmlformats.org/officeDocument/2006/relationships/hyperlink" Target="https://webgate.ec.europa.eu/CITnet/jira/browse/OPPREAWA-990" TargetMode="External"/><Relationship Id="rId420" Type="http://schemas.openxmlformats.org/officeDocument/2006/relationships/hyperlink" Target="https://webgate.ec.europa.eu/CITnet/jira/browse/OPSYSIOP-1038" TargetMode="External"/><Relationship Id="rId2" Type="http://schemas.openxmlformats.org/officeDocument/2006/relationships/hyperlink" Target="https://webgate.ec.europa.eu/CITnet/jira/browse/OPRESULT-1085" TargetMode="External"/><Relationship Id="rId29" Type="http://schemas.openxmlformats.org/officeDocument/2006/relationships/hyperlink" Target="https://webgate.ec.europa.eu/CITnet/jira/browse/OPRESULT-1068" TargetMode="External"/><Relationship Id="rId255" Type="http://schemas.openxmlformats.org/officeDocument/2006/relationships/hyperlink" Target="https://webgate.ec.europa.eu/CITnet/jira/browse/OPSYSIOP-1148" TargetMode="External"/><Relationship Id="rId276" Type="http://schemas.openxmlformats.org/officeDocument/2006/relationships/hyperlink" Target="https://webgate.ec.europa.eu/CITnet/jira/browse/OPPOSTWARD-263" TargetMode="External"/><Relationship Id="rId297" Type="http://schemas.openxmlformats.org/officeDocument/2006/relationships/hyperlink" Target="https://webgate.ec.europa.eu/CITnet/jira/browse/OPPOSTWARD-241" TargetMode="External"/><Relationship Id="rId441" Type="http://schemas.openxmlformats.org/officeDocument/2006/relationships/hyperlink" Target="https://webgate.ec.europa.eu/CITnet/jira/browse/OPSYSIOP-1016" TargetMode="External"/><Relationship Id="rId462" Type="http://schemas.openxmlformats.org/officeDocument/2006/relationships/hyperlink" Target="https://webgate.ec.europa.eu/CITnet/jira/browse/OPSYSIOP-957" TargetMode="External"/><Relationship Id="rId483" Type="http://schemas.openxmlformats.org/officeDocument/2006/relationships/hyperlink" Target="https://webgate.ec.europa.eu/CITnet/jira/browse/OPPREAWA-488" TargetMode="External"/><Relationship Id="rId40" Type="http://schemas.openxmlformats.org/officeDocument/2006/relationships/hyperlink" Target="https://webgate.ec.europa.eu/CITnet/jira/browse/OPRESULT-1054" TargetMode="External"/><Relationship Id="rId115" Type="http://schemas.openxmlformats.org/officeDocument/2006/relationships/hyperlink" Target="https://webgate.ec.europa.eu/CITnet/jira/browse/OPPREAWA-1217" TargetMode="External"/><Relationship Id="rId136" Type="http://schemas.openxmlformats.org/officeDocument/2006/relationships/hyperlink" Target="https://webgate.ec.europa.eu/CITnet/jira/browse/OPPREAWA-1193" TargetMode="External"/><Relationship Id="rId157" Type="http://schemas.openxmlformats.org/officeDocument/2006/relationships/hyperlink" Target="https://webgate.ec.europa.eu/CITnet/jira/browse/OPPREAWA-1135" TargetMode="External"/><Relationship Id="rId178" Type="http://schemas.openxmlformats.org/officeDocument/2006/relationships/hyperlink" Target="https://webgate.ec.europa.eu/CITnet/jira/browse/OPPREAWA-1069" TargetMode="External"/><Relationship Id="rId301" Type="http://schemas.openxmlformats.org/officeDocument/2006/relationships/hyperlink" Target="https://webgate.ec.europa.eu/CITnet/jira/browse/OPPOSTWARD-237" TargetMode="External"/><Relationship Id="rId322" Type="http://schemas.openxmlformats.org/officeDocument/2006/relationships/hyperlink" Target="https://webgate.ec.europa.eu/CITnet/jira/browse/OPPOSTWARD-135" TargetMode="External"/><Relationship Id="rId343" Type="http://schemas.openxmlformats.org/officeDocument/2006/relationships/hyperlink" Target="https://webgate.ec.europa.eu/CITnet/jira/browse/OPRESULT-779" TargetMode="External"/><Relationship Id="rId364" Type="http://schemas.openxmlformats.org/officeDocument/2006/relationships/hyperlink" Target="https://webgate.ec.europa.eu/CITnet/jira/browse/OPRESULT-708" TargetMode="External"/><Relationship Id="rId61" Type="http://schemas.openxmlformats.org/officeDocument/2006/relationships/hyperlink" Target="https://webgate.ec.europa.eu/CITnet/jira/browse/OPSYSIOP-1446" TargetMode="External"/><Relationship Id="rId82" Type="http://schemas.openxmlformats.org/officeDocument/2006/relationships/hyperlink" Target="https://webgate.ec.europa.eu/CITnet/jira/browse/OPSYSIOP-1382" TargetMode="External"/><Relationship Id="rId199" Type="http://schemas.openxmlformats.org/officeDocument/2006/relationships/hyperlink" Target="https://webgate.ec.europa.eu/CITnet/jira/browse/OPPREAWA-1050" TargetMode="External"/><Relationship Id="rId203" Type="http://schemas.openxmlformats.org/officeDocument/2006/relationships/hyperlink" Target="https://webgate.ec.europa.eu/CITnet/jira/browse/OPPOSTWARD-279" TargetMode="External"/><Relationship Id="rId385" Type="http://schemas.openxmlformats.org/officeDocument/2006/relationships/hyperlink" Target="https://webgate.ec.europa.eu/CITnet/jira/browse/EUI-1219" TargetMode="External"/><Relationship Id="rId19" Type="http://schemas.openxmlformats.org/officeDocument/2006/relationships/hyperlink" Target="https://webgate.ec.europa.eu/CITnet/jira/browse/OPSYSIOP-1486" TargetMode="External"/><Relationship Id="rId224" Type="http://schemas.openxmlformats.org/officeDocument/2006/relationships/hyperlink" Target="https://webgate.ec.europa.eu/CITnet/jira/browse/OPPREAWA-998" TargetMode="External"/><Relationship Id="rId245" Type="http://schemas.openxmlformats.org/officeDocument/2006/relationships/hyperlink" Target="https://webgate.ec.europa.eu/CITnet/jira/browse/OPSYSIOP-1157" TargetMode="External"/><Relationship Id="rId266" Type="http://schemas.openxmlformats.org/officeDocument/2006/relationships/hyperlink" Target="https://webgate.ec.europa.eu/CITnet/jira/browse/OPPOSTWARD-273" TargetMode="External"/><Relationship Id="rId287" Type="http://schemas.openxmlformats.org/officeDocument/2006/relationships/hyperlink" Target="https://webgate.ec.europa.eu/CITnet/jira/browse/OPPOSTWARD-251" TargetMode="External"/><Relationship Id="rId410" Type="http://schemas.openxmlformats.org/officeDocument/2006/relationships/hyperlink" Target="https://webgate.ec.europa.eu/CITnet/jira/browse/EUI-1214" TargetMode="External"/><Relationship Id="rId431" Type="http://schemas.openxmlformats.org/officeDocument/2006/relationships/hyperlink" Target="https://webgate.ec.europa.eu/CITnet/jira/browse/OPSYSIOP-1027" TargetMode="External"/><Relationship Id="rId452" Type="http://schemas.openxmlformats.org/officeDocument/2006/relationships/hyperlink" Target="https://webgate.ec.europa.eu/CITnet/jira/browse/OPPREAWA-577" TargetMode="External"/><Relationship Id="rId473" Type="http://schemas.openxmlformats.org/officeDocument/2006/relationships/hyperlink" Target="https://webgate.ec.europa.eu/CITnet/jira/browse/OPRESULT-671" TargetMode="External"/><Relationship Id="rId494" Type="http://schemas.openxmlformats.org/officeDocument/2006/relationships/hyperlink" Target="https://webgate.ec.europa.eu/CITnet/jira/browse/OPRESULT-657" TargetMode="External"/><Relationship Id="rId30" Type="http://schemas.openxmlformats.org/officeDocument/2006/relationships/hyperlink" Target="https://webgate.ec.europa.eu/CITnet/jira/browse/OPRESULT-1067" TargetMode="External"/><Relationship Id="rId105" Type="http://schemas.openxmlformats.org/officeDocument/2006/relationships/hyperlink" Target="https://webgate.ec.europa.eu/CITnet/jira/browse/MWP-543" TargetMode="External"/><Relationship Id="rId126" Type="http://schemas.openxmlformats.org/officeDocument/2006/relationships/hyperlink" Target="https://webgate.ec.europa.eu/CITnet/jira/browse/EUI-1314" TargetMode="External"/><Relationship Id="rId147" Type="http://schemas.openxmlformats.org/officeDocument/2006/relationships/hyperlink" Target="https://webgate.ec.europa.eu/CITnet/jira/browse/MWP-533" TargetMode="External"/><Relationship Id="rId168" Type="http://schemas.openxmlformats.org/officeDocument/2006/relationships/hyperlink" Target="https://webgate.ec.europa.eu/CITnet/jira/browse/EUI-1288" TargetMode="External"/><Relationship Id="rId312" Type="http://schemas.openxmlformats.org/officeDocument/2006/relationships/hyperlink" Target="https://webgate.ec.europa.eu/CITnet/jira/browse/OPPOSTWARD-144" TargetMode="External"/><Relationship Id="rId333" Type="http://schemas.openxmlformats.org/officeDocument/2006/relationships/hyperlink" Target="https://webgate.ec.europa.eu/CITnet/jira/browse/OPPOSTWARD-121" TargetMode="External"/><Relationship Id="rId354" Type="http://schemas.openxmlformats.org/officeDocument/2006/relationships/hyperlink" Target="https://webgate.ec.europa.eu/CITnet/jira/browse/OPRESULT-757" TargetMode="External"/><Relationship Id="rId51" Type="http://schemas.openxmlformats.org/officeDocument/2006/relationships/hyperlink" Target="https://webgate.ec.europa.eu/CITnet/jira/browse/OPSYSIOP-1459" TargetMode="External"/><Relationship Id="rId72" Type="http://schemas.openxmlformats.org/officeDocument/2006/relationships/hyperlink" Target="https://webgate.ec.europa.eu/CITnet/jira/browse/OPSYSIOP-1403" TargetMode="External"/><Relationship Id="rId93" Type="http://schemas.openxmlformats.org/officeDocument/2006/relationships/hyperlink" Target="https://webgate.ec.europa.eu/CITnet/jira/browse/OPPREAWA-1269" TargetMode="External"/><Relationship Id="rId189" Type="http://schemas.openxmlformats.org/officeDocument/2006/relationships/hyperlink" Target="https://webgate.ec.europa.eu/CITnet/jira/browse/EUI-1283" TargetMode="External"/><Relationship Id="rId375" Type="http://schemas.openxmlformats.org/officeDocument/2006/relationships/hyperlink" Target="https://webgate.ec.europa.eu/CITnet/jira/browse/OPPREAWA-877" TargetMode="External"/><Relationship Id="rId396" Type="http://schemas.openxmlformats.org/officeDocument/2006/relationships/hyperlink" Target="https://webgate.ec.europa.eu/CITnet/jira/browse/OPRESULT-689" TargetMode="External"/><Relationship Id="rId3" Type="http://schemas.openxmlformats.org/officeDocument/2006/relationships/hyperlink" Target="https://webgate.ec.europa.eu/CITnet/jira/browse/OPRESULT-1084" TargetMode="External"/><Relationship Id="rId214" Type="http://schemas.openxmlformats.org/officeDocument/2006/relationships/hyperlink" Target="https://webgate.ec.europa.eu/CITnet/jira/browse/MWP-509" TargetMode="External"/><Relationship Id="rId235" Type="http://schemas.openxmlformats.org/officeDocument/2006/relationships/hyperlink" Target="https://webgate.ec.europa.eu/CITnet/jira/browse/EUI-1258" TargetMode="External"/><Relationship Id="rId256" Type="http://schemas.openxmlformats.org/officeDocument/2006/relationships/hyperlink" Target="https://webgate.ec.europa.eu/CITnet/jira/browse/OPPREAWA-969" TargetMode="External"/><Relationship Id="rId277" Type="http://schemas.openxmlformats.org/officeDocument/2006/relationships/hyperlink" Target="https://webgate.ec.europa.eu/CITnet/jira/browse/OPPOSTWARD-262" TargetMode="External"/><Relationship Id="rId298" Type="http://schemas.openxmlformats.org/officeDocument/2006/relationships/hyperlink" Target="https://webgate.ec.europa.eu/CITnet/jira/browse/OPPOSTWARD-240" TargetMode="External"/><Relationship Id="rId400" Type="http://schemas.openxmlformats.org/officeDocument/2006/relationships/hyperlink" Target="https://webgate.ec.europa.eu/CITnet/jira/browse/OPPREAWA-796" TargetMode="External"/><Relationship Id="rId421" Type="http://schemas.openxmlformats.org/officeDocument/2006/relationships/hyperlink" Target="https://webgate.ec.europa.eu/CITnet/jira/browse/OPSYSIOP-1037" TargetMode="External"/><Relationship Id="rId442" Type="http://schemas.openxmlformats.org/officeDocument/2006/relationships/hyperlink" Target="https://webgate.ec.europa.eu/CITnet/jira/browse/OPSYSIOP-1015" TargetMode="External"/><Relationship Id="rId463" Type="http://schemas.openxmlformats.org/officeDocument/2006/relationships/hyperlink" Target="https://webgate.ec.europa.eu/CITnet/jira/browse/OPSYSIOP-956" TargetMode="External"/><Relationship Id="rId484" Type="http://schemas.openxmlformats.org/officeDocument/2006/relationships/hyperlink" Target="https://webgate.ec.europa.eu/CITnet/jira/browse/OPSYSIOP-904" TargetMode="External"/><Relationship Id="rId116" Type="http://schemas.openxmlformats.org/officeDocument/2006/relationships/hyperlink" Target="https://webgate.ec.europa.eu/CITnet/jira/browse/MWP-540" TargetMode="External"/><Relationship Id="rId137" Type="http://schemas.openxmlformats.org/officeDocument/2006/relationships/hyperlink" Target="https://webgate.ec.europa.eu/CITnet/jira/browse/OPSYSIOP-1260" TargetMode="External"/><Relationship Id="rId158" Type="http://schemas.openxmlformats.org/officeDocument/2006/relationships/hyperlink" Target="https://webgate.ec.europa.eu/CITnet/jira/browse/OPPREAWA-1132" TargetMode="External"/><Relationship Id="rId302" Type="http://schemas.openxmlformats.org/officeDocument/2006/relationships/hyperlink" Target="https://webgate.ec.europa.eu/CITnet/jira/browse/EUI-1242" TargetMode="External"/><Relationship Id="rId323" Type="http://schemas.openxmlformats.org/officeDocument/2006/relationships/hyperlink" Target="https://webgate.ec.europa.eu/CITnet/jira/browse/OPPOSTWARD-134" TargetMode="External"/><Relationship Id="rId344" Type="http://schemas.openxmlformats.org/officeDocument/2006/relationships/hyperlink" Target="https://webgate.ec.europa.eu/CITnet/jira/browse/OPRESULT-768" TargetMode="External"/><Relationship Id="rId20" Type="http://schemas.openxmlformats.org/officeDocument/2006/relationships/hyperlink" Target="https://webgate.ec.europa.eu/CITnet/jira/browse/OPSYSIOP-1485" TargetMode="External"/><Relationship Id="rId41" Type="http://schemas.openxmlformats.org/officeDocument/2006/relationships/hyperlink" Target="https://webgate.ec.europa.eu/CITnet/jira/browse/OPRESULT-1053" TargetMode="External"/><Relationship Id="rId62" Type="http://schemas.openxmlformats.org/officeDocument/2006/relationships/hyperlink" Target="https://webgate.ec.europa.eu/CITnet/jira/browse/OPSYSIOP-1440" TargetMode="External"/><Relationship Id="rId83" Type="http://schemas.openxmlformats.org/officeDocument/2006/relationships/hyperlink" Target="https://webgate.ec.europa.eu/CITnet/jira/browse/OPSYSIOP-1366" TargetMode="External"/><Relationship Id="rId179" Type="http://schemas.openxmlformats.org/officeDocument/2006/relationships/hyperlink" Target="https://webgate.ec.europa.eu/CITnet/jira/browse/EUI-1285" TargetMode="External"/><Relationship Id="rId365" Type="http://schemas.openxmlformats.org/officeDocument/2006/relationships/hyperlink" Target="https://webgate.ec.europa.eu/CITnet/jira/browse/OPRESULT-706" TargetMode="External"/><Relationship Id="rId386" Type="http://schemas.openxmlformats.org/officeDocument/2006/relationships/hyperlink" Target="https://webgate.ec.europa.eu/CITnet/jira/browse/EUI-1218" TargetMode="External"/><Relationship Id="rId190" Type="http://schemas.openxmlformats.org/officeDocument/2006/relationships/hyperlink" Target="https://webgate.ec.europa.eu/CITnet/jira/browse/EUI-1281" TargetMode="External"/><Relationship Id="rId204" Type="http://schemas.openxmlformats.org/officeDocument/2006/relationships/hyperlink" Target="https://webgate.ec.europa.eu/CITnet/jira/browse/OPPOSTWARD-278" TargetMode="External"/><Relationship Id="rId225" Type="http://schemas.openxmlformats.org/officeDocument/2006/relationships/hyperlink" Target="https://webgate.ec.europa.eu/CITnet/jira/browse/OPPOSTWARD-277" TargetMode="External"/><Relationship Id="rId246" Type="http://schemas.openxmlformats.org/officeDocument/2006/relationships/hyperlink" Target="https://webgate.ec.europa.eu/CITnet/jira/browse/OPSYSIOP-1156" TargetMode="External"/><Relationship Id="rId267" Type="http://schemas.openxmlformats.org/officeDocument/2006/relationships/hyperlink" Target="https://webgate.ec.europa.eu/CITnet/jira/browse/OPPOSTWARD-272" TargetMode="External"/><Relationship Id="rId288" Type="http://schemas.openxmlformats.org/officeDocument/2006/relationships/hyperlink" Target="https://webgate.ec.europa.eu/CITnet/jira/browse/OPPOSTWARD-250" TargetMode="External"/><Relationship Id="rId411" Type="http://schemas.openxmlformats.org/officeDocument/2006/relationships/hyperlink" Target="https://webgate.ec.europa.eu/CITnet/jira/browse/OPSYSIOP-1048" TargetMode="External"/><Relationship Id="rId432" Type="http://schemas.openxmlformats.org/officeDocument/2006/relationships/hyperlink" Target="https://webgate.ec.europa.eu/CITnet/jira/browse/OPSYSIOP-1026" TargetMode="External"/><Relationship Id="rId453" Type="http://schemas.openxmlformats.org/officeDocument/2006/relationships/hyperlink" Target="https://webgate.ec.europa.eu/CITnet/jira/browse/OPPREAWA-576" TargetMode="External"/><Relationship Id="rId474" Type="http://schemas.openxmlformats.org/officeDocument/2006/relationships/hyperlink" Target="https://webgate.ec.europa.eu/CITnet/jira/browse/OPRESULT-667" TargetMode="External"/><Relationship Id="rId106" Type="http://schemas.openxmlformats.org/officeDocument/2006/relationships/hyperlink" Target="https://webgate.ec.europa.eu/CITnet/jira/browse/MWP-542" TargetMode="External"/><Relationship Id="rId127" Type="http://schemas.openxmlformats.org/officeDocument/2006/relationships/hyperlink" Target="https://webgate.ec.europa.eu/CITnet/jira/browse/OPRESULT-967" TargetMode="External"/><Relationship Id="rId313" Type="http://schemas.openxmlformats.org/officeDocument/2006/relationships/hyperlink" Target="https://webgate.ec.europa.eu/CITnet/jira/browse/OPPOSTWARD-143" TargetMode="External"/><Relationship Id="rId495" Type="http://schemas.openxmlformats.org/officeDocument/2006/relationships/hyperlink" Target="https://webgate.ec.europa.eu/CITnet/jira/browse/OPRESULT-656" TargetMode="External"/><Relationship Id="rId10" Type="http://schemas.openxmlformats.org/officeDocument/2006/relationships/hyperlink" Target="https://webgate.ec.europa.eu/CITnet/jira/browse/OPPREAWA-1316" TargetMode="External"/><Relationship Id="rId31" Type="http://schemas.openxmlformats.org/officeDocument/2006/relationships/hyperlink" Target="https://webgate.ec.europa.eu/CITnet/jira/browse/OPRESULT-1066" TargetMode="External"/><Relationship Id="rId52" Type="http://schemas.openxmlformats.org/officeDocument/2006/relationships/hyperlink" Target="https://webgate.ec.europa.eu/CITnet/jira/browse/OPSYSIOP-1458" TargetMode="External"/><Relationship Id="rId73" Type="http://schemas.openxmlformats.org/officeDocument/2006/relationships/hyperlink" Target="https://webgate.ec.europa.eu/CITnet/jira/browse/OPSYSIOP-1400" TargetMode="External"/><Relationship Id="rId94" Type="http://schemas.openxmlformats.org/officeDocument/2006/relationships/hyperlink" Target="https://webgate.ec.europa.eu/CITnet/jira/browse/OPPREAWA-1263" TargetMode="External"/><Relationship Id="rId148" Type="http://schemas.openxmlformats.org/officeDocument/2006/relationships/hyperlink" Target="https://webgate.ec.europa.eu/CITnet/jira/browse/OPPREAWA-1166" TargetMode="External"/><Relationship Id="rId169" Type="http://schemas.openxmlformats.org/officeDocument/2006/relationships/hyperlink" Target="https://webgate.ec.europa.eu/CITnet/jira/browse/OPPREAWA-1090" TargetMode="External"/><Relationship Id="rId334" Type="http://schemas.openxmlformats.org/officeDocument/2006/relationships/hyperlink" Target="https://webgate.ec.europa.eu/CITnet/jira/browse/OPPOSTWARD-120" TargetMode="External"/><Relationship Id="rId355" Type="http://schemas.openxmlformats.org/officeDocument/2006/relationships/hyperlink" Target="https://webgate.ec.europa.eu/CITnet/jira/browse/OPRESULT-754" TargetMode="External"/><Relationship Id="rId376" Type="http://schemas.openxmlformats.org/officeDocument/2006/relationships/hyperlink" Target="https://webgate.ec.europa.eu/CITnet/jira/browse/OPPREAWA-876" TargetMode="External"/><Relationship Id="rId397" Type="http://schemas.openxmlformats.org/officeDocument/2006/relationships/hyperlink" Target="https://webgate.ec.europa.eu/CITnet/jira/browse/OPPREAWA-804" TargetMode="External"/><Relationship Id="rId4" Type="http://schemas.openxmlformats.org/officeDocument/2006/relationships/hyperlink" Target="https://webgate.ec.europa.eu/CITnet/jira/browse/OPRESULT-1083" TargetMode="External"/><Relationship Id="rId180" Type="http://schemas.openxmlformats.org/officeDocument/2006/relationships/hyperlink" Target="https://webgate.ec.europa.eu/CITnet/jira/browse/OPRESULT-888" TargetMode="External"/><Relationship Id="rId215" Type="http://schemas.openxmlformats.org/officeDocument/2006/relationships/hyperlink" Target="https://webgate.ec.europa.eu/CITnet/jira/browse/OPPREAWA-1015" TargetMode="External"/><Relationship Id="rId236" Type="http://schemas.openxmlformats.org/officeDocument/2006/relationships/hyperlink" Target="https://webgate.ec.europa.eu/CITnet/jira/browse/OPPREAWA-986" TargetMode="External"/><Relationship Id="rId257" Type="http://schemas.openxmlformats.org/officeDocument/2006/relationships/hyperlink" Target="https://webgate.ec.europa.eu/CITnet/jira/browse/OPPREAWA-963" TargetMode="External"/><Relationship Id="rId278" Type="http://schemas.openxmlformats.org/officeDocument/2006/relationships/hyperlink" Target="https://webgate.ec.europa.eu/CITnet/jira/browse/OPPOSTWARD-261" TargetMode="External"/><Relationship Id="rId401" Type="http://schemas.openxmlformats.org/officeDocument/2006/relationships/hyperlink" Target="https://webgate.ec.europa.eu/CITnet/jira/browse/OPPREAWA-795" TargetMode="External"/><Relationship Id="rId422" Type="http://schemas.openxmlformats.org/officeDocument/2006/relationships/hyperlink" Target="https://webgate.ec.europa.eu/CITnet/jira/browse/OPSYSIOP-1036" TargetMode="External"/><Relationship Id="rId443" Type="http://schemas.openxmlformats.org/officeDocument/2006/relationships/hyperlink" Target="https://webgate.ec.europa.eu/CITnet/jira/browse/OPPREAWA-768" TargetMode="External"/><Relationship Id="rId464" Type="http://schemas.openxmlformats.org/officeDocument/2006/relationships/hyperlink" Target="https://webgate.ec.europa.eu/CITnet/jira/browse/OPPREAWA-556" TargetMode="External"/><Relationship Id="rId303" Type="http://schemas.openxmlformats.org/officeDocument/2006/relationships/hyperlink" Target="https://webgate.ec.europa.eu/CITnet/jira/browse/OPSYSIOP-1097" TargetMode="External"/><Relationship Id="rId485" Type="http://schemas.openxmlformats.org/officeDocument/2006/relationships/hyperlink" Target="https://webgate.ec.europa.eu/CITnet/jira/browse/OPSYSIOP-902" TargetMode="External"/><Relationship Id="rId42" Type="http://schemas.openxmlformats.org/officeDocument/2006/relationships/hyperlink" Target="https://webgate.ec.europa.eu/CITnet/jira/browse/OPRESULT-1052" TargetMode="External"/><Relationship Id="rId84" Type="http://schemas.openxmlformats.org/officeDocument/2006/relationships/hyperlink" Target="https://webgate.ec.europa.eu/CITnet/jira/browse/OPSYSIOP-1365" TargetMode="External"/><Relationship Id="rId138" Type="http://schemas.openxmlformats.org/officeDocument/2006/relationships/hyperlink" Target="https://webgate.ec.europa.eu/CITnet/jira/browse/MWP-537" TargetMode="External"/><Relationship Id="rId345" Type="http://schemas.openxmlformats.org/officeDocument/2006/relationships/hyperlink" Target="https://webgate.ec.europa.eu/CITnet/jira/browse/OPPREAWA-922" TargetMode="External"/><Relationship Id="rId387" Type="http://schemas.openxmlformats.org/officeDocument/2006/relationships/hyperlink" Target="https://webgate.ec.europa.eu/CITnet/jira/browse/OPPREAWA-827" TargetMode="External"/><Relationship Id="rId191" Type="http://schemas.openxmlformats.org/officeDocument/2006/relationships/hyperlink" Target="https://webgate.ec.europa.eu/CITnet/jira/browse/EUI-1279" TargetMode="External"/><Relationship Id="rId205" Type="http://schemas.openxmlformats.org/officeDocument/2006/relationships/hyperlink" Target="https://webgate.ec.europa.eu/CITnet/jira/browse/OPPREAWA-1042" TargetMode="External"/><Relationship Id="rId247" Type="http://schemas.openxmlformats.org/officeDocument/2006/relationships/hyperlink" Target="https://webgate.ec.europa.eu/CITnet/jira/browse/OPSYSIOP-1155" TargetMode="External"/><Relationship Id="rId412" Type="http://schemas.openxmlformats.org/officeDocument/2006/relationships/hyperlink" Target="https://webgate.ec.europa.eu/CITnet/jira/browse/OPSYSIOP-1047" TargetMode="External"/><Relationship Id="rId107" Type="http://schemas.openxmlformats.org/officeDocument/2006/relationships/hyperlink" Target="https://webgate.ec.europa.eu/CITnet/jira/browse/OPPREAWA-1235" TargetMode="External"/><Relationship Id="rId289" Type="http://schemas.openxmlformats.org/officeDocument/2006/relationships/hyperlink" Target="https://webgate.ec.europa.eu/CITnet/jira/browse/OPPOSTWARD-249" TargetMode="External"/><Relationship Id="rId454" Type="http://schemas.openxmlformats.org/officeDocument/2006/relationships/hyperlink" Target="https://webgate.ec.europa.eu/CITnet/jira/browse/OPPREAWA-575" TargetMode="External"/><Relationship Id="rId496" Type="http://schemas.openxmlformats.org/officeDocument/2006/relationships/hyperlink" Target="https://webgate.ec.europa.eu/CITnet/jira/browse/OPRESULT-650" TargetMode="External"/><Relationship Id="rId11" Type="http://schemas.openxmlformats.org/officeDocument/2006/relationships/hyperlink" Target="https://webgate.ec.europa.eu/CITnet/jira/browse/OPSYSIOP-1503" TargetMode="External"/><Relationship Id="rId53" Type="http://schemas.openxmlformats.org/officeDocument/2006/relationships/hyperlink" Target="https://webgate.ec.europa.eu/CITnet/jira/browse/OPPREAWA-1294" TargetMode="External"/><Relationship Id="rId149" Type="http://schemas.openxmlformats.org/officeDocument/2006/relationships/hyperlink" Target="https://webgate.ec.europa.eu/CITnet/jira/browse/OPPREAWA-1161" TargetMode="External"/><Relationship Id="rId314" Type="http://schemas.openxmlformats.org/officeDocument/2006/relationships/hyperlink" Target="https://webgate.ec.europa.eu/CITnet/jira/browse/OPPOSTWARD-142" TargetMode="External"/><Relationship Id="rId356" Type="http://schemas.openxmlformats.org/officeDocument/2006/relationships/hyperlink" Target="https://webgate.ec.europa.eu/CITnet/jira/browse/OPPREAWA-916" TargetMode="External"/><Relationship Id="rId398" Type="http://schemas.openxmlformats.org/officeDocument/2006/relationships/hyperlink" Target="https://webgate.ec.europa.eu/CITnet/jira/browse/OPPREAWA-798" TargetMode="External"/><Relationship Id="rId95" Type="http://schemas.openxmlformats.org/officeDocument/2006/relationships/hyperlink" Target="https://webgate.ec.europa.eu/CITnet/jira/browse/OPPREAWA-1262" TargetMode="External"/><Relationship Id="rId160" Type="http://schemas.openxmlformats.org/officeDocument/2006/relationships/hyperlink" Target="https://webgate.ec.europa.eu/CITnet/jira/browse/MWP-531" TargetMode="External"/><Relationship Id="rId216" Type="http://schemas.openxmlformats.org/officeDocument/2006/relationships/hyperlink" Target="https://webgate.ec.europa.eu/CITnet/jira/browse/OPCITNET-215" TargetMode="External"/><Relationship Id="rId423" Type="http://schemas.openxmlformats.org/officeDocument/2006/relationships/hyperlink" Target="https://webgate.ec.europa.eu/CITnet/jira/browse/OPSYSIOP-1035" TargetMode="External"/><Relationship Id="rId258" Type="http://schemas.openxmlformats.org/officeDocument/2006/relationships/hyperlink" Target="https://webgate.ec.europa.eu/CITnet/jira/browse/OPPREAWA-959" TargetMode="External"/><Relationship Id="rId465" Type="http://schemas.openxmlformats.org/officeDocument/2006/relationships/hyperlink" Target="https://webgate.ec.europa.eu/CITnet/jira/browse/OPSYSIOP-950" TargetMode="External"/><Relationship Id="rId22" Type="http://schemas.openxmlformats.org/officeDocument/2006/relationships/hyperlink" Target="https://webgate.ec.europa.eu/CITnet/jira/browse/OPPREAWA-1310" TargetMode="External"/><Relationship Id="rId64" Type="http://schemas.openxmlformats.org/officeDocument/2006/relationships/hyperlink" Target="https://webgate.ec.europa.eu/CITnet/jira/browse/OPSYSIOP-1429" TargetMode="External"/><Relationship Id="rId118" Type="http://schemas.openxmlformats.org/officeDocument/2006/relationships/hyperlink" Target="https://webgate.ec.europa.eu/CITnet/jira/browse/OPRESULT-1003" TargetMode="External"/><Relationship Id="rId325" Type="http://schemas.openxmlformats.org/officeDocument/2006/relationships/hyperlink" Target="https://webgate.ec.europa.eu/CITnet/jira/browse/OPPOSTWARD-132" TargetMode="External"/><Relationship Id="rId367" Type="http://schemas.openxmlformats.org/officeDocument/2006/relationships/hyperlink" Target="https://webgate.ec.europa.eu/CITnet/jira/browse/OPRESULT-702" TargetMode="External"/><Relationship Id="rId171" Type="http://schemas.openxmlformats.org/officeDocument/2006/relationships/hyperlink" Target="https://webgate.ec.europa.eu/CITnet/jira/browse/OPPREAWA-1084" TargetMode="External"/><Relationship Id="rId227" Type="http://schemas.openxmlformats.org/officeDocument/2006/relationships/hyperlink" Target="https://webgate.ec.europa.eu/CITnet/jira/browse/OPPOSTWARD-275" TargetMode="External"/><Relationship Id="rId269" Type="http://schemas.openxmlformats.org/officeDocument/2006/relationships/hyperlink" Target="https://webgate.ec.europa.eu/CITnet/jira/browse/OPPOSTWARD-270" TargetMode="External"/><Relationship Id="rId434" Type="http://schemas.openxmlformats.org/officeDocument/2006/relationships/hyperlink" Target="https://webgate.ec.europa.eu/CITnet/jira/browse/OPSYSIOP-1023" TargetMode="External"/><Relationship Id="rId476" Type="http://schemas.openxmlformats.org/officeDocument/2006/relationships/hyperlink" Target="https://webgate.ec.europa.eu/CITnet/jira/browse/OPRESULT-665" TargetMode="External"/><Relationship Id="rId33" Type="http://schemas.openxmlformats.org/officeDocument/2006/relationships/hyperlink" Target="https://webgate.ec.europa.eu/CITnet/jira/browse/OPRESULT-1063" TargetMode="External"/><Relationship Id="rId129" Type="http://schemas.openxmlformats.org/officeDocument/2006/relationships/hyperlink" Target="https://webgate.ec.europa.eu/CITnet/jira/browse/OPPREAWA-1208" TargetMode="External"/><Relationship Id="rId280" Type="http://schemas.openxmlformats.org/officeDocument/2006/relationships/hyperlink" Target="https://webgate.ec.europa.eu/CITnet/jira/browse/OPPOSTWARD-259" TargetMode="External"/><Relationship Id="rId336" Type="http://schemas.openxmlformats.org/officeDocument/2006/relationships/hyperlink" Target="https://webgate.ec.europa.eu/CITnet/jira/browse/OPPOSTWARD-117" TargetMode="External"/><Relationship Id="rId75" Type="http://schemas.openxmlformats.org/officeDocument/2006/relationships/hyperlink" Target="https://webgate.ec.europa.eu/CITnet/jira/browse/OPSYSIOP-1393" TargetMode="External"/><Relationship Id="rId140" Type="http://schemas.openxmlformats.org/officeDocument/2006/relationships/hyperlink" Target="https://webgate.ec.europa.eu/CITnet/jira/browse/OPSYSIOP-1252" TargetMode="External"/><Relationship Id="rId182" Type="http://schemas.openxmlformats.org/officeDocument/2006/relationships/hyperlink" Target="https://webgate.ec.europa.eu/CITnet/jira/browse/OPRESULT-884" TargetMode="External"/><Relationship Id="rId378" Type="http://schemas.openxmlformats.org/officeDocument/2006/relationships/hyperlink" Target="https://webgate.ec.europa.eu/CITnet/jira/browse/MWP-462" TargetMode="External"/><Relationship Id="rId403" Type="http://schemas.openxmlformats.org/officeDocument/2006/relationships/hyperlink" Target="https://webgate.ec.europa.eu/CITnet/jira/browse/OPPREAWA-793" TargetMode="External"/><Relationship Id="rId6" Type="http://schemas.openxmlformats.org/officeDocument/2006/relationships/hyperlink" Target="https://webgate.ec.europa.eu/CITnet/jira/browse/OPSYSIOP-1512" TargetMode="External"/><Relationship Id="rId238" Type="http://schemas.openxmlformats.org/officeDocument/2006/relationships/hyperlink" Target="https://webgate.ec.europa.eu/CITnet/jira/browse/OPSYSIOP-1167" TargetMode="External"/><Relationship Id="rId445" Type="http://schemas.openxmlformats.org/officeDocument/2006/relationships/hyperlink" Target="https://webgate.ec.europa.eu/CITnet/jira/browse/OPPREAWA-728" TargetMode="External"/><Relationship Id="rId487" Type="http://schemas.openxmlformats.org/officeDocument/2006/relationships/hyperlink" Target="https://webgate.ec.europa.eu/CITnet/jira/browse/OPSYSIOP-897" TargetMode="External"/><Relationship Id="rId291" Type="http://schemas.openxmlformats.org/officeDocument/2006/relationships/hyperlink" Target="https://webgate.ec.europa.eu/CITnet/jira/browse/OPPOSTWARD-247" TargetMode="External"/><Relationship Id="rId305" Type="http://schemas.openxmlformats.org/officeDocument/2006/relationships/hyperlink" Target="https://webgate.ec.europa.eu/CITnet/jira/browse/OPPREAWA-926" TargetMode="External"/><Relationship Id="rId347" Type="http://schemas.openxmlformats.org/officeDocument/2006/relationships/hyperlink" Target="https://webgate.ec.europa.eu/CITnet/jira/browse/MWP-471" TargetMode="External"/><Relationship Id="rId44" Type="http://schemas.openxmlformats.org/officeDocument/2006/relationships/hyperlink" Target="https://webgate.ec.europa.eu/CITnet/jira/browse/OPRESULT-1044" TargetMode="External"/><Relationship Id="rId86" Type="http://schemas.openxmlformats.org/officeDocument/2006/relationships/hyperlink" Target="https://webgate.ec.europa.eu/CITnet/jira/browse/OPPREAWA-1291" TargetMode="External"/><Relationship Id="rId151" Type="http://schemas.openxmlformats.org/officeDocument/2006/relationships/hyperlink" Target="https://webgate.ec.europa.eu/CITnet/jira/browse/EUI-1300" TargetMode="External"/><Relationship Id="rId389" Type="http://schemas.openxmlformats.org/officeDocument/2006/relationships/hyperlink" Target="https://webgate.ec.europa.eu/CITnet/jira/browse/OPPREAWA-819" TargetMode="External"/><Relationship Id="rId193" Type="http://schemas.openxmlformats.org/officeDocument/2006/relationships/hyperlink" Target="https://webgate.ec.europa.eu/CITnet/jira/browse/OPPREAWA-1063" TargetMode="External"/><Relationship Id="rId207" Type="http://schemas.openxmlformats.org/officeDocument/2006/relationships/hyperlink" Target="https://webgate.ec.europa.eu/CITnet/jira/browse/MWP-522" TargetMode="External"/><Relationship Id="rId249" Type="http://schemas.openxmlformats.org/officeDocument/2006/relationships/hyperlink" Target="https://webgate.ec.europa.eu/CITnet/jira/browse/OPSYSIOP-1153" TargetMode="External"/><Relationship Id="rId414" Type="http://schemas.openxmlformats.org/officeDocument/2006/relationships/hyperlink" Target="https://webgate.ec.europa.eu/CITnet/jira/browse/OPSYSIOP-1045" TargetMode="External"/><Relationship Id="rId456" Type="http://schemas.openxmlformats.org/officeDocument/2006/relationships/hyperlink" Target="https://webgate.ec.europa.eu/CITnet/jira/browse/OPPREAWA-572" TargetMode="External"/><Relationship Id="rId13" Type="http://schemas.openxmlformats.org/officeDocument/2006/relationships/hyperlink" Target="https://webgate.ec.europa.eu/CITnet/jira/browse/OPSYSIOP-1500" TargetMode="External"/><Relationship Id="rId109" Type="http://schemas.openxmlformats.org/officeDocument/2006/relationships/hyperlink" Target="https://webgate.ec.europa.eu/CITnet/jira/browse/OPPREAWA-1231" TargetMode="External"/><Relationship Id="rId260" Type="http://schemas.openxmlformats.org/officeDocument/2006/relationships/hyperlink" Target="https://webgate.ec.europa.eu/CITnet/jira/browse/OPPREAWA-957" TargetMode="External"/><Relationship Id="rId316" Type="http://schemas.openxmlformats.org/officeDocument/2006/relationships/hyperlink" Target="https://webgate.ec.europa.eu/CITnet/jira/browse/OPPOSTWARD-140" TargetMode="External"/><Relationship Id="rId55" Type="http://schemas.openxmlformats.org/officeDocument/2006/relationships/hyperlink" Target="https://webgate.ec.europa.eu/CITnet/jira/browse/OPSYSIOP-1452" TargetMode="External"/><Relationship Id="rId97" Type="http://schemas.openxmlformats.org/officeDocument/2006/relationships/hyperlink" Target="https://webgate.ec.europa.eu/CITnet/jira/browse/OPSYSIOP-1333" TargetMode="External"/><Relationship Id="rId120" Type="http://schemas.openxmlformats.org/officeDocument/2006/relationships/hyperlink" Target="https://webgate.ec.europa.eu/CITnet/jira/browse/OPPREAWA-1215" TargetMode="External"/><Relationship Id="rId358" Type="http://schemas.openxmlformats.org/officeDocument/2006/relationships/hyperlink" Target="https://webgate.ec.europa.eu/CITnet/jira/browse/MWP-464" TargetMode="External"/><Relationship Id="rId162" Type="http://schemas.openxmlformats.org/officeDocument/2006/relationships/hyperlink" Target="https://webgate.ec.europa.eu/CITnet/jira/browse/OPPREAWA-1127" TargetMode="External"/><Relationship Id="rId218" Type="http://schemas.openxmlformats.org/officeDocument/2006/relationships/hyperlink" Target="https://webgate.ec.europa.eu/CITnet/jira/browse/OPPREAWA-1009" TargetMode="External"/><Relationship Id="rId425" Type="http://schemas.openxmlformats.org/officeDocument/2006/relationships/hyperlink" Target="https://webgate.ec.europa.eu/CITnet/jira/browse/OPSYSIOP-1033" TargetMode="External"/><Relationship Id="rId467" Type="http://schemas.openxmlformats.org/officeDocument/2006/relationships/hyperlink" Target="https://webgate.ec.europa.eu/CITnet/jira/browse/OPPREAWA-496" TargetMode="External"/></Relationships>
</file>

<file path=xl/worksheets/_rels/sheet8.xml.rels><?xml version="1.0" encoding="UTF-8" standalone="yes"?>
<Relationships xmlns="http://schemas.openxmlformats.org/package/2006/relationships"><Relationship Id="rId117" Type="http://schemas.openxmlformats.org/officeDocument/2006/relationships/hyperlink" Target="https://webgate.ec.europa.eu/CITnet/jira/browse/OPPREAWA-347" TargetMode="External"/><Relationship Id="rId299" Type="http://schemas.openxmlformats.org/officeDocument/2006/relationships/hyperlink" Target="https://webgate.ec.europa.eu/CITnet/jira/browse/OPPREAWA-104" TargetMode="External"/><Relationship Id="rId21" Type="http://schemas.openxmlformats.org/officeDocument/2006/relationships/hyperlink" Target="https://webgate.ec.europa.eu/CITnet/jira/browse/OPPREAWA-514" TargetMode="External"/><Relationship Id="rId63" Type="http://schemas.openxmlformats.org/officeDocument/2006/relationships/hyperlink" Target="https://webgate.ec.europa.eu/CITnet/jira/browse/OPPREAWA-384" TargetMode="External"/><Relationship Id="rId159" Type="http://schemas.openxmlformats.org/officeDocument/2006/relationships/hyperlink" Target="https://webgate.ec.europa.eu/CITnet/jira/browse/OPPREAWA-661" TargetMode="External"/><Relationship Id="rId324" Type="http://schemas.openxmlformats.org/officeDocument/2006/relationships/hyperlink" Target="https://webgate.ec.europa.eu/CITnet/jira/browse/OPSYSIOP-352" TargetMode="External"/><Relationship Id="rId366" Type="http://schemas.openxmlformats.org/officeDocument/2006/relationships/hyperlink" Target="https://webgate.ec.europa.eu/CITnet/jira/browse/MWP-192" TargetMode="External"/><Relationship Id="rId170" Type="http://schemas.openxmlformats.org/officeDocument/2006/relationships/hyperlink" Target="https://webgate.ec.europa.eu/CITnet/jira/browse/OPPOSTWARD-25" TargetMode="External"/><Relationship Id="rId226" Type="http://schemas.openxmlformats.org/officeDocument/2006/relationships/hyperlink" Target="https://webgate.ec.europa.eu/CITnet/jira/browse/EUI-1109" TargetMode="External"/><Relationship Id="rId433" Type="http://schemas.openxmlformats.org/officeDocument/2006/relationships/hyperlink" Target="https://webgate.ec.europa.eu/CITnet/jira/browse/OPPREAWA-172" TargetMode="External"/><Relationship Id="rId268" Type="http://schemas.openxmlformats.org/officeDocument/2006/relationships/hyperlink" Target="https://webgate.ec.europa.eu/CITnet/jira/browse/OPSYSIOP-535" TargetMode="External"/><Relationship Id="rId32" Type="http://schemas.openxmlformats.org/officeDocument/2006/relationships/hyperlink" Target="https://webgate.ec.europa.eu/CITnet/jira/browse/OPSYSIOP-857" TargetMode="External"/><Relationship Id="rId74" Type="http://schemas.openxmlformats.org/officeDocument/2006/relationships/hyperlink" Target="https://webgate.ec.europa.eu/CITnet/jira/browse/OPSYSIOP-755" TargetMode="External"/><Relationship Id="rId128" Type="http://schemas.openxmlformats.org/officeDocument/2006/relationships/hyperlink" Target="https://webgate.ec.europa.eu/CITnet/jira/browse/OPSYSIOP-666" TargetMode="External"/><Relationship Id="rId335" Type="http://schemas.openxmlformats.org/officeDocument/2006/relationships/hyperlink" Target="https://webgate.ec.europa.eu/CITnet/jira/browse/OPPREAWA-508" TargetMode="External"/><Relationship Id="rId377" Type="http://schemas.openxmlformats.org/officeDocument/2006/relationships/hyperlink" Target="https://webgate.ec.europa.eu/CITnet/jira/browse/OPSEDPORT-5" TargetMode="External"/><Relationship Id="rId5" Type="http://schemas.openxmlformats.org/officeDocument/2006/relationships/hyperlink" Target="https://webgate.ec.europa.eu/CITnet/jira/browse/MWP-453" TargetMode="External"/><Relationship Id="rId181" Type="http://schemas.openxmlformats.org/officeDocument/2006/relationships/hyperlink" Target="https://webgate.ec.europa.eu/CITnet/jira/browse/EUI-1142" TargetMode="External"/><Relationship Id="rId237" Type="http://schemas.openxmlformats.org/officeDocument/2006/relationships/hyperlink" Target="https://webgate.ec.europa.eu/CITnet/jira/browse/OPPREAWA-674" TargetMode="External"/><Relationship Id="rId402" Type="http://schemas.openxmlformats.org/officeDocument/2006/relationships/hyperlink" Target="https://webgate.ec.europa.eu/CITnet/jira/browse/EUI-230" TargetMode="External"/><Relationship Id="rId279" Type="http://schemas.openxmlformats.org/officeDocument/2006/relationships/hyperlink" Target="https://webgate.ec.europa.eu/CITnet/jira/browse/OPPOSTWARD-2" TargetMode="External"/><Relationship Id="rId444" Type="http://schemas.openxmlformats.org/officeDocument/2006/relationships/hyperlink" Target="https://webgate.ec.europa.eu/CITnet/jira/browse/OPCITNET-156" TargetMode="External"/><Relationship Id="rId43" Type="http://schemas.openxmlformats.org/officeDocument/2006/relationships/hyperlink" Target="https://webgate.ec.europa.eu/CITnet/jira/browse/OPPREAWA-441" TargetMode="External"/><Relationship Id="rId139" Type="http://schemas.openxmlformats.org/officeDocument/2006/relationships/hyperlink" Target="https://webgate.ec.europa.eu/CITnet/jira/browse/EUI-1157" TargetMode="External"/><Relationship Id="rId290" Type="http://schemas.openxmlformats.org/officeDocument/2006/relationships/hyperlink" Target="https://webgate.ec.europa.eu/CITnet/jira/browse/OPPREAWA-153" TargetMode="External"/><Relationship Id="rId304" Type="http://schemas.openxmlformats.org/officeDocument/2006/relationships/hyperlink" Target="https://webgate.ec.europa.eu/CITnet/jira/browse/OPPREAWA-652" TargetMode="External"/><Relationship Id="rId346" Type="http://schemas.openxmlformats.org/officeDocument/2006/relationships/hyperlink" Target="https://webgate.ec.europa.eu/CITnet/jira/browse/OPPREAWA-695" TargetMode="External"/><Relationship Id="rId388" Type="http://schemas.openxmlformats.org/officeDocument/2006/relationships/hyperlink" Target="https://webgate.ec.europa.eu/CITnet/jira/browse/EUI-236" TargetMode="External"/><Relationship Id="rId85" Type="http://schemas.openxmlformats.org/officeDocument/2006/relationships/hyperlink" Target="https://webgate.ec.europa.eu/CITnet/jira/browse/OPRESULT-622" TargetMode="External"/><Relationship Id="rId150" Type="http://schemas.openxmlformats.org/officeDocument/2006/relationships/hyperlink" Target="https://webgate.ec.europa.eu/CITnet/jira/browse/OPPOSTWARD-34" TargetMode="External"/><Relationship Id="rId192" Type="http://schemas.openxmlformats.org/officeDocument/2006/relationships/hyperlink" Target="https://webgate.ec.europa.eu/CITnet/jira/browse/MWP-338" TargetMode="External"/><Relationship Id="rId206" Type="http://schemas.openxmlformats.org/officeDocument/2006/relationships/hyperlink" Target="https://webgate.ec.europa.eu/CITnet/jira/browse/MWP-334" TargetMode="External"/><Relationship Id="rId413" Type="http://schemas.openxmlformats.org/officeDocument/2006/relationships/hyperlink" Target="https://webgate.ec.europa.eu/CITnet/jira/browse/MWP-151" TargetMode="External"/><Relationship Id="rId248" Type="http://schemas.openxmlformats.org/officeDocument/2006/relationships/hyperlink" Target="https://webgate.ec.europa.eu/CITnet/jira/browse/OPPREAWA-233" TargetMode="External"/><Relationship Id="rId12" Type="http://schemas.openxmlformats.org/officeDocument/2006/relationships/hyperlink" Target="https://webgate.ec.europa.eu/CITnet/jira/browse/OPPREAWA-527" TargetMode="External"/><Relationship Id="rId108" Type="http://schemas.openxmlformats.org/officeDocument/2006/relationships/hyperlink" Target="https://webgate.ec.europa.eu/CITnet/jira/browse/MWP-391" TargetMode="External"/><Relationship Id="rId315" Type="http://schemas.openxmlformats.org/officeDocument/2006/relationships/hyperlink" Target="https://webgate.ec.europa.eu/CITnet/jira/browse/EUI-407" TargetMode="External"/><Relationship Id="rId357" Type="http://schemas.openxmlformats.org/officeDocument/2006/relationships/hyperlink" Target="https://webgate.ec.europa.eu/CITnet/jira/browse/MWP-205" TargetMode="External"/><Relationship Id="rId54" Type="http://schemas.openxmlformats.org/officeDocument/2006/relationships/hyperlink" Target="https://webgate.ec.europa.eu/CITnet/jira/browse/OPPREAWA-405" TargetMode="External"/><Relationship Id="rId75" Type="http://schemas.openxmlformats.org/officeDocument/2006/relationships/hyperlink" Target="https://webgate.ec.europa.eu/CITnet/jira/browse/OPRESULT-632" TargetMode="External"/><Relationship Id="rId96" Type="http://schemas.openxmlformats.org/officeDocument/2006/relationships/hyperlink" Target="https://webgate.ec.europa.eu/CITnet/jira/browse/OPRESULT-607" TargetMode="External"/><Relationship Id="rId140" Type="http://schemas.openxmlformats.org/officeDocument/2006/relationships/hyperlink" Target="https://webgate.ec.europa.eu/CITnet/jira/browse/OPPOSTWARD-44" TargetMode="External"/><Relationship Id="rId161" Type="http://schemas.openxmlformats.org/officeDocument/2006/relationships/hyperlink" Target="https://webgate.ec.europa.eu/CITnet/jira/browse/OPPREAWA-660" TargetMode="External"/><Relationship Id="rId182" Type="http://schemas.openxmlformats.org/officeDocument/2006/relationships/hyperlink" Target="https://webgate.ec.europa.eu/CITnet/jira/browse/EUI-1141" TargetMode="External"/><Relationship Id="rId217" Type="http://schemas.openxmlformats.org/officeDocument/2006/relationships/hyperlink" Target="https://webgate.ec.europa.eu/CITnet/jira/browse/EUI-1113" TargetMode="External"/><Relationship Id="rId378" Type="http://schemas.openxmlformats.org/officeDocument/2006/relationships/hyperlink" Target="https://webgate.ec.europa.eu/CITnet/jira/browse/OPSEDPORT-1" TargetMode="External"/><Relationship Id="rId399" Type="http://schemas.openxmlformats.org/officeDocument/2006/relationships/hyperlink" Target="https://webgate.ec.europa.eu/CITnet/jira/browse/OPRESULT-98" TargetMode="External"/><Relationship Id="rId403" Type="http://schemas.openxmlformats.org/officeDocument/2006/relationships/hyperlink" Target="https://webgate.ec.europa.eu/CITnet/jira/browse/EUI-214" TargetMode="External"/><Relationship Id="rId6" Type="http://schemas.openxmlformats.org/officeDocument/2006/relationships/hyperlink" Target="https://webgate.ec.europa.eu/CITnet/jira/browse/MWP-452" TargetMode="External"/><Relationship Id="rId238" Type="http://schemas.openxmlformats.org/officeDocument/2006/relationships/hyperlink" Target="https://webgate.ec.europa.eu/CITnet/jira/browse/OPPREAWA-246" TargetMode="External"/><Relationship Id="rId259" Type="http://schemas.openxmlformats.org/officeDocument/2006/relationships/hyperlink" Target="https://webgate.ec.europa.eu/CITnet/jira/browse/OPPREAWA-222" TargetMode="External"/><Relationship Id="rId424" Type="http://schemas.openxmlformats.org/officeDocument/2006/relationships/hyperlink" Target="https://webgate.ec.europa.eu/CITnet/jira/browse/OPSYSIOP-41" TargetMode="External"/><Relationship Id="rId445" Type="http://schemas.openxmlformats.org/officeDocument/2006/relationships/hyperlink" Target="https://webgate.ec.europa.eu/CITnet/jira/browse/EUI-607" TargetMode="External"/><Relationship Id="rId23" Type="http://schemas.openxmlformats.org/officeDocument/2006/relationships/hyperlink" Target="https://webgate.ec.europa.eu/CITnet/jira/browse/OPPREAWA-539" TargetMode="External"/><Relationship Id="rId119" Type="http://schemas.openxmlformats.org/officeDocument/2006/relationships/hyperlink" Target="https://webgate.ec.europa.eu/CITnet/jira/browse/OPSYSIOP-715" TargetMode="External"/><Relationship Id="rId270" Type="http://schemas.openxmlformats.org/officeDocument/2006/relationships/hyperlink" Target="https://webgate.ec.europa.eu/CITnet/jira/browse/OPSEDPORT-14" TargetMode="External"/><Relationship Id="rId291" Type="http://schemas.openxmlformats.org/officeDocument/2006/relationships/hyperlink" Target="https://webgate.ec.europa.eu/CITnet/jira/browse/OPPREAWA-152" TargetMode="External"/><Relationship Id="rId305" Type="http://schemas.openxmlformats.org/officeDocument/2006/relationships/hyperlink" Target="https://webgate.ec.europa.eu/CITnet/jira/browse/OPPREAWA-651" TargetMode="External"/><Relationship Id="rId326" Type="http://schemas.openxmlformats.org/officeDocument/2006/relationships/hyperlink" Target="https://webgate.ec.europa.eu/CITnet/jira/browse/OPSYSIOP-348" TargetMode="External"/><Relationship Id="rId347" Type="http://schemas.openxmlformats.org/officeDocument/2006/relationships/hyperlink" Target="https://webgate.ec.europa.eu/CITnet/jira/browse/OPPREAWA-696" TargetMode="External"/><Relationship Id="rId44" Type="http://schemas.openxmlformats.org/officeDocument/2006/relationships/hyperlink" Target="https://webgate.ec.europa.eu/CITnet/jira/browse/OPPREAWA-440" TargetMode="External"/><Relationship Id="rId65" Type="http://schemas.openxmlformats.org/officeDocument/2006/relationships/hyperlink" Target="https://webgate.ec.europa.eu/CITnet/jira/browse/EUI-1187" TargetMode="External"/><Relationship Id="rId86" Type="http://schemas.openxmlformats.org/officeDocument/2006/relationships/hyperlink" Target="https://webgate.ec.europa.eu/CITnet/jira/browse/OPRESULT-621" TargetMode="External"/><Relationship Id="rId130" Type="http://schemas.openxmlformats.org/officeDocument/2006/relationships/hyperlink" Target="https://webgate.ec.europa.eu/CITnet/jira/browse/EUI-1167" TargetMode="External"/><Relationship Id="rId151" Type="http://schemas.openxmlformats.org/officeDocument/2006/relationships/hyperlink" Target="https://webgate.ec.europa.eu/CITnet/jira/browse/EUI-1154" TargetMode="External"/><Relationship Id="rId368" Type="http://schemas.openxmlformats.org/officeDocument/2006/relationships/hyperlink" Target="https://webgate.ec.europa.eu/CITnet/jira/browse/OPPREAWA-97" TargetMode="External"/><Relationship Id="rId389" Type="http://schemas.openxmlformats.org/officeDocument/2006/relationships/hyperlink" Target="https://webgate.ec.europa.eu/CITnet/jira/browse/EUI-409" TargetMode="External"/><Relationship Id="rId172" Type="http://schemas.openxmlformats.org/officeDocument/2006/relationships/hyperlink" Target="https://webgate.ec.europa.eu/CITnet/jira/browse/OPPOSTWARD-23" TargetMode="External"/><Relationship Id="rId193" Type="http://schemas.openxmlformats.org/officeDocument/2006/relationships/hyperlink" Target="https://webgate.ec.europa.eu/CITnet/jira/browse/OPRESULT-561" TargetMode="External"/><Relationship Id="rId207" Type="http://schemas.openxmlformats.org/officeDocument/2006/relationships/hyperlink" Target="https://webgate.ec.europa.eu/CITnet/jira/browse/EUI-1116" TargetMode="External"/><Relationship Id="rId228" Type="http://schemas.openxmlformats.org/officeDocument/2006/relationships/hyperlink" Target="https://webgate.ec.europa.eu/CITnet/jira/browse/EUI-1107" TargetMode="External"/><Relationship Id="rId249" Type="http://schemas.openxmlformats.org/officeDocument/2006/relationships/hyperlink" Target="https://webgate.ec.europa.eu/CITnet/jira/browse/EUI-1101" TargetMode="External"/><Relationship Id="rId414" Type="http://schemas.openxmlformats.org/officeDocument/2006/relationships/hyperlink" Target="https://webgate.ec.europa.eu/CITnet/jira/browse/MWP-174" TargetMode="External"/><Relationship Id="rId435" Type="http://schemas.openxmlformats.org/officeDocument/2006/relationships/hyperlink" Target="https://webgate.ec.europa.eu/CITnet/jira/browse/OPPREAWA-55" TargetMode="External"/><Relationship Id="rId13" Type="http://schemas.openxmlformats.org/officeDocument/2006/relationships/hyperlink" Target="https://webgate.ec.europa.eu/CITnet/jira/browse/OPPREAWA-701" TargetMode="External"/><Relationship Id="rId109" Type="http://schemas.openxmlformats.org/officeDocument/2006/relationships/hyperlink" Target="https://webgate.ec.europa.eu/CITnet/jira/browse/MWP-390" TargetMode="External"/><Relationship Id="rId260" Type="http://schemas.openxmlformats.org/officeDocument/2006/relationships/hyperlink" Target="https://webgate.ec.europa.eu/CITnet/jira/browse/MWP-315" TargetMode="External"/><Relationship Id="rId281" Type="http://schemas.openxmlformats.org/officeDocument/2006/relationships/hyperlink" Target="https://webgate.ec.europa.eu/CITnet/jira/browse/EUI-402" TargetMode="External"/><Relationship Id="rId316" Type="http://schemas.openxmlformats.org/officeDocument/2006/relationships/hyperlink" Target="https://webgate.ec.europa.eu/CITnet/jira/browse/EUI-339" TargetMode="External"/><Relationship Id="rId337" Type="http://schemas.openxmlformats.org/officeDocument/2006/relationships/hyperlink" Target="https://webgate.ec.europa.eu/CITnet/jira/browse/OPPREAWA-509" TargetMode="External"/><Relationship Id="rId34" Type="http://schemas.openxmlformats.org/officeDocument/2006/relationships/hyperlink" Target="https://webgate.ec.europa.eu/CITnet/jira/browse/OPPREAWA-700" TargetMode="External"/><Relationship Id="rId55" Type="http://schemas.openxmlformats.org/officeDocument/2006/relationships/hyperlink" Target="https://webgate.ec.europa.eu/CITnet/jira/browse/OPPREAWA-404" TargetMode="External"/><Relationship Id="rId76" Type="http://schemas.openxmlformats.org/officeDocument/2006/relationships/hyperlink" Target="https://webgate.ec.europa.eu/CITnet/jira/browse/MWP-407" TargetMode="External"/><Relationship Id="rId97" Type="http://schemas.openxmlformats.org/officeDocument/2006/relationships/hyperlink" Target="https://webgate.ec.europa.eu/CITnet/jira/browse/OPRESULT-606" TargetMode="External"/><Relationship Id="rId120" Type="http://schemas.openxmlformats.org/officeDocument/2006/relationships/hyperlink" Target="https://webgate.ec.europa.eu/CITnet/jira/browse/OPSYSIOP-713" TargetMode="External"/><Relationship Id="rId141" Type="http://schemas.openxmlformats.org/officeDocument/2006/relationships/hyperlink" Target="https://webgate.ec.europa.eu/CITnet/jira/browse/OPPOSTWARD-43" TargetMode="External"/><Relationship Id="rId358" Type="http://schemas.openxmlformats.org/officeDocument/2006/relationships/hyperlink" Target="https://webgate.ec.europa.eu/CITnet/jira/browse/MWP-204" TargetMode="External"/><Relationship Id="rId379" Type="http://schemas.openxmlformats.org/officeDocument/2006/relationships/hyperlink" Target="https://webgate.ec.europa.eu/CITnet/jira/browse/OPSEDPORT-4" TargetMode="External"/><Relationship Id="rId7" Type="http://schemas.openxmlformats.org/officeDocument/2006/relationships/hyperlink" Target="https://webgate.ec.europa.eu/CITnet/jira/browse/MWP-450" TargetMode="External"/><Relationship Id="rId162" Type="http://schemas.openxmlformats.org/officeDocument/2006/relationships/hyperlink" Target="https://webgate.ec.europa.eu/CITnet/jira/browse/OPPREAWA-659" TargetMode="External"/><Relationship Id="rId183" Type="http://schemas.openxmlformats.org/officeDocument/2006/relationships/hyperlink" Target="https://webgate.ec.europa.eu/CITnet/jira/browse/OPPREAWA-299" TargetMode="External"/><Relationship Id="rId218" Type="http://schemas.openxmlformats.org/officeDocument/2006/relationships/hyperlink" Target="https://webgate.ec.europa.eu/CITnet/jira/browse/OPPREAWA-501" TargetMode="External"/><Relationship Id="rId239" Type="http://schemas.openxmlformats.org/officeDocument/2006/relationships/hyperlink" Target="https://webgate.ec.europa.eu/CITnet/jira/browse/OPPREAWA-245" TargetMode="External"/><Relationship Id="rId390" Type="http://schemas.openxmlformats.org/officeDocument/2006/relationships/hyperlink" Target="https://webgate.ec.europa.eu/CITnet/jira/browse/EUI-180" TargetMode="External"/><Relationship Id="rId404" Type="http://schemas.openxmlformats.org/officeDocument/2006/relationships/hyperlink" Target="https://webgate.ec.europa.eu/CITnet/jira/browse/MWP-139" TargetMode="External"/><Relationship Id="rId425" Type="http://schemas.openxmlformats.org/officeDocument/2006/relationships/hyperlink" Target="https://webgate.ec.europa.eu/CITnet/jira/browse/OPSYSIOP-37" TargetMode="External"/><Relationship Id="rId446" Type="http://schemas.openxmlformats.org/officeDocument/2006/relationships/hyperlink" Target="https://webgate.ec.europa.eu/CITnet/jira/browse/OPRESULT-165" TargetMode="External"/><Relationship Id="rId250" Type="http://schemas.openxmlformats.org/officeDocument/2006/relationships/hyperlink" Target="https://webgate.ec.europa.eu/CITnet/jira/browse/OPCITNET-179" TargetMode="External"/><Relationship Id="rId271" Type="http://schemas.openxmlformats.org/officeDocument/2006/relationships/hyperlink" Target="https://webgate.ec.europa.eu/CITnet/jira/browse/OPSEDPORT-13" TargetMode="External"/><Relationship Id="rId292" Type="http://schemas.openxmlformats.org/officeDocument/2006/relationships/hyperlink" Target="https://webgate.ec.europa.eu/CITnet/jira/browse/OPPREAWA-151" TargetMode="External"/><Relationship Id="rId306" Type="http://schemas.openxmlformats.org/officeDocument/2006/relationships/hyperlink" Target="https://webgate.ec.europa.eu/CITnet/jira/browse/OPSYSIOP-439" TargetMode="External"/><Relationship Id="rId24" Type="http://schemas.openxmlformats.org/officeDocument/2006/relationships/hyperlink" Target="https://webgate.ec.europa.eu/CITnet/jira/browse/MWP-435" TargetMode="External"/><Relationship Id="rId45" Type="http://schemas.openxmlformats.org/officeDocument/2006/relationships/hyperlink" Target="https://webgate.ec.europa.eu/CITnet/jira/browse/OPPREAWA-518" TargetMode="External"/><Relationship Id="rId66" Type="http://schemas.openxmlformats.org/officeDocument/2006/relationships/hyperlink" Target="https://webgate.ec.europa.eu/CITnet/jira/browse/OPSYSIOP-770" TargetMode="External"/><Relationship Id="rId87" Type="http://schemas.openxmlformats.org/officeDocument/2006/relationships/hyperlink" Target="https://webgate.ec.europa.eu/CITnet/jira/browse/OPPREAWA-358" TargetMode="External"/><Relationship Id="rId110" Type="http://schemas.openxmlformats.org/officeDocument/2006/relationships/hyperlink" Target="https://webgate.ec.europa.eu/CITnet/jira/browse/MWP-389" TargetMode="External"/><Relationship Id="rId131" Type="http://schemas.openxmlformats.org/officeDocument/2006/relationships/hyperlink" Target="https://webgate.ec.europa.eu/CITnet/jira/browse/OPPREAWA-322" TargetMode="External"/><Relationship Id="rId327" Type="http://schemas.openxmlformats.org/officeDocument/2006/relationships/hyperlink" Target="https://webgate.ec.europa.eu/CITnet/jira/browse/OPSYSIOP-344" TargetMode="External"/><Relationship Id="rId348" Type="http://schemas.openxmlformats.org/officeDocument/2006/relationships/hyperlink" Target="https://webgate.ec.europa.eu/CITnet/jira/browse/EUI-495" TargetMode="External"/><Relationship Id="rId369" Type="http://schemas.openxmlformats.org/officeDocument/2006/relationships/hyperlink" Target="https://webgate.ec.europa.eu/CITnet/jira/browse/MWP-152" TargetMode="External"/><Relationship Id="rId152" Type="http://schemas.openxmlformats.org/officeDocument/2006/relationships/hyperlink" Target="https://webgate.ec.europa.eu/CITnet/jira/browse/EUI-1153" TargetMode="External"/><Relationship Id="rId173" Type="http://schemas.openxmlformats.org/officeDocument/2006/relationships/hyperlink" Target="https://webgate.ec.europa.eu/CITnet/jira/browse/OPPOSTWARD-22" TargetMode="External"/><Relationship Id="rId194" Type="http://schemas.openxmlformats.org/officeDocument/2006/relationships/hyperlink" Target="https://webgate.ec.europa.eu/CITnet/jira/browse/EUI-1128" TargetMode="External"/><Relationship Id="rId208" Type="http://schemas.openxmlformats.org/officeDocument/2006/relationships/hyperlink" Target="https://webgate.ec.europa.eu/CITnet/jira/browse/OPCITNET-192" TargetMode="External"/><Relationship Id="rId229" Type="http://schemas.openxmlformats.org/officeDocument/2006/relationships/hyperlink" Target="https://webgate.ec.europa.eu/CITnet/jira/browse/EUI-1106" TargetMode="External"/><Relationship Id="rId380" Type="http://schemas.openxmlformats.org/officeDocument/2006/relationships/hyperlink" Target="https://webgate.ec.europa.eu/CITnet/jira/browse/EUI-356" TargetMode="External"/><Relationship Id="rId415" Type="http://schemas.openxmlformats.org/officeDocument/2006/relationships/hyperlink" Target="https://webgate.ec.europa.eu/CITnet/jira/browse/OPPREAWA-646" TargetMode="External"/><Relationship Id="rId436" Type="http://schemas.openxmlformats.org/officeDocument/2006/relationships/hyperlink" Target="https://webgate.ec.europa.eu/CITnet/jira/browse/OPPREAWA-87" TargetMode="External"/><Relationship Id="rId240" Type="http://schemas.openxmlformats.org/officeDocument/2006/relationships/hyperlink" Target="https://webgate.ec.europa.eu/CITnet/jira/browse/OPPREAWA-244" TargetMode="External"/><Relationship Id="rId261" Type="http://schemas.openxmlformats.org/officeDocument/2006/relationships/hyperlink" Target="https://webgate.ec.europa.eu/CITnet/jira/browse/OPSYSIOP-553" TargetMode="External"/><Relationship Id="rId14" Type="http://schemas.openxmlformats.org/officeDocument/2006/relationships/hyperlink" Target="https://webgate.ec.europa.eu/CITnet/jira/browse/MWP-438" TargetMode="External"/><Relationship Id="rId35" Type="http://schemas.openxmlformats.org/officeDocument/2006/relationships/hyperlink" Target="https://webgate.ec.europa.eu/CITnet/jira/browse/OPPREAWA-448" TargetMode="External"/><Relationship Id="rId56" Type="http://schemas.openxmlformats.org/officeDocument/2006/relationships/hyperlink" Target="https://webgate.ec.europa.eu/CITnet/jira/browse/OPPREAWA-403" TargetMode="External"/><Relationship Id="rId77" Type="http://schemas.openxmlformats.org/officeDocument/2006/relationships/hyperlink" Target="https://webgate.ec.europa.eu/CITnet/jira/browse/EUI-1184" TargetMode="External"/><Relationship Id="rId100" Type="http://schemas.openxmlformats.org/officeDocument/2006/relationships/hyperlink" Target="https://webgate.ec.europa.eu/CITnet/jira/browse/MWP-396" TargetMode="External"/><Relationship Id="rId282" Type="http://schemas.openxmlformats.org/officeDocument/2006/relationships/hyperlink" Target="https://webgate.ec.europa.eu/CITnet/jira/browse/EUI-381" TargetMode="External"/><Relationship Id="rId317" Type="http://schemas.openxmlformats.org/officeDocument/2006/relationships/hyperlink" Target="https://webgate.ec.europa.eu/CITnet/jira/browse/MWP-280" TargetMode="External"/><Relationship Id="rId338" Type="http://schemas.openxmlformats.org/officeDocument/2006/relationships/hyperlink" Target="https://webgate.ec.europa.eu/CITnet/jira/browse/OPPREAWA-519" TargetMode="External"/><Relationship Id="rId359" Type="http://schemas.openxmlformats.org/officeDocument/2006/relationships/hyperlink" Target="https://webgate.ec.europa.eu/CITnet/jira/browse/MWP-203" TargetMode="External"/><Relationship Id="rId8" Type="http://schemas.openxmlformats.org/officeDocument/2006/relationships/hyperlink" Target="https://webgate.ec.europa.eu/CITnet/jira/browse/MWP-449" TargetMode="External"/><Relationship Id="rId98" Type="http://schemas.openxmlformats.org/officeDocument/2006/relationships/hyperlink" Target="https://webgate.ec.europa.eu/CITnet/jira/browse/OPRESULT-605" TargetMode="External"/><Relationship Id="rId121" Type="http://schemas.openxmlformats.org/officeDocument/2006/relationships/hyperlink" Target="https://webgate.ec.europa.eu/CITnet/jira/browse/OPSYSIOP-710" TargetMode="External"/><Relationship Id="rId142" Type="http://schemas.openxmlformats.org/officeDocument/2006/relationships/hyperlink" Target="https://webgate.ec.europa.eu/CITnet/jira/browse/OPPOSTWARD-42" TargetMode="External"/><Relationship Id="rId163" Type="http://schemas.openxmlformats.org/officeDocument/2006/relationships/hyperlink" Target="https://webgate.ec.europa.eu/CITnet/jira/browse/EUI-1156" TargetMode="External"/><Relationship Id="rId184" Type="http://schemas.openxmlformats.org/officeDocument/2006/relationships/hyperlink" Target="https://webgate.ec.europa.eu/CITnet/jira/browse/EUI-1133" TargetMode="External"/><Relationship Id="rId219" Type="http://schemas.openxmlformats.org/officeDocument/2006/relationships/hyperlink" Target="https://webgate.ec.europa.eu/CITnet/jira/browse/OPPREAWA-658" TargetMode="External"/><Relationship Id="rId370" Type="http://schemas.openxmlformats.org/officeDocument/2006/relationships/hyperlink" Target="https://webgate.ec.europa.eu/CITnet/jira/browse/OPPREAWA-41" TargetMode="External"/><Relationship Id="rId391" Type="http://schemas.openxmlformats.org/officeDocument/2006/relationships/hyperlink" Target="https://webgate.ec.europa.eu/CITnet/jira/browse/EUI-368" TargetMode="External"/><Relationship Id="rId405" Type="http://schemas.openxmlformats.org/officeDocument/2006/relationships/hyperlink" Target="https://webgate.ec.europa.eu/CITnet/jira/browse/OPRESULT-344" TargetMode="External"/><Relationship Id="rId426" Type="http://schemas.openxmlformats.org/officeDocument/2006/relationships/hyperlink" Target="https://webgate.ec.europa.eu/CITnet/jira/browse/MWP-154" TargetMode="External"/><Relationship Id="rId447" Type="http://schemas.openxmlformats.org/officeDocument/2006/relationships/drawing" Target="../drawings/drawing5.xml"/><Relationship Id="rId230" Type="http://schemas.openxmlformats.org/officeDocument/2006/relationships/hyperlink" Target="https://webgate.ec.europa.eu/CITnet/jira/browse/EUI-1105" TargetMode="External"/><Relationship Id="rId251" Type="http://schemas.openxmlformats.org/officeDocument/2006/relationships/hyperlink" Target="https://webgate.ec.europa.eu/CITnet/jira/browse/OPPREAWA-229" TargetMode="External"/><Relationship Id="rId25" Type="http://schemas.openxmlformats.org/officeDocument/2006/relationships/hyperlink" Target="https://webgate.ec.europa.eu/CITnet/jira/browse/MWP-434" TargetMode="External"/><Relationship Id="rId46" Type="http://schemas.openxmlformats.org/officeDocument/2006/relationships/hyperlink" Target="https://webgate.ec.europa.eu/CITnet/jira/browse/OPPREAWA-515" TargetMode="External"/><Relationship Id="rId67" Type="http://schemas.openxmlformats.org/officeDocument/2006/relationships/hyperlink" Target="https://webgate.ec.europa.eu/CITnet/jira/browse/OPPREAWA-379" TargetMode="External"/><Relationship Id="rId272" Type="http://schemas.openxmlformats.org/officeDocument/2006/relationships/hyperlink" Target="https://webgate.ec.europa.eu/CITnet/jira/browse/EUI-392" TargetMode="External"/><Relationship Id="rId293" Type="http://schemas.openxmlformats.org/officeDocument/2006/relationships/hyperlink" Target="https://webgate.ec.europa.eu/CITnet/jira/browse/OPPREAWA-150" TargetMode="External"/><Relationship Id="rId307" Type="http://schemas.openxmlformats.org/officeDocument/2006/relationships/hyperlink" Target="https://webgate.ec.europa.eu/CITnet/jira/browse/OPSYSIOP-530" TargetMode="External"/><Relationship Id="rId328" Type="http://schemas.openxmlformats.org/officeDocument/2006/relationships/hyperlink" Target="https://webgate.ec.europa.eu/CITnet/jira/browse/OPSYSIOP-339" TargetMode="External"/><Relationship Id="rId349" Type="http://schemas.openxmlformats.org/officeDocument/2006/relationships/hyperlink" Target="https://webgate.ec.europa.eu/CITnet/jira/browse/EUI-185" TargetMode="External"/><Relationship Id="rId88" Type="http://schemas.openxmlformats.org/officeDocument/2006/relationships/hyperlink" Target="https://webgate.ec.europa.eu/CITnet/jira/browse/OPRESULT-620" TargetMode="External"/><Relationship Id="rId111" Type="http://schemas.openxmlformats.org/officeDocument/2006/relationships/hyperlink" Target="https://webgate.ec.europa.eu/CITnet/jira/browse/MWP-382" TargetMode="External"/><Relationship Id="rId132" Type="http://schemas.openxmlformats.org/officeDocument/2006/relationships/hyperlink" Target="https://webgate.ec.europa.eu/CITnet/jira/browse/OPPREAWA-319" TargetMode="External"/><Relationship Id="rId153" Type="http://schemas.openxmlformats.org/officeDocument/2006/relationships/hyperlink" Target="https://webgate.ec.europa.eu/CITnet/jira/browse/MWP-352" TargetMode="External"/><Relationship Id="rId174" Type="http://schemas.openxmlformats.org/officeDocument/2006/relationships/hyperlink" Target="https://webgate.ec.europa.eu/CITnet/jira/browse/OPPOSTWARD-21" TargetMode="External"/><Relationship Id="rId195" Type="http://schemas.openxmlformats.org/officeDocument/2006/relationships/hyperlink" Target="https://webgate.ec.europa.eu/CITnet/jira/browse/EUI-1127" TargetMode="External"/><Relationship Id="rId209" Type="http://schemas.openxmlformats.org/officeDocument/2006/relationships/hyperlink" Target="https://webgate.ec.europa.eu/CITnet/jira/browse/OPPREAWA-516" TargetMode="External"/><Relationship Id="rId360" Type="http://schemas.openxmlformats.org/officeDocument/2006/relationships/hyperlink" Target="https://webgate.ec.europa.eu/CITnet/jira/browse/MWP-202" TargetMode="External"/><Relationship Id="rId381" Type="http://schemas.openxmlformats.org/officeDocument/2006/relationships/hyperlink" Target="https://webgate.ec.europa.eu/CITnet/jira/browse/OPSYSIOP-33" TargetMode="External"/><Relationship Id="rId416" Type="http://schemas.openxmlformats.org/officeDocument/2006/relationships/hyperlink" Target="https://webgate.ec.europa.eu/CITnet/jira/browse/MWP-211" TargetMode="External"/><Relationship Id="rId220" Type="http://schemas.openxmlformats.org/officeDocument/2006/relationships/hyperlink" Target="https://webgate.ec.europa.eu/CITnet/jira/browse/EUI-1111" TargetMode="External"/><Relationship Id="rId241" Type="http://schemas.openxmlformats.org/officeDocument/2006/relationships/hyperlink" Target="https://webgate.ec.europa.eu/CITnet/jira/browse/EUI-1102" TargetMode="External"/><Relationship Id="rId437" Type="http://schemas.openxmlformats.org/officeDocument/2006/relationships/hyperlink" Target="https://webgate.ec.europa.eu/CITnet/jira/browse/OPPREAWA-40" TargetMode="External"/><Relationship Id="rId15" Type="http://schemas.openxmlformats.org/officeDocument/2006/relationships/hyperlink" Target="https://webgate.ec.europa.eu/CITnet/jira/browse/OPPREAWA-466" TargetMode="External"/><Relationship Id="rId36" Type="http://schemas.openxmlformats.org/officeDocument/2006/relationships/hyperlink" Target="https://webgate.ec.europa.eu/CITnet/jira/browse/OPPREAWA-447" TargetMode="External"/><Relationship Id="rId57" Type="http://schemas.openxmlformats.org/officeDocument/2006/relationships/hyperlink" Target="https://webgate.ec.europa.eu/CITnet/jira/browse/OPPREAWA-666" TargetMode="External"/><Relationship Id="rId262" Type="http://schemas.openxmlformats.org/officeDocument/2006/relationships/hyperlink" Target="https://webgate.ec.europa.eu/CITnet/jira/browse/EUI-379" TargetMode="External"/><Relationship Id="rId283" Type="http://schemas.openxmlformats.org/officeDocument/2006/relationships/hyperlink" Target="https://webgate.ec.europa.eu/CITnet/jira/browse/OPPREAWA-157" TargetMode="External"/><Relationship Id="rId318" Type="http://schemas.openxmlformats.org/officeDocument/2006/relationships/hyperlink" Target="https://webgate.ec.europa.eu/CITnet/jira/browse/MWP-278" TargetMode="External"/><Relationship Id="rId339" Type="http://schemas.openxmlformats.org/officeDocument/2006/relationships/hyperlink" Target="https://webgate.ec.europa.eu/CITnet/jira/browse/OPPREAWA-529" TargetMode="External"/><Relationship Id="rId78" Type="http://schemas.openxmlformats.org/officeDocument/2006/relationships/hyperlink" Target="https://webgate.ec.europa.eu/CITnet/jira/browse/EUI-1183" TargetMode="External"/><Relationship Id="rId99" Type="http://schemas.openxmlformats.org/officeDocument/2006/relationships/hyperlink" Target="https://webgate.ec.europa.eu/CITnet/jira/browse/MWP-397" TargetMode="External"/><Relationship Id="rId101" Type="http://schemas.openxmlformats.org/officeDocument/2006/relationships/hyperlink" Target="https://webgate.ec.europa.eu/CITnet/jira/browse/EUI-1177" TargetMode="External"/><Relationship Id="rId122" Type="http://schemas.openxmlformats.org/officeDocument/2006/relationships/hyperlink" Target="https://webgate.ec.europa.eu/CITnet/jira/browse/MWP-369" TargetMode="External"/><Relationship Id="rId143" Type="http://schemas.openxmlformats.org/officeDocument/2006/relationships/hyperlink" Target="https://webgate.ec.europa.eu/CITnet/jira/browse/OPPOSTWARD-41" TargetMode="External"/><Relationship Id="rId164" Type="http://schemas.openxmlformats.org/officeDocument/2006/relationships/hyperlink" Target="https://webgate.ec.europa.eu/CITnet/jira/browse/OPPOSTWARD-31" TargetMode="External"/><Relationship Id="rId185" Type="http://schemas.openxmlformats.org/officeDocument/2006/relationships/hyperlink" Target="https://webgate.ec.europa.eu/CITnet/jira/browse/EUI-1132" TargetMode="External"/><Relationship Id="rId350" Type="http://schemas.openxmlformats.org/officeDocument/2006/relationships/hyperlink" Target="https://webgate.ec.europa.eu/CITnet/jira/browse/OPPREAWA-649" TargetMode="External"/><Relationship Id="rId371" Type="http://schemas.openxmlformats.org/officeDocument/2006/relationships/hyperlink" Target="https://webgate.ec.europa.eu/CITnet/jira/browse/OPSYSIOP-34" TargetMode="External"/><Relationship Id="rId406" Type="http://schemas.openxmlformats.org/officeDocument/2006/relationships/hyperlink" Target="https://webgate.ec.europa.eu/CITnet/jira/browse/OPPREAWA-91" TargetMode="External"/><Relationship Id="rId9" Type="http://schemas.openxmlformats.org/officeDocument/2006/relationships/hyperlink" Target="https://webgate.ec.europa.eu/CITnet/jira/browse/MWP-448" TargetMode="External"/><Relationship Id="rId210" Type="http://schemas.openxmlformats.org/officeDocument/2006/relationships/hyperlink" Target="https://webgate.ec.europa.eu/CITnet/jira/browse/OPPREAWA-517" TargetMode="External"/><Relationship Id="rId392" Type="http://schemas.openxmlformats.org/officeDocument/2006/relationships/hyperlink" Target="https://webgate.ec.europa.eu/CITnet/jira/browse/EUI-359" TargetMode="External"/><Relationship Id="rId427" Type="http://schemas.openxmlformats.org/officeDocument/2006/relationships/hyperlink" Target="https://webgate.ec.europa.eu/CITnet/jira/browse/OPPREAWA-645" TargetMode="External"/><Relationship Id="rId26" Type="http://schemas.openxmlformats.org/officeDocument/2006/relationships/hyperlink" Target="https://webgate.ec.europa.eu/CITnet/jira/browse/OPPREAWA-457" TargetMode="External"/><Relationship Id="rId231" Type="http://schemas.openxmlformats.org/officeDocument/2006/relationships/hyperlink" Target="https://webgate.ec.europa.eu/CITnet/jira/browse/OPPREAWA-657" TargetMode="External"/><Relationship Id="rId252" Type="http://schemas.openxmlformats.org/officeDocument/2006/relationships/hyperlink" Target="https://webgate.ec.europa.eu/CITnet/jira/browse/OPPREAWA-228" TargetMode="External"/><Relationship Id="rId273" Type="http://schemas.openxmlformats.org/officeDocument/2006/relationships/hyperlink" Target="https://webgate.ec.europa.eu/CITnet/jira/browse/EUI-403" TargetMode="External"/><Relationship Id="rId294" Type="http://schemas.openxmlformats.org/officeDocument/2006/relationships/hyperlink" Target="https://webgate.ec.europa.eu/CITnet/jira/browse/OPPREAWA-148" TargetMode="External"/><Relationship Id="rId308" Type="http://schemas.openxmlformats.org/officeDocument/2006/relationships/hyperlink" Target="https://webgate.ec.europa.eu/CITnet/jira/browse/OPSYSIOP-529" TargetMode="External"/><Relationship Id="rId329" Type="http://schemas.openxmlformats.org/officeDocument/2006/relationships/hyperlink" Target="https://webgate.ec.europa.eu/CITnet/jira/browse/EUI-247" TargetMode="External"/><Relationship Id="rId47" Type="http://schemas.openxmlformats.org/officeDocument/2006/relationships/hyperlink" Target="https://webgate.ec.europa.eu/CITnet/jira/browse/OPPREAWA-513" TargetMode="External"/><Relationship Id="rId68" Type="http://schemas.openxmlformats.org/officeDocument/2006/relationships/hyperlink" Target="https://webgate.ec.europa.eu/CITnet/jira/browse/OPPREAWA-665" TargetMode="External"/><Relationship Id="rId89" Type="http://schemas.openxmlformats.org/officeDocument/2006/relationships/hyperlink" Target="https://webgate.ec.europa.eu/CITnet/jira/browse/OPRESULT-619" TargetMode="External"/><Relationship Id="rId112" Type="http://schemas.openxmlformats.org/officeDocument/2006/relationships/hyperlink" Target="https://webgate.ec.europa.eu/CITnet/jira/browse/OPPREAWA-512" TargetMode="External"/><Relationship Id="rId133" Type="http://schemas.openxmlformats.org/officeDocument/2006/relationships/hyperlink" Target="https://webgate.ec.europa.eu/CITnet/jira/browse/OPPREAWA-318" TargetMode="External"/><Relationship Id="rId154" Type="http://schemas.openxmlformats.org/officeDocument/2006/relationships/hyperlink" Target="https://webgate.ec.europa.eu/CITnet/jira/browse/EUI-1152" TargetMode="External"/><Relationship Id="rId175" Type="http://schemas.openxmlformats.org/officeDocument/2006/relationships/hyperlink" Target="https://webgate.ec.europa.eu/CITnet/jira/browse/OPPOSTWARD-20" TargetMode="External"/><Relationship Id="rId340" Type="http://schemas.openxmlformats.org/officeDocument/2006/relationships/hyperlink" Target="https://webgate.ec.europa.eu/CITnet/jira/browse/OPPREAWA-521" TargetMode="External"/><Relationship Id="rId361" Type="http://schemas.openxmlformats.org/officeDocument/2006/relationships/hyperlink" Target="https://webgate.ec.europa.eu/CITnet/jira/browse/MWP-201" TargetMode="External"/><Relationship Id="rId196" Type="http://schemas.openxmlformats.org/officeDocument/2006/relationships/hyperlink" Target="https://webgate.ec.europa.eu/CITnet/jira/browse/EUI-1126" TargetMode="External"/><Relationship Id="rId200" Type="http://schemas.openxmlformats.org/officeDocument/2006/relationships/hyperlink" Target="https://webgate.ec.europa.eu/CITnet/jira/browse/EUI-1122" TargetMode="External"/><Relationship Id="rId382" Type="http://schemas.openxmlformats.org/officeDocument/2006/relationships/hyperlink" Target="https://webgate.ec.europa.eu/CITnet/jira/browse/MWP-127" TargetMode="External"/><Relationship Id="rId417" Type="http://schemas.openxmlformats.org/officeDocument/2006/relationships/hyperlink" Target="https://webgate.ec.europa.eu/CITnet/jira/browse/OPSYSIOP-36" TargetMode="External"/><Relationship Id="rId438" Type="http://schemas.openxmlformats.org/officeDocument/2006/relationships/hyperlink" Target="https://webgate.ec.europa.eu/CITnet/jira/browse/EUI-390" TargetMode="External"/><Relationship Id="rId16" Type="http://schemas.openxmlformats.org/officeDocument/2006/relationships/hyperlink" Target="https://webgate.ec.europa.eu/CITnet/jira/browse/OPPREAWA-465" TargetMode="External"/><Relationship Id="rId221" Type="http://schemas.openxmlformats.org/officeDocument/2006/relationships/hyperlink" Target="https://webgate.ec.europa.eu/CITnet/jira/browse/OPRESULT-514" TargetMode="External"/><Relationship Id="rId242" Type="http://schemas.openxmlformats.org/officeDocument/2006/relationships/hyperlink" Target="https://webgate.ec.europa.eu/CITnet/jira/browse/OPCITNET-182" TargetMode="External"/><Relationship Id="rId263" Type="http://schemas.openxmlformats.org/officeDocument/2006/relationships/hyperlink" Target="https://webgate.ec.europa.eu/CITnet/jira/browse/OPSYSIOP-545" TargetMode="External"/><Relationship Id="rId284" Type="http://schemas.openxmlformats.org/officeDocument/2006/relationships/hyperlink" Target="https://webgate.ec.europa.eu/CITnet/jira/browse/OPPREAWA-155" TargetMode="External"/><Relationship Id="rId319" Type="http://schemas.openxmlformats.org/officeDocument/2006/relationships/hyperlink" Target="https://webgate.ec.europa.eu/CITnet/jira/browse/EUI-235" TargetMode="External"/><Relationship Id="rId37" Type="http://schemas.openxmlformats.org/officeDocument/2006/relationships/hyperlink" Target="https://webgate.ec.europa.eu/CITnet/jira/browse/OPPREAWA-446" TargetMode="External"/><Relationship Id="rId58" Type="http://schemas.openxmlformats.org/officeDocument/2006/relationships/hyperlink" Target="https://webgate.ec.europa.eu/CITnet/jira/browse/OPPREAWA-395" TargetMode="External"/><Relationship Id="rId79" Type="http://schemas.openxmlformats.org/officeDocument/2006/relationships/hyperlink" Target="https://webgate.ec.europa.eu/CITnet/jira/browse/MWP-406" TargetMode="External"/><Relationship Id="rId102" Type="http://schemas.openxmlformats.org/officeDocument/2006/relationships/hyperlink" Target="https://webgate.ec.europa.eu/CITnet/jira/browse/EUI-1175" TargetMode="External"/><Relationship Id="rId123" Type="http://schemas.openxmlformats.org/officeDocument/2006/relationships/hyperlink" Target="https://webgate.ec.europa.eu/CITnet/jira/browse/MWP-368" TargetMode="External"/><Relationship Id="rId144" Type="http://schemas.openxmlformats.org/officeDocument/2006/relationships/hyperlink" Target="https://webgate.ec.europa.eu/CITnet/jira/browse/OPPOSTWARD-40" TargetMode="External"/><Relationship Id="rId330" Type="http://schemas.openxmlformats.org/officeDocument/2006/relationships/hyperlink" Target="https://webgate.ec.europa.eu/CITnet/jira/browse/OPPREAWA-38" TargetMode="External"/><Relationship Id="rId90" Type="http://schemas.openxmlformats.org/officeDocument/2006/relationships/hyperlink" Target="https://webgate.ec.europa.eu/CITnet/jira/browse/OPRESULT-618" TargetMode="External"/><Relationship Id="rId165" Type="http://schemas.openxmlformats.org/officeDocument/2006/relationships/hyperlink" Target="https://webgate.ec.europa.eu/CITnet/jira/browse/OPPOSTWARD-30" TargetMode="External"/><Relationship Id="rId186" Type="http://schemas.openxmlformats.org/officeDocument/2006/relationships/hyperlink" Target="https://webgate.ec.europa.eu/CITnet/jira/browse/OPPREAWA-295" TargetMode="External"/><Relationship Id="rId351" Type="http://schemas.openxmlformats.org/officeDocument/2006/relationships/hyperlink" Target="https://webgate.ec.europa.eu/CITnet/jira/browse/OPPREAWA-648" TargetMode="External"/><Relationship Id="rId372" Type="http://schemas.openxmlformats.org/officeDocument/2006/relationships/hyperlink" Target="https://webgate.ec.europa.eu/CITnet/jira/browse/OPPREAWA-98" TargetMode="External"/><Relationship Id="rId393" Type="http://schemas.openxmlformats.org/officeDocument/2006/relationships/hyperlink" Target="https://webgate.ec.europa.eu/CITnet/jira/browse/EUI-231" TargetMode="External"/><Relationship Id="rId407" Type="http://schemas.openxmlformats.org/officeDocument/2006/relationships/hyperlink" Target="https://webgate.ec.europa.eu/CITnet/jira/browse/OPPREAWA-100" TargetMode="External"/><Relationship Id="rId428" Type="http://schemas.openxmlformats.org/officeDocument/2006/relationships/hyperlink" Target="https://webgate.ec.europa.eu/CITnet/jira/browse/MWP-163" TargetMode="External"/><Relationship Id="rId211" Type="http://schemas.openxmlformats.org/officeDocument/2006/relationships/hyperlink" Target="https://webgate.ec.europa.eu/CITnet/jira/browse/MWP-332" TargetMode="External"/><Relationship Id="rId232" Type="http://schemas.openxmlformats.org/officeDocument/2006/relationships/hyperlink" Target="https://webgate.ec.europa.eu/CITnet/jira/browse/OPPREAWA-252" TargetMode="External"/><Relationship Id="rId253" Type="http://schemas.openxmlformats.org/officeDocument/2006/relationships/hyperlink" Target="https://webgate.ec.europa.eu/CITnet/jira/browse/OPPREAWA-225" TargetMode="External"/><Relationship Id="rId274" Type="http://schemas.openxmlformats.org/officeDocument/2006/relationships/hyperlink" Target="https://webgate.ec.europa.eu/CITnet/jira/browse/OPPREAWA-200" TargetMode="External"/><Relationship Id="rId295" Type="http://schemas.openxmlformats.org/officeDocument/2006/relationships/hyperlink" Target="https://webgate.ec.europa.eu/CITnet/jira/browse/OPSYSIOP-512" TargetMode="External"/><Relationship Id="rId309" Type="http://schemas.openxmlformats.org/officeDocument/2006/relationships/hyperlink" Target="https://webgate.ec.europa.eu/CITnet/jira/browse/OPSYSIOP-433" TargetMode="External"/><Relationship Id="rId27" Type="http://schemas.openxmlformats.org/officeDocument/2006/relationships/hyperlink" Target="https://webgate.ec.europa.eu/CITnet/jira/browse/OPPREAWA-456" TargetMode="External"/><Relationship Id="rId48" Type="http://schemas.openxmlformats.org/officeDocument/2006/relationships/hyperlink" Target="https://webgate.ec.europa.eu/CITnet/jira/browse/EUI-1195" TargetMode="External"/><Relationship Id="rId69" Type="http://schemas.openxmlformats.org/officeDocument/2006/relationships/hyperlink" Target="https://webgate.ec.europa.eu/CITnet/jira/browse/OPPREAWA-664" TargetMode="External"/><Relationship Id="rId113" Type="http://schemas.openxmlformats.org/officeDocument/2006/relationships/hyperlink" Target="https://webgate.ec.europa.eu/CITnet/jira/browse/MWP-376" TargetMode="External"/><Relationship Id="rId134" Type="http://schemas.openxmlformats.org/officeDocument/2006/relationships/hyperlink" Target="https://webgate.ec.europa.eu/CITnet/jira/browse/OPPREAWA-663" TargetMode="External"/><Relationship Id="rId320" Type="http://schemas.openxmlformats.org/officeDocument/2006/relationships/hyperlink" Target="https://webgate.ec.europa.eu/CITnet/jira/browse/EUI-536" TargetMode="External"/><Relationship Id="rId80" Type="http://schemas.openxmlformats.org/officeDocument/2006/relationships/hyperlink" Target="https://webgate.ec.europa.eu/CITnet/jira/browse/EUI-1182" TargetMode="External"/><Relationship Id="rId155" Type="http://schemas.openxmlformats.org/officeDocument/2006/relationships/hyperlink" Target="https://webgate.ec.europa.eu/CITnet/jira/browse/MWP-350" TargetMode="External"/><Relationship Id="rId176" Type="http://schemas.openxmlformats.org/officeDocument/2006/relationships/hyperlink" Target="https://webgate.ec.europa.eu/CITnet/jira/browse/OPPOSTWARD-19" TargetMode="External"/><Relationship Id="rId197" Type="http://schemas.openxmlformats.org/officeDocument/2006/relationships/hyperlink" Target="https://webgate.ec.europa.eu/CITnet/jira/browse/EUI-1125" TargetMode="External"/><Relationship Id="rId341" Type="http://schemas.openxmlformats.org/officeDocument/2006/relationships/hyperlink" Target="https://webgate.ec.europa.eu/CITnet/jira/browse/OPPREAWA-698" TargetMode="External"/><Relationship Id="rId362" Type="http://schemas.openxmlformats.org/officeDocument/2006/relationships/hyperlink" Target="https://webgate.ec.europa.eu/CITnet/jira/browse/MWP-200" TargetMode="External"/><Relationship Id="rId383" Type="http://schemas.openxmlformats.org/officeDocument/2006/relationships/hyperlink" Target="https://webgate.ec.europa.eu/CITnet/jira/browse/MWP-102" TargetMode="External"/><Relationship Id="rId418" Type="http://schemas.openxmlformats.org/officeDocument/2006/relationships/hyperlink" Target="https://webgate.ec.europa.eu/CITnet/jira/browse/EUI-347" TargetMode="External"/><Relationship Id="rId439" Type="http://schemas.openxmlformats.org/officeDocument/2006/relationships/hyperlink" Target="https://webgate.ec.europa.eu/CITnet/jira/browse/MWP-141" TargetMode="External"/><Relationship Id="rId201" Type="http://schemas.openxmlformats.org/officeDocument/2006/relationships/hyperlink" Target="https://webgate.ec.europa.eu/CITnet/jira/browse/OPPREAWA-277" TargetMode="External"/><Relationship Id="rId222" Type="http://schemas.openxmlformats.org/officeDocument/2006/relationships/hyperlink" Target="https://webgate.ec.europa.eu/CITnet/jira/browse/OPPREAWA-656" TargetMode="External"/><Relationship Id="rId243" Type="http://schemas.openxmlformats.org/officeDocument/2006/relationships/hyperlink" Target="https://webgate.ec.europa.eu/CITnet/jira/browse/OPPREAWA-240" TargetMode="External"/><Relationship Id="rId264" Type="http://schemas.openxmlformats.org/officeDocument/2006/relationships/hyperlink" Target="https://webgate.ec.europa.eu/CITnet/jira/browse/MWP-305" TargetMode="External"/><Relationship Id="rId285" Type="http://schemas.openxmlformats.org/officeDocument/2006/relationships/hyperlink" Target="https://webgate.ec.europa.eu/CITnet/jira/browse/EUI-376" TargetMode="External"/><Relationship Id="rId17" Type="http://schemas.openxmlformats.org/officeDocument/2006/relationships/hyperlink" Target="https://webgate.ec.europa.eu/CITnet/jira/browse/OPPREAWA-677" TargetMode="External"/><Relationship Id="rId38" Type="http://schemas.openxmlformats.org/officeDocument/2006/relationships/hyperlink" Target="https://webgate.ec.europa.eu/CITnet/jira/browse/OPPREAWA-445" TargetMode="External"/><Relationship Id="rId59" Type="http://schemas.openxmlformats.org/officeDocument/2006/relationships/hyperlink" Target="https://webgate.ec.europa.eu/CITnet/jira/browse/OPPREAWA-393" TargetMode="External"/><Relationship Id="rId103" Type="http://schemas.openxmlformats.org/officeDocument/2006/relationships/hyperlink" Target="https://webgate.ec.europa.eu/CITnet/jira/browse/EUI-1173" TargetMode="External"/><Relationship Id="rId124" Type="http://schemas.openxmlformats.org/officeDocument/2006/relationships/hyperlink" Target="https://webgate.ec.europa.eu/CITnet/jira/browse/MWP-367" TargetMode="External"/><Relationship Id="rId310" Type="http://schemas.openxmlformats.org/officeDocument/2006/relationships/hyperlink" Target="https://webgate.ec.europa.eu/CITnet/jira/browse/OPSYSIOP-415" TargetMode="External"/><Relationship Id="rId70" Type="http://schemas.openxmlformats.org/officeDocument/2006/relationships/hyperlink" Target="https://webgate.ec.europa.eu/CITnet/jira/browse/OPPREAWA-524" TargetMode="External"/><Relationship Id="rId91" Type="http://schemas.openxmlformats.org/officeDocument/2006/relationships/hyperlink" Target="https://webgate.ec.europa.eu/CITnet/jira/browse/OPRESULT-614" TargetMode="External"/><Relationship Id="rId145" Type="http://schemas.openxmlformats.org/officeDocument/2006/relationships/hyperlink" Target="https://webgate.ec.europa.eu/CITnet/jira/browse/OPPOSTWARD-39" TargetMode="External"/><Relationship Id="rId166" Type="http://schemas.openxmlformats.org/officeDocument/2006/relationships/hyperlink" Target="https://webgate.ec.europa.eu/CITnet/jira/browse/OPPOSTWARD-29" TargetMode="External"/><Relationship Id="rId187" Type="http://schemas.openxmlformats.org/officeDocument/2006/relationships/hyperlink" Target="https://webgate.ec.europa.eu/CITnet/jira/browse/MWP-340" TargetMode="External"/><Relationship Id="rId331" Type="http://schemas.openxmlformats.org/officeDocument/2006/relationships/hyperlink" Target="https://webgate.ec.europa.eu/CITnet/jira/browse/OPPREAWA-39" TargetMode="External"/><Relationship Id="rId352" Type="http://schemas.openxmlformats.org/officeDocument/2006/relationships/hyperlink" Target="https://webgate.ec.europa.eu/CITnet/jira/browse/OPPREAWA-647" TargetMode="External"/><Relationship Id="rId373" Type="http://schemas.openxmlformats.org/officeDocument/2006/relationships/hyperlink" Target="https://webgate.ec.europa.eu/CITnet/jira/browse/EUI-374" TargetMode="External"/><Relationship Id="rId394" Type="http://schemas.openxmlformats.org/officeDocument/2006/relationships/hyperlink" Target="https://webgate.ec.europa.eu/CITnet/jira/browse/EUI-197" TargetMode="External"/><Relationship Id="rId408" Type="http://schemas.openxmlformats.org/officeDocument/2006/relationships/hyperlink" Target="https://webgate.ec.europa.eu/CITnet/jira/browse/OPPREAWA-90" TargetMode="External"/><Relationship Id="rId429" Type="http://schemas.openxmlformats.org/officeDocument/2006/relationships/hyperlink" Target="https://webgate.ec.europa.eu/CITnet/jira/browse/MWP-160" TargetMode="External"/><Relationship Id="rId1" Type="http://schemas.openxmlformats.org/officeDocument/2006/relationships/hyperlink" Target="https://webgate.ec.europa.eu/CITnet/jira/issues/?jql=project+in+%2890300%2C+89200%2C+MWP%2C+88600%2C+85400%2C+86500%2C+89700%2C+89800%2C+90000%2C+EUI%29+AND+issuetype+in+%28Story%29+AND+created+%3E%3D+%222018%2F05%2F28%22+AND+created+%3C+%222018%2F08%2F06%22+ORDER+BY+created+" TargetMode="External"/><Relationship Id="rId212" Type="http://schemas.openxmlformats.org/officeDocument/2006/relationships/hyperlink" Target="https://webgate.ec.europa.eu/CITnet/jira/browse/OPPREAWA-265" TargetMode="External"/><Relationship Id="rId233" Type="http://schemas.openxmlformats.org/officeDocument/2006/relationships/hyperlink" Target="https://webgate.ec.europa.eu/CITnet/jira/browse/OPPREAWA-251" TargetMode="External"/><Relationship Id="rId254" Type="http://schemas.openxmlformats.org/officeDocument/2006/relationships/hyperlink" Target="https://webgate.ec.europa.eu/CITnet/jira/browse/OPPREAWA-224" TargetMode="External"/><Relationship Id="rId440" Type="http://schemas.openxmlformats.org/officeDocument/2006/relationships/hyperlink" Target="https://webgate.ec.europa.eu/CITnet/jira/browse/OPRESULT-97" TargetMode="External"/><Relationship Id="rId28" Type="http://schemas.openxmlformats.org/officeDocument/2006/relationships/hyperlink" Target="https://webgate.ec.europa.eu/CITnet/jira/browse/OPPREAWA-455" TargetMode="External"/><Relationship Id="rId49" Type="http://schemas.openxmlformats.org/officeDocument/2006/relationships/hyperlink" Target="https://webgate.ec.europa.eu/CITnet/jira/browse/OPRESULT-635" TargetMode="External"/><Relationship Id="rId114" Type="http://schemas.openxmlformats.org/officeDocument/2006/relationships/hyperlink" Target="https://webgate.ec.europa.eu/CITnet/jira/browse/EUI-1166" TargetMode="External"/><Relationship Id="rId275" Type="http://schemas.openxmlformats.org/officeDocument/2006/relationships/hyperlink" Target="https://webgate.ec.europa.eu/CITnet/jira/browse/OPPREAWA-198" TargetMode="External"/><Relationship Id="rId296" Type="http://schemas.openxmlformats.org/officeDocument/2006/relationships/hyperlink" Target="https://webgate.ec.europa.eu/CITnet/jira/browse/OPSYSIOP-511" TargetMode="External"/><Relationship Id="rId300" Type="http://schemas.openxmlformats.org/officeDocument/2006/relationships/hyperlink" Target="https://webgate.ec.europa.eu/CITnet/jira/browse/MWP-281" TargetMode="External"/><Relationship Id="rId60" Type="http://schemas.openxmlformats.org/officeDocument/2006/relationships/hyperlink" Target="https://webgate.ec.europa.eu/CITnet/jira/browse/EUI-1188" TargetMode="External"/><Relationship Id="rId81" Type="http://schemas.openxmlformats.org/officeDocument/2006/relationships/hyperlink" Target="https://webgate.ec.europa.eu/CITnet/jira/browse/EUI-1181" TargetMode="External"/><Relationship Id="rId135" Type="http://schemas.openxmlformats.org/officeDocument/2006/relationships/hyperlink" Target="https://webgate.ec.europa.eu/CITnet/jira/browse/MWP-359" TargetMode="External"/><Relationship Id="rId156" Type="http://schemas.openxmlformats.org/officeDocument/2006/relationships/hyperlink" Target="https://webgate.ec.europa.eu/CITnet/jira/browse/OPPOSTWARD-33" TargetMode="External"/><Relationship Id="rId177" Type="http://schemas.openxmlformats.org/officeDocument/2006/relationships/hyperlink" Target="https://webgate.ec.europa.eu/CITnet/jira/browse/OPPOSTWARD-18" TargetMode="External"/><Relationship Id="rId198" Type="http://schemas.openxmlformats.org/officeDocument/2006/relationships/hyperlink" Target="https://webgate.ec.europa.eu/CITnet/jira/browse/EUI-1124" TargetMode="External"/><Relationship Id="rId321" Type="http://schemas.openxmlformats.org/officeDocument/2006/relationships/hyperlink" Target="https://webgate.ec.europa.eu/CITnet/jira/browse/OPSYSIOP-385" TargetMode="External"/><Relationship Id="rId342" Type="http://schemas.openxmlformats.org/officeDocument/2006/relationships/hyperlink" Target="https://webgate.ec.europa.eu/CITnet/jira/browse/OPPREAWA-532" TargetMode="External"/><Relationship Id="rId363" Type="http://schemas.openxmlformats.org/officeDocument/2006/relationships/hyperlink" Target="https://webgate.ec.europa.eu/CITnet/jira/browse/OPRESULT-366" TargetMode="External"/><Relationship Id="rId384" Type="http://schemas.openxmlformats.org/officeDocument/2006/relationships/hyperlink" Target="https://webgate.ec.europa.eu/CITnet/jira/browse/EUI-399" TargetMode="External"/><Relationship Id="rId419" Type="http://schemas.openxmlformats.org/officeDocument/2006/relationships/hyperlink" Target="https://webgate.ec.europa.eu/CITnet/jira/browse/OPSYSIOP-42" TargetMode="External"/><Relationship Id="rId202" Type="http://schemas.openxmlformats.org/officeDocument/2006/relationships/hyperlink" Target="https://webgate.ec.europa.eu/CITnet/jira/browse/OPPREAWA-274" TargetMode="External"/><Relationship Id="rId223" Type="http://schemas.openxmlformats.org/officeDocument/2006/relationships/hyperlink" Target="https://webgate.ec.europa.eu/CITnet/jira/browse/OPSYSIOP-614" TargetMode="External"/><Relationship Id="rId244" Type="http://schemas.openxmlformats.org/officeDocument/2006/relationships/hyperlink" Target="https://webgate.ec.europa.eu/CITnet/jira/browse/OPPREAWA-239" TargetMode="External"/><Relationship Id="rId430" Type="http://schemas.openxmlformats.org/officeDocument/2006/relationships/hyperlink" Target="https://webgate.ec.europa.eu/CITnet/jira/browse/OPPREAWA-177" TargetMode="External"/><Relationship Id="rId18" Type="http://schemas.openxmlformats.org/officeDocument/2006/relationships/hyperlink" Target="https://webgate.ec.europa.eu/CITnet/jira/browse/OPPREAWA-525" TargetMode="External"/><Relationship Id="rId39" Type="http://schemas.openxmlformats.org/officeDocument/2006/relationships/hyperlink" Target="https://webgate.ec.europa.eu/CITnet/jira/browse/OPPREAWA-444" TargetMode="External"/><Relationship Id="rId265" Type="http://schemas.openxmlformats.org/officeDocument/2006/relationships/hyperlink" Target="https://webgate.ec.europa.eu/CITnet/jira/browse/OPSYSIOP-579" TargetMode="External"/><Relationship Id="rId286" Type="http://schemas.openxmlformats.org/officeDocument/2006/relationships/hyperlink" Target="https://webgate.ec.europa.eu/CITnet/jira/browse/EUI-362" TargetMode="External"/><Relationship Id="rId50" Type="http://schemas.openxmlformats.org/officeDocument/2006/relationships/hyperlink" Target="https://webgate.ec.europa.eu/CITnet/jira/browse/OPPREAWA-504" TargetMode="External"/><Relationship Id="rId104" Type="http://schemas.openxmlformats.org/officeDocument/2006/relationships/hyperlink" Target="https://webgate.ec.europa.eu/CITnet/jira/browse/EUI-1172" TargetMode="External"/><Relationship Id="rId125" Type="http://schemas.openxmlformats.org/officeDocument/2006/relationships/hyperlink" Target="https://webgate.ec.europa.eu/CITnet/jira/browse/OPSYSIOP-676" TargetMode="External"/><Relationship Id="rId146" Type="http://schemas.openxmlformats.org/officeDocument/2006/relationships/hyperlink" Target="https://webgate.ec.europa.eu/CITnet/jira/browse/OPPOSTWARD-38" TargetMode="External"/><Relationship Id="rId167" Type="http://schemas.openxmlformats.org/officeDocument/2006/relationships/hyperlink" Target="https://webgate.ec.europa.eu/CITnet/jira/browse/OPPOSTWARD-28" TargetMode="External"/><Relationship Id="rId188" Type="http://schemas.openxmlformats.org/officeDocument/2006/relationships/hyperlink" Target="https://webgate.ec.europa.eu/CITnet/jira/browse/OPPREAWA-289" TargetMode="External"/><Relationship Id="rId311" Type="http://schemas.openxmlformats.org/officeDocument/2006/relationships/hyperlink" Target="https://webgate.ec.europa.eu/CITnet/jira/browse/OPSYSIOP-414" TargetMode="External"/><Relationship Id="rId332" Type="http://schemas.openxmlformats.org/officeDocument/2006/relationships/hyperlink" Target="https://webgate.ec.europa.eu/CITnet/jira/browse/OPPREAWA-699" TargetMode="External"/><Relationship Id="rId353" Type="http://schemas.openxmlformats.org/officeDocument/2006/relationships/hyperlink" Target="https://webgate.ec.europa.eu/CITnet/jira/browse/OPCITNET-172" TargetMode="External"/><Relationship Id="rId374" Type="http://schemas.openxmlformats.org/officeDocument/2006/relationships/hyperlink" Target="https://webgate.ec.europa.eu/CITnet/jira/browse/OPSYSIOP-46" TargetMode="External"/><Relationship Id="rId395" Type="http://schemas.openxmlformats.org/officeDocument/2006/relationships/hyperlink" Target="https://webgate.ec.europa.eu/CITnet/jira/browse/EUI-355" TargetMode="External"/><Relationship Id="rId409" Type="http://schemas.openxmlformats.org/officeDocument/2006/relationships/hyperlink" Target="https://webgate.ec.europa.eu/CITnet/jira/browse/EUI-254" TargetMode="External"/><Relationship Id="rId71" Type="http://schemas.openxmlformats.org/officeDocument/2006/relationships/hyperlink" Target="https://webgate.ec.europa.eu/CITnet/jira/browse/OPSYSIOP-761" TargetMode="External"/><Relationship Id="rId92" Type="http://schemas.openxmlformats.org/officeDocument/2006/relationships/hyperlink" Target="https://webgate.ec.europa.eu/CITnet/jira/browse/OPRESULT-613" TargetMode="External"/><Relationship Id="rId213" Type="http://schemas.openxmlformats.org/officeDocument/2006/relationships/hyperlink" Target="https://webgate.ec.europa.eu/CITnet/jira/browse/OPPREAWA-511" TargetMode="External"/><Relationship Id="rId234" Type="http://schemas.openxmlformats.org/officeDocument/2006/relationships/hyperlink" Target="https://webgate.ec.europa.eu/CITnet/jira/browse/OPSYSIOP-580" TargetMode="External"/><Relationship Id="rId420" Type="http://schemas.openxmlformats.org/officeDocument/2006/relationships/hyperlink" Target="https://webgate.ec.europa.eu/CITnet/jira/browse/EUI-258" TargetMode="External"/><Relationship Id="rId2" Type="http://schemas.openxmlformats.org/officeDocument/2006/relationships/hyperlink" Target="https://webgate.ec.europa.eu/CITnet/jira/browse/MWP-458" TargetMode="External"/><Relationship Id="rId29" Type="http://schemas.openxmlformats.org/officeDocument/2006/relationships/hyperlink" Target="https://webgate.ec.europa.eu/CITnet/jira/browse/OPSYSIOP-866" TargetMode="External"/><Relationship Id="rId255" Type="http://schemas.openxmlformats.org/officeDocument/2006/relationships/hyperlink" Target="https://webgate.ec.europa.eu/CITnet/jira/browse/OPSYSIOP-564" TargetMode="External"/><Relationship Id="rId276" Type="http://schemas.openxmlformats.org/officeDocument/2006/relationships/hyperlink" Target="https://webgate.ec.europa.eu/CITnet/jira/browse/OPPREAWA-191" TargetMode="External"/><Relationship Id="rId297" Type="http://schemas.openxmlformats.org/officeDocument/2006/relationships/hyperlink" Target="https://webgate.ec.europa.eu/CITnet/jira/browse/OPSYSIOP-506" TargetMode="External"/><Relationship Id="rId441" Type="http://schemas.openxmlformats.org/officeDocument/2006/relationships/hyperlink" Target="https://webgate.ec.europa.eu/CITnet/jira/browse/EUI-215" TargetMode="External"/><Relationship Id="rId40" Type="http://schemas.openxmlformats.org/officeDocument/2006/relationships/hyperlink" Target="https://webgate.ec.europa.eu/CITnet/jira/browse/EUI-1199" TargetMode="External"/><Relationship Id="rId115" Type="http://schemas.openxmlformats.org/officeDocument/2006/relationships/hyperlink" Target="https://webgate.ec.europa.eu/CITnet/jira/browse/OPPREAWA-349" TargetMode="External"/><Relationship Id="rId136" Type="http://schemas.openxmlformats.org/officeDocument/2006/relationships/hyperlink" Target="https://webgate.ec.europa.eu/CITnet/jira/browse/MWP-357" TargetMode="External"/><Relationship Id="rId157" Type="http://schemas.openxmlformats.org/officeDocument/2006/relationships/hyperlink" Target="https://webgate.ec.europa.eu/CITnet/jira/browse/MWP-348" TargetMode="External"/><Relationship Id="rId178" Type="http://schemas.openxmlformats.org/officeDocument/2006/relationships/hyperlink" Target="https://webgate.ec.europa.eu/CITnet/jira/browse/OPPOSTWARD-17" TargetMode="External"/><Relationship Id="rId301" Type="http://schemas.openxmlformats.org/officeDocument/2006/relationships/hyperlink" Target="https://webgate.ec.europa.eu/CITnet/jira/browse/OPSYSIOP-461" TargetMode="External"/><Relationship Id="rId322" Type="http://schemas.openxmlformats.org/officeDocument/2006/relationships/hyperlink" Target="https://webgate.ec.europa.eu/CITnet/jira/browse/OPPREAWA-650" TargetMode="External"/><Relationship Id="rId343" Type="http://schemas.openxmlformats.org/officeDocument/2006/relationships/hyperlink" Target="https://webgate.ec.europa.eu/CITnet/jira/browse/OPPREAWA-523" TargetMode="External"/><Relationship Id="rId364" Type="http://schemas.openxmlformats.org/officeDocument/2006/relationships/hyperlink" Target="https://webgate.ec.europa.eu/CITnet/jira/browse/OPRESULT-365" TargetMode="External"/><Relationship Id="rId61" Type="http://schemas.openxmlformats.org/officeDocument/2006/relationships/hyperlink" Target="https://webgate.ec.europa.eu/CITnet/jira/browse/OPPREAWA-386" TargetMode="External"/><Relationship Id="rId82" Type="http://schemas.openxmlformats.org/officeDocument/2006/relationships/hyperlink" Target="https://webgate.ec.europa.eu/CITnet/jira/browse/OPPREAWA-360" TargetMode="External"/><Relationship Id="rId199" Type="http://schemas.openxmlformats.org/officeDocument/2006/relationships/hyperlink" Target="https://webgate.ec.europa.eu/CITnet/jira/browse/EUI-1123" TargetMode="External"/><Relationship Id="rId203" Type="http://schemas.openxmlformats.org/officeDocument/2006/relationships/hyperlink" Target="https://webgate.ec.europa.eu/CITnet/jira/browse/OPPREAWA-272" TargetMode="External"/><Relationship Id="rId385" Type="http://schemas.openxmlformats.org/officeDocument/2006/relationships/hyperlink" Target="https://webgate.ec.europa.eu/CITnet/jira/browse/EUI-584" TargetMode="External"/><Relationship Id="rId19" Type="http://schemas.openxmlformats.org/officeDocument/2006/relationships/hyperlink" Target="https://webgate.ec.europa.eu/CITnet/jira/browse/EUI-1210" TargetMode="External"/><Relationship Id="rId224" Type="http://schemas.openxmlformats.org/officeDocument/2006/relationships/hyperlink" Target="https://webgate.ec.europa.eu/CITnet/jira/browse/OPSYSIOP-597" TargetMode="External"/><Relationship Id="rId245" Type="http://schemas.openxmlformats.org/officeDocument/2006/relationships/hyperlink" Target="https://webgate.ec.europa.eu/CITnet/jira/browse/OPPREAWA-238" TargetMode="External"/><Relationship Id="rId266" Type="http://schemas.openxmlformats.org/officeDocument/2006/relationships/hyperlink" Target="https://webgate.ec.europa.eu/CITnet/jira/browse/MWP-302" TargetMode="External"/><Relationship Id="rId287" Type="http://schemas.openxmlformats.org/officeDocument/2006/relationships/hyperlink" Target="https://webgate.ec.europa.eu/CITnet/jira/browse/MWP-292" TargetMode="External"/><Relationship Id="rId410" Type="http://schemas.openxmlformats.org/officeDocument/2006/relationships/hyperlink" Target="https://webgate.ec.europa.eu/CITnet/jira/browse/OPPREAWA-45" TargetMode="External"/><Relationship Id="rId431" Type="http://schemas.openxmlformats.org/officeDocument/2006/relationships/hyperlink" Target="https://webgate.ec.europa.eu/CITnet/jira/browse/OPPREAWA-179" TargetMode="External"/><Relationship Id="rId30" Type="http://schemas.openxmlformats.org/officeDocument/2006/relationships/hyperlink" Target="https://webgate.ec.europa.eu/CITnet/jira/browse/OPSYSIOP-863" TargetMode="External"/><Relationship Id="rId105" Type="http://schemas.openxmlformats.org/officeDocument/2006/relationships/hyperlink" Target="https://webgate.ec.europa.eu/CITnet/jira/browse/EUI-1171" TargetMode="External"/><Relationship Id="rId126" Type="http://schemas.openxmlformats.org/officeDocument/2006/relationships/hyperlink" Target="https://webgate.ec.europa.eu/CITnet/jira/browse/OPSYSIOP-674" TargetMode="External"/><Relationship Id="rId147" Type="http://schemas.openxmlformats.org/officeDocument/2006/relationships/hyperlink" Target="https://webgate.ec.europa.eu/CITnet/jira/browse/OPPOSTWARD-37" TargetMode="External"/><Relationship Id="rId168" Type="http://schemas.openxmlformats.org/officeDocument/2006/relationships/hyperlink" Target="https://webgate.ec.europa.eu/CITnet/jira/browse/OPPOSTWARD-27" TargetMode="External"/><Relationship Id="rId312" Type="http://schemas.openxmlformats.org/officeDocument/2006/relationships/hyperlink" Target="https://webgate.ec.europa.eu/CITnet/jira/browse/OPSYSIOP-413" TargetMode="External"/><Relationship Id="rId333" Type="http://schemas.openxmlformats.org/officeDocument/2006/relationships/hyperlink" Target="https://webgate.ec.europa.eu/CITnet/jira/browse/OPPREAWA-526" TargetMode="External"/><Relationship Id="rId354" Type="http://schemas.openxmlformats.org/officeDocument/2006/relationships/hyperlink" Target="https://webgate.ec.europa.eu/CITnet/jira/browse/OPPREAWA-694" TargetMode="External"/><Relationship Id="rId51" Type="http://schemas.openxmlformats.org/officeDocument/2006/relationships/hyperlink" Target="https://webgate.ec.europa.eu/CITnet/jira/browse/EUI-1193" TargetMode="External"/><Relationship Id="rId72" Type="http://schemas.openxmlformats.org/officeDocument/2006/relationships/hyperlink" Target="https://webgate.ec.europa.eu/CITnet/jira/browse/OPSYSIOP-759" TargetMode="External"/><Relationship Id="rId93" Type="http://schemas.openxmlformats.org/officeDocument/2006/relationships/hyperlink" Target="https://webgate.ec.europa.eu/CITnet/jira/browse/OPRESULT-610" TargetMode="External"/><Relationship Id="rId189" Type="http://schemas.openxmlformats.org/officeDocument/2006/relationships/hyperlink" Target="https://webgate.ec.europa.eu/CITnet/jira/browse/OPPREAWA-286" TargetMode="External"/><Relationship Id="rId375" Type="http://schemas.openxmlformats.org/officeDocument/2006/relationships/hyperlink" Target="https://webgate.ec.europa.eu/CITnet/jira/browse/EUI-783" TargetMode="External"/><Relationship Id="rId396" Type="http://schemas.openxmlformats.org/officeDocument/2006/relationships/hyperlink" Target="https://webgate.ec.europa.eu/CITnet/jira/browse/EUI-365" TargetMode="External"/><Relationship Id="rId3" Type="http://schemas.openxmlformats.org/officeDocument/2006/relationships/hyperlink" Target="https://webgate.ec.europa.eu/CITnet/jira/browse/MWP-456" TargetMode="External"/><Relationship Id="rId214" Type="http://schemas.openxmlformats.org/officeDocument/2006/relationships/hyperlink" Target="https://webgate.ec.europa.eu/CITnet/jira/browse/OPPREAWA-264" TargetMode="External"/><Relationship Id="rId235" Type="http://schemas.openxmlformats.org/officeDocument/2006/relationships/hyperlink" Target="https://webgate.ec.europa.eu/CITnet/jira/browse/OPPREAWA-249" TargetMode="External"/><Relationship Id="rId256" Type="http://schemas.openxmlformats.org/officeDocument/2006/relationships/hyperlink" Target="https://webgate.ec.europa.eu/CITnet/jira/browse/OPSYSIOP-563" TargetMode="External"/><Relationship Id="rId277" Type="http://schemas.openxmlformats.org/officeDocument/2006/relationships/hyperlink" Target="https://webgate.ec.europa.eu/CITnet/jira/browse/OPPREAWA-184" TargetMode="External"/><Relationship Id="rId298" Type="http://schemas.openxmlformats.org/officeDocument/2006/relationships/hyperlink" Target="https://webgate.ec.europa.eu/CITnet/jira/browse/OPSYSIOP-502" TargetMode="External"/><Relationship Id="rId400" Type="http://schemas.openxmlformats.org/officeDocument/2006/relationships/hyperlink" Target="https://webgate.ec.europa.eu/CITnet/jira/browse/OPPREAWA-175" TargetMode="External"/><Relationship Id="rId421" Type="http://schemas.openxmlformats.org/officeDocument/2006/relationships/hyperlink" Target="https://webgate.ec.europa.eu/CITnet/jira/browse/OPSYSIOP-38" TargetMode="External"/><Relationship Id="rId442" Type="http://schemas.openxmlformats.org/officeDocument/2006/relationships/hyperlink" Target="https://webgate.ec.europa.eu/CITnet/jira/browse/OPCITNET-158" TargetMode="External"/><Relationship Id="rId116" Type="http://schemas.openxmlformats.org/officeDocument/2006/relationships/hyperlink" Target="https://webgate.ec.europa.eu/CITnet/jira/browse/OPPREAWA-348" TargetMode="External"/><Relationship Id="rId137" Type="http://schemas.openxmlformats.org/officeDocument/2006/relationships/hyperlink" Target="https://webgate.ec.europa.eu/CITnet/jira/browse/MWP-356" TargetMode="External"/><Relationship Id="rId158" Type="http://schemas.openxmlformats.org/officeDocument/2006/relationships/hyperlink" Target="https://webgate.ec.europa.eu/CITnet/jira/browse/OPPREAWA-662" TargetMode="External"/><Relationship Id="rId302" Type="http://schemas.openxmlformats.org/officeDocument/2006/relationships/hyperlink" Target="https://webgate.ec.europa.eu/CITnet/jira/browse/OPCITNET-173" TargetMode="External"/><Relationship Id="rId323" Type="http://schemas.openxmlformats.org/officeDocument/2006/relationships/hyperlink" Target="https://webgate.ec.europa.eu/CITnet/jira/browse/OPSYSIOP-355" TargetMode="External"/><Relationship Id="rId344" Type="http://schemas.openxmlformats.org/officeDocument/2006/relationships/hyperlink" Target="https://webgate.ec.europa.eu/CITnet/jira/browse/OPPREAWA-697" TargetMode="External"/><Relationship Id="rId20" Type="http://schemas.openxmlformats.org/officeDocument/2006/relationships/hyperlink" Target="https://webgate.ec.europa.eu/CITnet/jira/browse/EUI-1209" TargetMode="External"/><Relationship Id="rId41" Type="http://schemas.openxmlformats.org/officeDocument/2006/relationships/hyperlink" Target="https://webgate.ec.europa.eu/CITnet/jira/browse/EUI-1197" TargetMode="External"/><Relationship Id="rId62" Type="http://schemas.openxmlformats.org/officeDocument/2006/relationships/hyperlink" Target="https://webgate.ec.europa.eu/CITnet/jira/browse/OPPREAWA-385" TargetMode="External"/><Relationship Id="rId83" Type="http://schemas.openxmlformats.org/officeDocument/2006/relationships/hyperlink" Target="https://webgate.ec.europa.eu/CITnet/jira/browse/OPPREAWA-359" TargetMode="External"/><Relationship Id="rId179" Type="http://schemas.openxmlformats.org/officeDocument/2006/relationships/hyperlink" Target="https://webgate.ec.europa.eu/CITnet/jira/browse/EUI-1144" TargetMode="External"/><Relationship Id="rId365" Type="http://schemas.openxmlformats.org/officeDocument/2006/relationships/hyperlink" Target="https://webgate.ec.europa.eu/CITnet/jira/browse/OPRESULT-362" TargetMode="External"/><Relationship Id="rId386" Type="http://schemas.openxmlformats.org/officeDocument/2006/relationships/hyperlink" Target="https://webgate.ec.europa.eu/CITnet/jira/browse/OPSYSIOP-48" TargetMode="External"/><Relationship Id="rId190" Type="http://schemas.openxmlformats.org/officeDocument/2006/relationships/hyperlink" Target="https://webgate.ec.europa.eu/CITnet/jira/browse/OPPREAWA-283" TargetMode="External"/><Relationship Id="rId204" Type="http://schemas.openxmlformats.org/officeDocument/2006/relationships/hyperlink" Target="https://webgate.ec.europa.eu/CITnet/jira/browse/EUI-1120" TargetMode="External"/><Relationship Id="rId225" Type="http://schemas.openxmlformats.org/officeDocument/2006/relationships/hyperlink" Target="https://webgate.ec.europa.eu/CITnet/jira/browse/MWP-328" TargetMode="External"/><Relationship Id="rId246" Type="http://schemas.openxmlformats.org/officeDocument/2006/relationships/hyperlink" Target="https://webgate.ec.europa.eu/CITnet/jira/browse/OPPREAWA-237" TargetMode="External"/><Relationship Id="rId267" Type="http://schemas.openxmlformats.org/officeDocument/2006/relationships/hyperlink" Target="https://webgate.ec.europa.eu/CITnet/jira/browse/OPSYSIOP-544" TargetMode="External"/><Relationship Id="rId288" Type="http://schemas.openxmlformats.org/officeDocument/2006/relationships/hyperlink" Target="https://webgate.ec.europa.eu/CITnet/jira/browse/OPSYSIOP-521" TargetMode="External"/><Relationship Id="rId411" Type="http://schemas.openxmlformats.org/officeDocument/2006/relationships/hyperlink" Target="https://webgate.ec.europa.eu/CITnet/jira/browse/OPPREAWA-50" TargetMode="External"/><Relationship Id="rId432" Type="http://schemas.openxmlformats.org/officeDocument/2006/relationships/hyperlink" Target="https://webgate.ec.europa.eu/CITnet/jira/browse/OPPREAWA-181" TargetMode="External"/><Relationship Id="rId106" Type="http://schemas.openxmlformats.org/officeDocument/2006/relationships/hyperlink" Target="https://webgate.ec.europa.eu/CITnet/jira/browse/EUI-1194" TargetMode="External"/><Relationship Id="rId127" Type="http://schemas.openxmlformats.org/officeDocument/2006/relationships/hyperlink" Target="https://webgate.ec.europa.eu/CITnet/jira/browse/OPSYSIOP-668" TargetMode="External"/><Relationship Id="rId313" Type="http://schemas.openxmlformats.org/officeDocument/2006/relationships/hyperlink" Target="https://webgate.ec.europa.eu/CITnet/jira/browse/OPSYSIOP-412" TargetMode="External"/><Relationship Id="rId10" Type="http://schemas.openxmlformats.org/officeDocument/2006/relationships/hyperlink" Target="https://webgate.ec.europa.eu/CITnet/jira/browse/OPPREAWA-531" TargetMode="External"/><Relationship Id="rId31" Type="http://schemas.openxmlformats.org/officeDocument/2006/relationships/hyperlink" Target="https://webgate.ec.europa.eu/CITnet/jira/browse/OPSYSIOP-860" TargetMode="External"/><Relationship Id="rId52" Type="http://schemas.openxmlformats.org/officeDocument/2006/relationships/hyperlink" Target="https://webgate.ec.europa.eu/CITnet/jira/browse/OPPREAWA-414" TargetMode="External"/><Relationship Id="rId73" Type="http://schemas.openxmlformats.org/officeDocument/2006/relationships/hyperlink" Target="https://webgate.ec.europa.eu/CITnet/jira/browse/OPSYSIOP-757" TargetMode="External"/><Relationship Id="rId94" Type="http://schemas.openxmlformats.org/officeDocument/2006/relationships/hyperlink" Target="https://webgate.ec.europa.eu/CITnet/jira/browse/OPRESULT-609" TargetMode="External"/><Relationship Id="rId148" Type="http://schemas.openxmlformats.org/officeDocument/2006/relationships/hyperlink" Target="https://webgate.ec.europa.eu/CITnet/jira/browse/OPPOSTWARD-36" TargetMode="External"/><Relationship Id="rId169" Type="http://schemas.openxmlformats.org/officeDocument/2006/relationships/hyperlink" Target="https://webgate.ec.europa.eu/CITnet/jira/browse/OPPOSTWARD-26" TargetMode="External"/><Relationship Id="rId334" Type="http://schemas.openxmlformats.org/officeDocument/2006/relationships/hyperlink" Target="https://webgate.ec.europa.eu/CITnet/jira/browse/OPPREAWA-528" TargetMode="External"/><Relationship Id="rId355" Type="http://schemas.openxmlformats.org/officeDocument/2006/relationships/hyperlink" Target="https://webgate.ec.europa.eu/CITnet/jira/browse/EUI-253" TargetMode="External"/><Relationship Id="rId376" Type="http://schemas.openxmlformats.org/officeDocument/2006/relationships/hyperlink" Target="https://webgate.ec.europa.eu/CITnet/jira/browse/OPSEDPORT-3" TargetMode="External"/><Relationship Id="rId397" Type="http://schemas.openxmlformats.org/officeDocument/2006/relationships/hyperlink" Target="https://webgate.ec.europa.eu/CITnet/jira/browse/EUI-340" TargetMode="External"/><Relationship Id="rId4" Type="http://schemas.openxmlformats.org/officeDocument/2006/relationships/hyperlink" Target="https://webgate.ec.europa.eu/CITnet/jira/browse/MWP-455" TargetMode="External"/><Relationship Id="rId180" Type="http://schemas.openxmlformats.org/officeDocument/2006/relationships/hyperlink" Target="https://webgate.ec.europa.eu/CITnet/jira/browse/EUI-1143" TargetMode="External"/><Relationship Id="rId215" Type="http://schemas.openxmlformats.org/officeDocument/2006/relationships/hyperlink" Target="https://webgate.ec.europa.eu/CITnet/jira/browse/OPPREAWA-262" TargetMode="External"/><Relationship Id="rId236" Type="http://schemas.openxmlformats.org/officeDocument/2006/relationships/hyperlink" Target="https://webgate.ec.europa.eu/CITnet/jira/browse/EUI-1104" TargetMode="External"/><Relationship Id="rId257" Type="http://schemas.openxmlformats.org/officeDocument/2006/relationships/hyperlink" Target="https://webgate.ec.europa.eu/CITnet/jira/browse/OPSYSIOP-554" TargetMode="External"/><Relationship Id="rId278" Type="http://schemas.openxmlformats.org/officeDocument/2006/relationships/hyperlink" Target="https://webgate.ec.europa.eu/CITnet/jira/browse/EUI-194" TargetMode="External"/><Relationship Id="rId401" Type="http://schemas.openxmlformats.org/officeDocument/2006/relationships/hyperlink" Target="https://webgate.ec.europa.eu/CITnet/jira/browse/EUI-240" TargetMode="External"/><Relationship Id="rId422" Type="http://schemas.openxmlformats.org/officeDocument/2006/relationships/hyperlink" Target="https://webgate.ec.europa.eu/CITnet/jira/browse/EUI-241" TargetMode="External"/><Relationship Id="rId443" Type="http://schemas.openxmlformats.org/officeDocument/2006/relationships/hyperlink" Target="https://webgate.ec.europa.eu/CITnet/jira/browse/OPCITNET-157" TargetMode="External"/><Relationship Id="rId303" Type="http://schemas.openxmlformats.org/officeDocument/2006/relationships/hyperlink" Target="https://webgate.ec.europa.eu/CITnet/jira/browse/OPSYSIOP-446" TargetMode="External"/><Relationship Id="rId42" Type="http://schemas.openxmlformats.org/officeDocument/2006/relationships/hyperlink" Target="https://webgate.ec.europa.eu/CITnet/jira/browse/OPPREAWA-442" TargetMode="External"/><Relationship Id="rId84" Type="http://schemas.openxmlformats.org/officeDocument/2006/relationships/hyperlink" Target="https://webgate.ec.europa.eu/CITnet/jira/browse/EUI-1180" TargetMode="External"/><Relationship Id="rId138" Type="http://schemas.openxmlformats.org/officeDocument/2006/relationships/hyperlink" Target="https://webgate.ec.europa.eu/CITnet/jira/browse/MWP-355" TargetMode="External"/><Relationship Id="rId345" Type="http://schemas.openxmlformats.org/officeDocument/2006/relationships/hyperlink" Target="https://webgate.ec.europa.eu/CITnet/jira/browse/OPPREAWA-520" TargetMode="External"/><Relationship Id="rId387" Type="http://schemas.openxmlformats.org/officeDocument/2006/relationships/hyperlink" Target="https://webgate.ec.europa.eu/CITnet/jira/browse/OPSYSIOP-44" TargetMode="External"/><Relationship Id="rId191" Type="http://schemas.openxmlformats.org/officeDocument/2006/relationships/hyperlink" Target="https://webgate.ec.europa.eu/CITnet/jira/browse/MWP-339" TargetMode="External"/><Relationship Id="rId205" Type="http://schemas.openxmlformats.org/officeDocument/2006/relationships/hyperlink" Target="https://webgate.ec.europa.eu/CITnet/jira/browse/OPPREAWA-503" TargetMode="External"/><Relationship Id="rId247" Type="http://schemas.openxmlformats.org/officeDocument/2006/relationships/hyperlink" Target="https://webgate.ec.europa.eu/CITnet/jira/browse/OPPREAWA-654" TargetMode="External"/><Relationship Id="rId412" Type="http://schemas.openxmlformats.org/officeDocument/2006/relationships/hyperlink" Target="https://webgate.ec.europa.eu/CITnet/jira/browse/MWP-153" TargetMode="External"/><Relationship Id="rId107" Type="http://schemas.openxmlformats.org/officeDocument/2006/relationships/hyperlink" Target="https://webgate.ec.europa.eu/CITnet/jira/browse/MWP-392" TargetMode="External"/><Relationship Id="rId289" Type="http://schemas.openxmlformats.org/officeDocument/2006/relationships/hyperlink" Target="https://webgate.ec.europa.eu/CITnet/jira/browse/EUI-372" TargetMode="External"/><Relationship Id="rId11" Type="http://schemas.openxmlformats.org/officeDocument/2006/relationships/hyperlink" Target="https://webgate.ec.europa.eu/CITnet/jira/browse/OPPREAWA-522" TargetMode="External"/><Relationship Id="rId53" Type="http://schemas.openxmlformats.org/officeDocument/2006/relationships/hyperlink" Target="https://webgate.ec.europa.eu/CITnet/jira/browse/EUI-1190" TargetMode="External"/><Relationship Id="rId149" Type="http://schemas.openxmlformats.org/officeDocument/2006/relationships/hyperlink" Target="https://webgate.ec.europa.eu/CITnet/jira/browse/EUI-1155" TargetMode="External"/><Relationship Id="rId314" Type="http://schemas.openxmlformats.org/officeDocument/2006/relationships/hyperlink" Target="https://webgate.ec.europa.eu/CITnet/jira/browse/OPSYSIOP-411" TargetMode="External"/><Relationship Id="rId356" Type="http://schemas.openxmlformats.org/officeDocument/2006/relationships/hyperlink" Target="https://webgate.ec.europa.eu/CITnet/jira/browse/EUI-224" TargetMode="External"/><Relationship Id="rId398" Type="http://schemas.openxmlformats.org/officeDocument/2006/relationships/hyperlink" Target="https://webgate.ec.europa.eu/CITnet/jira/browse/OPRESULT-164" TargetMode="External"/><Relationship Id="rId95" Type="http://schemas.openxmlformats.org/officeDocument/2006/relationships/hyperlink" Target="https://webgate.ec.europa.eu/CITnet/jira/browse/OPRESULT-608" TargetMode="External"/><Relationship Id="rId160" Type="http://schemas.openxmlformats.org/officeDocument/2006/relationships/hyperlink" Target="https://webgate.ec.europa.eu/CITnet/jira/browse/OPSYSIOP-656" TargetMode="External"/><Relationship Id="rId216" Type="http://schemas.openxmlformats.org/officeDocument/2006/relationships/hyperlink" Target="https://webgate.ec.europa.eu/CITnet/jira/browse/OPPREAWA-261" TargetMode="External"/><Relationship Id="rId423" Type="http://schemas.openxmlformats.org/officeDocument/2006/relationships/hyperlink" Target="https://webgate.ec.europa.eu/CITnet/jira/browse/EUI-338" TargetMode="External"/><Relationship Id="rId258" Type="http://schemas.openxmlformats.org/officeDocument/2006/relationships/hyperlink" Target="https://webgate.ec.europa.eu/CITnet/jira/browse/OPSYSIOP-552" TargetMode="External"/><Relationship Id="rId22" Type="http://schemas.openxmlformats.org/officeDocument/2006/relationships/hyperlink" Target="https://webgate.ec.europa.eu/CITnet/jira/browse/EUI-1204" TargetMode="External"/><Relationship Id="rId64" Type="http://schemas.openxmlformats.org/officeDocument/2006/relationships/hyperlink" Target="https://webgate.ec.europa.eu/CITnet/jira/browse/OPPREAWA-383" TargetMode="External"/><Relationship Id="rId118" Type="http://schemas.openxmlformats.org/officeDocument/2006/relationships/hyperlink" Target="https://webgate.ec.europa.eu/CITnet/jira/browse/EUI-1165" TargetMode="External"/><Relationship Id="rId325" Type="http://schemas.openxmlformats.org/officeDocument/2006/relationships/hyperlink" Target="https://webgate.ec.europa.eu/CITnet/jira/browse/OPSYSIOP-350" TargetMode="External"/><Relationship Id="rId367" Type="http://schemas.openxmlformats.org/officeDocument/2006/relationships/hyperlink" Target="https://webgate.ec.europa.eu/CITnet/jira/browse/MWP-191" TargetMode="External"/><Relationship Id="rId171" Type="http://schemas.openxmlformats.org/officeDocument/2006/relationships/hyperlink" Target="https://webgate.ec.europa.eu/CITnet/jira/browse/OPPOSTWARD-24" TargetMode="External"/><Relationship Id="rId227" Type="http://schemas.openxmlformats.org/officeDocument/2006/relationships/hyperlink" Target="https://webgate.ec.europa.eu/CITnet/jira/browse/OPPREAWA-655" TargetMode="External"/><Relationship Id="rId269" Type="http://schemas.openxmlformats.org/officeDocument/2006/relationships/hyperlink" Target="https://webgate.ec.europa.eu/CITnet/jira/browse/OPPREAWA-653" TargetMode="External"/><Relationship Id="rId434" Type="http://schemas.openxmlformats.org/officeDocument/2006/relationships/hyperlink" Target="https://webgate.ec.europa.eu/CITnet/jira/browse/OPPREAWA-644" TargetMode="External"/><Relationship Id="rId33" Type="http://schemas.openxmlformats.org/officeDocument/2006/relationships/hyperlink" Target="https://webgate.ec.europa.eu/CITnet/jira/browse/OPPREAWA-451" TargetMode="External"/><Relationship Id="rId129" Type="http://schemas.openxmlformats.org/officeDocument/2006/relationships/hyperlink" Target="https://webgate.ec.europa.eu/CITnet/jira/browse/OPSYSIOP-660" TargetMode="External"/><Relationship Id="rId280" Type="http://schemas.openxmlformats.org/officeDocument/2006/relationships/hyperlink" Target="https://webgate.ec.europa.eu/CITnet/jira/browse/EUI-353" TargetMode="External"/><Relationship Id="rId336" Type="http://schemas.openxmlformats.org/officeDocument/2006/relationships/hyperlink" Target="https://webgate.ec.europa.eu/CITnet/jira/browse/OPPREAWA-502"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webgate.ec.europa.eu/CITnet/jira/browse/OPPOSTWARD-391" TargetMode="External"/><Relationship Id="rId299" Type="http://schemas.openxmlformats.org/officeDocument/2006/relationships/hyperlink" Target="https://webgate.ec.europa.eu/CITnet/jira/browse/OPSYSIOP-1538" TargetMode="External"/><Relationship Id="rId303" Type="http://schemas.openxmlformats.org/officeDocument/2006/relationships/hyperlink" Target="https://webgate.ec.europa.eu/CITnet/jira/browse/OPPREAWA-1331" TargetMode="External"/><Relationship Id="rId21" Type="http://schemas.openxmlformats.org/officeDocument/2006/relationships/hyperlink" Target="https://webgate.ec.europa.eu/CITnet/jira/browse/EUI-1419" TargetMode="External"/><Relationship Id="rId42" Type="http://schemas.openxmlformats.org/officeDocument/2006/relationships/hyperlink" Target="https://webgate.ec.europa.eu/CITnet/jira/browse/OPPREAWA-1728" TargetMode="External"/><Relationship Id="rId63" Type="http://schemas.openxmlformats.org/officeDocument/2006/relationships/hyperlink" Target="https://webgate.ec.europa.eu/CITnet/jira/browse/MWP-857" TargetMode="External"/><Relationship Id="rId84" Type="http://schemas.openxmlformats.org/officeDocument/2006/relationships/hyperlink" Target="https://webgate.ec.europa.eu/CITnet/jira/browse/OPSYSIOP-1952" TargetMode="External"/><Relationship Id="rId138" Type="http://schemas.openxmlformats.org/officeDocument/2006/relationships/hyperlink" Target="https://webgate.ec.europa.eu/CITnet/jira/browse/OPPOSTWARD-370" TargetMode="External"/><Relationship Id="rId159" Type="http://schemas.openxmlformats.org/officeDocument/2006/relationships/hyperlink" Target="https://webgate.ec.europa.eu/CITnet/jira/browse/OPPOSTWARD-350" TargetMode="External"/><Relationship Id="rId170" Type="http://schemas.openxmlformats.org/officeDocument/2006/relationships/hyperlink" Target="https://webgate.ec.europa.eu/CITnet/jira/browse/OPPOSTWARD-341" TargetMode="External"/><Relationship Id="rId191" Type="http://schemas.openxmlformats.org/officeDocument/2006/relationships/hyperlink" Target="https://webgate.ec.europa.eu/CITnet/jira/browse/OPPOSTWARD-320" TargetMode="External"/><Relationship Id="rId205" Type="http://schemas.openxmlformats.org/officeDocument/2006/relationships/hyperlink" Target="https://webgate.ec.europa.eu/CITnet/jira/browse/OPRESULT-1312" TargetMode="External"/><Relationship Id="rId226" Type="http://schemas.openxmlformats.org/officeDocument/2006/relationships/hyperlink" Target="https://webgate.ec.europa.eu/CITnet/jira/browse/MWP-781" TargetMode="External"/><Relationship Id="rId247" Type="http://schemas.openxmlformats.org/officeDocument/2006/relationships/hyperlink" Target="https://webgate.ec.europa.eu/CITnet/jira/browse/OPPREAWA-1437" TargetMode="External"/><Relationship Id="rId107" Type="http://schemas.openxmlformats.org/officeDocument/2006/relationships/hyperlink" Target="https://webgate.ec.europa.eu/CITnet/jira/browse/OPPREAWA-1617" TargetMode="External"/><Relationship Id="rId268" Type="http://schemas.openxmlformats.org/officeDocument/2006/relationships/hyperlink" Target="https://webgate.ec.europa.eu/CITnet/jira/browse/OPRESULT-1162" TargetMode="External"/><Relationship Id="rId289" Type="http://schemas.openxmlformats.org/officeDocument/2006/relationships/hyperlink" Target="https://webgate.ec.europa.eu/CITnet/jira/browse/OPSEDPORT-44" TargetMode="External"/><Relationship Id="rId11" Type="http://schemas.openxmlformats.org/officeDocument/2006/relationships/hyperlink" Target="https://webgate.ec.europa.eu/CITnet/jira/browse/OPCITNET-247" TargetMode="External"/><Relationship Id="rId32" Type="http://schemas.openxmlformats.org/officeDocument/2006/relationships/hyperlink" Target="https://webgate.ec.europa.eu/CITnet/jira/browse/OPSYSIOP-2011" TargetMode="External"/><Relationship Id="rId53" Type="http://schemas.openxmlformats.org/officeDocument/2006/relationships/hyperlink" Target="https://webgate.ec.europa.eu/CITnet/jira/browse/OPRESULT-1456" TargetMode="External"/><Relationship Id="rId74" Type="http://schemas.openxmlformats.org/officeDocument/2006/relationships/hyperlink" Target="https://webgate.ec.europa.eu/CITnet/jira/browse/MWP-842" TargetMode="External"/><Relationship Id="rId128" Type="http://schemas.openxmlformats.org/officeDocument/2006/relationships/hyperlink" Target="https://webgate.ec.europa.eu/CITnet/jira/browse/OPPOSTWARD-380" TargetMode="External"/><Relationship Id="rId149" Type="http://schemas.openxmlformats.org/officeDocument/2006/relationships/hyperlink" Target="https://webgate.ec.europa.eu/CITnet/jira/browse/OPPOSTWARD-360" TargetMode="External"/><Relationship Id="rId5" Type="http://schemas.openxmlformats.org/officeDocument/2006/relationships/hyperlink" Target="https://webgate.ec.europa.eu/CITnet/jira/browse/OPPREAWA-1886" TargetMode="External"/><Relationship Id="rId95" Type="http://schemas.openxmlformats.org/officeDocument/2006/relationships/hyperlink" Target="https://webgate.ec.europa.eu/CITnet/jira/browse/MWP-823" TargetMode="External"/><Relationship Id="rId160" Type="http://schemas.openxmlformats.org/officeDocument/2006/relationships/hyperlink" Target="https://webgate.ec.europa.eu/CITnet/jira/browse/OPPOSTWARD-349" TargetMode="External"/><Relationship Id="rId181" Type="http://schemas.openxmlformats.org/officeDocument/2006/relationships/hyperlink" Target="https://webgate.ec.europa.eu/CITnet/jira/browse/OPPOSTWARD-330" TargetMode="External"/><Relationship Id="rId216" Type="http://schemas.openxmlformats.org/officeDocument/2006/relationships/hyperlink" Target="https://webgate.ec.europa.eu/CITnet/jira/browse/OPPREAWA-1499" TargetMode="External"/><Relationship Id="rId237" Type="http://schemas.openxmlformats.org/officeDocument/2006/relationships/hyperlink" Target="https://webgate.ec.europa.eu/CITnet/jira/browse/OPPREAWA-1460" TargetMode="External"/><Relationship Id="rId258" Type="http://schemas.openxmlformats.org/officeDocument/2006/relationships/hyperlink" Target="https://webgate.ec.europa.eu/CITnet/jira/browse/OPPREAWA-1424" TargetMode="External"/><Relationship Id="rId279" Type="http://schemas.openxmlformats.org/officeDocument/2006/relationships/hyperlink" Target="https://webgate.ec.europa.eu/CITnet/jira/browse/OPPREAWA-1342" TargetMode="External"/><Relationship Id="rId22" Type="http://schemas.openxmlformats.org/officeDocument/2006/relationships/hyperlink" Target="https://webgate.ec.europa.eu/CITnet/jira/browse/OPPREAWA-1788" TargetMode="External"/><Relationship Id="rId43" Type="http://schemas.openxmlformats.org/officeDocument/2006/relationships/hyperlink" Target="https://webgate.ec.europa.eu/CITnet/jira/browse/OPPREAWA-1727" TargetMode="External"/><Relationship Id="rId64" Type="http://schemas.openxmlformats.org/officeDocument/2006/relationships/hyperlink" Target="https://webgate.ec.europa.eu/CITnet/jira/browse/MWP-856" TargetMode="External"/><Relationship Id="rId118" Type="http://schemas.openxmlformats.org/officeDocument/2006/relationships/hyperlink" Target="https://webgate.ec.europa.eu/CITnet/jira/browse/OPPOSTWARD-390" TargetMode="External"/><Relationship Id="rId139" Type="http://schemas.openxmlformats.org/officeDocument/2006/relationships/hyperlink" Target="https://webgate.ec.europa.eu/CITnet/jira/browse/OPPOSTWARD-369" TargetMode="External"/><Relationship Id="rId290" Type="http://schemas.openxmlformats.org/officeDocument/2006/relationships/hyperlink" Target="https://webgate.ec.europa.eu/CITnet/jira/browse/OPSEDPORT-43" TargetMode="External"/><Relationship Id="rId304" Type="http://schemas.openxmlformats.org/officeDocument/2006/relationships/drawing" Target="../drawings/drawing6.xml"/><Relationship Id="rId85" Type="http://schemas.openxmlformats.org/officeDocument/2006/relationships/hyperlink" Target="https://webgate.ec.europa.eu/CITnet/jira/browse/OPSYSIOP-1951" TargetMode="External"/><Relationship Id="rId150" Type="http://schemas.openxmlformats.org/officeDocument/2006/relationships/hyperlink" Target="https://webgate.ec.europa.eu/CITnet/jira/browse/OPPOSTWARD-359" TargetMode="External"/><Relationship Id="rId171" Type="http://schemas.openxmlformats.org/officeDocument/2006/relationships/hyperlink" Target="https://webgate.ec.europa.eu/CITnet/jira/browse/OPPOSTWARD-340" TargetMode="External"/><Relationship Id="rId192" Type="http://schemas.openxmlformats.org/officeDocument/2006/relationships/hyperlink" Target="https://webgate.ec.europa.eu/CITnet/jira/browse/OPPOSTWARD-319" TargetMode="External"/><Relationship Id="rId206" Type="http://schemas.openxmlformats.org/officeDocument/2006/relationships/hyperlink" Target="https://webgate.ec.europa.eu/CITnet/jira/browse/OPRESULT-1308" TargetMode="External"/><Relationship Id="rId227" Type="http://schemas.openxmlformats.org/officeDocument/2006/relationships/hyperlink" Target="https://webgate.ec.europa.eu/CITnet/jira/browse/MWP-773" TargetMode="External"/><Relationship Id="rId248" Type="http://schemas.openxmlformats.org/officeDocument/2006/relationships/hyperlink" Target="https://webgate.ec.europa.eu/CITnet/jira/browse/OPPREAWA-1436" TargetMode="External"/><Relationship Id="rId269" Type="http://schemas.openxmlformats.org/officeDocument/2006/relationships/hyperlink" Target="https://webgate.ec.europa.eu/CITnet/jira/browse/OPPREAWA-1386" TargetMode="External"/><Relationship Id="rId12" Type="http://schemas.openxmlformats.org/officeDocument/2006/relationships/hyperlink" Target="https://webgate.ec.europa.eu/CITnet/jira/browse/OPCITNET-246" TargetMode="External"/><Relationship Id="rId33" Type="http://schemas.openxmlformats.org/officeDocument/2006/relationships/hyperlink" Target="https://webgate.ec.europa.eu/CITnet/jira/browse/OPSYSIOP-2005" TargetMode="External"/><Relationship Id="rId108" Type="http://schemas.openxmlformats.org/officeDocument/2006/relationships/hyperlink" Target="https://webgate.ec.europa.eu/CITnet/jira/browse/OPPREAWA-1616" TargetMode="External"/><Relationship Id="rId129" Type="http://schemas.openxmlformats.org/officeDocument/2006/relationships/hyperlink" Target="https://webgate.ec.europa.eu/CITnet/jira/browse/OPPOSTWARD-379" TargetMode="External"/><Relationship Id="rId280" Type="http://schemas.openxmlformats.org/officeDocument/2006/relationships/hyperlink" Target="https://webgate.ec.europa.eu/CITnet/jira/browse/OPPREAWA-1341" TargetMode="External"/><Relationship Id="rId54" Type="http://schemas.openxmlformats.org/officeDocument/2006/relationships/hyperlink" Target="https://webgate.ec.europa.eu/CITnet/jira/browse/OPRESULT-1455" TargetMode="External"/><Relationship Id="rId75" Type="http://schemas.openxmlformats.org/officeDocument/2006/relationships/hyperlink" Target="https://webgate.ec.europa.eu/CITnet/jira/browse/MWP-841" TargetMode="External"/><Relationship Id="rId96" Type="http://schemas.openxmlformats.org/officeDocument/2006/relationships/hyperlink" Target="https://webgate.ec.europa.eu/CITnet/jira/browse/OPPREAWA-1633" TargetMode="External"/><Relationship Id="rId140" Type="http://schemas.openxmlformats.org/officeDocument/2006/relationships/hyperlink" Target="https://webgate.ec.europa.eu/CITnet/jira/browse/OPPOSTWARD-368" TargetMode="External"/><Relationship Id="rId161" Type="http://schemas.openxmlformats.org/officeDocument/2006/relationships/hyperlink" Target="https://webgate.ec.europa.eu/CITnet/jira/browse/OPPOSTWARD-348" TargetMode="External"/><Relationship Id="rId182" Type="http://schemas.openxmlformats.org/officeDocument/2006/relationships/hyperlink" Target="https://webgate.ec.europa.eu/CITnet/jira/browse/OPPOSTWARD-329" TargetMode="External"/><Relationship Id="rId217" Type="http://schemas.openxmlformats.org/officeDocument/2006/relationships/hyperlink" Target="https://webgate.ec.europa.eu/CITnet/jira/browse/OPPREAWA-1493" TargetMode="External"/><Relationship Id="rId6" Type="http://schemas.openxmlformats.org/officeDocument/2006/relationships/hyperlink" Target="https://webgate.ec.europa.eu/CITnet/jira/browse/OPPREAWA-1885" TargetMode="External"/><Relationship Id="rId238" Type="http://schemas.openxmlformats.org/officeDocument/2006/relationships/hyperlink" Target="https://webgate.ec.europa.eu/CITnet/jira/browse/OPPREAWA-1456" TargetMode="External"/><Relationship Id="rId259" Type="http://schemas.openxmlformats.org/officeDocument/2006/relationships/hyperlink" Target="https://webgate.ec.europa.eu/CITnet/jira/browse/MWP-602" TargetMode="External"/><Relationship Id="rId23" Type="http://schemas.openxmlformats.org/officeDocument/2006/relationships/hyperlink" Target="https://webgate.ec.europa.eu/CITnet/jira/browse/EUI-1421" TargetMode="External"/><Relationship Id="rId119" Type="http://schemas.openxmlformats.org/officeDocument/2006/relationships/hyperlink" Target="https://webgate.ec.europa.eu/CITnet/jira/browse/OPPOSTWARD-389" TargetMode="External"/><Relationship Id="rId270" Type="http://schemas.openxmlformats.org/officeDocument/2006/relationships/hyperlink" Target="https://webgate.ec.europa.eu/CITnet/jira/browse/OPSYSIOP-1614" TargetMode="External"/><Relationship Id="rId291" Type="http://schemas.openxmlformats.org/officeDocument/2006/relationships/hyperlink" Target="https://webgate.ec.europa.eu/CITnet/jira/browse/OPSEDPORT-42" TargetMode="External"/><Relationship Id="rId44" Type="http://schemas.openxmlformats.org/officeDocument/2006/relationships/hyperlink" Target="https://webgate.ec.europa.eu/CITnet/jira/browse/MWP-861" TargetMode="External"/><Relationship Id="rId65" Type="http://schemas.openxmlformats.org/officeDocument/2006/relationships/hyperlink" Target="https://webgate.ec.europa.eu/CITnet/jira/browse/OPSYSIOP-1980" TargetMode="External"/><Relationship Id="rId86" Type="http://schemas.openxmlformats.org/officeDocument/2006/relationships/hyperlink" Target="https://webgate.ec.europa.eu/CITnet/jira/browse/OPSYSIOP-1950" TargetMode="External"/><Relationship Id="rId130" Type="http://schemas.openxmlformats.org/officeDocument/2006/relationships/hyperlink" Target="https://webgate.ec.europa.eu/CITnet/jira/browse/OPPOSTWARD-378" TargetMode="External"/><Relationship Id="rId151" Type="http://schemas.openxmlformats.org/officeDocument/2006/relationships/hyperlink" Target="https://webgate.ec.europa.eu/CITnet/jira/browse/OPPOSTWARD-358" TargetMode="External"/><Relationship Id="rId172" Type="http://schemas.openxmlformats.org/officeDocument/2006/relationships/hyperlink" Target="https://webgate.ec.europa.eu/CITnet/jira/browse/OPPOSTWARD-339" TargetMode="External"/><Relationship Id="rId193" Type="http://schemas.openxmlformats.org/officeDocument/2006/relationships/hyperlink" Target="https://webgate.ec.europa.eu/CITnet/jira/browse/OPPOSTWARD-318" TargetMode="External"/><Relationship Id="rId207" Type="http://schemas.openxmlformats.org/officeDocument/2006/relationships/hyperlink" Target="https://webgate.ec.europa.eu/CITnet/jira/browse/OPRESULT-1305" TargetMode="External"/><Relationship Id="rId228" Type="http://schemas.openxmlformats.org/officeDocument/2006/relationships/hyperlink" Target="https://webgate.ec.europa.eu/CITnet/jira/browse/OPPREAWA-1467" TargetMode="External"/><Relationship Id="rId249" Type="http://schemas.openxmlformats.org/officeDocument/2006/relationships/hyperlink" Target="https://webgate.ec.europa.eu/CITnet/jira/browse/OPPREAWA-1435" TargetMode="External"/><Relationship Id="rId13" Type="http://schemas.openxmlformats.org/officeDocument/2006/relationships/hyperlink" Target="https://webgate.ec.europa.eu/CITnet/jira/browse/OPPREAWA-1834" TargetMode="External"/><Relationship Id="rId109" Type="http://schemas.openxmlformats.org/officeDocument/2006/relationships/hyperlink" Target="https://webgate.ec.europa.eu/CITnet/jira/browse/OPPREAWA-1613" TargetMode="External"/><Relationship Id="rId260" Type="http://schemas.openxmlformats.org/officeDocument/2006/relationships/hyperlink" Target="https://webgate.ec.europa.eu/CITnet/jira/browse/OPPREAWA-1422" TargetMode="External"/><Relationship Id="rId281" Type="http://schemas.openxmlformats.org/officeDocument/2006/relationships/hyperlink" Target="https://webgate.ec.europa.eu/CITnet/jira/browse/OPPREAWA-1340" TargetMode="External"/><Relationship Id="rId34" Type="http://schemas.openxmlformats.org/officeDocument/2006/relationships/hyperlink" Target="https://webgate.ec.europa.eu/CITnet/jira/browse/OPPREAWA-1743" TargetMode="External"/><Relationship Id="rId55" Type="http://schemas.openxmlformats.org/officeDocument/2006/relationships/hyperlink" Target="https://webgate.ec.europa.eu/CITnet/jira/browse/OPRESULT-1454" TargetMode="External"/><Relationship Id="rId76" Type="http://schemas.openxmlformats.org/officeDocument/2006/relationships/hyperlink" Target="https://webgate.ec.europa.eu/CITnet/jira/browse/OPPOSTWARD-417" TargetMode="External"/><Relationship Id="rId97" Type="http://schemas.openxmlformats.org/officeDocument/2006/relationships/hyperlink" Target="https://webgate.ec.europa.eu/CITnet/jira/browse/OPPREAWA-1628" TargetMode="External"/><Relationship Id="rId120" Type="http://schemas.openxmlformats.org/officeDocument/2006/relationships/hyperlink" Target="https://webgate.ec.europa.eu/CITnet/jira/browse/OPPOSTWARD-388" TargetMode="External"/><Relationship Id="rId141" Type="http://schemas.openxmlformats.org/officeDocument/2006/relationships/hyperlink" Target="https://webgate.ec.europa.eu/CITnet/jira/browse/OPPOSTWARD-367" TargetMode="External"/><Relationship Id="rId7" Type="http://schemas.openxmlformats.org/officeDocument/2006/relationships/hyperlink" Target="https://webgate.ec.europa.eu/CITnet/jira/browse/MWP-882" TargetMode="External"/><Relationship Id="rId162" Type="http://schemas.openxmlformats.org/officeDocument/2006/relationships/hyperlink" Target="https://webgate.ec.europa.eu/CITnet/jira/browse/OPPOSTWARD-347" TargetMode="External"/><Relationship Id="rId183" Type="http://schemas.openxmlformats.org/officeDocument/2006/relationships/hyperlink" Target="https://webgate.ec.europa.eu/CITnet/jira/browse/OPPOSTWARD-328" TargetMode="External"/><Relationship Id="rId218" Type="http://schemas.openxmlformats.org/officeDocument/2006/relationships/hyperlink" Target="https://webgate.ec.europa.eu/CITnet/jira/browse/OPPREAWA-1489" TargetMode="External"/><Relationship Id="rId239" Type="http://schemas.openxmlformats.org/officeDocument/2006/relationships/hyperlink" Target="https://webgate.ec.europa.eu/CITnet/jira/browse/MWP-692" TargetMode="External"/><Relationship Id="rId2" Type="http://schemas.openxmlformats.org/officeDocument/2006/relationships/hyperlink" Target="https://webgate.ec.europa.eu/CITnet/jira/browse/OPPREAWA-1887" TargetMode="External"/><Relationship Id="rId29" Type="http://schemas.openxmlformats.org/officeDocument/2006/relationships/hyperlink" Target="https://webgate.ec.europa.eu/CITnet/jira/browse/OPPREAWA-1769" TargetMode="External"/><Relationship Id="rId250" Type="http://schemas.openxmlformats.org/officeDocument/2006/relationships/hyperlink" Target="https://webgate.ec.europa.eu/CITnet/jira/browse/OPPREAWA-1434" TargetMode="External"/><Relationship Id="rId255" Type="http://schemas.openxmlformats.org/officeDocument/2006/relationships/hyperlink" Target="https://webgate.ec.europa.eu/CITnet/jira/browse/OPPREAWA-1427" TargetMode="External"/><Relationship Id="rId271" Type="http://schemas.openxmlformats.org/officeDocument/2006/relationships/hyperlink" Target="https://webgate.ec.europa.eu/CITnet/jira/browse/OPPREAWA-1373" TargetMode="External"/><Relationship Id="rId276" Type="http://schemas.openxmlformats.org/officeDocument/2006/relationships/hyperlink" Target="https://webgate.ec.europa.eu/CITnet/jira/browse/OPPREAWA-1344" TargetMode="External"/><Relationship Id="rId292" Type="http://schemas.openxmlformats.org/officeDocument/2006/relationships/hyperlink" Target="https://webgate.ec.europa.eu/CITnet/jira/browse/OPSEDPORT-41" TargetMode="External"/><Relationship Id="rId297" Type="http://schemas.openxmlformats.org/officeDocument/2006/relationships/hyperlink" Target="https://webgate.ec.europa.eu/CITnet/jira/browse/OPSYSIOP-1540" TargetMode="External"/><Relationship Id="rId24" Type="http://schemas.openxmlformats.org/officeDocument/2006/relationships/hyperlink" Target="https://webgate.ec.europa.eu/CITnet/jira/browse/OPSYSIOP-2023" TargetMode="External"/><Relationship Id="rId40" Type="http://schemas.openxmlformats.org/officeDocument/2006/relationships/hyperlink" Target="https://webgate.ec.europa.eu/CITnet/jira/browse/OPPREAWA-1730" TargetMode="External"/><Relationship Id="rId45" Type="http://schemas.openxmlformats.org/officeDocument/2006/relationships/hyperlink" Target="https://webgate.ec.europa.eu/CITnet/jira/browse/MWP-860" TargetMode="External"/><Relationship Id="rId66" Type="http://schemas.openxmlformats.org/officeDocument/2006/relationships/hyperlink" Target="https://webgate.ec.europa.eu/CITnet/jira/browse/OPPREAWA-1707" TargetMode="External"/><Relationship Id="rId87" Type="http://schemas.openxmlformats.org/officeDocument/2006/relationships/hyperlink" Target="https://webgate.ec.europa.eu/CITnet/jira/browse/OPSYSIOP-1949" TargetMode="External"/><Relationship Id="rId110" Type="http://schemas.openxmlformats.org/officeDocument/2006/relationships/hyperlink" Target="https://webgate.ec.europa.eu/CITnet/jira/browse/OPPREAWA-1612" TargetMode="External"/><Relationship Id="rId115" Type="http://schemas.openxmlformats.org/officeDocument/2006/relationships/hyperlink" Target="https://webgate.ec.europa.eu/CITnet/jira/browse/OPSYSIOP-1931" TargetMode="External"/><Relationship Id="rId131" Type="http://schemas.openxmlformats.org/officeDocument/2006/relationships/hyperlink" Target="https://webgate.ec.europa.eu/CITnet/jira/browse/OPPOSTWARD-377" TargetMode="External"/><Relationship Id="rId136" Type="http://schemas.openxmlformats.org/officeDocument/2006/relationships/hyperlink" Target="https://webgate.ec.europa.eu/CITnet/jira/browse/OPPOSTWARD-372" TargetMode="External"/><Relationship Id="rId157" Type="http://schemas.openxmlformats.org/officeDocument/2006/relationships/hyperlink" Target="https://webgate.ec.europa.eu/CITnet/jira/browse/OPPOSTWARD-352" TargetMode="External"/><Relationship Id="rId178" Type="http://schemas.openxmlformats.org/officeDocument/2006/relationships/hyperlink" Target="https://webgate.ec.europa.eu/CITnet/jira/browse/OPPOSTWARD-333" TargetMode="External"/><Relationship Id="rId301" Type="http://schemas.openxmlformats.org/officeDocument/2006/relationships/hyperlink" Target="https://webgate.ec.europa.eu/CITnet/jira/browse/OPSEDPORT-31" TargetMode="External"/><Relationship Id="rId61" Type="http://schemas.openxmlformats.org/officeDocument/2006/relationships/hyperlink" Target="https://webgate.ec.europa.eu/CITnet/jira/browse/MWP-858" TargetMode="External"/><Relationship Id="rId82" Type="http://schemas.openxmlformats.org/officeDocument/2006/relationships/hyperlink" Target="https://webgate.ec.europa.eu/CITnet/jira/browse/OPSYSIOP-1954" TargetMode="External"/><Relationship Id="rId152" Type="http://schemas.openxmlformats.org/officeDocument/2006/relationships/hyperlink" Target="https://webgate.ec.europa.eu/CITnet/jira/browse/OPPOSTWARD-357" TargetMode="External"/><Relationship Id="rId173" Type="http://schemas.openxmlformats.org/officeDocument/2006/relationships/hyperlink" Target="https://webgate.ec.europa.eu/CITnet/jira/browse/OPPOSTWARD-338" TargetMode="External"/><Relationship Id="rId194" Type="http://schemas.openxmlformats.org/officeDocument/2006/relationships/hyperlink" Target="https://webgate.ec.europa.eu/CITnet/jira/browse/OPPOSTWARD-317" TargetMode="External"/><Relationship Id="rId199" Type="http://schemas.openxmlformats.org/officeDocument/2006/relationships/hyperlink" Target="https://webgate.ec.europa.eu/CITnet/jira/browse/OPPREAWA-1558" TargetMode="External"/><Relationship Id="rId203" Type="http://schemas.openxmlformats.org/officeDocument/2006/relationships/hyperlink" Target="https://webgate.ec.europa.eu/CITnet/jira/browse/MWP-801" TargetMode="External"/><Relationship Id="rId208" Type="http://schemas.openxmlformats.org/officeDocument/2006/relationships/hyperlink" Target="https://webgate.ec.europa.eu/CITnet/jira/browse/OPRESULT-1302" TargetMode="External"/><Relationship Id="rId229" Type="http://schemas.openxmlformats.org/officeDocument/2006/relationships/hyperlink" Target="https://webgate.ec.europa.eu/CITnet/jira/browse/MWP-762" TargetMode="External"/><Relationship Id="rId19" Type="http://schemas.openxmlformats.org/officeDocument/2006/relationships/hyperlink" Target="https://webgate.ec.europa.eu/CITnet/jira/browse/OPPREAWA-1805" TargetMode="External"/><Relationship Id="rId224" Type="http://schemas.openxmlformats.org/officeDocument/2006/relationships/hyperlink" Target="https://webgate.ec.europa.eu/CITnet/jira/browse/OPPREAWA-1470" TargetMode="External"/><Relationship Id="rId240" Type="http://schemas.openxmlformats.org/officeDocument/2006/relationships/hyperlink" Target="https://webgate.ec.europa.eu/CITnet/jira/browse/OPPREAWA-1447" TargetMode="External"/><Relationship Id="rId245" Type="http://schemas.openxmlformats.org/officeDocument/2006/relationships/hyperlink" Target="https://webgate.ec.europa.eu/CITnet/jira/browse/MWP-641" TargetMode="External"/><Relationship Id="rId261" Type="http://schemas.openxmlformats.org/officeDocument/2006/relationships/hyperlink" Target="https://webgate.ec.europa.eu/CITnet/jira/browse/OPPREAWA-1421" TargetMode="External"/><Relationship Id="rId266" Type="http://schemas.openxmlformats.org/officeDocument/2006/relationships/hyperlink" Target="https://webgate.ec.europa.eu/CITnet/jira/browse/OPPREAWA-1418" TargetMode="External"/><Relationship Id="rId287" Type="http://schemas.openxmlformats.org/officeDocument/2006/relationships/hyperlink" Target="https://webgate.ec.europa.eu/CITnet/jira/browse/OPSEDPORT-48" TargetMode="External"/><Relationship Id="rId14" Type="http://schemas.openxmlformats.org/officeDocument/2006/relationships/hyperlink" Target="https://webgate.ec.europa.eu/CITnet/jira/browse/OPSYSIOP-2035" TargetMode="External"/><Relationship Id="rId30" Type="http://schemas.openxmlformats.org/officeDocument/2006/relationships/hyperlink" Target="https://webgate.ec.europa.eu/CITnet/jira/browse/OPPREAWA-1768" TargetMode="External"/><Relationship Id="rId35" Type="http://schemas.openxmlformats.org/officeDocument/2006/relationships/hyperlink" Target="https://webgate.ec.europa.eu/CITnet/jira/browse/OPPREAWA-1742" TargetMode="External"/><Relationship Id="rId56" Type="http://schemas.openxmlformats.org/officeDocument/2006/relationships/hyperlink" Target="https://webgate.ec.europa.eu/CITnet/jira/browse/OPRESULT-1453" TargetMode="External"/><Relationship Id="rId77" Type="http://schemas.openxmlformats.org/officeDocument/2006/relationships/hyperlink" Target="https://webgate.ec.europa.eu/CITnet/jira/browse/OPPREAWA-1667" TargetMode="External"/><Relationship Id="rId100" Type="http://schemas.openxmlformats.org/officeDocument/2006/relationships/hyperlink" Target="https://webgate.ec.europa.eu/CITnet/jira/browse/OPPREAWA-1624" TargetMode="External"/><Relationship Id="rId105" Type="http://schemas.openxmlformats.org/officeDocument/2006/relationships/hyperlink" Target="https://webgate.ec.europa.eu/CITnet/jira/browse/OPPREAWA-1619" TargetMode="External"/><Relationship Id="rId126" Type="http://schemas.openxmlformats.org/officeDocument/2006/relationships/hyperlink" Target="https://webgate.ec.europa.eu/CITnet/jira/browse/OPPOSTWARD-382" TargetMode="External"/><Relationship Id="rId147" Type="http://schemas.openxmlformats.org/officeDocument/2006/relationships/hyperlink" Target="https://webgate.ec.europa.eu/CITnet/jira/browse/OPPOSTWARD-362" TargetMode="External"/><Relationship Id="rId168" Type="http://schemas.openxmlformats.org/officeDocument/2006/relationships/hyperlink" Target="https://webgate.ec.europa.eu/CITnet/jira/browse/OPPREAWA-1588" TargetMode="External"/><Relationship Id="rId282" Type="http://schemas.openxmlformats.org/officeDocument/2006/relationships/hyperlink" Target="https://webgate.ec.europa.eu/CITnet/jira/browse/OPSEDPORT-55" TargetMode="External"/><Relationship Id="rId8" Type="http://schemas.openxmlformats.org/officeDocument/2006/relationships/hyperlink" Target="https://webgate.ec.europa.eu/CITnet/jira/browse/OPRESULT-1549" TargetMode="External"/><Relationship Id="rId51" Type="http://schemas.openxmlformats.org/officeDocument/2006/relationships/hyperlink" Target="https://webgate.ec.europa.eu/CITnet/jira/browse/OPRESULT-1458" TargetMode="External"/><Relationship Id="rId72" Type="http://schemas.openxmlformats.org/officeDocument/2006/relationships/hyperlink" Target="https://webgate.ec.europa.eu/CITnet/jira/browse/OPPOSTWARD-419" TargetMode="External"/><Relationship Id="rId93" Type="http://schemas.openxmlformats.org/officeDocument/2006/relationships/hyperlink" Target="https://webgate.ec.europa.eu/CITnet/jira/browse/OPPREAWA-1638" TargetMode="External"/><Relationship Id="rId98" Type="http://schemas.openxmlformats.org/officeDocument/2006/relationships/hyperlink" Target="https://webgate.ec.europa.eu/CITnet/jira/browse/OPPREAWA-1627" TargetMode="External"/><Relationship Id="rId121" Type="http://schemas.openxmlformats.org/officeDocument/2006/relationships/hyperlink" Target="https://webgate.ec.europa.eu/CITnet/jira/browse/OPPOSTWARD-387" TargetMode="External"/><Relationship Id="rId142" Type="http://schemas.openxmlformats.org/officeDocument/2006/relationships/hyperlink" Target="https://webgate.ec.europa.eu/CITnet/jira/browse/OPPOSTWARD-366" TargetMode="External"/><Relationship Id="rId163" Type="http://schemas.openxmlformats.org/officeDocument/2006/relationships/hyperlink" Target="https://webgate.ec.europa.eu/CITnet/jira/browse/OPPOSTWARD-346" TargetMode="External"/><Relationship Id="rId184" Type="http://schemas.openxmlformats.org/officeDocument/2006/relationships/hyperlink" Target="https://webgate.ec.europa.eu/CITnet/jira/browse/OPPOSTWARD-327" TargetMode="External"/><Relationship Id="rId189" Type="http://schemas.openxmlformats.org/officeDocument/2006/relationships/hyperlink" Target="https://webgate.ec.europa.eu/CITnet/jira/browse/OPSYSIOP-1923" TargetMode="External"/><Relationship Id="rId219" Type="http://schemas.openxmlformats.org/officeDocument/2006/relationships/hyperlink" Target="https://webgate.ec.europa.eu/CITnet/jira/browse/OPRESULT-1221" TargetMode="External"/><Relationship Id="rId3" Type="http://schemas.openxmlformats.org/officeDocument/2006/relationships/hyperlink" Target="https://webgate.ec.europa.eu/CITnet/jira/browse/OPSYSIOP-2046" TargetMode="External"/><Relationship Id="rId214" Type="http://schemas.openxmlformats.org/officeDocument/2006/relationships/hyperlink" Target="https://webgate.ec.europa.eu/CITnet/jira/browse/OPRESULT-1266" TargetMode="External"/><Relationship Id="rId230" Type="http://schemas.openxmlformats.org/officeDocument/2006/relationships/hyperlink" Target="https://webgate.ec.europa.eu/CITnet/jira/browse/MWP-754" TargetMode="External"/><Relationship Id="rId235" Type="http://schemas.openxmlformats.org/officeDocument/2006/relationships/hyperlink" Target="https://webgate.ec.europa.eu/CITnet/jira/browse/MWP-700" TargetMode="External"/><Relationship Id="rId251" Type="http://schemas.openxmlformats.org/officeDocument/2006/relationships/hyperlink" Target="https://webgate.ec.europa.eu/CITnet/jira/browse/OPPREAWA-1433" TargetMode="External"/><Relationship Id="rId256" Type="http://schemas.openxmlformats.org/officeDocument/2006/relationships/hyperlink" Target="https://webgate.ec.europa.eu/CITnet/jira/browse/MWP-608" TargetMode="External"/><Relationship Id="rId277" Type="http://schemas.openxmlformats.org/officeDocument/2006/relationships/hyperlink" Target="https://webgate.ec.europa.eu/CITnet/jira/browse/OPPREAWA-1343" TargetMode="External"/><Relationship Id="rId298" Type="http://schemas.openxmlformats.org/officeDocument/2006/relationships/hyperlink" Target="https://webgate.ec.europa.eu/CITnet/jira/browse/OPPREAWA-1335" TargetMode="External"/><Relationship Id="rId25" Type="http://schemas.openxmlformats.org/officeDocument/2006/relationships/hyperlink" Target="https://webgate.ec.europa.eu/CITnet/jira/browse/OPPREAWA-1781" TargetMode="External"/><Relationship Id="rId46" Type="http://schemas.openxmlformats.org/officeDocument/2006/relationships/hyperlink" Target="https://webgate.ec.europa.eu/CITnet/jira/browse/OPPREAWA-1720" TargetMode="External"/><Relationship Id="rId67" Type="http://schemas.openxmlformats.org/officeDocument/2006/relationships/hyperlink" Target="https://webgate.ec.europa.eu/CITnet/jira/browse/MWP-855" TargetMode="External"/><Relationship Id="rId116" Type="http://schemas.openxmlformats.org/officeDocument/2006/relationships/hyperlink" Target="https://webgate.ec.europa.eu/CITnet/jira/browse/OPPREAWA-1594" TargetMode="External"/><Relationship Id="rId137" Type="http://schemas.openxmlformats.org/officeDocument/2006/relationships/hyperlink" Target="https://webgate.ec.europa.eu/CITnet/jira/browse/OPPOSTWARD-371" TargetMode="External"/><Relationship Id="rId158" Type="http://schemas.openxmlformats.org/officeDocument/2006/relationships/hyperlink" Target="https://webgate.ec.europa.eu/CITnet/jira/browse/OPPOSTWARD-351" TargetMode="External"/><Relationship Id="rId272" Type="http://schemas.openxmlformats.org/officeDocument/2006/relationships/hyperlink" Target="https://webgate.ec.europa.eu/CITnet/jira/browse/OPPREAWA-1372" TargetMode="External"/><Relationship Id="rId293" Type="http://schemas.openxmlformats.org/officeDocument/2006/relationships/hyperlink" Target="https://webgate.ec.europa.eu/CITnet/jira/browse/OPSEDPORT-40" TargetMode="External"/><Relationship Id="rId302" Type="http://schemas.openxmlformats.org/officeDocument/2006/relationships/hyperlink" Target="https://webgate.ec.europa.eu/CITnet/jira/browse/OPSYSIOP-1536" TargetMode="External"/><Relationship Id="rId20" Type="http://schemas.openxmlformats.org/officeDocument/2006/relationships/hyperlink" Target="https://webgate.ec.europa.eu/CITnet/jira/browse/OPPREAWA-1799" TargetMode="External"/><Relationship Id="rId41" Type="http://schemas.openxmlformats.org/officeDocument/2006/relationships/hyperlink" Target="https://webgate.ec.europa.eu/CITnet/jira/browse/OPPREAWA-1729" TargetMode="External"/><Relationship Id="rId62" Type="http://schemas.openxmlformats.org/officeDocument/2006/relationships/hyperlink" Target="https://webgate.ec.europa.eu/CITnet/jira/browse/OPPREAWA-1712" TargetMode="External"/><Relationship Id="rId83" Type="http://schemas.openxmlformats.org/officeDocument/2006/relationships/hyperlink" Target="https://webgate.ec.europa.eu/CITnet/jira/browse/OPSYSIOP-1953" TargetMode="External"/><Relationship Id="rId88" Type="http://schemas.openxmlformats.org/officeDocument/2006/relationships/hyperlink" Target="https://webgate.ec.europa.eu/CITnet/jira/browse/OPSYSIOP-1948" TargetMode="External"/><Relationship Id="rId111" Type="http://schemas.openxmlformats.org/officeDocument/2006/relationships/hyperlink" Target="https://webgate.ec.europa.eu/CITnet/jira/browse/OPPREAWA-1609" TargetMode="External"/><Relationship Id="rId132" Type="http://schemas.openxmlformats.org/officeDocument/2006/relationships/hyperlink" Target="https://webgate.ec.europa.eu/CITnet/jira/browse/OPPOSTWARD-376" TargetMode="External"/><Relationship Id="rId153" Type="http://schemas.openxmlformats.org/officeDocument/2006/relationships/hyperlink" Target="https://webgate.ec.europa.eu/CITnet/jira/browse/OPPOSTWARD-356" TargetMode="External"/><Relationship Id="rId174" Type="http://schemas.openxmlformats.org/officeDocument/2006/relationships/hyperlink" Target="https://webgate.ec.europa.eu/CITnet/jira/browse/OPPOSTWARD-337" TargetMode="External"/><Relationship Id="rId179" Type="http://schemas.openxmlformats.org/officeDocument/2006/relationships/hyperlink" Target="https://webgate.ec.europa.eu/CITnet/jira/browse/OPPOSTWARD-332" TargetMode="External"/><Relationship Id="rId195" Type="http://schemas.openxmlformats.org/officeDocument/2006/relationships/hyperlink" Target="https://webgate.ec.europa.eu/CITnet/jira/browse/OPPOSTWARD-316" TargetMode="External"/><Relationship Id="rId209" Type="http://schemas.openxmlformats.org/officeDocument/2006/relationships/hyperlink" Target="https://webgate.ec.europa.eu/CITnet/jira/browse/OPRESULT-1298" TargetMode="External"/><Relationship Id="rId190" Type="http://schemas.openxmlformats.org/officeDocument/2006/relationships/hyperlink" Target="https://webgate.ec.europa.eu/CITnet/jira/browse/OPPOSTWARD-321" TargetMode="External"/><Relationship Id="rId204" Type="http://schemas.openxmlformats.org/officeDocument/2006/relationships/hyperlink" Target="https://webgate.ec.europa.eu/CITnet/jira/browse/OPPREAWA-1546" TargetMode="External"/><Relationship Id="rId220" Type="http://schemas.openxmlformats.org/officeDocument/2006/relationships/hyperlink" Target="https://webgate.ec.europa.eu/CITnet/jira/browse/OPRESULT-1220" TargetMode="External"/><Relationship Id="rId225" Type="http://schemas.openxmlformats.org/officeDocument/2006/relationships/hyperlink" Target="https://webgate.ec.europa.eu/CITnet/jira/browse/OPPREAWA-1468" TargetMode="External"/><Relationship Id="rId241" Type="http://schemas.openxmlformats.org/officeDocument/2006/relationships/hyperlink" Target="https://webgate.ec.europa.eu/CITnet/jira/browse/MWP-679" TargetMode="External"/><Relationship Id="rId246" Type="http://schemas.openxmlformats.org/officeDocument/2006/relationships/hyperlink" Target="https://webgate.ec.europa.eu/CITnet/jira/browse/OPPREAWA-1438" TargetMode="External"/><Relationship Id="rId267" Type="http://schemas.openxmlformats.org/officeDocument/2006/relationships/hyperlink" Target="https://webgate.ec.europa.eu/CITnet/jira/browse/EUI-1420" TargetMode="External"/><Relationship Id="rId288" Type="http://schemas.openxmlformats.org/officeDocument/2006/relationships/hyperlink" Target="https://webgate.ec.europa.eu/CITnet/jira/browse/OPSEDPORT-47" TargetMode="External"/><Relationship Id="rId15" Type="http://schemas.openxmlformats.org/officeDocument/2006/relationships/hyperlink" Target="https://webgate.ec.europa.eu/CITnet/jira/browse/OPPREAWA-1829" TargetMode="External"/><Relationship Id="rId36" Type="http://schemas.openxmlformats.org/officeDocument/2006/relationships/hyperlink" Target="https://webgate.ec.europa.eu/CITnet/jira/browse/OPPREAWA-1740" TargetMode="External"/><Relationship Id="rId57" Type="http://schemas.openxmlformats.org/officeDocument/2006/relationships/hyperlink" Target="https://webgate.ec.europa.eu/CITnet/jira/browse/OPRESULT-1452" TargetMode="External"/><Relationship Id="rId106" Type="http://schemas.openxmlformats.org/officeDocument/2006/relationships/hyperlink" Target="https://webgate.ec.europa.eu/CITnet/jira/browse/OPPREAWA-1618" TargetMode="External"/><Relationship Id="rId127" Type="http://schemas.openxmlformats.org/officeDocument/2006/relationships/hyperlink" Target="https://webgate.ec.europa.eu/CITnet/jira/browse/OPPOSTWARD-381" TargetMode="External"/><Relationship Id="rId262" Type="http://schemas.openxmlformats.org/officeDocument/2006/relationships/hyperlink" Target="https://webgate.ec.europa.eu/CITnet/jira/browse/MWP-601" TargetMode="External"/><Relationship Id="rId283" Type="http://schemas.openxmlformats.org/officeDocument/2006/relationships/hyperlink" Target="https://webgate.ec.europa.eu/CITnet/jira/browse/OPSEDPORT-54" TargetMode="External"/><Relationship Id="rId10" Type="http://schemas.openxmlformats.org/officeDocument/2006/relationships/hyperlink" Target="https://webgate.ec.europa.eu/CITnet/jira/browse/OPSYSIOP-2036" TargetMode="External"/><Relationship Id="rId31" Type="http://schemas.openxmlformats.org/officeDocument/2006/relationships/hyperlink" Target="https://webgate.ec.europa.eu/CITnet/jira/browse/OPSYSIOP-2012" TargetMode="External"/><Relationship Id="rId52" Type="http://schemas.openxmlformats.org/officeDocument/2006/relationships/hyperlink" Target="https://webgate.ec.europa.eu/CITnet/jira/browse/OPRESULT-1457" TargetMode="External"/><Relationship Id="rId73" Type="http://schemas.openxmlformats.org/officeDocument/2006/relationships/hyperlink" Target="https://webgate.ec.europa.eu/CITnet/jira/browse/EUI-1387" TargetMode="External"/><Relationship Id="rId78" Type="http://schemas.openxmlformats.org/officeDocument/2006/relationships/hyperlink" Target="https://webgate.ec.europa.eu/CITnet/jira/browse/MWP-837" TargetMode="External"/><Relationship Id="rId94" Type="http://schemas.openxmlformats.org/officeDocument/2006/relationships/hyperlink" Target="https://webgate.ec.europa.eu/CITnet/jira/browse/MWP-830" TargetMode="External"/><Relationship Id="rId99" Type="http://schemas.openxmlformats.org/officeDocument/2006/relationships/hyperlink" Target="https://webgate.ec.europa.eu/CITnet/jira/browse/OPSYSIOP-1933" TargetMode="External"/><Relationship Id="rId101" Type="http://schemas.openxmlformats.org/officeDocument/2006/relationships/hyperlink" Target="https://webgate.ec.europa.eu/CITnet/jira/browse/OPPREAWA-1623" TargetMode="External"/><Relationship Id="rId122" Type="http://schemas.openxmlformats.org/officeDocument/2006/relationships/hyperlink" Target="https://webgate.ec.europa.eu/CITnet/jira/browse/OPPOSTWARD-386" TargetMode="External"/><Relationship Id="rId143" Type="http://schemas.openxmlformats.org/officeDocument/2006/relationships/hyperlink" Target="https://webgate.ec.europa.eu/CITnet/jira/browse/OPPOSTWARD-365" TargetMode="External"/><Relationship Id="rId148" Type="http://schemas.openxmlformats.org/officeDocument/2006/relationships/hyperlink" Target="https://webgate.ec.europa.eu/CITnet/jira/browse/OPPOSTWARD-361" TargetMode="External"/><Relationship Id="rId164" Type="http://schemas.openxmlformats.org/officeDocument/2006/relationships/hyperlink" Target="https://webgate.ec.europa.eu/CITnet/jira/browse/OPPOSTWARD-345" TargetMode="External"/><Relationship Id="rId169" Type="http://schemas.openxmlformats.org/officeDocument/2006/relationships/hyperlink" Target="https://webgate.ec.europa.eu/CITnet/jira/browse/OPSYSIOP-1928" TargetMode="External"/><Relationship Id="rId185" Type="http://schemas.openxmlformats.org/officeDocument/2006/relationships/hyperlink" Target="https://webgate.ec.europa.eu/CITnet/jira/browse/OPPOSTWARD-326" TargetMode="External"/><Relationship Id="rId4" Type="http://schemas.openxmlformats.org/officeDocument/2006/relationships/hyperlink" Target="https://webgate.ec.europa.eu/CITnet/jira/browse/OPSYSIOP-2045" TargetMode="External"/><Relationship Id="rId9" Type="http://schemas.openxmlformats.org/officeDocument/2006/relationships/hyperlink" Target="https://webgate.ec.europa.eu/CITnet/jira/browse/OPCITNET-248" TargetMode="External"/><Relationship Id="rId180" Type="http://schemas.openxmlformats.org/officeDocument/2006/relationships/hyperlink" Target="https://webgate.ec.europa.eu/CITnet/jira/browse/OPPOSTWARD-331" TargetMode="External"/><Relationship Id="rId210" Type="http://schemas.openxmlformats.org/officeDocument/2006/relationships/hyperlink" Target="https://webgate.ec.europa.eu/CITnet/jira/browse/OPRESULT-1294" TargetMode="External"/><Relationship Id="rId215" Type="http://schemas.openxmlformats.org/officeDocument/2006/relationships/hyperlink" Target="https://webgate.ec.europa.eu/CITnet/jira/browse/OPPREAWA-1532" TargetMode="External"/><Relationship Id="rId236" Type="http://schemas.openxmlformats.org/officeDocument/2006/relationships/hyperlink" Target="https://webgate.ec.europa.eu/CITnet/jira/browse/OPPREAWA-1463" TargetMode="External"/><Relationship Id="rId257" Type="http://schemas.openxmlformats.org/officeDocument/2006/relationships/hyperlink" Target="https://webgate.ec.europa.eu/CITnet/jira/browse/OPPREAWA-1425" TargetMode="External"/><Relationship Id="rId278" Type="http://schemas.openxmlformats.org/officeDocument/2006/relationships/hyperlink" Target="https://webgate.ec.europa.eu/CITnet/jira/browse/OPSYSIOP-1562" TargetMode="External"/><Relationship Id="rId26" Type="http://schemas.openxmlformats.org/officeDocument/2006/relationships/hyperlink" Target="https://webgate.ec.europa.eu/CITnet/jira/browse/OPPREAWA-1779" TargetMode="External"/><Relationship Id="rId231" Type="http://schemas.openxmlformats.org/officeDocument/2006/relationships/hyperlink" Target="https://webgate.ec.europa.eu/CITnet/jira/browse/MWP-743" TargetMode="External"/><Relationship Id="rId252" Type="http://schemas.openxmlformats.org/officeDocument/2006/relationships/hyperlink" Target="https://webgate.ec.europa.eu/CITnet/jira/browse/OPPREAWA-1432" TargetMode="External"/><Relationship Id="rId273" Type="http://schemas.openxmlformats.org/officeDocument/2006/relationships/hyperlink" Target="https://webgate.ec.europa.eu/CITnet/jira/browse/OPPREAWA-1369" TargetMode="External"/><Relationship Id="rId294" Type="http://schemas.openxmlformats.org/officeDocument/2006/relationships/hyperlink" Target="https://webgate.ec.europa.eu/CITnet/jira/browse/OPSEDPORT-39" TargetMode="External"/><Relationship Id="rId47" Type="http://schemas.openxmlformats.org/officeDocument/2006/relationships/hyperlink" Target="https://webgate.ec.europa.eu/CITnet/jira/browse/OPRESULT-1466" TargetMode="External"/><Relationship Id="rId68" Type="http://schemas.openxmlformats.org/officeDocument/2006/relationships/hyperlink" Target="https://webgate.ec.europa.eu/CITnet/jira/browse/MWP-853" TargetMode="External"/><Relationship Id="rId89" Type="http://schemas.openxmlformats.org/officeDocument/2006/relationships/hyperlink" Target="https://webgate.ec.europa.eu/CITnet/jira/browse/OPPOSTWARD-416" TargetMode="External"/><Relationship Id="rId112" Type="http://schemas.openxmlformats.org/officeDocument/2006/relationships/hyperlink" Target="https://webgate.ec.europa.eu/CITnet/jira/browse/OPPREAWA-1608" TargetMode="External"/><Relationship Id="rId133" Type="http://schemas.openxmlformats.org/officeDocument/2006/relationships/hyperlink" Target="https://webgate.ec.europa.eu/CITnet/jira/browse/OPPOSTWARD-375" TargetMode="External"/><Relationship Id="rId154" Type="http://schemas.openxmlformats.org/officeDocument/2006/relationships/hyperlink" Target="https://webgate.ec.europa.eu/CITnet/jira/browse/OPPOSTWARD-355" TargetMode="External"/><Relationship Id="rId175" Type="http://schemas.openxmlformats.org/officeDocument/2006/relationships/hyperlink" Target="https://webgate.ec.europa.eu/CITnet/jira/browse/OPPOSTWARD-336" TargetMode="External"/><Relationship Id="rId196" Type="http://schemas.openxmlformats.org/officeDocument/2006/relationships/hyperlink" Target="https://webgate.ec.europa.eu/CITnet/jira/browse/OPCITNET-230" TargetMode="External"/><Relationship Id="rId200" Type="http://schemas.openxmlformats.org/officeDocument/2006/relationships/hyperlink" Target="https://webgate.ec.europa.eu/CITnet/jira/browse/OPSYSIOP-1921" TargetMode="External"/><Relationship Id="rId16" Type="http://schemas.openxmlformats.org/officeDocument/2006/relationships/hyperlink" Target="https://webgate.ec.europa.eu/CITnet/jira/browse/OPRESULT-1536" TargetMode="External"/><Relationship Id="rId221" Type="http://schemas.openxmlformats.org/officeDocument/2006/relationships/hyperlink" Target="https://webgate.ec.europa.eu/CITnet/jira/browse/OPPREAWA-1481" TargetMode="External"/><Relationship Id="rId242" Type="http://schemas.openxmlformats.org/officeDocument/2006/relationships/hyperlink" Target="https://webgate.ec.europa.eu/CITnet/jira/browse/MWP-667" TargetMode="External"/><Relationship Id="rId263" Type="http://schemas.openxmlformats.org/officeDocument/2006/relationships/hyperlink" Target="https://webgate.ec.europa.eu/CITnet/jira/browse/MWP-600" TargetMode="External"/><Relationship Id="rId284" Type="http://schemas.openxmlformats.org/officeDocument/2006/relationships/hyperlink" Target="https://webgate.ec.europa.eu/CITnet/jira/browse/OPSEDPORT-53" TargetMode="External"/><Relationship Id="rId37" Type="http://schemas.openxmlformats.org/officeDocument/2006/relationships/hyperlink" Target="https://webgate.ec.europa.eu/CITnet/jira/browse/OPPREAWA-1737" TargetMode="External"/><Relationship Id="rId58" Type="http://schemas.openxmlformats.org/officeDocument/2006/relationships/hyperlink" Target="https://webgate.ec.europa.eu/CITnet/jira/browse/OPRESULT-1451" TargetMode="External"/><Relationship Id="rId79" Type="http://schemas.openxmlformats.org/officeDocument/2006/relationships/hyperlink" Target="https://webgate.ec.europa.eu/CITnet/jira/browse/OPPREAWA-1652" TargetMode="External"/><Relationship Id="rId102" Type="http://schemas.openxmlformats.org/officeDocument/2006/relationships/hyperlink" Target="https://webgate.ec.europa.eu/CITnet/jira/browse/OPPREAWA-1622" TargetMode="External"/><Relationship Id="rId123" Type="http://schemas.openxmlformats.org/officeDocument/2006/relationships/hyperlink" Target="https://webgate.ec.europa.eu/CITnet/jira/browse/OPPOSTWARD-385" TargetMode="External"/><Relationship Id="rId144" Type="http://schemas.openxmlformats.org/officeDocument/2006/relationships/hyperlink" Target="https://webgate.ec.europa.eu/CITnet/jira/browse/OPPOSTWARD-364" TargetMode="External"/><Relationship Id="rId90" Type="http://schemas.openxmlformats.org/officeDocument/2006/relationships/hyperlink" Target="https://webgate.ec.europa.eu/CITnet/jira/browse/OPPOSTWARD-415" TargetMode="External"/><Relationship Id="rId165" Type="http://schemas.openxmlformats.org/officeDocument/2006/relationships/hyperlink" Target="https://webgate.ec.europa.eu/CITnet/jira/browse/OPPOSTWARD-344" TargetMode="External"/><Relationship Id="rId186" Type="http://schemas.openxmlformats.org/officeDocument/2006/relationships/hyperlink" Target="https://webgate.ec.europa.eu/CITnet/jira/browse/OPPOSTWARD-324" TargetMode="External"/><Relationship Id="rId211" Type="http://schemas.openxmlformats.org/officeDocument/2006/relationships/hyperlink" Target="https://webgate.ec.europa.eu/CITnet/jira/browse/OPRESULT-1289" TargetMode="External"/><Relationship Id="rId232" Type="http://schemas.openxmlformats.org/officeDocument/2006/relationships/hyperlink" Target="https://webgate.ec.europa.eu/CITnet/jira/browse/MWP-735" TargetMode="External"/><Relationship Id="rId253" Type="http://schemas.openxmlformats.org/officeDocument/2006/relationships/hyperlink" Target="https://webgate.ec.europa.eu/CITnet/jira/browse/OPPREAWA-1431" TargetMode="External"/><Relationship Id="rId274" Type="http://schemas.openxmlformats.org/officeDocument/2006/relationships/hyperlink" Target="https://webgate.ec.europa.eu/CITnet/jira/browse/OPPREAWA-1354" TargetMode="External"/><Relationship Id="rId295" Type="http://schemas.openxmlformats.org/officeDocument/2006/relationships/hyperlink" Target="https://webgate.ec.europa.eu/CITnet/jira/browse/OPSEDPORT-38" TargetMode="External"/><Relationship Id="rId27" Type="http://schemas.openxmlformats.org/officeDocument/2006/relationships/hyperlink" Target="https://webgate.ec.europa.eu/CITnet/jira/browse/OPPREAWA-1775" TargetMode="External"/><Relationship Id="rId48" Type="http://schemas.openxmlformats.org/officeDocument/2006/relationships/hyperlink" Target="https://webgate.ec.europa.eu/CITnet/jira/browse/EUI-1398" TargetMode="External"/><Relationship Id="rId69" Type="http://schemas.openxmlformats.org/officeDocument/2006/relationships/hyperlink" Target="https://webgate.ec.europa.eu/CITnet/jira/browse/OPSYSIOP-1975" TargetMode="External"/><Relationship Id="rId113" Type="http://schemas.openxmlformats.org/officeDocument/2006/relationships/hyperlink" Target="https://webgate.ec.europa.eu/CITnet/jira/browse/OPPREAWA-1604" TargetMode="External"/><Relationship Id="rId134" Type="http://schemas.openxmlformats.org/officeDocument/2006/relationships/hyperlink" Target="https://webgate.ec.europa.eu/CITnet/jira/browse/OPPOSTWARD-374" TargetMode="External"/><Relationship Id="rId80" Type="http://schemas.openxmlformats.org/officeDocument/2006/relationships/hyperlink" Target="https://webgate.ec.europa.eu/CITnet/jira/browse/OPPREAWA-1651" TargetMode="External"/><Relationship Id="rId155" Type="http://schemas.openxmlformats.org/officeDocument/2006/relationships/hyperlink" Target="https://webgate.ec.europa.eu/CITnet/jira/browse/OPPOSTWARD-354" TargetMode="External"/><Relationship Id="rId176" Type="http://schemas.openxmlformats.org/officeDocument/2006/relationships/hyperlink" Target="https://webgate.ec.europa.eu/CITnet/jira/browse/OPPOSTWARD-335" TargetMode="External"/><Relationship Id="rId197" Type="http://schemas.openxmlformats.org/officeDocument/2006/relationships/hyperlink" Target="https://webgate.ec.europa.eu/CITnet/jira/browse/OPPREAWA-1572" TargetMode="External"/><Relationship Id="rId201" Type="http://schemas.openxmlformats.org/officeDocument/2006/relationships/hyperlink" Target="https://webgate.ec.europa.eu/CITnet/jira/browse/OPPREAWA-1550" TargetMode="External"/><Relationship Id="rId222" Type="http://schemas.openxmlformats.org/officeDocument/2006/relationships/hyperlink" Target="https://webgate.ec.europa.eu/CITnet/jira/browse/OPPREAWA-1473" TargetMode="External"/><Relationship Id="rId243" Type="http://schemas.openxmlformats.org/officeDocument/2006/relationships/hyperlink" Target="https://webgate.ec.europa.eu/CITnet/jira/browse/OPPREAWA-1444" TargetMode="External"/><Relationship Id="rId264" Type="http://schemas.openxmlformats.org/officeDocument/2006/relationships/hyperlink" Target="https://webgate.ec.europa.eu/CITnet/jira/browse/MWP-599" TargetMode="External"/><Relationship Id="rId285" Type="http://schemas.openxmlformats.org/officeDocument/2006/relationships/hyperlink" Target="https://webgate.ec.europa.eu/CITnet/jira/browse/OPSEDPORT-50" TargetMode="External"/><Relationship Id="rId17" Type="http://schemas.openxmlformats.org/officeDocument/2006/relationships/hyperlink" Target="https://webgate.ec.europa.eu/CITnet/jira/browse/OPPREAWA-1816" TargetMode="External"/><Relationship Id="rId38" Type="http://schemas.openxmlformats.org/officeDocument/2006/relationships/hyperlink" Target="https://webgate.ec.europa.eu/CITnet/jira/browse/OPPREAWA-1736" TargetMode="External"/><Relationship Id="rId59" Type="http://schemas.openxmlformats.org/officeDocument/2006/relationships/hyperlink" Target="https://webgate.ec.europa.eu/CITnet/jira/browse/OPRESULT-1449" TargetMode="External"/><Relationship Id="rId103" Type="http://schemas.openxmlformats.org/officeDocument/2006/relationships/hyperlink" Target="https://webgate.ec.europa.eu/CITnet/jira/browse/OPPREAWA-1621" TargetMode="External"/><Relationship Id="rId124" Type="http://schemas.openxmlformats.org/officeDocument/2006/relationships/hyperlink" Target="https://webgate.ec.europa.eu/CITnet/jira/browse/OPPOSTWARD-384" TargetMode="External"/><Relationship Id="rId70" Type="http://schemas.openxmlformats.org/officeDocument/2006/relationships/hyperlink" Target="https://webgate.ec.europa.eu/CITnet/jira/browse/OPPREAWA-1689" TargetMode="External"/><Relationship Id="rId91" Type="http://schemas.openxmlformats.org/officeDocument/2006/relationships/hyperlink" Target="https://webgate.ec.europa.eu/CITnet/jira/browse/OPPOSTWARD-414" TargetMode="External"/><Relationship Id="rId145" Type="http://schemas.openxmlformats.org/officeDocument/2006/relationships/hyperlink" Target="https://webgate.ec.europa.eu/CITnet/jira/browse/MWP-808" TargetMode="External"/><Relationship Id="rId166" Type="http://schemas.openxmlformats.org/officeDocument/2006/relationships/hyperlink" Target="https://webgate.ec.europa.eu/CITnet/jira/browse/OPPOSTWARD-343" TargetMode="External"/><Relationship Id="rId187" Type="http://schemas.openxmlformats.org/officeDocument/2006/relationships/hyperlink" Target="https://webgate.ec.europa.eu/CITnet/jira/browse/OPPOSTWARD-323" TargetMode="External"/><Relationship Id="rId1" Type="http://schemas.openxmlformats.org/officeDocument/2006/relationships/hyperlink" Target="https://webgate.ec.europa.eu/CITnet/jira/issues/?jql=project+in+%2890300%2C+89200%2C+MWP%2C+88600%2C+85400%2C+86500%2C+89700%2C+89800%2C+90000%2C+EUI%29+AND+issuetype+in+%28Story%29+AND+created+%3E%3D+%222018%2F10%2F15%22+AND+created+%3C+endOfDay%28-0d%29+ORDER+BY+created+" TargetMode="External"/><Relationship Id="rId212" Type="http://schemas.openxmlformats.org/officeDocument/2006/relationships/hyperlink" Target="https://webgate.ec.europa.eu/CITnet/jira/browse/OPRESULT-1287" TargetMode="External"/><Relationship Id="rId233" Type="http://schemas.openxmlformats.org/officeDocument/2006/relationships/hyperlink" Target="https://webgate.ec.europa.eu/CITnet/jira/browse/MWP-724" TargetMode="External"/><Relationship Id="rId254" Type="http://schemas.openxmlformats.org/officeDocument/2006/relationships/hyperlink" Target="https://webgate.ec.europa.eu/CITnet/jira/browse/MWP-617" TargetMode="External"/><Relationship Id="rId28" Type="http://schemas.openxmlformats.org/officeDocument/2006/relationships/hyperlink" Target="https://webgate.ec.europa.eu/CITnet/jira/browse/EUI-1409" TargetMode="External"/><Relationship Id="rId49" Type="http://schemas.openxmlformats.org/officeDocument/2006/relationships/hyperlink" Target="https://webgate.ec.europa.eu/CITnet/jira/browse/OPRESULT-1460" TargetMode="External"/><Relationship Id="rId114" Type="http://schemas.openxmlformats.org/officeDocument/2006/relationships/hyperlink" Target="https://webgate.ec.europa.eu/CITnet/jira/browse/OPPREAWA-1603" TargetMode="External"/><Relationship Id="rId275" Type="http://schemas.openxmlformats.org/officeDocument/2006/relationships/hyperlink" Target="https://webgate.ec.europa.eu/CITnet/jira/browse/OPSYSIOP-1567" TargetMode="External"/><Relationship Id="rId296" Type="http://schemas.openxmlformats.org/officeDocument/2006/relationships/hyperlink" Target="https://webgate.ec.europa.eu/CITnet/jira/browse/OPSEDPORT-33" TargetMode="External"/><Relationship Id="rId300" Type="http://schemas.openxmlformats.org/officeDocument/2006/relationships/hyperlink" Target="https://webgate.ec.europa.eu/CITnet/jira/browse/OPSYSIOP-1537" TargetMode="External"/><Relationship Id="rId60" Type="http://schemas.openxmlformats.org/officeDocument/2006/relationships/hyperlink" Target="https://webgate.ec.europa.eu/CITnet/jira/browse/OPRESULT-1448" TargetMode="External"/><Relationship Id="rId81" Type="http://schemas.openxmlformats.org/officeDocument/2006/relationships/hyperlink" Target="https://webgate.ec.europa.eu/CITnet/jira/browse/OPSYSIOP-1955" TargetMode="External"/><Relationship Id="rId135" Type="http://schemas.openxmlformats.org/officeDocument/2006/relationships/hyperlink" Target="https://webgate.ec.europa.eu/CITnet/jira/browse/OPPOSTWARD-373" TargetMode="External"/><Relationship Id="rId156" Type="http://schemas.openxmlformats.org/officeDocument/2006/relationships/hyperlink" Target="https://webgate.ec.europa.eu/CITnet/jira/browse/OPPOSTWARD-353" TargetMode="External"/><Relationship Id="rId177" Type="http://schemas.openxmlformats.org/officeDocument/2006/relationships/hyperlink" Target="https://webgate.ec.europa.eu/CITnet/jira/browse/OPPOSTWARD-334" TargetMode="External"/><Relationship Id="rId198" Type="http://schemas.openxmlformats.org/officeDocument/2006/relationships/hyperlink" Target="https://webgate.ec.europa.eu/CITnet/jira/browse/MWP-803" TargetMode="External"/><Relationship Id="rId202" Type="http://schemas.openxmlformats.org/officeDocument/2006/relationships/hyperlink" Target="https://webgate.ec.europa.eu/CITnet/jira/browse/OPPREAWA-1548" TargetMode="External"/><Relationship Id="rId223" Type="http://schemas.openxmlformats.org/officeDocument/2006/relationships/hyperlink" Target="https://webgate.ec.europa.eu/CITnet/jira/browse/MWP-792" TargetMode="External"/><Relationship Id="rId244" Type="http://schemas.openxmlformats.org/officeDocument/2006/relationships/hyperlink" Target="https://webgate.ec.europa.eu/CITnet/jira/browse/OPRESULT-1203" TargetMode="External"/><Relationship Id="rId18" Type="http://schemas.openxmlformats.org/officeDocument/2006/relationships/hyperlink" Target="https://webgate.ec.europa.eu/CITnet/jira/browse/OPPREAWA-1815" TargetMode="External"/><Relationship Id="rId39" Type="http://schemas.openxmlformats.org/officeDocument/2006/relationships/hyperlink" Target="https://webgate.ec.europa.eu/CITnet/jira/browse/OPRESULT-1478" TargetMode="External"/><Relationship Id="rId265" Type="http://schemas.openxmlformats.org/officeDocument/2006/relationships/hyperlink" Target="https://webgate.ec.europa.eu/CITnet/jira/browse/OPPREAWA-1419" TargetMode="External"/><Relationship Id="rId286" Type="http://schemas.openxmlformats.org/officeDocument/2006/relationships/hyperlink" Target="https://webgate.ec.europa.eu/CITnet/jira/browse/OPSEDPORT-49" TargetMode="External"/><Relationship Id="rId50" Type="http://schemas.openxmlformats.org/officeDocument/2006/relationships/hyperlink" Target="https://webgate.ec.europa.eu/CITnet/jira/browse/OPRESULT-1459" TargetMode="External"/><Relationship Id="rId104" Type="http://schemas.openxmlformats.org/officeDocument/2006/relationships/hyperlink" Target="https://webgate.ec.europa.eu/CITnet/jira/browse/OPPREAWA-1620" TargetMode="External"/><Relationship Id="rId125" Type="http://schemas.openxmlformats.org/officeDocument/2006/relationships/hyperlink" Target="https://webgate.ec.europa.eu/CITnet/jira/browse/OPPOSTWARD-383" TargetMode="External"/><Relationship Id="rId146" Type="http://schemas.openxmlformats.org/officeDocument/2006/relationships/hyperlink" Target="https://webgate.ec.europa.eu/CITnet/jira/browse/OPPOSTWARD-363" TargetMode="External"/><Relationship Id="rId167" Type="http://schemas.openxmlformats.org/officeDocument/2006/relationships/hyperlink" Target="https://webgate.ec.europa.eu/CITnet/jira/browse/OPPREAWA-1589" TargetMode="External"/><Relationship Id="rId188" Type="http://schemas.openxmlformats.org/officeDocument/2006/relationships/hyperlink" Target="https://webgate.ec.europa.eu/CITnet/jira/browse/OPPOSTWARD-322" TargetMode="External"/><Relationship Id="rId71" Type="http://schemas.openxmlformats.org/officeDocument/2006/relationships/hyperlink" Target="https://webgate.ec.europa.eu/CITnet/jira/browse/OPPREAWA-1687" TargetMode="External"/><Relationship Id="rId92" Type="http://schemas.openxmlformats.org/officeDocument/2006/relationships/hyperlink" Target="https://webgate.ec.europa.eu/CITnet/jira/browse/OPPOSTWARD-413" TargetMode="External"/><Relationship Id="rId213" Type="http://schemas.openxmlformats.org/officeDocument/2006/relationships/hyperlink" Target="https://webgate.ec.europa.eu/CITnet/jira/browse/MWP-798" TargetMode="External"/><Relationship Id="rId234" Type="http://schemas.openxmlformats.org/officeDocument/2006/relationships/hyperlink" Target="https://webgate.ec.europa.eu/CITnet/jira/browse/MWP-713" TargetMode="External"/></Relationships>
</file>

<file path=xl/worksheets/_rels/sheet10.xml.rels><?xml version="1.0" encoding="UTF-8" standalone="yes"?>
<Relationships xmlns="http://schemas.openxmlformats.org/package/2006/relationships"><Relationship Id="rId13" Type="http://schemas.openxmlformats.org/officeDocument/2006/relationships/hyperlink" Target="https://webgate.ec.europa.eu/CITnet/jira/browse/TSKACTION-76" TargetMode="External"/><Relationship Id="rId18" Type="http://schemas.openxmlformats.org/officeDocument/2006/relationships/hyperlink" Target="https://webgate.ec.europa.eu/CITnet/jira/browse/CCDOCLIST-17" TargetMode="External"/><Relationship Id="rId26" Type="http://schemas.openxmlformats.org/officeDocument/2006/relationships/hyperlink" Target="https://webgate.ec.europa.eu/CITnet/jira/browse/CCTASK-476" TargetMode="External"/><Relationship Id="rId39" Type="http://schemas.openxmlformats.org/officeDocument/2006/relationships/hyperlink" Target="https://webgate.ec.europa.eu/CITnet/jira/browse/PROCESS-33" TargetMode="External"/><Relationship Id="rId21" Type="http://schemas.openxmlformats.org/officeDocument/2006/relationships/hyperlink" Target="https://webgate.ec.europa.eu/CITnet/jira/browse/CCTASK-579" TargetMode="External"/><Relationship Id="rId34" Type="http://schemas.openxmlformats.org/officeDocument/2006/relationships/hyperlink" Target="https://webgate.ec.europa.eu/CITnet/jira/browse/INTERCOM-54" TargetMode="External"/><Relationship Id="rId42" Type="http://schemas.openxmlformats.org/officeDocument/2006/relationships/hyperlink" Target="https://webgate.ec.europa.eu/CITnet/jira/browse/CCDOCLIST-116" TargetMode="External"/><Relationship Id="rId47" Type="http://schemas.openxmlformats.org/officeDocument/2006/relationships/hyperlink" Target="https://webgate.ec.europa.eu/CITnet/jira/browse/PROCESS-125" TargetMode="External"/><Relationship Id="rId50" Type="http://schemas.openxmlformats.org/officeDocument/2006/relationships/hyperlink" Target="https://webgate.ec.europa.eu/CITnet/jira/browse/INTERCOM-59" TargetMode="External"/><Relationship Id="rId55" Type="http://schemas.openxmlformats.org/officeDocument/2006/relationships/hyperlink" Target="https://webgate.ec.europa.eu/CITnet/jira/browse/PFM-126" TargetMode="External"/><Relationship Id="rId7" Type="http://schemas.openxmlformats.org/officeDocument/2006/relationships/hyperlink" Target="https://webgate.ec.europa.eu/CITnet/jira/browse/PROCESS-92" TargetMode="External"/><Relationship Id="rId12" Type="http://schemas.openxmlformats.org/officeDocument/2006/relationships/hyperlink" Target="https://webgate.ec.europa.eu/CITnet/jira/browse/CCTASK-533" TargetMode="External"/><Relationship Id="rId17" Type="http://schemas.openxmlformats.org/officeDocument/2006/relationships/hyperlink" Target="https://webgate.ec.europa.eu/CITnet/jira/browse/CCTASK-534" TargetMode="External"/><Relationship Id="rId25" Type="http://schemas.openxmlformats.org/officeDocument/2006/relationships/hyperlink" Target="https://webgate.ec.europa.eu/CITnet/jira/browse/CCDOCLIST-174" TargetMode="External"/><Relationship Id="rId33" Type="http://schemas.openxmlformats.org/officeDocument/2006/relationships/hyperlink" Target="https://webgate.ec.europa.eu/CITnet/jira/browse/CCADMIN-42" TargetMode="External"/><Relationship Id="rId38" Type="http://schemas.openxmlformats.org/officeDocument/2006/relationships/hyperlink" Target="https://webgate.ec.europa.eu/CITnet/jira/browse/PROCESS-95" TargetMode="External"/><Relationship Id="rId46" Type="http://schemas.openxmlformats.org/officeDocument/2006/relationships/hyperlink" Target="https://webgate.ec.europa.eu/CITnet/jira/browse/CCADMIN-55" TargetMode="External"/><Relationship Id="rId2" Type="http://schemas.openxmlformats.org/officeDocument/2006/relationships/hyperlink" Target="https://webgate.ec.europa.eu/CITnet/jira/browse/TSKACTION-217" TargetMode="External"/><Relationship Id="rId16" Type="http://schemas.openxmlformats.org/officeDocument/2006/relationships/hyperlink" Target="https://webgate.ec.europa.eu/CITnet/jira/browse/CCDOCLIST-157" TargetMode="External"/><Relationship Id="rId20" Type="http://schemas.openxmlformats.org/officeDocument/2006/relationships/hyperlink" Target="https://webgate.ec.europa.eu/CITnet/jira/browse/CCARCHITEC-49" TargetMode="External"/><Relationship Id="rId29" Type="http://schemas.openxmlformats.org/officeDocument/2006/relationships/hyperlink" Target="https://webgate.ec.europa.eu/CITnet/jira/browse/CCPMO-129" TargetMode="External"/><Relationship Id="rId41" Type="http://schemas.openxmlformats.org/officeDocument/2006/relationships/hyperlink" Target="https://webgate.ec.europa.eu/CITnet/jira/browse/CCDOCLIST-181" TargetMode="External"/><Relationship Id="rId54" Type="http://schemas.openxmlformats.org/officeDocument/2006/relationships/hyperlink" Target="https://webgate.ec.europa.eu/CITnet/jira/browse/INTERCOM-52" TargetMode="External"/><Relationship Id="rId1" Type="http://schemas.openxmlformats.org/officeDocument/2006/relationships/hyperlink" Target="https://webgate.ec.europa.eu/CITnet/jira/issues/?filter=238855" TargetMode="External"/><Relationship Id="rId6" Type="http://schemas.openxmlformats.org/officeDocument/2006/relationships/hyperlink" Target="https://webgate.ec.europa.eu/CITnet/jira/browse/PROCESS-44" TargetMode="External"/><Relationship Id="rId11" Type="http://schemas.openxmlformats.org/officeDocument/2006/relationships/hyperlink" Target="https://webgate.ec.europa.eu/CITnet/jira/browse/CCTASK-527" TargetMode="External"/><Relationship Id="rId24" Type="http://schemas.openxmlformats.org/officeDocument/2006/relationships/hyperlink" Target="https://webgate.ec.europa.eu/CITnet/jira/browse/CCTASK-519" TargetMode="External"/><Relationship Id="rId32" Type="http://schemas.openxmlformats.org/officeDocument/2006/relationships/hyperlink" Target="https://webgate.ec.europa.eu/CITnet/jira/browse/WAVECC-42" TargetMode="External"/><Relationship Id="rId37" Type="http://schemas.openxmlformats.org/officeDocument/2006/relationships/hyperlink" Target="https://webgate.ec.europa.eu/CITnet/jira/browse/PFM-125" TargetMode="External"/><Relationship Id="rId40" Type="http://schemas.openxmlformats.org/officeDocument/2006/relationships/hyperlink" Target="https://webgate.ec.europa.eu/CITnet/jira/browse/CCTASK-532" TargetMode="External"/><Relationship Id="rId45" Type="http://schemas.openxmlformats.org/officeDocument/2006/relationships/hyperlink" Target="https://webgate.ec.europa.eu/CITnet/jira/browse/INTERCOM-75" TargetMode="External"/><Relationship Id="rId53" Type="http://schemas.openxmlformats.org/officeDocument/2006/relationships/hyperlink" Target="https://webgate.ec.europa.eu/CITnet/jira/browse/PFM-131" TargetMode="External"/><Relationship Id="rId5" Type="http://schemas.openxmlformats.org/officeDocument/2006/relationships/hyperlink" Target="https://webgate.ec.europa.eu/CITnet/jira/browse/CCDOCLIST-165" TargetMode="External"/><Relationship Id="rId15" Type="http://schemas.openxmlformats.org/officeDocument/2006/relationships/hyperlink" Target="https://webgate.ec.europa.eu/CITnet/jira/browse/CCDOCLIST-19" TargetMode="External"/><Relationship Id="rId23" Type="http://schemas.openxmlformats.org/officeDocument/2006/relationships/hyperlink" Target="https://webgate.ec.europa.eu/CITnet/jira/browse/CCTASK-272" TargetMode="External"/><Relationship Id="rId28" Type="http://schemas.openxmlformats.org/officeDocument/2006/relationships/hyperlink" Target="https://webgate.ec.europa.eu/CITnet/jira/browse/INTERCOM-55" TargetMode="External"/><Relationship Id="rId36" Type="http://schemas.openxmlformats.org/officeDocument/2006/relationships/hyperlink" Target="https://webgate.ec.europa.eu/CITnet/jira/browse/PROCESS-98" TargetMode="External"/><Relationship Id="rId49" Type="http://schemas.openxmlformats.org/officeDocument/2006/relationships/hyperlink" Target="https://webgate.ec.europa.eu/CITnet/jira/browse/INTERCOM-76" TargetMode="External"/><Relationship Id="rId57" Type="http://schemas.openxmlformats.org/officeDocument/2006/relationships/drawing" Target="../drawings/drawing7.xml"/><Relationship Id="rId10" Type="http://schemas.openxmlformats.org/officeDocument/2006/relationships/hyperlink" Target="https://webgate.ec.europa.eu/CITnet/jira/browse/TSKACTION-245" TargetMode="External"/><Relationship Id="rId19" Type="http://schemas.openxmlformats.org/officeDocument/2006/relationships/hyperlink" Target="https://webgate.ec.europa.eu/CITnet/jira/browse/CCDOCLIST-27" TargetMode="External"/><Relationship Id="rId31" Type="http://schemas.openxmlformats.org/officeDocument/2006/relationships/hyperlink" Target="https://webgate.ec.europa.eu/CITnet/jira/browse/CCPMO-63" TargetMode="External"/><Relationship Id="rId44" Type="http://schemas.openxmlformats.org/officeDocument/2006/relationships/hyperlink" Target="https://webgate.ec.europa.eu/CITnet/jira/browse/CCPMO-76" TargetMode="External"/><Relationship Id="rId52" Type="http://schemas.openxmlformats.org/officeDocument/2006/relationships/hyperlink" Target="https://webgate.ec.europa.eu/CITnet/jira/browse/CCTASK-518" TargetMode="External"/><Relationship Id="rId4" Type="http://schemas.openxmlformats.org/officeDocument/2006/relationships/hyperlink" Target="https://webgate.ec.europa.eu/CITnet/jira/browse/COMPCORP-114" TargetMode="External"/><Relationship Id="rId9" Type="http://schemas.openxmlformats.org/officeDocument/2006/relationships/hyperlink" Target="https://webgate.ec.europa.eu/CITnet/jira/browse/TSKACTION-278" TargetMode="External"/><Relationship Id="rId14" Type="http://schemas.openxmlformats.org/officeDocument/2006/relationships/hyperlink" Target="https://webgate.ec.europa.eu/CITnet/jira/browse/CCDOCLIST-156" TargetMode="External"/><Relationship Id="rId22" Type="http://schemas.openxmlformats.org/officeDocument/2006/relationships/hyperlink" Target="https://webgate.ec.europa.eu/CITnet/jira/browse/CCDOCLIST-25" TargetMode="External"/><Relationship Id="rId27" Type="http://schemas.openxmlformats.org/officeDocument/2006/relationships/hyperlink" Target="https://webgate.ec.europa.eu/CITnet/jira/browse/TSKACTION-56" TargetMode="External"/><Relationship Id="rId30" Type="http://schemas.openxmlformats.org/officeDocument/2006/relationships/hyperlink" Target="https://webgate.ec.europa.eu/CITnet/jira/browse/CCPMO-77" TargetMode="External"/><Relationship Id="rId35" Type="http://schemas.openxmlformats.org/officeDocument/2006/relationships/hyperlink" Target="https://webgate.ec.europa.eu/CITnet/jira/browse/INTERCOM-71" TargetMode="External"/><Relationship Id="rId43" Type="http://schemas.openxmlformats.org/officeDocument/2006/relationships/hyperlink" Target="https://webgate.ec.europa.eu/CITnet/jira/browse/WAVECC-34" TargetMode="External"/><Relationship Id="rId48" Type="http://schemas.openxmlformats.org/officeDocument/2006/relationships/hyperlink" Target="https://webgate.ec.europa.eu/CITnet/jira/browse/CCADMIN-44" TargetMode="External"/><Relationship Id="rId56" Type="http://schemas.openxmlformats.org/officeDocument/2006/relationships/hyperlink" Target="https://webgate.ec.europa.eu/CITnet/jira/browse/PROCESS-96" TargetMode="External"/><Relationship Id="rId8" Type="http://schemas.openxmlformats.org/officeDocument/2006/relationships/hyperlink" Target="https://webgate.ec.europa.eu/CITnet/jira/browse/PROCESS-75" TargetMode="External"/><Relationship Id="rId51" Type="http://schemas.openxmlformats.org/officeDocument/2006/relationships/hyperlink" Target="https://webgate.ec.europa.eu/CITnet/jira/browse/INTERCOM-72" TargetMode="External"/><Relationship Id="rId3" Type="http://schemas.openxmlformats.org/officeDocument/2006/relationships/hyperlink" Target="https://webgate.ec.europa.eu/CITnet/jira/browse/CCARCHITEC-37" TargetMode="External"/></Relationships>
</file>

<file path=xl/worksheets/_rels/sheet11.xml.rels><?xml version="1.0" encoding="UTF-8" standalone="yes"?>
<Relationships xmlns="http://schemas.openxmlformats.org/package/2006/relationships"><Relationship Id="rId13" Type="http://schemas.openxmlformats.org/officeDocument/2006/relationships/hyperlink" Target="https://webgate.ec.europa.eu/CITnet/jira/browse/CCTASK-534" TargetMode="External"/><Relationship Id="rId18" Type="http://schemas.openxmlformats.org/officeDocument/2006/relationships/hyperlink" Target="https://webgate.ec.europa.eu/CITnet/jira/browse/TSKACTION-245" TargetMode="External"/><Relationship Id="rId26" Type="http://schemas.openxmlformats.org/officeDocument/2006/relationships/hyperlink" Target="https://webgate.ec.europa.eu/CITnet/jira/browse/TSKACTION-56" TargetMode="External"/><Relationship Id="rId39" Type="http://schemas.openxmlformats.org/officeDocument/2006/relationships/hyperlink" Target="https://webgate.ec.europa.eu/CITnet/jira/browse/CCTASK-532" TargetMode="External"/><Relationship Id="rId21" Type="http://schemas.openxmlformats.org/officeDocument/2006/relationships/hyperlink" Target="https://webgate.ec.europa.eu/CITnet/jira/browse/CCTASK-527" TargetMode="External"/><Relationship Id="rId34" Type="http://schemas.openxmlformats.org/officeDocument/2006/relationships/hyperlink" Target="https://webgate.ec.europa.eu/CITnet/jira/browse/INTERCOM-71" TargetMode="External"/><Relationship Id="rId42" Type="http://schemas.openxmlformats.org/officeDocument/2006/relationships/hyperlink" Target="https://webgate.ec.europa.eu/CITnet/jira/browse/CCPMO-76" TargetMode="External"/><Relationship Id="rId47" Type="http://schemas.openxmlformats.org/officeDocument/2006/relationships/hyperlink" Target="https://webgate.ec.europa.eu/CITnet/jira/browse/INTERCOM-76" TargetMode="External"/><Relationship Id="rId50" Type="http://schemas.openxmlformats.org/officeDocument/2006/relationships/hyperlink" Target="https://webgate.ec.europa.eu/CITnet/jira/browse/CCTASK-518" TargetMode="External"/><Relationship Id="rId55" Type="http://schemas.openxmlformats.org/officeDocument/2006/relationships/drawing" Target="../drawings/drawing8.xml"/><Relationship Id="rId7" Type="http://schemas.openxmlformats.org/officeDocument/2006/relationships/hyperlink" Target="https://webgate.ec.europa.eu/CITnet/jira/browse/CCARCHITEC-37" TargetMode="External"/><Relationship Id="rId12" Type="http://schemas.openxmlformats.org/officeDocument/2006/relationships/hyperlink" Target="https://webgate.ec.europa.eu/CITnet/jira/browse/CCDOCLIST-157" TargetMode="External"/><Relationship Id="rId17" Type="http://schemas.openxmlformats.org/officeDocument/2006/relationships/hyperlink" Target="https://webgate.ec.europa.eu/CITnet/jira/browse/CCARCHITEC-49" TargetMode="External"/><Relationship Id="rId25" Type="http://schemas.openxmlformats.org/officeDocument/2006/relationships/hyperlink" Target="https://webgate.ec.europa.eu/CITnet/jira/browse/CCTASK-519" TargetMode="External"/><Relationship Id="rId33" Type="http://schemas.openxmlformats.org/officeDocument/2006/relationships/hyperlink" Target="https://webgate.ec.europa.eu/CITnet/jira/browse/INTERCOM-54" TargetMode="External"/><Relationship Id="rId38" Type="http://schemas.openxmlformats.org/officeDocument/2006/relationships/hyperlink" Target="https://webgate.ec.europa.eu/CITnet/jira/browse/PROCESS-33" TargetMode="External"/><Relationship Id="rId46" Type="http://schemas.openxmlformats.org/officeDocument/2006/relationships/hyperlink" Target="https://webgate.ec.europa.eu/CITnet/jira/browse/CCADMIN-44" TargetMode="External"/><Relationship Id="rId2" Type="http://schemas.openxmlformats.org/officeDocument/2006/relationships/hyperlink" Target="https://webgate.ec.europa.eu/CITnet/jira/browse/TSKACTION-217" TargetMode="External"/><Relationship Id="rId16" Type="http://schemas.openxmlformats.org/officeDocument/2006/relationships/hyperlink" Target="https://webgate.ec.europa.eu/CITnet/jira/browse/CCDOCLIST-25" TargetMode="External"/><Relationship Id="rId20" Type="http://schemas.openxmlformats.org/officeDocument/2006/relationships/hyperlink" Target="https://webgate.ec.europa.eu/CITnet/jira/browse/CCDOCLIST-181" TargetMode="External"/><Relationship Id="rId29" Type="http://schemas.openxmlformats.org/officeDocument/2006/relationships/hyperlink" Target="https://webgate.ec.europa.eu/CITnet/jira/browse/CCPMO-77" TargetMode="External"/><Relationship Id="rId41" Type="http://schemas.openxmlformats.org/officeDocument/2006/relationships/hyperlink" Target="https://webgate.ec.europa.eu/CITnet/jira/browse/WAVECC-34" TargetMode="External"/><Relationship Id="rId54" Type="http://schemas.openxmlformats.org/officeDocument/2006/relationships/hyperlink" Target="https://webgate.ec.europa.eu/CITnet/jira/browse/PFM-126" TargetMode="External"/><Relationship Id="rId1" Type="http://schemas.openxmlformats.org/officeDocument/2006/relationships/hyperlink" Target="https://webgate.ec.europa.eu/CITnet/jira/issues/?filter=238855" TargetMode="External"/><Relationship Id="rId6" Type="http://schemas.openxmlformats.org/officeDocument/2006/relationships/hyperlink" Target="https://webgate.ec.europa.eu/CITnet/jira/browse/PROCESS-75" TargetMode="External"/><Relationship Id="rId11" Type="http://schemas.openxmlformats.org/officeDocument/2006/relationships/hyperlink" Target="https://webgate.ec.europa.eu/CITnet/jira/browse/CCDOCLIST-19" TargetMode="External"/><Relationship Id="rId24" Type="http://schemas.openxmlformats.org/officeDocument/2006/relationships/hyperlink" Target="https://webgate.ec.europa.eu/CITnet/jira/browse/CCTASK-476" TargetMode="External"/><Relationship Id="rId32" Type="http://schemas.openxmlformats.org/officeDocument/2006/relationships/hyperlink" Target="https://webgate.ec.europa.eu/CITnet/jira/browse/CCADMIN-42" TargetMode="External"/><Relationship Id="rId37" Type="http://schemas.openxmlformats.org/officeDocument/2006/relationships/hyperlink" Target="https://webgate.ec.europa.eu/CITnet/jira/browse/PFM-125" TargetMode="External"/><Relationship Id="rId40" Type="http://schemas.openxmlformats.org/officeDocument/2006/relationships/hyperlink" Target="https://webgate.ec.europa.eu/CITnet/jira/browse/CCDOCLIST-116" TargetMode="External"/><Relationship Id="rId45" Type="http://schemas.openxmlformats.org/officeDocument/2006/relationships/hyperlink" Target="https://webgate.ec.europa.eu/CITnet/jira/browse/PROCESS-125" TargetMode="External"/><Relationship Id="rId53" Type="http://schemas.openxmlformats.org/officeDocument/2006/relationships/hyperlink" Target="https://webgate.ec.europa.eu/CITnet/jira/browse/PROCESS-96" TargetMode="External"/><Relationship Id="rId5" Type="http://schemas.openxmlformats.org/officeDocument/2006/relationships/hyperlink" Target="https://webgate.ec.europa.eu/CITnet/jira/browse/PROCESS-92" TargetMode="External"/><Relationship Id="rId15" Type="http://schemas.openxmlformats.org/officeDocument/2006/relationships/hyperlink" Target="https://webgate.ec.europa.eu/CITnet/jira/browse/CCDOCLIST-27" TargetMode="External"/><Relationship Id="rId23" Type="http://schemas.openxmlformats.org/officeDocument/2006/relationships/hyperlink" Target="https://webgate.ec.europa.eu/CITnet/jira/browse/CCDOCLIST-174" TargetMode="External"/><Relationship Id="rId28" Type="http://schemas.openxmlformats.org/officeDocument/2006/relationships/hyperlink" Target="https://webgate.ec.europa.eu/CITnet/jira/browse/CCPMO-129" TargetMode="External"/><Relationship Id="rId36" Type="http://schemas.openxmlformats.org/officeDocument/2006/relationships/hyperlink" Target="https://webgate.ec.europa.eu/CITnet/jira/browse/PROCESS-95" TargetMode="External"/><Relationship Id="rId49" Type="http://schemas.openxmlformats.org/officeDocument/2006/relationships/hyperlink" Target="https://webgate.ec.europa.eu/CITnet/jira/browse/INTERCOM-72" TargetMode="External"/><Relationship Id="rId10" Type="http://schemas.openxmlformats.org/officeDocument/2006/relationships/hyperlink" Target="https://webgate.ec.europa.eu/CITnet/jira/browse/CCDOCLIST-156" TargetMode="External"/><Relationship Id="rId19" Type="http://schemas.openxmlformats.org/officeDocument/2006/relationships/hyperlink" Target="https://webgate.ec.europa.eu/CITnet/jira/browse/CCTASK-579" TargetMode="External"/><Relationship Id="rId31" Type="http://schemas.openxmlformats.org/officeDocument/2006/relationships/hyperlink" Target="https://webgate.ec.europa.eu/CITnet/jira/browse/WAVECC-42" TargetMode="External"/><Relationship Id="rId44" Type="http://schemas.openxmlformats.org/officeDocument/2006/relationships/hyperlink" Target="https://webgate.ec.europa.eu/CITnet/jira/browse/CCADMIN-55" TargetMode="External"/><Relationship Id="rId52" Type="http://schemas.openxmlformats.org/officeDocument/2006/relationships/hyperlink" Target="https://webgate.ec.europa.eu/CITnet/jira/browse/INTERCOM-52" TargetMode="External"/><Relationship Id="rId4" Type="http://schemas.openxmlformats.org/officeDocument/2006/relationships/hyperlink" Target="https://webgate.ec.europa.eu/CITnet/jira/browse/PROCESS-44" TargetMode="External"/><Relationship Id="rId9" Type="http://schemas.openxmlformats.org/officeDocument/2006/relationships/hyperlink" Target="https://webgate.ec.europa.eu/CITnet/jira/browse/CCTASK-533" TargetMode="External"/><Relationship Id="rId14" Type="http://schemas.openxmlformats.org/officeDocument/2006/relationships/hyperlink" Target="https://webgate.ec.europa.eu/CITnet/jira/browse/CCDOCLIST-17" TargetMode="External"/><Relationship Id="rId22" Type="http://schemas.openxmlformats.org/officeDocument/2006/relationships/hyperlink" Target="https://webgate.ec.europa.eu/CITnet/jira/browse/CCTASK-272" TargetMode="External"/><Relationship Id="rId27" Type="http://schemas.openxmlformats.org/officeDocument/2006/relationships/hyperlink" Target="https://webgate.ec.europa.eu/CITnet/jira/browse/INTERCOM-55" TargetMode="External"/><Relationship Id="rId30" Type="http://schemas.openxmlformats.org/officeDocument/2006/relationships/hyperlink" Target="https://webgate.ec.europa.eu/CITnet/jira/browse/CCPMO-63" TargetMode="External"/><Relationship Id="rId35" Type="http://schemas.openxmlformats.org/officeDocument/2006/relationships/hyperlink" Target="https://webgate.ec.europa.eu/CITnet/jira/browse/PROCESS-98" TargetMode="External"/><Relationship Id="rId43" Type="http://schemas.openxmlformats.org/officeDocument/2006/relationships/hyperlink" Target="https://webgate.ec.europa.eu/CITnet/jira/browse/INTERCOM-75" TargetMode="External"/><Relationship Id="rId48" Type="http://schemas.openxmlformats.org/officeDocument/2006/relationships/hyperlink" Target="https://webgate.ec.europa.eu/CITnet/jira/browse/INTERCOM-59" TargetMode="External"/><Relationship Id="rId8" Type="http://schemas.openxmlformats.org/officeDocument/2006/relationships/hyperlink" Target="https://webgate.ec.europa.eu/CITnet/jira/browse/COMPCORP-114" TargetMode="External"/><Relationship Id="rId51" Type="http://schemas.openxmlformats.org/officeDocument/2006/relationships/hyperlink" Target="https://webgate.ec.europa.eu/CITnet/jira/browse/PFM-131" TargetMode="External"/><Relationship Id="rId3" Type="http://schemas.openxmlformats.org/officeDocument/2006/relationships/hyperlink" Target="https://webgate.ec.europa.eu/CITnet/jira/browse/CCDOCLIST-165" TargetMode="External"/></Relationships>
</file>

<file path=xl/worksheets/_rels/sheet12.xml.rels><?xml version="1.0" encoding="UTF-8" standalone="yes"?>
<Relationships xmlns="http://schemas.openxmlformats.org/package/2006/relationships"><Relationship Id="rId117" Type="http://schemas.openxmlformats.org/officeDocument/2006/relationships/hyperlink" Target="https://webgate.ec.europa.eu/CITnet/jira/browse/PFM-150" TargetMode="External"/><Relationship Id="rId21" Type="http://schemas.openxmlformats.org/officeDocument/2006/relationships/hyperlink" Target="https://webgate.ec.europa.eu/CITnet/jira/browse/INTERCOM-70" TargetMode="External"/><Relationship Id="rId42" Type="http://schemas.openxmlformats.org/officeDocument/2006/relationships/hyperlink" Target="https://webgate.ec.europa.eu/CITnet/jira/browse/CCPMO-58" TargetMode="External"/><Relationship Id="rId47" Type="http://schemas.openxmlformats.org/officeDocument/2006/relationships/hyperlink" Target="https://webgate.ec.europa.eu/CITnet/jira/browse/CCDOCLIST-172" TargetMode="External"/><Relationship Id="rId63" Type="http://schemas.openxmlformats.org/officeDocument/2006/relationships/hyperlink" Target="https://webgate.ec.europa.eu/CITnet/jira/browse/INTERCOM-58" TargetMode="External"/><Relationship Id="rId68" Type="http://schemas.openxmlformats.org/officeDocument/2006/relationships/hyperlink" Target="https://webgate.ec.europa.eu/CITnet/jira/browse/PROCESS-76" TargetMode="External"/><Relationship Id="rId84" Type="http://schemas.openxmlformats.org/officeDocument/2006/relationships/hyperlink" Target="https://webgate.ec.europa.eu/CITnet/jira/browse/CCTASK-553" TargetMode="External"/><Relationship Id="rId89" Type="http://schemas.openxmlformats.org/officeDocument/2006/relationships/hyperlink" Target="https://webgate.ec.europa.eu/CITnet/jira/browse/CCTASK-567" TargetMode="External"/><Relationship Id="rId112" Type="http://schemas.openxmlformats.org/officeDocument/2006/relationships/hyperlink" Target="https://webgate.ec.europa.eu/CITnet/jira/browse/CCPMO-119" TargetMode="External"/><Relationship Id="rId133" Type="http://schemas.openxmlformats.org/officeDocument/2006/relationships/hyperlink" Target="https://webgate.ec.europa.eu/CITnet/jira/browse/CCTASK-550" TargetMode="External"/><Relationship Id="rId138" Type="http://schemas.openxmlformats.org/officeDocument/2006/relationships/hyperlink" Target="https://webgate.ec.europa.eu/CITnet/jira/browse/INTERCOM-77" TargetMode="External"/><Relationship Id="rId154" Type="http://schemas.openxmlformats.org/officeDocument/2006/relationships/hyperlink" Target="https://webgate.ec.europa.eu/CITnet/jira/browse/INTERCOM-78" TargetMode="External"/><Relationship Id="rId159" Type="http://schemas.openxmlformats.org/officeDocument/2006/relationships/hyperlink" Target="https://webgate.ec.europa.eu/CITnet/jira/browse/CCDOCLIST-186" TargetMode="External"/><Relationship Id="rId175" Type="http://schemas.openxmlformats.org/officeDocument/2006/relationships/hyperlink" Target="https://webgate.ec.europa.eu/CITnet/jira/browse/PROCESS-120" TargetMode="External"/><Relationship Id="rId170" Type="http://schemas.openxmlformats.org/officeDocument/2006/relationships/hyperlink" Target="https://webgate.ec.europa.eu/CITnet/jira/browse/CCTASK-564" TargetMode="External"/><Relationship Id="rId191" Type="http://schemas.openxmlformats.org/officeDocument/2006/relationships/hyperlink" Target="https://webgate.ec.europa.eu/CITnet/jira/browse/PFM-82" TargetMode="External"/><Relationship Id="rId16" Type="http://schemas.openxmlformats.org/officeDocument/2006/relationships/hyperlink" Target="https://webgate.ec.europa.eu/CITnet/jira/browse/COMPASS-247" TargetMode="External"/><Relationship Id="rId107" Type="http://schemas.openxmlformats.org/officeDocument/2006/relationships/hyperlink" Target="https://webgate.ec.europa.eu/CITnet/jira/browse/PROCESS-128" TargetMode="External"/><Relationship Id="rId11" Type="http://schemas.openxmlformats.org/officeDocument/2006/relationships/hyperlink" Target="https://webgate.ec.europa.eu/CITnet/jira/browse/COMPASS-246" TargetMode="External"/><Relationship Id="rId32" Type="http://schemas.openxmlformats.org/officeDocument/2006/relationships/hyperlink" Target="https://webgate.ec.europa.eu/CITnet/jira/browse/COMPASS-202" TargetMode="External"/><Relationship Id="rId37" Type="http://schemas.openxmlformats.org/officeDocument/2006/relationships/hyperlink" Target="https://webgate.ec.europa.eu/CITnet/jira/browse/INTERCOM-36" TargetMode="External"/><Relationship Id="rId53" Type="http://schemas.openxmlformats.org/officeDocument/2006/relationships/hyperlink" Target="https://webgate.ec.europa.eu/CITnet/jira/browse/CCDOCLIST-163" TargetMode="External"/><Relationship Id="rId58" Type="http://schemas.openxmlformats.org/officeDocument/2006/relationships/hyperlink" Target="https://webgate.ec.europa.eu/CITnet/jira/browse/COMPASS-284" TargetMode="External"/><Relationship Id="rId74" Type="http://schemas.openxmlformats.org/officeDocument/2006/relationships/hyperlink" Target="https://webgate.ec.europa.eu/CITnet/jira/browse/PFM-64" TargetMode="External"/><Relationship Id="rId79" Type="http://schemas.openxmlformats.org/officeDocument/2006/relationships/hyperlink" Target="https://webgate.ec.europa.eu/CITnet/jira/browse/PFM-87" TargetMode="External"/><Relationship Id="rId102" Type="http://schemas.openxmlformats.org/officeDocument/2006/relationships/hyperlink" Target="https://webgate.ec.europa.eu/CITnet/jira/browse/PROCESS-111" TargetMode="External"/><Relationship Id="rId123" Type="http://schemas.openxmlformats.org/officeDocument/2006/relationships/hyperlink" Target="https://webgate.ec.europa.eu/CITnet/jira/browse/PFM-49" TargetMode="External"/><Relationship Id="rId128" Type="http://schemas.openxmlformats.org/officeDocument/2006/relationships/hyperlink" Target="https://webgate.ec.europa.eu/CITnet/jira/browse/PROCESS-112" TargetMode="External"/><Relationship Id="rId144" Type="http://schemas.openxmlformats.org/officeDocument/2006/relationships/hyperlink" Target="https://webgate.ec.europa.eu/CITnet/jira/browse/INTERCOM-66" TargetMode="External"/><Relationship Id="rId149" Type="http://schemas.openxmlformats.org/officeDocument/2006/relationships/hyperlink" Target="https://webgate.ec.europa.eu/CITnet/jira/browse/TSKACTION-273" TargetMode="External"/><Relationship Id="rId5" Type="http://schemas.openxmlformats.org/officeDocument/2006/relationships/hyperlink" Target="https://webgate.ec.europa.eu/CITnet/jira/browse/COMPASS-279" TargetMode="External"/><Relationship Id="rId90" Type="http://schemas.openxmlformats.org/officeDocument/2006/relationships/hyperlink" Target="https://webgate.ec.europa.eu/CITnet/jira/browse/CCPMO-79" TargetMode="External"/><Relationship Id="rId95" Type="http://schemas.openxmlformats.org/officeDocument/2006/relationships/hyperlink" Target="https://webgate.ec.europa.eu/CITnet/jira/browse/CCTASK-540" TargetMode="External"/><Relationship Id="rId160" Type="http://schemas.openxmlformats.org/officeDocument/2006/relationships/hyperlink" Target="https://webgate.ec.europa.eu/CITnet/jira/browse/CCTASK-581" TargetMode="External"/><Relationship Id="rId165" Type="http://schemas.openxmlformats.org/officeDocument/2006/relationships/hyperlink" Target="https://webgate.ec.europa.eu/CITnet/jira/browse/CCDOCLIST-142" TargetMode="External"/><Relationship Id="rId181" Type="http://schemas.openxmlformats.org/officeDocument/2006/relationships/hyperlink" Target="https://webgate.ec.europa.eu/CITnet/jira/browse/CCTASK-561" TargetMode="External"/><Relationship Id="rId186" Type="http://schemas.openxmlformats.org/officeDocument/2006/relationships/hyperlink" Target="https://webgate.ec.europa.eu/CITnet/jira/browse/PFM-68" TargetMode="External"/><Relationship Id="rId22" Type="http://schemas.openxmlformats.org/officeDocument/2006/relationships/hyperlink" Target="https://webgate.ec.europa.eu/CITnet/jira/browse/CCADMIN-52" TargetMode="External"/><Relationship Id="rId27" Type="http://schemas.openxmlformats.org/officeDocument/2006/relationships/hyperlink" Target="https://webgate.ec.europa.eu/CITnet/jira/browse/PFM-116" TargetMode="External"/><Relationship Id="rId43" Type="http://schemas.openxmlformats.org/officeDocument/2006/relationships/hyperlink" Target="https://webgate.ec.europa.eu/CITnet/jira/browse/WAVECC-43" TargetMode="External"/><Relationship Id="rId48" Type="http://schemas.openxmlformats.org/officeDocument/2006/relationships/hyperlink" Target="https://webgate.ec.europa.eu/CITnet/jira/browse/CCADMIN-47" TargetMode="External"/><Relationship Id="rId64" Type="http://schemas.openxmlformats.org/officeDocument/2006/relationships/hyperlink" Target="https://webgate.ec.europa.eu/CITnet/jira/browse/INTERCOM-57" TargetMode="External"/><Relationship Id="rId69" Type="http://schemas.openxmlformats.org/officeDocument/2006/relationships/hyperlink" Target="https://webgate.ec.europa.eu/CITnet/jira/browse/CCADMIN-15" TargetMode="External"/><Relationship Id="rId113" Type="http://schemas.openxmlformats.org/officeDocument/2006/relationships/hyperlink" Target="https://webgate.ec.europa.eu/CITnet/jira/browse/CCPMO-95" TargetMode="External"/><Relationship Id="rId118" Type="http://schemas.openxmlformats.org/officeDocument/2006/relationships/hyperlink" Target="https://webgate.ec.europa.eu/CITnet/jira/browse/CCADMIN-14" TargetMode="External"/><Relationship Id="rId134" Type="http://schemas.openxmlformats.org/officeDocument/2006/relationships/hyperlink" Target="https://webgate.ec.europa.eu/CITnet/jira/browse/WAVECC-35" TargetMode="External"/><Relationship Id="rId139" Type="http://schemas.openxmlformats.org/officeDocument/2006/relationships/hyperlink" Target="https://webgate.ec.europa.eu/CITnet/jira/browse/CCDOCLIST-190" TargetMode="External"/><Relationship Id="rId80" Type="http://schemas.openxmlformats.org/officeDocument/2006/relationships/hyperlink" Target="https://webgate.ec.europa.eu/CITnet/jira/browse/CCDOCLIST-121" TargetMode="External"/><Relationship Id="rId85" Type="http://schemas.openxmlformats.org/officeDocument/2006/relationships/hyperlink" Target="https://webgate.ec.europa.eu/CITnet/jira/browse/CCTASK-551" TargetMode="External"/><Relationship Id="rId150" Type="http://schemas.openxmlformats.org/officeDocument/2006/relationships/hyperlink" Target="https://webgate.ec.europa.eu/CITnet/jira/browse/CCTASK-584" TargetMode="External"/><Relationship Id="rId155" Type="http://schemas.openxmlformats.org/officeDocument/2006/relationships/hyperlink" Target="https://webgate.ec.europa.eu/CITnet/jira/browse/CCTASK-593" TargetMode="External"/><Relationship Id="rId171" Type="http://schemas.openxmlformats.org/officeDocument/2006/relationships/hyperlink" Target="https://webgate.ec.europa.eu/CITnet/jira/browse/CCDOCLIST-173" TargetMode="External"/><Relationship Id="rId176" Type="http://schemas.openxmlformats.org/officeDocument/2006/relationships/hyperlink" Target="https://webgate.ec.europa.eu/CITnet/jira/browse/PROCESS-121" TargetMode="External"/><Relationship Id="rId192" Type="http://schemas.openxmlformats.org/officeDocument/2006/relationships/hyperlink" Target="https://webgate.ec.europa.eu/CITnet/jira/browse/CCDOCLIST-122" TargetMode="External"/><Relationship Id="rId12" Type="http://schemas.openxmlformats.org/officeDocument/2006/relationships/hyperlink" Target="https://webgate.ec.europa.eu/CITnet/jira/browse/COMPASS-243" TargetMode="External"/><Relationship Id="rId17" Type="http://schemas.openxmlformats.org/officeDocument/2006/relationships/hyperlink" Target="https://webgate.ec.europa.eu/CITnet/jira/browse/COMPASS-248" TargetMode="External"/><Relationship Id="rId33" Type="http://schemas.openxmlformats.org/officeDocument/2006/relationships/hyperlink" Target="https://webgate.ec.europa.eu/CITnet/jira/browse/COMPASS-206" TargetMode="External"/><Relationship Id="rId38" Type="http://schemas.openxmlformats.org/officeDocument/2006/relationships/hyperlink" Target="https://webgate.ec.europa.eu/CITnet/jira/browse/INTERCOM-41" TargetMode="External"/><Relationship Id="rId59" Type="http://schemas.openxmlformats.org/officeDocument/2006/relationships/hyperlink" Target="https://webgate.ec.europa.eu/CITnet/jira/browse/COMPASS-283" TargetMode="External"/><Relationship Id="rId103" Type="http://schemas.openxmlformats.org/officeDocument/2006/relationships/hyperlink" Target="https://webgate.ec.europa.eu/CITnet/jira/browse/PROCESS-108" TargetMode="External"/><Relationship Id="rId108" Type="http://schemas.openxmlformats.org/officeDocument/2006/relationships/hyperlink" Target="https://webgate.ec.europa.eu/CITnet/jira/browse/PFM-110" TargetMode="External"/><Relationship Id="rId124" Type="http://schemas.openxmlformats.org/officeDocument/2006/relationships/hyperlink" Target="https://webgate.ec.europa.eu/CITnet/jira/browse/PFM-8" TargetMode="External"/><Relationship Id="rId129" Type="http://schemas.openxmlformats.org/officeDocument/2006/relationships/hyperlink" Target="https://webgate.ec.europa.eu/CITnet/jira/browse/PROCESS-116" TargetMode="External"/><Relationship Id="rId54" Type="http://schemas.openxmlformats.org/officeDocument/2006/relationships/hyperlink" Target="https://webgate.ec.europa.eu/CITnet/jira/browse/CCTASK-538" TargetMode="External"/><Relationship Id="rId70" Type="http://schemas.openxmlformats.org/officeDocument/2006/relationships/hyperlink" Target="https://webgate.ec.europa.eu/CITnet/jira/browse/CCADMIN-16" TargetMode="External"/><Relationship Id="rId75" Type="http://schemas.openxmlformats.org/officeDocument/2006/relationships/hyperlink" Target="https://webgate.ec.europa.eu/CITnet/jira/browse/PFM-56" TargetMode="External"/><Relationship Id="rId91" Type="http://schemas.openxmlformats.org/officeDocument/2006/relationships/hyperlink" Target="https://webgate.ec.europa.eu/CITnet/jira/browse/CCTASK-423" TargetMode="External"/><Relationship Id="rId96" Type="http://schemas.openxmlformats.org/officeDocument/2006/relationships/hyperlink" Target="https://webgate.ec.europa.eu/CITnet/jira/browse/PFM-142" TargetMode="External"/><Relationship Id="rId140" Type="http://schemas.openxmlformats.org/officeDocument/2006/relationships/hyperlink" Target="https://webgate.ec.europa.eu/CITnet/jira/browse/CCTASK-592" TargetMode="External"/><Relationship Id="rId145" Type="http://schemas.openxmlformats.org/officeDocument/2006/relationships/hyperlink" Target="https://webgate.ec.europa.eu/CITnet/jira/browse/PFM-143" TargetMode="External"/><Relationship Id="rId161" Type="http://schemas.openxmlformats.org/officeDocument/2006/relationships/hyperlink" Target="https://webgate.ec.europa.eu/CITnet/jira/browse/COMPASS-293" TargetMode="External"/><Relationship Id="rId166" Type="http://schemas.openxmlformats.org/officeDocument/2006/relationships/hyperlink" Target="https://webgate.ec.europa.eu/CITnet/jira/browse/COMPASS-208" TargetMode="External"/><Relationship Id="rId182" Type="http://schemas.openxmlformats.org/officeDocument/2006/relationships/hyperlink" Target="https://webgate.ec.europa.eu/CITnet/jira/browse/TSKACTION-260" TargetMode="External"/><Relationship Id="rId187" Type="http://schemas.openxmlformats.org/officeDocument/2006/relationships/hyperlink" Target="https://webgate.ec.europa.eu/CITnet/jira/browse/PFM-59" TargetMode="External"/><Relationship Id="rId1" Type="http://schemas.openxmlformats.org/officeDocument/2006/relationships/hyperlink" Target="https://webgate.ec.europa.eu/CITnet/jira/issues/?jql=issuetype+in+%28Story%29+AND+project+in+%28COMPCORP%2C+CCADMIN%2C+CCARCHITEC%2C+CCDOCLIST%2C+ECKL%2C+CCINFRAEC%2C+INTERCOM%2C+CCPMO%2C+PFM%2C+PROCESS%2C+CCTASK%2C+TSKACTION%2C+WAVECC%2C+COMPASS%29+AND+%28fixversion+in+%28COMPCORP-PI4%2C+COMPCORP-PI3%2C+COMPCORP-PI2%2C+COMPCORP-PI1%29+OR+sprint+in+%28%22CC+Process+Centre+PI4+It1%22%2C+%22CC+Portfolio+Manager+PI4+It1%22%2C+%22Comp+Corp+RTD+PI4+It1%22%2C+%22Comp+Corp+REGIO+PI4+It1%22%2C+%22EC+eUI+My+Workplace+PI9+It1%22%2C+COMCORP-PMO-4.1%2C+%22CC+Process+Centre+PI4+It2%22%2C+%22CC+Portfolio+Manager+PI4+It2%22%2C+%22Comp+Corp+RTD+PI4+It2%22%2C+%22Comp+Corp+REGIO+PI4+It2%22%2C+%22EC+eUI+My+Workplace+PI9+It2%22%2C+COMCORP-PMO-4.2%2C+%22CC+Process+Centre+PI4+It3%22%2C+%22CC+Portfolio+Manager+PI4+It3%22%2C+%22Comp+Corp+RTD+PI4+It3%22%2C+%22Comp+Corp+REGIO+PI4+It3%22%2C+%22EC+eUI+My+Workplace+PI9+It3%22%2C+%22CC+Process+Centre+PI4+It4%22%2C+%22CC+Portfolio+Manager+PI4+It4%22%2C+%22Comp+Corp+RTD+PI4+It4%22%2C+%22Comp+Corp+REGIO+PI4+It4%22%2C+%22EC+eUI+My+Workplace+PI9+It4%22%2C+%22CC+Process+Centre+PI4+It5%22%2C+%22CC+Portfolio+Manager+PI4+It5%22%2C+%22Comp+Corp+RTD+PI4+It5%22%2C+%22Comp+Corp+REGIO+PI4+It5%22%2C+%22EC+eUI+My+Workplace+PI9+It5%22%29%29+ORDER+BY+status+DESC" TargetMode="External"/><Relationship Id="rId6" Type="http://schemas.openxmlformats.org/officeDocument/2006/relationships/hyperlink" Target="https://webgate.ec.europa.eu/CITnet/jira/browse/PROCESS-124" TargetMode="External"/><Relationship Id="rId23" Type="http://schemas.openxmlformats.org/officeDocument/2006/relationships/hyperlink" Target="https://webgate.ec.europa.eu/CITnet/jira/browse/INTERCOM-65" TargetMode="External"/><Relationship Id="rId28" Type="http://schemas.openxmlformats.org/officeDocument/2006/relationships/hyperlink" Target="https://webgate.ec.europa.eu/CITnet/jira/browse/TSKACTION-219" TargetMode="External"/><Relationship Id="rId49" Type="http://schemas.openxmlformats.org/officeDocument/2006/relationships/hyperlink" Target="https://webgate.ec.europa.eu/CITnet/jira/browse/CCADMIN-46" TargetMode="External"/><Relationship Id="rId114" Type="http://schemas.openxmlformats.org/officeDocument/2006/relationships/hyperlink" Target="https://webgate.ec.europa.eu/CITnet/jira/browse/CCTASK-562" TargetMode="External"/><Relationship Id="rId119" Type="http://schemas.openxmlformats.org/officeDocument/2006/relationships/hyperlink" Target="https://webgate.ec.europa.eu/CITnet/jira/browse/PFM-73" TargetMode="External"/><Relationship Id="rId44" Type="http://schemas.openxmlformats.org/officeDocument/2006/relationships/hyperlink" Target="https://webgate.ec.europa.eu/CITnet/jira/browse/INTERCOM-60" TargetMode="External"/><Relationship Id="rId60" Type="http://schemas.openxmlformats.org/officeDocument/2006/relationships/hyperlink" Target="https://webgate.ec.europa.eu/CITnet/jira/browse/COMPASS-281" TargetMode="External"/><Relationship Id="rId65" Type="http://schemas.openxmlformats.org/officeDocument/2006/relationships/hyperlink" Target="https://webgate.ec.europa.eu/CITnet/jira/browse/INTERCOM-56" TargetMode="External"/><Relationship Id="rId81" Type="http://schemas.openxmlformats.org/officeDocument/2006/relationships/hyperlink" Target="https://webgate.ec.europa.eu/CITnet/jira/browse/PFM-81" TargetMode="External"/><Relationship Id="rId86" Type="http://schemas.openxmlformats.org/officeDocument/2006/relationships/hyperlink" Target="https://webgate.ec.europa.eu/CITnet/jira/browse/CCDOCLIST-183" TargetMode="External"/><Relationship Id="rId130" Type="http://schemas.openxmlformats.org/officeDocument/2006/relationships/hyperlink" Target="https://webgate.ec.europa.eu/CITnet/jira/browse/PROCESS-115" TargetMode="External"/><Relationship Id="rId135" Type="http://schemas.openxmlformats.org/officeDocument/2006/relationships/hyperlink" Target="https://webgate.ec.europa.eu/CITnet/jira/browse/INTERCOM-90" TargetMode="External"/><Relationship Id="rId151" Type="http://schemas.openxmlformats.org/officeDocument/2006/relationships/hyperlink" Target="https://webgate.ec.europa.eu/CITnet/jira/browse/CCTASK-512" TargetMode="External"/><Relationship Id="rId156" Type="http://schemas.openxmlformats.org/officeDocument/2006/relationships/hyperlink" Target="https://webgate.ec.europa.eu/CITnet/jira/browse/CCTASK-591" TargetMode="External"/><Relationship Id="rId177" Type="http://schemas.openxmlformats.org/officeDocument/2006/relationships/hyperlink" Target="https://webgate.ec.europa.eu/CITnet/jira/browse/PROCESS-122" TargetMode="External"/><Relationship Id="rId172" Type="http://schemas.openxmlformats.org/officeDocument/2006/relationships/hyperlink" Target="https://webgate.ec.europa.eu/CITnet/jira/browse/PFM-147" TargetMode="External"/><Relationship Id="rId193" Type="http://schemas.openxmlformats.org/officeDocument/2006/relationships/drawing" Target="../drawings/drawing9.xml"/><Relationship Id="rId13" Type="http://schemas.openxmlformats.org/officeDocument/2006/relationships/hyperlink" Target="https://webgate.ec.europa.eu/CITnet/jira/browse/COMPASS-242" TargetMode="External"/><Relationship Id="rId18" Type="http://schemas.openxmlformats.org/officeDocument/2006/relationships/hyperlink" Target="https://webgate.ec.europa.eu/CITnet/jira/browse/INTERCOM-74" TargetMode="External"/><Relationship Id="rId39" Type="http://schemas.openxmlformats.org/officeDocument/2006/relationships/hyperlink" Target="https://webgate.ec.europa.eu/CITnet/jira/browse/PFM-114" TargetMode="External"/><Relationship Id="rId109" Type="http://schemas.openxmlformats.org/officeDocument/2006/relationships/hyperlink" Target="https://webgate.ec.europa.eu/CITnet/jira/browse/INTERCOM-43" TargetMode="External"/><Relationship Id="rId34" Type="http://schemas.openxmlformats.org/officeDocument/2006/relationships/hyperlink" Target="https://webgate.ec.europa.eu/CITnet/jira/browse/COMPASS-210" TargetMode="External"/><Relationship Id="rId50" Type="http://schemas.openxmlformats.org/officeDocument/2006/relationships/hyperlink" Target="https://webgate.ec.europa.eu/CITnet/jira/browse/CCADMIN-45" TargetMode="External"/><Relationship Id="rId55" Type="http://schemas.openxmlformats.org/officeDocument/2006/relationships/hyperlink" Target="https://webgate.ec.europa.eu/CITnet/jira/browse/CCTASK-536" TargetMode="External"/><Relationship Id="rId76" Type="http://schemas.openxmlformats.org/officeDocument/2006/relationships/hyperlink" Target="https://webgate.ec.europa.eu/CITnet/jira/browse/PFM-53" TargetMode="External"/><Relationship Id="rId97" Type="http://schemas.openxmlformats.org/officeDocument/2006/relationships/hyperlink" Target="https://webgate.ec.europa.eu/CITnet/jira/browse/PFM-153" TargetMode="External"/><Relationship Id="rId104" Type="http://schemas.openxmlformats.org/officeDocument/2006/relationships/hyperlink" Target="https://webgate.ec.europa.eu/CITnet/jira/browse/PROCESS-109" TargetMode="External"/><Relationship Id="rId120" Type="http://schemas.openxmlformats.org/officeDocument/2006/relationships/hyperlink" Target="https://webgate.ec.europa.eu/CITnet/jira/browse/PFM-63" TargetMode="External"/><Relationship Id="rId125" Type="http://schemas.openxmlformats.org/officeDocument/2006/relationships/hyperlink" Target="https://webgate.ec.europa.eu/CITnet/jira/browse/PFM-92" TargetMode="External"/><Relationship Id="rId141" Type="http://schemas.openxmlformats.org/officeDocument/2006/relationships/hyperlink" Target="https://webgate.ec.europa.eu/CITnet/jira/browse/CCTASK-590" TargetMode="External"/><Relationship Id="rId146" Type="http://schemas.openxmlformats.org/officeDocument/2006/relationships/hyperlink" Target="https://webgate.ec.europa.eu/CITnet/jira/browse/CCTASK-291" TargetMode="External"/><Relationship Id="rId167" Type="http://schemas.openxmlformats.org/officeDocument/2006/relationships/hyperlink" Target="https://webgate.ec.europa.eu/CITnet/jira/browse/CCTASK-455" TargetMode="External"/><Relationship Id="rId188" Type="http://schemas.openxmlformats.org/officeDocument/2006/relationships/hyperlink" Target="https://webgate.ec.europa.eu/CITnet/jira/browse/PFM-52" TargetMode="External"/><Relationship Id="rId7" Type="http://schemas.openxmlformats.org/officeDocument/2006/relationships/hyperlink" Target="https://webgate.ec.europa.eu/CITnet/jira/browse/CCDOCLIST-169" TargetMode="External"/><Relationship Id="rId71" Type="http://schemas.openxmlformats.org/officeDocument/2006/relationships/hyperlink" Target="https://webgate.ec.europa.eu/CITnet/jira/browse/CCADMIN-13" TargetMode="External"/><Relationship Id="rId92" Type="http://schemas.openxmlformats.org/officeDocument/2006/relationships/hyperlink" Target="https://webgate.ec.europa.eu/CITnet/jira/browse/TSKACTION-237" TargetMode="External"/><Relationship Id="rId162" Type="http://schemas.openxmlformats.org/officeDocument/2006/relationships/hyperlink" Target="https://webgate.ec.europa.eu/CITnet/jira/browse/TSKACTION-271" TargetMode="External"/><Relationship Id="rId183" Type="http://schemas.openxmlformats.org/officeDocument/2006/relationships/hyperlink" Target="https://webgate.ec.europa.eu/CITnet/jira/browse/PROCESS-74" TargetMode="External"/><Relationship Id="rId2" Type="http://schemas.openxmlformats.org/officeDocument/2006/relationships/hyperlink" Target="https://webgate.ec.europa.eu/CITnet/jira/browse/COMPASS-277" TargetMode="External"/><Relationship Id="rId29" Type="http://schemas.openxmlformats.org/officeDocument/2006/relationships/hyperlink" Target="https://webgate.ec.europa.eu/CITnet/jira/browse/TSKACTION-218" TargetMode="External"/><Relationship Id="rId24" Type="http://schemas.openxmlformats.org/officeDocument/2006/relationships/hyperlink" Target="https://webgate.ec.europa.eu/CITnet/jira/browse/INTERCOM-64" TargetMode="External"/><Relationship Id="rId40" Type="http://schemas.openxmlformats.org/officeDocument/2006/relationships/hyperlink" Target="https://webgate.ec.europa.eu/CITnet/jira/browse/CCPMO-59" TargetMode="External"/><Relationship Id="rId45" Type="http://schemas.openxmlformats.org/officeDocument/2006/relationships/hyperlink" Target="https://webgate.ec.europa.eu/CITnet/jira/browse/CCADMIN-51" TargetMode="External"/><Relationship Id="rId66" Type="http://schemas.openxmlformats.org/officeDocument/2006/relationships/hyperlink" Target="https://webgate.ec.europa.eu/CITnet/jira/browse/CCTASK-547" TargetMode="External"/><Relationship Id="rId87" Type="http://schemas.openxmlformats.org/officeDocument/2006/relationships/hyperlink" Target="https://webgate.ec.europa.eu/CITnet/jira/browse/CCPMO-103" TargetMode="External"/><Relationship Id="rId110" Type="http://schemas.openxmlformats.org/officeDocument/2006/relationships/hyperlink" Target="https://webgate.ec.europa.eu/CITnet/jira/browse/WAVECC-6" TargetMode="External"/><Relationship Id="rId115" Type="http://schemas.openxmlformats.org/officeDocument/2006/relationships/hyperlink" Target="https://webgate.ec.europa.eu/CITnet/jira/browse/PFM-148" TargetMode="External"/><Relationship Id="rId131" Type="http://schemas.openxmlformats.org/officeDocument/2006/relationships/hyperlink" Target="https://webgate.ec.europa.eu/CITnet/jira/browse/CCDOCLIST-171" TargetMode="External"/><Relationship Id="rId136" Type="http://schemas.openxmlformats.org/officeDocument/2006/relationships/hyperlink" Target="https://webgate.ec.europa.eu/CITnet/jira/browse/INTERCOM-89" TargetMode="External"/><Relationship Id="rId157" Type="http://schemas.openxmlformats.org/officeDocument/2006/relationships/hyperlink" Target="https://webgate.ec.europa.eu/CITnet/jira/browse/COMPASS-298" TargetMode="External"/><Relationship Id="rId178" Type="http://schemas.openxmlformats.org/officeDocument/2006/relationships/hyperlink" Target="https://webgate.ec.europa.eu/CITnet/jira/browse/PROCESS-114" TargetMode="External"/><Relationship Id="rId61" Type="http://schemas.openxmlformats.org/officeDocument/2006/relationships/hyperlink" Target="https://webgate.ec.europa.eu/CITnet/jira/browse/COMPASS-282" TargetMode="External"/><Relationship Id="rId82" Type="http://schemas.openxmlformats.org/officeDocument/2006/relationships/hyperlink" Target="https://webgate.ec.europa.eu/CITnet/jira/browse/CCDOCLIST-161" TargetMode="External"/><Relationship Id="rId152" Type="http://schemas.openxmlformats.org/officeDocument/2006/relationships/hyperlink" Target="https://webgate.ec.europa.eu/CITnet/jira/browse/CCTASK-522" TargetMode="External"/><Relationship Id="rId173" Type="http://schemas.openxmlformats.org/officeDocument/2006/relationships/hyperlink" Target="https://webgate.ec.europa.eu/CITnet/jira/browse/PFM-146" TargetMode="External"/><Relationship Id="rId19" Type="http://schemas.openxmlformats.org/officeDocument/2006/relationships/hyperlink" Target="https://webgate.ec.europa.eu/CITnet/jira/browse/INTERCOM-73" TargetMode="External"/><Relationship Id="rId14" Type="http://schemas.openxmlformats.org/officeDocument/2006/relationships/hyperlink" Target="https://webgate.ec.europa.eu/CITnet/jira/browse/COMPASS-241" TargetMode="External"/><Relationship Id="rId30" Type="http://schemas.openxmlformats.org/officeDocument/2006/relationships/hyperlink" Target="https://webgate.ec.europa.eu/CITnet/jira/browse/PROCESS-86" TargetMode="External"/><Relationship Id="rId35" Type="http://schemas.openxmlformats.org/officeDocument/2006/relationships/hyperlink" Target="https://webgate.ec.europa.eu/CITnet/jira/browse/CCPMO-46" TargetMode="External"/><Relationship Id="rId56" Type="http://schemas.openxmlformats.org/officeDocument/2006/relationships/hyperlink" Target="https://webgate.ec.europa.eu/CITnet/jira/browse/COMPASS-274" TargetMode="External"/><Relationship Id="rId77" Type="http://schemas.openxmlformats.org/officeDocument/2006/relationships/hyperlink" Target="https://webgate.ec.europa.eu/CITnet/jira/browse/PFM-51" TargetMode="External"/><Relationship Id="rId100" Type="http://schemas.openxmlformats.org/officeDocument/2006/relationships/hyperlink" Target="https://webgate.ec.europa.eu/CITnet/jira/browse/PFM-151" TargetMode="External"/><Relationship Id="rId105" Type="http://schemas.openxmlformats.org/officeDocument/2006/relationships/hyperlink" Target="https://webgate.ec.europa.eu/CITnet/jira/browse/PROCESS-107" TargetMode="External"/><Relationship Id="rId126" Type="http://schemas.openxmlformats.org/officeDocument/2006/relationships/hyperlink" Target="https://webgate.ec.europa.eu/CITnet/jira/browse/PFM-91" TargetMode="External"/><Relationship Id="rId147" Type="http://schemas.openxmlformats.org/officeDocument/2006/relationships/hyperlink" Target="https://webgate.ec.europa.eu/CITnet/jira/browse/TSKACTION-216" TargetMode="External"/><Relationship Id="rId168" Type="http://schemas.openxmlformats.org/officeDocument/2006/relationships/hyperlink" Target="https://webgate.ec.europa.eu/CITnet/jira/browse/CCPMO-62" TargetMode="External"/><Relationship Id="rId8" Type="http://schemas.openxmlformats.org/officeDocument/2006/relationships/hyperlink" Target="https://webgate.ec.europa.eu/CITnet/jira/browse/CCDOCLIST-167" TargetMode="External"/><Relationship Id="rId51" Type="http://schemas.openxmlformats.org/officeDocument/2006/relationships/hyperlink" Target="https://webgate.ec.europa.eu/CITnet/jira/browse/CCADMIN-43" TargetMode="External"/><Relationship Id="rId72" Type="http://schemas.openxmlformats.org/officeDocument/2006/relationships/hyperlink" Target="https://webgate.ec.europa.eu/CITnet/jira/browse/CCADMIN-12" TargetMode="External"/><Relationship Id="rId93" Type="http://schemas.openxmlformats.org/officeDocument/2006/relationships/hyperlink" Target="https://webgate.ec.europa.eu/CITnet/jira/browse/CCADMIN-48" TargetMode="External"/><Relationship Id="rId98" Type="http://schemas.openxmlformats.org/officeDocument/2006/relationships/hyperlink" Target="https://webgate.ec.europa.eu/CITnet/jira/browse/CCDOCLIST-117" TargetMode="External"/><Relationship Id="rId121" Type="http://schemas.openxmlformats.org/officeDocument/2006/relationships/hyperlink" Target="https://webgate.ec.europa.eu/CITnet/jira/browse/PFM-54" TargetMode="External"/><Relationship Id="rId142" Type="http://schemas.openxmlformats.org/officeDocument/2006/relationships/hyperlink" Target="https://webgate.ec.europa.eu/CITnet/jira/browse/WAVECC-44" TargetMode="External"/><Relationship Id="rId163" Type="http://schemas.openxmlformats.org/officeDocument/2006/relationships/hyperlink" Target="https://webgate.ec.europa.eu/CITnet/jira/browse/CCDOCLIST-184" TargetMode="External"/><Relationship Id="rId184" Type="http://schemas.openxmlformats.org/officeDocument/2006/relationships/hyperlink" Target="https://webgate.ec.europa.eu/CITnet/jira/browse/PFM-71" TargetMode="External"/><Relationship Id="rId189" Type="http://schemas.openxmlformats.org/officeDocument/2006/relationships/hyperlink" Target="https://webgate.ec.europa.eu/CITnet/jira/browse/PROCESS-48" TargetMode="External"/><Relationship Id="rId3" Type="http://schemas.openxmlformats.org/officeDocument/2006/relationships/hyperlink" Target="https://webgate.ec.europa.eu/CITnet/jira/browse/COMPASS-278" TargetMode="External"/><Relationship Id="rId25" Type="http://schemas.openxmlformats.org/officeDocument/2006/relationships/hyperlink" Target="https://webgate.ec.europa.eu/CITnet/jira/browse/CCADMIN-56" TargetMode="External"/><Relationship Id="rId46" Type="http://schemas.openxmlformats.org/officeDocument/2006/relationships/hyperlink" Target="https://webgate.ec.europa.eu/CITnet/jira/browse/CCTASK-563" TargetMode="External"/><Relationship Id="rId67" Type="http://schemas.openxmlformats.org/officeDocument/2006/relationships/hyperlink" Target="https://webgate.ec.europa.eu/CITnet/jira/browse/CCDOCLIST-159" TargetMode="External"/><Relationship Id="rId116" Type="http://schemas.openxmlformats.org/officeDocument/2006/relationships/hyperlink" Target="https://webgate.ec.europa.eu/CITnet/jira/browse/PFM-149" TargetMode="External"/><Relationship Id="rId137" Type="http://schemas.openxmlformats.org/officeDocument/2006/relationships/hyperlink" Target="https://webgate.ec.europa.eu/CITnet/jira/browse/INTERCOM-83" TargetMode="External"/><Relationship Id="rId158" Type="http://schemas.openxmlformats.org/officeDocument/2006/relationships/hyperlink" Target="https://webgate.ec.europa.eu/CITnet/jira/browse/COMPASS-299" TargetMode="External"/><Relationship Id="rId20" Type="http://schemas.openxmlformats.org/officeDocument/2006/relationships/hyperlink" Target="https://webgate.ec.europa.eu/CITnet/jira/browse/CCADMIN-53" TargetMode="External"/><Relationship Id="rId41" Type="http://schemas.openxmlformats.org/officeDocument/2006/relationships/hyperlink" Target="https://webgate.ec.europa.eu/CITnet/jira/browse/PROCESS-89" TargetMode="External"/><Relationship Id="rId62" Type="http://schemas.openxmlformats.org/officeDocument/2006/relationships/hyperlink" Target="https://webgate.ec.europa.eu/CITnet/jira/browse/PFM-155" TargetMode="External"/><Relationship Id="rId83" Type="http://schemas.openxmlformats.org/officeDocument/2006/relationships/hyperlink" Target="https://webgate.ec.europa.eu/CITnet/jira/browse/CCDOCLIST-166" TargetMode="External"/><Relationship Id="rId88" Type="http://schemas.openxmlformats.org/officeDocument/2006/relationships/hyperlink" Target="https://webgate.ec.europa.eu/CITnet/jira/browse/CCPMO-111" TargetMode="External"/><Relationship Id="rId111" Type="http://schemas.openxmlformats.org/officeDocument/2006/relationships/hyperlink" Target="https://webgate.ec.europa.eu/CITnet/jira/browse/CCPMO-87" TargetMode="External"/><Relationship Id="rId132" Type="http://schemas.openxmlformats.org/officeDocument/2006/relationships/hyperlink" Target="https://webgate.ec.europa.eu/CITnet/jira/browse/CCTASK-552" TargetMode="External"/><Relationship Id="rId153" Type="http://schemas.openxmlformats.org/officeDocument/2006/relationships/hyperlink" Target="https://webgate.ec.europa.eu/CITnet/jira/browse/INTERCOM-79" TargetMode="External"/><Relationship Id="rId174" Type="http://schemas.openxmlformats.org/officeDocument/2006/relationships/hyperlink" Target="https://webgate.ec.europa.eu/CITnet/jira/browse/PROCESS-118" TargetMode="External"/><Relationship Id="rId179" Type="http://schemas.openxmlformats.org/officeDocument/2006/relationships/hyperlink" Target="https://webgate.ec.europa.eu/CITnet/jira/browse/PROCESS-119" TargetMode="External"/><Relationship Id="rId190" Type="http://schemas.openxmlformats.org/officeDocument/2006/relationships/hyperlink" Target="https://webgate.ec.europa.eu/CITnet/jira/browse/PROCESS-49" TargetMode="External"/><Relationship Id="rId15" Type="http://schemas.openxmlformats.org/officeDocument/2006/relationships/hyperlink" Target="https://webgate.ec.europa.eu/CITnet/jira/browse/COMPASS-240" TargetMode="External"/><Relationship Id="rId36" Type="http://schemas.openxmlformats.org/officeDocument/2006/relationships/hyperlink" Target="https://webgate.ec.europa.eu/CITnet/jira/browse/WAVECC-7" TargetMode="External"/><Relationship Id="rId57" Type="http://schemas.openxmlformats.org/officeDocument/2006/relationships/hyperlink" Target="https://webgate.ec.europa.eu/CITnet/jira/browse/PFM-144" TargetMode="External"/><Relationship Id="rId106" Type="http://schemas.openxmlformats.org/officeDocument/2006/relationships/hyperlink" Target="https://webgate.ec.europa.eu/CITnet/jira/browse/PROCESS-129" TargetMode="External"/><Relationship Id="rId127" Type="http://schemas.openxmlformats.org/officeDocument/2006/relationships/hyperlink" Target="https://webgate.ec.europa.eu/CITnet/jira/browse/PROCESS-113" TargetMode="External"/><Relationship Id="rId10" Type="http://schemas.openxmlformats.org/officeDocument/2006/relationships/hyperlink" Target="https://webgate.ec.europa.eu/CITnet/jira/browse/COMPASS-245" TargetMode="External"/><Relationship Id="rId31" Type="http://schemas.openxmlformats.org/officeDocument/2006/relationships/hyperlink" Target="https://webgate.ec.europa.eu/CITnet/jira/browse/COMPASS-201" TargetMode="External"/><Relationship Id="rId52" Type="http://schemas.openxmlformats.org/officeDocument/2006/relationships/hyperlink" Target="https://webgate.ec.europa.eu/CITnet/jira/browse/INTERCOM-53" TargetMode="External"/><Relationship Id="rId73" Type="http://schemas.openxmlformats.org/officeDocument/2006/relationships/hyperlink" Target="https://webgate.ec.europa.eu/CITnet/jira/browse/CCDOCLIST-63" TargetMode="External"/><Relationship Id="rId78" Type="http://schemas.openxmlformats.org/officeDocument/2006/relationships/hyperlink" Target="https://webgate.ec.europa.eu/CITnet/jira/browse/CCDOCLIST-62" TargetMode="External"/><Relationship Id="rId94" Type="http://schemas.openxmlformats.org/officeDocument/2006/relationships/hyperlink" Target="https://webgate.ec.europa.eu/CITnet/jira/browse/PROCESS-90" TargetMode="External"/><Relationship Id="rId99" Type="http://schemas.openxmlformats.org/officeDocument/2006/relationships/hyperlink" Target="https://webgate.ec.europa.eu/CITnet/jira/browse/PFM-152" TargetMode="External"/><Relationship Id="rId101" Type="http://schemas.openxmlformats.org/officeDocument/2006/relationships/hyperlink" Target="https://webgate.ec.europa.eu/CITnet/jira/browse/PROCESS-110" TargetMode="External"/><Relationship Id="rId122" Type="http://schemas.openxmlformats.org/officeDocument/2006/relationships/hyperlink" Target="https://webgate.ec.europa.eu/CITnet/jira/browse/PFM-50" TargetMode="External"/><Relationship Id="rId143" Type="http://schemas.openxmlformats.org/officeDocument/2006/relationships/hyperlink" Target="https://webgate.ec.europa.eu/CITnet/jira/browse/INTERCOM-67" TargetMode="External"/><Relationship Id="rId148" Type="http://schemas.openxmlformats.org/officeDocument/2006/relationships/hyperlink" Target="https://webgate.ec.europa.eu/CITnet/jira/browse/TSKACTION-259" TargetMode="External"/><Relationship Id="rId164" Type="http://schemas.openxmlformats.org/officeDocument/2006/relationships/hyperlink" Target="https://webgate.ec.europa.eu/CITnet/jira/browse/CCDOCLIST-149" TargetMode="External"/><Relationship Id="rId169" Type="http://schemas.openxmlformats.org/officeDocument/2006/relationships/hyperlink" Target="https://webgate.ec.europa.eu/CITnet/jira/browse/COMPASS-223" TargetMode="External"/><Relationship Id="rId185" Type="http://schemas.openxmlformats.org/officeDocument/2006/relationships/hyperlink" Target="https://webgate.ec.europa.eu/CITnet/jira/browse/PFM-69" TargetMode="External"/><Relationship Id="rId4" Type="http://schemas.openxmlformats.org/officeDocument/2006/relationships/hyperlink" Target="https://webgate.ec.europa.eu/CITnet/jira/browse/COMPASS-276" TargetMode="External"/><Relationship Id="rId9" Type="http://schemas.openxmlformats.org/officeDocument/2006/relationships/hyperlink" Target="https://webgate.ec.europa.eu/CITnet/jira/browse/COMPASS-244" TargetMode="External"/><Relationship Id="rId180" Type="http://schemas.openxmlformats.org/officeDocument/2006/relationships/hyperlink" Target="https://webgate.ec.europa.eu/CITnet/jira/browse/PROCESS-117" TargetMode="External"/><Relationship Id="rId26" Type="http://schemas.openxmlformats.org/officeDocument/2006/relationships/hyperlink" Target="https://webgate.ec.europa.eu/CITnet/jira/browse/PFM-160" TargetMode="External"/></Relationships>
</file>

<file path=xl/worksheets/_rels/sheet13.xml.rels><?xml version="1.0" encoding="UTF-8" standalone="yes"?>
<Relationships xmlns="http://schemas.openxmlformats.org/package/2006/relationships"><Relationship Id="rId13" Type="http://schemas.openxmlformats.org/officeDocument/2006/relationships/hyperlink" Target="https://webgate.ec.europa.eu/CITnet/jira/browse/CCTASK-534" TargetMode="External"/><Relationship Id="rId18" Type="http://schemas.openxmlformats.org/officeDocument/2006/relationships/hyperlink" Target="https://webgate.ec.europa.eu/CITnet/jira/browse/TSKACTION-245" TargetMode="External"/><Relationship Id="rId26" Type="http://schemas.openxmlformats.org/officeDocument/2006/relationships/hyperlink" Target="https://webgate.ec.europa.eu/CITnet/jira/browse/TSKACTION-56" TargetMode="External"/><Relationship Id="rId39" Type="http://schemas.openxmlformats.org/officeDocument/2006/relationships/hyperlink" Target="https://webgate.ec.europa.eu/CITnet/jira/browse/CCTASK-532" TargetMode="External"/><Relationship Id="rId21" Type="http://schemas.openxmlformats.org/officeDocument/2006/relationships/hyperlink" Target="https://webgate.ec.europa.eu/CITnet/jira/browse/CCTASK-527" TargetMode="External"/><Relationship Id="rId34" Type="http://schemas.openxmlformats.org/officeDocument/2006/relationships/hyperlink" Target="https://webgate.ec.europa.eu/CITnet/jira/browse/INTERCOM-71" TargetMode="External"/><Relationship Id="rId42" Type="http://schemas.openxmlformats.org/officeDocument/2006/relationships/hyperlink" Target="https://webgate.ec.europa.eu/CITnet/jira/browse/CCPMO-76" TargetMode="External"/><Relationship Id="rId47" Type="http://schemas.openxmlformats.org/officeDocument/2006/relationships/hyperlink" Target="https://webgate.ec.europa.eu/CITnet/jira/browse/INTERCOM-76" TargetMode="External"/><Relationship Id="rId50" Type="http://schemas.openxmlformats.org/officeDocument/2006/relationships/hyperlink" Target="https://webgate.ec.europa.eu/CITnet/jira/browse/CCTASK-518" TargetMode="External"/><Relationship Id="rId55" Type="http://schemas.openxmlformats.org/officeDocument/2006/relationships/drawing" Target="../drawings/drawing10.xml"/><Relationship Id="rId7" Type="http://schemas.openxmlformats.org/officeDocument/2006/relationships/hyperlink" Target="https://webgate.ec.europa.eu/CITnet/jira/browse/CCARCHITEC-37" TargetMode="External"/><Relationship Id="rId12" Type="http://schemas.openxmlformats.org/officeDocument/2006/relationships/hyperlink" Target="https://webgate.ec.europa.eu/CITnet/jira/browse/CCDOCLIST-157" TargetMode="External"/><Relationship Id="rId17" Type="http://schemas.openxmlformats.org/officeDocument/2006/relationships/hyperlink" Target="https://webgate.ec.europa.eu/CITnet/jira/browse/CCARCHITEC-49" TargetMode="External"/><Relationship Id="rId25" Type="http://schemas.openxmlformats.org/officeDocument/2006/relationships/hyperlink" Target="https://webgate.ec.europa.eu/CITnet/jira/browse/CCTASK-476" TargetMode="External"/><Relationship Id="rId33" Type="http://schemas.openxmlformats.org/officeDocument/2006/relationships/hyperlink" Target="https://webgate.ec.europa.eu/CITnet/jira/browse/INTERCOM-54" TargetMode="External"/><Relationship Id="rId38" Type="http://schemas.openxmlformats.org/officeDocument/2006/relationships/hyperlink" Target="https://webgate.ec.europa.eu/CITnet/jira/browse/PROCESS-33" TargetMode="External"/><Relationship Id="rId46" Type="http://schemas.openxmlformats.org/officeDocument/2006/relationships/hyperlink" Target="https://webgate.ec.europa.eu/CITnet/jira/browse/CCADMIN-44" TargetMode="External"/><Relationship Id="rId2" Type="http://schemas.openxmlformats.org/officeDocument/2006/relationships/hyperlink" Target="https://webgate.ec.europa.eu/CITnet/jira/browse/TSKACTION-217" TargetMode="External"/><Relationship Id="rId16" Type="http://schemas.openxmlformats.org/officeDocument/2006/relationships/hyperlink" Target="https://webgate.ec.europa.eu/CITnet/jira/browse/CCDOCLIST-25" TargetMode="External"/><Relationship Id="rId20" Type="http://schemas.openxmlformats.org/officeDocument/2006/relationships/hyperlink" Target="https://webgate.ec.europa.eu/CITnet/jira/browse/CCDOCLIST-181" TargetMode="External"/><Relationship Id="rId29" Type="http://schemas.openxmlformats.org/officeDocument/2006/relationships/hyperlink" Target="https://webgate.ec.europa.eu/CITnet/jira/browse/CCPMO-77" TargetMode="External"/><Relationship Id="rId41" Type="http://schemas.openxmlformats.org/officeDocument/2006/relationships/hyperlink" Target="https://webgate.ec.europa.eu/CITnet/jira/browse/WAVECC-34" TargetMode="External"/><Relationship Id="rId54" Type="http://schemas.openxmlformats.org/officeDocument/2006/relationships/hyperlink" Target="https://webgate.ec.europa.eu/CITnet/jira/browse/PROCESS-96" TargetMode="External"/><Relationship Id="rId1" Type="http://schemas.openxmlformats.org/officeDocument/2006/relationships/hyperlink" Target="https://webgate.ec.europa.eu/CITnet/jira/issues/?filter=238855" TargetMode="External"/><Relationship Id="rId6" Type="http://schemas.openxmlformats.org/officeDocument/2006/relationships/hyperlink" Target="https://webgate.ec.europa.eu/CITnet/jira/browse/PROCESS-75" TargetMode="External"/><Relationship Id="rId11" Type="http://schemas.openxmlformats.org/officeDocument/2006/relationships/hyperlink" Target="https://webgate.ec.europa.eu/CITnet/jira/browse/CCDOCLIST-19" TargetMode="External"/><Relationship Id="rId24" Type="http://schemas.openxmlformats.org/officeDocument/2006/relationships/hyperlink" Target="https://webgate.ec.europa.eu/CITnet/jira/browse/CCDOCLIST-174" TargetMode="External"/><Relationship Id="rId32" Type="http://schemas.openxmlformats.org/officeDocument/2006/relationships/hyperlink" Target="https://webgate.ec.europa.eu/CITnet/jira/browse/CCADMIN-42" TargetMode="External"/><Relationship Id="rId37" Type="http://schemas.openxmlformats.org/officeDocument/2006/relationships/hyperlink" Target="https://webgate.ec.europa.eu/CITnet/jira/browse/PROCESS-95" TargetMode="External"/><Relationship Id="rId40" Type="http://schemas.openxmlformats.org/officeDocument/2006/relationships/hyperlink" Target="https://webgate.ec.europa.eu/CITnet/jira/browse/CCDOCLIST-116" TargetMode="External"/><Relationship Id="rId45" Type="http://schemas.openxmlformats.org/officeDocument/2006/relationships/hyperlink" Target="https://webgate.ec.europa.eu/CITnet/jira/browse/PROCESS-125" TargetMode="External"/><Relationship Id="rId53" Type="http://schemas.openxmlformats.org/officeDocument/2006/relationships/hyperlink" Target="https://webgate.ec.europa.eu/CITnet/jira/browse/PFM-126" TargetMode="External"/><Relationship Id="rId5" Type="http://schemas.openxmlformats.org/officeDocument/2006/relationships/hyperlink" Target="https://webgate.ec.europa.eu/CITnet/jira/browse/PROCESS-92" TargetMode="External"/><Relationship Id="rId15" Type="http://schemas.openxmlformats.org/officeDocument/2006/relationships/hyperlink" Target="https://webgate.ec.europa.eu/CITnet/jira/browse/CCDOCLIST-27" TargetMode="External"/><Relationship Id="rId23" Type="http://schemas.openxmlformats.org/officeDocument/2006/relationships/hyperlink" Target="https://webgate.ec.europa.eu/CITnet/jira/browse/CCTASK-519" TargetMode="External"/><Relationship Id="rId28" Type="http://schemas.openxmlformats.org/officeDocument/2006/relationships/hyperlink" Target="https://webgate.ec.europa.eu/CITnet/jira/browse/CCPMO-129" TargetMode="External"/><Relationship Id="rId36" Type="http://schemas.openxmlformats.org/officeDocument/2006/relationships/hyperlink" Target="https://webgate.ec.europa.eu/CITnet/jira/browse/PFM-125" TargetMode="External"/><Relationship Id="rId49" Type="http://schemas.openxmlformats.org/officeDocument/2006/relationships/hyperlink" Target="https://webgate.ec.europa.eu/CITnet/jira/browse/INTERCOM-72" TargetMode="External"/><Relationship Id="rId10" Type="http://schemas.openxmlformats.org/officeDocument/2006/relationships/hyperlink" Target="https://webgate.ec.europa.eu/CITnet/jira/browse/CCDOCLIST-156" TargetMode="External"/><Relationship Id="rId19" Type="http://schemas.openxmlformats.org/officeDocument/2006/relationships/hyperlink" Target="https://webgate.ec.europa.eu/CITnet/jira/browse/CCTASK-579" TargetMode="External"/><Relationship Id="rId31" Type="http://schemas.openxmlformats.org/officeDocument/2006/relationships/hyperlink" Target="https://webgate.ec.europa.eu/CITnet/jira/browse/WAVECC-42" TargetMode="External"/><Relationship Id="rId44" Type="http://schemas.openxmlformats.org/officeDocument/2006/relationships/hyperlink" Target="https://webgate.ec.europa.eu/CITnet/jira/browse/CCADMIN-55" TargetMode="External"/><Relationship Id="rId52" Type="http://schemas.openxmlformats.org/officeDocument/2006/relationships/hyperlink" Target="https://webgate.ec.europa.eu/CITnet/jira/browse/INTERCOM-52" TargetMode="External"/><Relationship Id="rId4" Type="http://schemas.openxmlformats.org/officeDocument/2006/relationships/hyperlink" Target="https://webgate.ec.europa.eu/CITnet/jira/browse/PROCESS-44" TargetMode="External"/><Relationship Id="rId9" Type="http://schemas.openxmlformats.org/officeDocument/2006/relationships/hyperlink" Target="https://webgate.ec.europa.eu/CITnet/jira/browse/CCTASK-533" TargetMode="External"/><Relationship Id="rId14" Type="http://schemas.openxmlformats.org/officeDocument/2006/relationships/hyperlink" Target="https://webgate.ec.europa.eu/CITnet/jira/browse/CCDOCLIST-17" TargetMode="External"/><Relationship Id="rId22" Type="http://schemas.openxmlformats.org/officeDocument/2006/relationships/hyperlink" Target="https://webgate.ec.europa.eu/CITnet/jira/browse/CCTASK-272" TargetMode="External"/><Relationship Id="rId27" Type="http://schemas.openxmlformats.org/officeDocument/2006/relationships/hyperlink" Target="https://webgate.ec.europa.eu/CITnet/jira/browse/INTERCOM-55" TargetMode="External"/><Relationship Id="rId30" Type="http://schemas.openxmlformats.org/officeDocument/2006/relationships/hyperlink" Target="https://webgate.ec.europa.eu/CITnet/jira/browse/CCPMO-63" TargetMode="External"/><Relationship Id="rId35" Type="http://schemas.openxmlformats.org/officeDocument/2006/relationships/hyperlink" Target="https://webgate.ec.europa.eu/CITnet/jira/browse/PROCESS-98" TargetMode="External"/><Relationship Id="rId43" Type="http://schemas.openxmlformats.org/officeDocument/2006/relationships/hyperlink" Target="https://webgate.ec.europa.eu/CITnet/jira/browse/INTERCOM-75" TargetMode="External"/><Relationship Id="rId48" Type="http://schemas.openxmlformats.org/officeDocument/2006/relationships/hyperlink" Target="https://webgate.ec.europa.eu/CITnet/jira/browse/INTERCOM-59" TargetMode="External"/><Relationship Id="rId8" Type="http://schemas.openxmlformats.org/officeDocument/2006/relationships/hyperlink" Target="https://webgate.ec.europa.eu/CITnet/jira/browse/COMPCORP-114" TargetMode="External"/><Relationship Id="rId51" Type="http://schemas.openxmlformats.org/officeDocument/2006/relationships/hyperlink" Target="https://webgate.ec.europa.eu/CITnet/jira/browse/PFM-131" TargetMode="External"/><Relationship Id="rId3" Type="http://schemas.openxmlformats.org/officeDocument/2006/relationships/hyperlink" Target="https://webgate.ec.europa.eu/CITnet/jira/browse/CCDOCLIST-165" TargetMode="External"/></Relationships>
</file>

<file path=xl/worksheets/_rels/sheet14.xml.rels><?xml version="1.0" encoding="UTF-8" standalone="yes"?>
<Relationships xmlns="http://schemas.openxmlformats.org/package/2006/relationships"><Relationship Id="rId26" Type="http://schemas.openxmlformats.org/officeDocument/2006/relationships/hyperlink" Target="https://webgate.ec.europa.eu/CITnet/jira/browse/PROCESS-114" TargetMode="External"/><Relationship Id="rId117" Type="http://schemas.openxmlformats.org/officeDocument/2006/relationships/hyperlink" Target="https://webgate.ec.europa.eu/CITnet/jira/browse/COMPASS-240" TargetMode="External"/><Relationship Id="rId21" Type="http://schemas.openxmlformats.org/officeDocument/2006/relationships/hyperlink" Target="https://webgate.ec.europa.eu/CITnet/jira/browse/PROCESS-119" TargetMode="External"/><Relationship Id="rId42" Type="http://schemas.openxmlformats.org/officeDocument/2006/relationships/hyperlink" Target="https://webgate.ec.europa.eu/CITnet/jira/browse/PFM-155" TargetMode="External"/><Relationship Id="rId47" Type="http://schemas.openxmlformats.org/officeDocument/2006/relationships/hyperlink" Target="https://webgate.ec.europa.eu/CITnet/jira/browse/PFM-149" TargetMode="External"/><Relationship Id="rId63" Type="http://schemas.openxmlformats.org/officeDocument/2006/relationships/hyperlink" Target="https://webgate.ec.europa.eu/CITnet/jira/browse/PFM-71" TargetMode="External"/><Relationship Id="rId68" Type="http://schemas.openxmlformats.org/officeDocument/2006/relationships/hyperlink" Target="https://webgate.ec.europa.eu/CITnet/jira/browse/PFM-59" TargetMode="External"/><Relationship Id="rId84" Type="http://schemas.openxmlformats.org/officeDocument/2006/relationships/hyperlink" Target="https://webgate.ec.europa.eu/CITnet/jira/browse/INTERCOM-70" TargetMode="External"/><Relationship Id="rId89" Type="http://schemas.openxmlformats.org/officeDocument/2006/relationships/hyperlink" Target="https://webgate.ec.europa.eu/CITnet/jira/browse/INTERCOM-60" TargetMode="External"/><Relationship Id="rId112" Type="http://schemas.openxmlformats.org/officeDocument/2006/relationships/hyperlink" Target="https://webgate.ec.europa.eu/CITnet/jira/browse/COMPASS-245" TargetMode="External"/><Relationship Id="rId133" Type="http://schemas.openxmlformats.org/officeDocument/2006/relationships/hyperlink" Target="https://webgate.ec.europa.eu/CITnet/jira/browse/CCTASK-562" TargetMode="External"/><Relationship Id="rId138" Type="http://schemas.openxmlformats.org/officeDocument/2006/relationships/hyperlink" Target="https://webgate.ec.europa.eu/CITnet/jira/browse/CCTASK-550" TargetMode="External"/><Relationship Id="rId154" Type="http://schemas.openxmlformats.org/officeDocument/2006/relationships/hyperlink" Target="https://webgate.ec.europa.eu/CITnet/jira/browse/CCPMO-62" TargetMode="External"/><Relationship Id="rId159" Type="http://schemas.openxmlformats.org/officeDocument/2006/relationships/hyperlink" Target="https://webgate.ec.europa.eu/CITnet/jira/browse/CCDOCLIST-186" TargetMode="External"/><Relationship Id="rId175" Type="http://schemas.openxmlformats.org/officeDocument/2006/relationships/hyperlink" Target="https://webgate.ec.europa.eu/CITnet/jira/browse/CCDOCLIST-117" TargetMode="External"/><Relationship Id="rId170" Type="http://schemas.openxmlformats.org/officeDocument/2006/relationships/hyperlink" Target="https://webgate.ec.europa.eu/CITnet/jira/browse/CCDOCLIST-159" TargetMode="External"/><Relationship Id="rId191" Type="http://schemas.openxmlformats.org/officeDocument/2006/relationships/hyperlink" Target="https://webgate.ec.europa.eu/CITnet/jira/browse/CCADMIN-12" TargetMode="External"/><Relationship Id="rId16" Type="http://schemas.openxmlformats.org/officeDocument/2006/relationships/hyperlink" Target="https://webgate.ec.europa.eu/CITnet/jira/browse/PROCESS-128" TargetMode="External"/><Relationship Id="rId107" Type="http://schemas.openxmlformats.org/officeDocument/2006/relationships/hyperlink" Target="https://webgate.ec.europa.eu/CITnet/jira/browse/COMPASS-276" TargetMode="External"/><Relationship Id="rId11" Type="http://schemas.openxmlformats.org/officeDocument/2006/relationships/hyperlink" Target="https://webgate.ec.europa.eu/CITnet/jira/browse/TSKACTION-237" TargetMode="External"/><Relationship Id="rId32" Type="http://schemas.openxmlformats.org/officeDocument/2006/relationships/hyperlink" Target="https://webgate.ec.europa.eu/CITnet/jira/browse/PROCESS-108" TargetMode="External"/><Relationship Id="rId37" Type="http://schemas.openxmlformats.org/officeDocument/2006/relationships/hyperlink" Target="https://webgate.ec.europa.eu/CITnet/jira/browse/PROCESS-76" TargetMode="External"/><Relationship Id="rId53" Type="http://schemas.openxmlformats.org/officeDocument/2006/relationships/hyperlink" Target="https://webgate.ec.europa.eu/CITnet/jira/browse/PFM-142" TargetMode="External"/><Relationship Id="rId58" Type="http://schemas.openxmlformats.org/officeDocument/2006/relationships/hyperlink" Target="https://webgate.ec.europa.eu/CITnet/jira/browse/PFM-91" TargetMode="External"/><Relationship Id="rId74" Type="http://schemas.openxmlformats.org/officeDocument/2006/relationships/hyperlink" Target="https://webgate.ec.europa.eu/CITnet/jira/browse/PFM-50" TargetMode="External"/><Relationship Id="rId79" Type="http://schemas.openxmlformats.org/officeDocument/2006/relationships/hyperlink" Target="https://webgate.ec.europa.eu/CITnet/jira/browse/INTERCOM-79" TargetMode="External"/><Relationship Id="rId102" Type="http://schemas.openxmlformats.org/officeDocument/2006/relationships/hyperlink" Target="https://webgate.ec.europa.eu/CITnet/jira/browse/COMPASS-282" TargetMode="External"/><Relationship Id="rId123" Type="http://schemas.openxmlformats.org/officeDocument/2006/relationships/hyperlink" Target="https://webgate.ec.europa.eu/CITnet/jira/browse/COMPASS-201" TargetMode="External"/><Relationship Id="rId128" Type="http://schemas.openxmlformats.org/officeDocument/2006/relationships/hyperlink" Target="https://webgate.ec.europa.eu/CITnet/jira/browse/CCTASK-584" TargetMode="External"/><Relationship Id="rId144" Type="http://schemas.openxmlformats.org/officeDocument/2006/relationships/hyperlink" Target="https://webgate.ec.europa.eu/CITnet/jira/browse/CCTASK-512" TargetMode="External"/><Relationship Id="rId149" Type="http://schemas.openxmlformats.org/officeDocument/2006/relationships/hyperlink" Target="https://webgate.ec.europa.eu/CITnet/jira/browse/CCPMO-111" TargetMode="External"/><Relationship Id="rId5" Type="http://schemas.openxmlformats.org/officeDocument/2006/relationships/hyperlink" Target="https://webgate.ec.europa.eu/CITnet/jira/browse/WAVECC-7" TargetMode="External"/><Relationship Id="rId90" Type="http://schemas.openxmlformats.org/officeDocument/2006/relationships/hyperlink" Target="https://webgate.ec.europa.eu/CITnet/jira/browse/INTERCOM-58" TargetMode="External"/><Relationship Id="rId95" Type="http://schemas.openxmlformats.org/officeDocument/2006/relationships/hyperlink" Target="https://webgate.ec.europa.eu/CITnet/jira/browse/INTERCOM-41" TargetMode="External"/><Relationship Id="rId160" Type="http://schemas.openxmlformats.org/officeDocument/2006/relationships/hyperlink" Target="https://webgate.ec.europa.eu/CITnet/jira/browse/CCDOCLIST-184" TargetMode="External"/><Relationship Id="rId165" Type="http://schemas.openxmlformats.org/officeDocument/2006/relationships/hyperlink" Target="https://webgate.ec.europa.eu/CITnet/jira/browse/CCDOCLIST-169" TargetMode="External"/><Relationship Id="rId181" Type="http://schemas.openxmlformats.org/officeDocument/2006/relationships/hyperlink" Target="https://webgate.ec.europa.eu/CITnet/jira/browse/CCADMIN-51" TargetMode="External"/><Relationship Id="rId186" Type="http://schemas.openxmlformats.org/officeDocument/2006/relationships/hyperlink" Target="https://webgate.ec.europa.eu/CITnet/jira/browse/CCADMIN-43" TargetMode="External"/><Relationship Id="rId22" Type="http://schemas.openxmlformats.org/officeDocument/2006/relationships/hyperlink" Target="https://webgate.ec.europa.eu/CITnet/jira/browse/PROCESS-118" TargetMode="External"/><Relationship Id="rId27" Type="http://schemas.openxmlformats.org/officeDocument/2006/relationships/hyperlink" Target="https://webgate.ec.europa.eu/CITnet/jira/browse/PROCESS-113" TargetMode="External"/><Relationship Id="rId43" Type="http://schemas.openxmlformats.org/officeDocument/2006/relationships/hyperlink" Target="https://webgate.ec.europa.eu/CITnet/jira/browse/PFM-153" TargetMode="External"/><Relationship Id="rId48" Type="http://schemas.openxmlformats.org/officeDocument/2006/relationships/hyperlink" Target="https://webgate.ec.europa.eu/CITnet/jira/browse/PFM-148" TargetMode="External"/><Relationship Id="rId64" Type="http://schemas.openxmlformats.org/officeDocument/2006/relationships/hyperlink" Target="https://webgate.ec.europa.eu/CITnet/jira/browse/PFM-69" TargetMode="External"/><Relationship Id="rId69" Type="http://schemas.openxmlformats.org/officeDocument/2006/relationships/hyperlink" Target="https://webgate.ec.europa.eu/CITnet/jira/browse/PFM-56" TargetMode="External"/><Relationship Id="rId113" Type="http://schemas.openxmlformats.org/officeDocument/2006/relationships/hyperlink" Target="https://webgate.ec.europa.eu/CITnet/jira/browse/COMPASS-244" TargetMode="External"/><Relationship Id="rId118" Type="http://schemas.openxmlformats.org/officeDocument/2006/relationships/hyperlink" Target="https://webgate.ec.europa.eu/CITnet/jira/browse/COMPASS-223" TargetMode="External"/><Relationship Id="rId134" Type="http://schemas.openxmlformats.org/officeDocument/2006/relationships/hyperlink" Target="https://webgate.ec.europa.eu/CITnet/jira/browse/CCTASK-561" TargetMode="External"/><Relationship Id="rId139" Type="http://schemas.openxmlformats.org/officeDocument/2006/relationships/hyperlink" Target="https://webgate.ec.europa.eu/CITnet/jira/browse/CCTASK-547" TargetMode="External"/><Relationship Id="rId80" Type="http://schemas.openxmlformats.org/officeDocument/2006/relationships/hyperlink" Target="https://webgate.ec.europa.eu/CITnet/jira/browse/INTERCOM-78" TargetMode="External"/><Relationship Id="rId85" Type="http://schemas.openxmlformats.org/officeDocument/2006/relationships/hyperlink" Target="https://webgate.ec.europa.eu/CITnet/jira/browse/INTERCOM-67" TargetMode="External"/><Relationship Id="rId150" Type="http://schemas.openxmlformats.org/officeDocument/2006/relationships/hyperlink" Target="https://webgate.ec.europa.eu/CITnet/jira/browse/CCPMO-103" TargetMode="External"/><Relationship Id="rId155" Type="http://schemas.openxmlformats.org/officeDocument/2006/relationships/hyperlink" Target="https://webgate.ec.europa.eu/CITnet/jira/browse/CCPMO-59" TargetMode="External"/><Relationship Id="rId171" Type="http://schemas.openxmlformats.org/officeDocument/2006/relationships/hyperlink" Target="https://webgate.ec.europa.eu/CITnet/jira/browse/CCDOCLIST-149" TargetMode="External"/><Relationship Id="rId176" Type="http://schemas.openxmlformats.org/officeDocument/2006/relationships/hyperlink" Target="https://webgate.ec.europa.eu/CITnet/jira/browse/CCDOCLIST-63" TargetMode="External"/><Relationship Id="rId192" Type="http://schemas.openxmlformats.org/officeDocument/2006/relationships/drawing" Target="../drawings/drawing11.xml"/><Relationship Id="rId12" Type="http://schemas.openxmlformats.org/officeDocument/2006/relationships/hyperlink" Target="https://webgate.ec.europa.eu/CITnet/jira/browse/TSKACTION-219" TargetMode="External"/><Relationship Id="rId17" Type="http://schemas.openxmlformats.org/officeDocument/2006/relationships/hyperlink" Target="https://webgate.ec.europa.eu/CITnet/jira/browse/PROCESS-124" TargetMode="External"/><Relationship Id="rId33" Type="http://schemas.openxmlformats.org/officeDocument/2006/relationships/hyperlink" Target="https://webgate.ec.europa.eu/CITnet/jira/browse/PROCESS-107" TargetMode="External"/><Relationship Id="rId38" Type="http://schemas.openxmlformats.org/officeDocument/2006/relationships/hyperlink" Target="https://webgate.ec.europa.eu/CITnet/jira/browse/PROCESS-74" TargetMode="External"/><Relationship Id="rId59" Type="http://schemas.openxmlformats.org/officeDocument/2006/relationships/hyperlink" Target="https://webgate.ec.europa.eu/CITnet/jira/browse/PFM-87" TargetMode="External"/><Relationship Id="rId103" Type="http://schemas.openxmlformats.org/officeDocument/2006/relationships/hyperlink" Target="https://webgate.ec.europa.eu/CITnet/jira/browse/COMPASS-281" TargetMode="External"/><Relationship Id="rId108" Type="http://schemas.openxmlformats.org/officeDocument/2006/relationships/hyperlink" Target="https://webgate.ec.europa.eu/CITnet/jira/browse/COMPASS-274" TargetMode="External"/><Relationship Id="rId124" Type="http://schemas.openxmlformats.org/officeDocument/2006/relationships/hyperlink" Target="https://webgate.ec.europa.eu/CITnet/jira/browse/CCTASK-593" TargetMode="External"/><Relationship Id="rId129" Type="http://schemas.openxmlformats.org/officeDocument/2006/relationships/hyperlink" Target="https://webgate.ec.europa.eu/CITnet/jira/browse/CCTASK-581" TargetMode="External"/><Relationship Id="rId54" Type="http://schemas.openxmlformats.org/officeDocument/2006/relationships/hyperlink" Target="https://webgate.ec.europa.eu/CITnet/jira/browse/PFM-116" TargetMode="External"/><Relationship Id="rId70" Type="http://schemas.openxmlformats.org/officeDocument/2006/relationships/hyperlink" Target="https://webgate.ec.europa.eu/CITnet/jira/browse/PFM-54" TargetMode="External"/><Relationship Id="rId75" Type="http://schemas.openxmlformats.org/officeDocument/2006/relationships/hyperlink" Target="https://webgate.ec.europa.eu/CITnet/jira/browse/PFM-49" TargetMode="External"/><Relationship Id="rId91" Type="http://schemas.openxmlformats.org/officeDocument/2006/relationships/hyperlink" Target="https://webgate.ec.europa.eu/CITnet/jira/browse/INTERCOM-57" TargetMode="External"/><Relationship Id="rId96" Type="http://schemas.openxmlformats.org/officeDocument/2006/relationships/hyperlink" Target="https://webgate.ec.europa.eu/CITnet/jira/browse/INTERCOM-36" TargetMode="External"/><Relationship Id="rId140" Type="http://schemas.openxmlformats.org/officeDocument/2006/relationships/hyperlink" Target="https://webgate.ec.europa.eu/CITnet/jira/browse/CCTASK-540" TargetMode="External"/><Relationship Id="rId145" Type="http://schemas.openxmlformats.org/officeDocument/2006/relationships/hyperlink" Target="https://webgate.ec.europa.eu/CITnet/jira/browse/CCTASK-455" TargetMode="External"/><Relationship Id="rId161" Type="http://schemas.openxmlformats.org/officeDocument/2006/relationships/hyperlink" Target="https://webgate.ec.europa.eu/CITnet/jira/browse/CCDOCLIST-183" TargetMode="External"/><Relationship Id="rId166" Type="http://schemas.openxmlformats.org/officeDocument/2006/relationships/hyperlink" Target="https://webgate.ec.europa.eu/CITnet/jira/browse/CCDOCLIST-167" TargetMode="External"/><Relationship Id="rId182" Type="http://schemas.openxmlformats.org/officeDocument/2006/relationships/hyperlink" Target="https://webgate.ec.europa.eu/CITnet/jira/browse/CCADMIN-48" TargetMode="External"/><Relationship Id="rId187" Type="http://schemas.openxmlformats.org/officeDocument/2006/relationships/hyperlink" Target="https://webgate.ec.europa.eu/CITnet/jira/browse/CCADMIN-16" TargetMode="External"/><Relationship Id="rId1" Type="http://schemas.openxmlformats.org/officeDocument/2006/relationships/hyperlink" Target="https://webgate.ec.europa.eu/CITnet/jira/issues/?jql=%28issuetype+in+%28Story%29+AND+project+in+%28COMPCORP%2C+CCADMIN%2C+CCARCHITEC%2C+CCDOCLIST%2C+ECKL%2C+CCINFRAEC%2C+INTERCOM%2C+CCPMO%2C+PFM%2C+PROCESS%2C+CCTASK%2C+TSKACTION%2C+WAVECC%2C+COMPASS%29%29+AND+%28fixversion+IN+%28COMPCORP-PI4%2C+COMPCORP-PI3%2C+COMPCORP-PI2%2C+COMPCORP-PI1%29+OR+sprint+IN+%28%22CC+Process+Centre+PI4+It1%22%2C+%22CC+Portfolio+Manager+PI4+It1%22%2C+%22Comp+Corp+RTD+PI4+It1%22%2C+%22Comp+Corp+REGIO+PI4+It1%22%2C+%22EC+eUI+My+Workplace+PI9+It1%22%2C+%22COMCORP-PMO-4.1%22%2C%22CC+Process+Centre+PI4+It2%22%2C+%22CC+Portfolio+Manager+PI4+It2%22%2C+%22Comp+Corp+RTD+PI4+It2%22%2C+%22Comp+Corp+REGIO+PI4+It2%22%2C+%22EC+eUI+My+Workplace+PI9+It2%22%2C+%22COMCORP-PMO-4.2%22%2C%22CC+Process+Centre+PI4+It3%22%2C+%22CC+Portfolio+Manager+PI4+It3%22%2C+%22Comp+Corp+RTD+PI4+It3%22%2C+%22Comp+Corp+REGIO+PI4+It3%22%2C+%22EC+eUI+My+Workplace+PI9+It3%22%2C%22CC+Process+Centre+PI4+It4%22%2C+%22CC+Portfolio+Manager+PI4+It4%22%2C+%22Comp+Corp+RTD+PI4+It4%22%2C+%22Comp+Corp+REGIO+PI4+It4%22%2C+%22EC+eUI+My+Workplace+PI9+It4%22%2C%22CC+Process+Centre+PI4+It5%22%2C+%22CC+Portfolio+Manager+PI4+It5%22%2C+%22Comp+Corp+RTD+PI4+It5%22%2C+%22Comp+Corp+REGIO+PI4+It5%22%2C+%22EC+eUI+My+Workplace+PI9+It5%22%29%29" TargetMode="External"/><Relationship Id="rId6" Type="http://schemas.openxmlformats.org/officeDocument/2006/relationships/hyperlink" Target="https://webgate.ec.europa.eu/CITnet/jira/browse/WAVECC-6" TargetMode="External"/><Relationship Id="rId23" Type="http://schemas.openxmlformats.org/officeDocument/2006/relationships/hyperlink" Target="https://webgate.ec.europa.eu/CITnet/jira/browse/PROCESS-117" TargetMode="External"/><Relationship Id="rId28" Type="http://schemas.openxmlformats.org/officeDocument/2006/relationships/hyperlink" Target="https://webgate.ec.europa.eu/CITnet/jira/browse/PROCESS-112" TargetMode="External"/><Relationship Id="rId49" Type="http://schemas.openxmlformats.org/officeDocument/2006/relationships/hyperlink" Target="https://webgate.ec.europa.eu/CITnet/jira/browse/PFM-147" TargetMode="External"/><Relationship Id="rId114" Type="http://schemas.openxmlformats.org/officeDocument/2006/relationships/hyperlink" Target="https://webgate.ec.europa.eu/CITnet/jira/browse/COMPASS-243" TargetMode="External"/><Relationship Id="rId119" Type="http://schemas.openxmlformats.org/officeDocument/2006/relationships/hyperlink" Target="https://webgate.ec.europa.eu/CITnet/jira/browse/COMPASS-210" TargetMode="External"/><Relationship Id="rId44" Type="http://schemas.openxmlformats.org/officeDocument/2006/relationships/hyperlink" Target="https://webgate.ec.europa.eu/CITnet/jira/browse/PFM-152" TargetMode="External"/><Relationship Id="rId60" Type="http://schemas.openxmlformats.org/officeDocument/2006/relationships/hyperlink" Target="https://webgate.ec.europa.eu/CITnet/jira/browse/PFM-82" TargetMode="External"/><Relationship Id="rId65" Type="http://schemas.openxmlformats.org/officeDocument/2006/relationships/hyperlink" Target="https://webgate.ec.europa.eu/CITnet/jira/browse/PFM-68" TargetMode="External"/><Relationship Id="rId81" Type="http://schemas.openxmlformats.org/officeDocument/2006/relationships/hyperlink" Target="https://webgate.ec.europa.eu/CITnet/jira/browse/INTERCOM-77" TargetMode="External"/><Relationship Id="rId86" Type="http://schemas.openxmlformats.org/officeDocument/2006/relationships/hyperlink" Target="https://webgate.ec.europa.eu/CITnet/jira/browse/INTERCOM-66" TargetMode="External"/><Relationship Id="rId130" Type="http://schemas.openxmlformats.org/officeDocument/2006/relationships/hyperlink" Target="https://webgate.ec.europa.eu/CITnet/jira/browse/CCTASK-567" TargetMode="External"/><Relationship Id="rId135" Type="http://schemas.openxmlformats.org/officeDocument/2006/relationships/hyperlink" Target="https://webgate.ec.europa.eu/CITnet/jira/browse/CCTASK-553" TargetMode="External"/><Relationship Id="rId151" Type="http://schemas.openxmlformats.org/officeDocument/2006/relationships/hyperlink" Target="https://webgate.ec.europa.eu/CITnet/jira/browse/CCPMO-95" TargetMode="External"/><Relationship Id="rId156" Type="http://schemas.openxmlformats.org/officeDocument/2006/relationships/hyperlink" Target="https://webgate.ec.europa.eu/CITnet/jira/browse/CCPMO-58" TargetMode="External"/><Relationship Id="rId177" Type="http://schemas.openxmlformats.org/officeDocument/2006/relationships/hyperlink" Target="https://webgate.ec.europa.eu/CITnet/jira/browse/CCDOCLIST-62" TargetMode="External"/><Relationship Id="rId172" Type="http://schemas.openxmlformats.org/officeDocument/2006/relationships/hyperlink" Target="https://webgate.ec.europa.eu/CITnet/jira/browse/CCDOCLIST-142" TargetMode="External"/><Relationship Id="rId13" Type="http://schemas.openxmlformats.org/officeDocument/2006/relationships/hyperlink" Target="https://webgate.ec.europa.eu/CITnet/jira/browse/TSKACTION-218" TargetMode="External"/><Relationship Id="rId18" Type="http://schemas.openxmlformats.org/officeDocument/2006/relationships/hyperlink" Target="https://webgate.ec.europa.eu/CITnet/jira/browse/PROCESS-122" TargetMode="External"/><Relationship Id="rId39" Type="http://schemas.openxmlformats.org/officeDocument/2006/relationships/hyperlink" Target="https://webgate.ec.europa.eu/CITnet/jira/browse/PROCESS-49" TargetMode="External"/><Relationship Id="rId109" Type="http://schemas.openxmlformats.org/officeDocument/2006/relationships/hyperlink" Target="https://webgate.ec.europa.eu/CITnet/jira/browse/COMPASS-248" TargetMode="External"/><Relationship Id="rId34" Type="http://schemas.openxmlformats.org/officeDocument/2006/relationships/hyperlink" Target="https://webgate.ec.europa.eu/CITnet/jira/browse/PROCESS-90" TargetMode="External"/><Relationship Id="rId50" Type="http://schemas.openxmlformats.org/officeDocument/2006/relationships/hyperlink" Target="https://webgate.ec.europa.eu/CITnet/jira/browse/PFM-146" TargetMode="External"/><Relationship Id="rId55" Type="http://schemas.openxmlformats.org/officeDocument/2006/relationships/hyperlink" Target="https://webgate.ec.europa.eu/CITnet/jira/browse/PFM-114" TargetMode="External"/><Relationship Id="rId76" Type="http://schemas.openxmlformats.org/officeDocument/2006/relationships/hyperlink" Target="https://webgate.ec.europa.eu/CITnet/jira/browse/PFM-8" TargetMode="External"/><Relationship Id="rId97" Type="http://schemas.openxmlformats.org/officeDocument/2006/relationships/hyperlink" Target="https://webgate.ec.europa.eu/CITnet/jira/browse/COMPASS-299" TargetMode="External"/><Relationship Id="rId104" Type="http://schemas.openxmlformats.org/officeDocument/2006/relationships/hyperlink" Target="https://webgate.ec.europa.eu/CITnet/jira/browse/COMPASS-279" TargetMode="External"/><Relationship Id="rId120" Type="http://schemas.openxmlformats.org/officeDocument/2006/relationships/hyperlink" Target="https://webgate.ec.europa.eu/CITnet/jira/browse/COMPASS-208" TargetMode="External"/><Relationship Id="rId125" Type="http://schemas.openxmlformats.org/officeDocument/2006/relationships/hyperlink" Target="https://webgate.ec.europa.eu/CITnet/jira/browse/CCTASK-592" TargetMode="External"/><Relationship Id="rId141" Type="http://schemas.openxmlformats.org/officeDocument/2006/relationships/hyperlink" Target="https://webgate.ec.europa.eu/CITnet/jira/browse/CCTASK-538" TargetMode="External"/><Relationship Id="rId146" Type="http://schemas.openxmlformats.org/officeDocument/2006/relationships/hyperlink" Target="https://webgate.ec.europa.eu/CITnet/jira/browse/CCTASK-423" TargetMode="External"/><Relationship Id="rId167" Type="http://schemas.openxmlformats.org/officeDocument/2006/relationships/hyperlink" Target="https://webgate.ec.europa.eu/CITnet/jira/browse/CCDOCLIST-166" TargetMode="External"/><Relationship Id="rId188" Type="http://schemas.openxmlformats.org/officeDocument/2006/relationships/hyperlink" Target="https://webgate.ec.europa.eu/CITnet/jira/browse/CCADMIN-15" TargetMode="External"/><Relationship Id="rId7" Type="http://schemas.openxmlformats.org/officeDocument/2006/relationships/hyperlink" Target="https://webgate.ec.europa.eu/CITnet/jira/browse/TSKACTION-273" TargetMode="External"/><Relationship Id="rId71" Type="http://schemas.openxmlformats.org/officeDocument/2006/relationships/hyperlink" Target="https://webgate.ec.europa.eu/CITnet/jira/browse/PFM-53" TargetMode="External"/><Relationship Id="rId92" Type="http://schemas.openxmlformats.org/officeDocument/2006/relationships/hyperlink" Target="https://webgate.ec.europa.eu/CITnet/jira/browse/INTERCOM-56" TargetMode="External"/><Relationship Id="rId162" Type="http://schemas.openxmlformats.org/officeDocument/2006/relationships/hyperlink" Target="https://webgate.ec.europa.eu/CITnet/jira/browse/CCDOCLIST-173" TargetMode="External"/><Relationship Id="rId183" Type="http://schemas.openxmlformats.org/officeDocument/2006/relationships/hyperlink" Target="https://webgate.ec.europa.eu/CITnet/jira/browse/CCADMIN-47" TargetMode="External"/><Relationship Id="rId2" Type="http://schemas.openxmlformats.org/officeDocument/2006/relationships/hyperlink" Target="https://webgate.ec.europa.eu/CITnet/jira/browse/WAVECC-44" TargetMode="External"/><Relationship Id="rId29" Type="http://schemas.openxmlformats.org/officeDocument/2006/relationships/hyperlink" Target="https://webgate.ec.europa.eu/CITnet/jira/browse/PROCESS-111" TargetMode="External"/><Relationship Id="rId24" Type="http://schemas.openxmlformats.org/officeDocument/2006/relationships/hyperlink" Target="https://webgate.ec.europa.eu/CITnet/jira/browse/PROCESS-116" TargetMode="External"/><Relationship Id="rId40" Type="http://schemas.openxmlformats.org/officeDocument/2006/relationships/hyperlink" Target="https://webgate.ec.europa.eu/CITnet/jira/browse/PROCESS-48" TargetMode="External"/><Relationship Id="rId45" Type="http://schemas.openxmlformats.org/officeDocument/2006/relationships/hyperlink" Target="https://webgate.ec.europa.eu/CITnet/jira/browse/PFM-151" TargetMode="External"/><Relationship Id="rId66" Type="http://schemas.openxmlformats.org/officeDocument/2006/relationships/hyperlink" Target="https://webgate.ec.europa.eu/CITnet/jira/browse/PFM-64" TargetMode="External"/><Relationship Id="rId87" Type="http://schemas.openxmlformats.org/officeDocument/2006/relationships/hyperlink" Target="https://webgate.ec.europa.eu/CITnet/jira/browse/INTERCOM-65" TargetMode="External"/><Relationship Id="rId110" Type="http://schemas.openxmlformats.org/officeDocument/2006/relationships/hyperlink" Target="https://webgate.ec.europa.eu/CITnet/jira/browse/COMPASS-247" TargetMode="External"/><Relationship Id="rId115" Type="http://schemas.openxmlformats.org/officeDocument/2006/relationships/hyperlink" Target="https://webgate.ec.europa.eu/CITnet/jira/browse/COMPASS-242" TargetMode="External"/><Relationship Id="rId131" Type="http://schemas.openxmlformats.org/officeDocument/2006/relationships/hyperlink" Target="https://webgate.ec.europa.eu/CITnet/jira/browse/CCTASK-564" TargetMode="External"/><Relationship Id="rId136" Type="http://schemas.openxmlformats.org/officeDocument/2006/relationships/hyperlink" Target="https://webgate.ec.europa.eu/CITnet/jira/browse/CCTASK-552" TargetMode="External"/><Relationship Id="rId157" Type="http://schemas.openxmlformats.org/officeDocument/2006/relationships/hyperlink" Target="https://webgate.ec.europa.eu/CITnet/jira/browse/CCPMO-46" TargetMode="External"/><Relationship Id="rId178" Type="http://schemas.openxmlformats.org/officeDocument/2006/relationships/hyperlink" Target="https://webgate.ec.europa.eu/CITnet/jira/browse/CCADMIN-56" TargetMode="External"/><Relationship Id="rId61" Type="http://schemas.openxmlformats.org/officeDocument/2006/relationships/hyperlink" Target="https://webgate.ec.europa.eu/CITnet/jira/browse/PFM-81" TargetMode="External"/><Relationship Id="rId82" Type="http://schemas.openxmlformats.org/officeDocument/2006/relationships/hyperlink" Target="https://webgate.ec.europa.eu/CITnet/jira/browse/INTERCOM-74" TargetMode="External"/><Relationship Id="rId152" Type="http://schemas.openxmlformats.org/officeDocument/2006/relationships/hyperlink" Target="https://webgate.ec.europa.eu/CITnet/jira/browse/CCPMO-87" TargetMode="External"/><Relationship Id="rId173" Type="http://schemas.openxmlformats.org/officeDocument/2006/relationships/hyperlink" Target="https://webgate.ec.europa.eu/CITnet/jira/browse/CCDOCLIST-122" TargetMode="External"/><Relationship Id="rId19" Type="http://schemas.openxmlformats.org/officeDocument/2006/relationships/hyperlink" Target="https://webgate.ec.europa.eu/CITnet/jira/browse/PROCESS-121" TargetMode="External"/><Relationship Id="rId14" Type="http://schemas.openxmlformats.org/officeDocument/2006/relationships/hyperlink" Target="https://webgate.ec.europa.eu/CITnet/jira/browse/TSKACTION-216" TargetMode="External"/><Relationship Id="rId30" Type="http://schemas.openxmlformats.org/officeDocument/2006/relationships/hyperlink" Target="https://webgate.ec.europa.eu/CITnet/jira/browse/PROCESS-110" TargetMode="External"/><Relationship Id="rId35" Type="http://schemas.openxmlformats.org/officeDocument/2006/relationships/hyperlink" Target="https://webgate.ec.europa.eu/CITnet/jira/browse/PROCESS-89" TargetMode="External"/><Relationship Id="rId56" Type="http://schemas.openxmlformats.org/officeDocument/2006/relationships/hyperlink" Target="https://webgate.ec.europa.eu/CITnet/jira/browse/PFM-110" TargetMode="External"/><Relationship Id="rId77" Type="http://schemas.openxmlformats.org/officeDocument/2006/relationships/hyperlink" Target="https://webgate.ec.europa.eu/CITnet/jira/browse/INTERCOM-89" TargetMode="External"/><Relationship Id="rId100" Type="http://schemas.openxmlformats.org/officeDocument/2006/relationships/hyperlink" Target="https://webgate.ec.europa.eu/CITnet/jira/browse/COMPASS-284" TargetMode="External"/><Relationship Id="rId105" Type="http://schemas.openxmlformats.org/officeDocument/2006/relationships/hyperlink" Target="https://webgate.ec.europa.eu/CITnet/jira/browse/COMPASS-278" TargetMode="External"/><Relationship Id="rId126" Type="http://schemas.openxmlformats.org/officeDocument/2006/relationships/hyperlink" Target="https://webgate.ec.europa.eu/CITnet/jira/browse/CCTASK-591" TargetMode="External"/><Relationship Id="rId147" Type="http://schemas.openxmlformats.org/officeDocument/2006/relationships/hyperlink" Target="https://webgate.ec.europa.eu/CITnet/jira/browse/CCTASK-291" TargetMode="External"/><Relationship Id="rId168" Type="http://schemas.openxmlformats.org/officeDocument/2006/relationships/hyperlink" Target="https://webgate.ec.europa.eu/CITnet/jira/browse/CCDOCLIST-163" TargetMode="External"/><Relationship Id="rId8" Type="http://schemas.openxmlformats.org/officeDocument/2006/relationships/hyperlink" Target="https://webgate.ec.europa.eu/CITnet/jira/browse/TSKACTION-271" TargetMode="External"/><Relationship Id="rId51" Type="http://schemas.openxmlformats.org/officeDocument/2006/relationships/hyperlink" Target="https://webgate.ec.europa.eu/CITnet/jira/browse/PFM-144" TargetMode="External"/><Relationship Id="rId72" Type="http://schemas.openxmlformats.org/officeDocument/2006/relationships/hyperlink" Target="https://webgate.ec.europa.eu/CITnet/jira/browse/PFM-52" TargetMode="External"/><Relationship Id="rId93" Type="http://schemas.openxmlformats.org/officeDocument/2006/relationships/hyperlink" Target="https://webgate.ec.europa.eu/CITnet/jira/browse/INTERCOM-53" TargetMode="External"/><Relationship Id="rId98" Type="http://schemas.openxmlformats.org/officeDocument/2006/relationships/hyperlink" Target="https://webgate.ec.europa.eu/CITnet/jira/browse/COMPASS-298" TargetMode="External"/><Relationship Id="rId121" Type="http://schemas.openxmlformats.org/officeDocument/2006/relationships/hyperlink" Target="https://webgate.ec.europa.eu/CITnet/jira/browse/COMPASS-206" TargetMode="External"/><Relationship Id="rId142" Type="http://schemas.openxmlformats.org/officeDocument/2006/relationships/hyperlink" Target="https://webgate.ec.europa.eu/CITnet/jira/browse/CCTASK-536" TargetMode="External"/><Relationship Id="rId163" Type="http://schemas.openxmlformats.org/officeDocument/2006/relationships/hyperlink" Target="https://webgate.ec.europa.eu/CITnet/jira/browse/CCDOCLIST-172" TargetMode="External"/><Relationship Id="rId184" Type="http://schemas.openxmlformats.org/officeDocument/2006/relationships/hyperlink" Target="https://webgate.ec.europa.eu/CITnet/jira/browse/CCADMIN-46" TargetMode="External"/><Relationship Id="rId189" Type="http://schemas.openxmlformats.org/officeDocument/2006/relationships/hyperlink" Target="https://webgate.ec.europa.eu/CITnet/jira/browse/CCADMIN-14" TargetMode="External"/><Relationship Id="rId3" Type="http://schemas.openxmlformats.org/officeDocument/2006/relationships/hyperlink" Target="https://webgate.ec.europa.eu/CITnet/jira/browse/WAVECC-43" TargetMode="External"/><Relationship Id="rId25" Type="http://schemas.openxmlformats.org/officeDocument/2006/relationships/hyperlink" Target="https://webgate.ec.europa.eu/CITnet/jira/browse/PROCESS-115" TargetMode="External"/><Relationship Id="rId46" Type="http://schemas.openxmlformats.org/officeDocument/2006/relationships/hyperlink" Target="https://webgate.ec.europa.eu/CITnet/jira/browse/PFM-150" TargetMode="External"/><Relationship Id="rId67" Type="http://schemas.openxmlformats.org/officeDocument/2006/relationships/hyperlink" Target="https://webgate.ec.europa.eu/CITnet/jira/browse/PFM-63" TargetMode="External"/><Relationship Id="rId116" Type="http://schemas.openxmlformats.org/officeDocument/2006/relationships/hyperlink" Target="https://webgate.ec.europa.eu/CITnet/jira/browse/COMPASS-241" TargetMode="External"/><Relationship Id="rId137" Type="http://schemas.openxmlformats.org/officeDocument/2006/relationships/hyperlink" Target="https://webgate.ec.europa.eu/CITnet/jira/browse/CCTASK-551" TargetMode="External"/><Relationship Id="rId158" Type="http://schemas.openxmlformats.org/officeDocument/2006/relationships/hyperlink" Target="https://webgate.ec.europa.eu/CITnet/jira/browse/CCDOCLIST-190" TargetMode="External"/><Relationship Id="rId20" Type="http://schemas.openxmlformats.org/officeDocument/2006/relationships/hyperlink" Target="https://webgate.ec.europa.eu/CITnet/jira/browse/PROCESS-120" TargetMode="External"/><Relationship Id="rId41" Type="http://schemas.openxmlformats.org/officeDocument/2006/relationships/hyperlink" Target="https://webgate.ec.europa.eu/CITnet/jira/browse/PFM-160" TargetMode="External"/><Relationship Id="rId62" Type="http://schemas.openxmlformats.org/officeDocument/2006/relationships/hyperlink" Target="https://webgate.ec.europa.eu/CITnet/jira/browse/PFM-73" TargetMode="External"/><Relationship Id="rId83" Type="http://schemas.openxmlformats.org/officeDocument/2006/relationships/hyperlink" Target="https://webgate.ec.europa.eu/CITnet/jira/browse/INTERCOM-73" TargetMode="External"/><Relationship Id="rId88" Type="http://schemas.openxmlformats.org/officeDocument/2006/relationships/hyperlink" Target="https://webgate.ec.europa.eu/CITnet/jira/browse/INTERCOM-64" TargetMode="External"/><Relationship Id="rId111" Type="http://schemas.openxmlformats.org/officeDocument/2006/relationships/hyperlink" Target="https://webgate.ec.europa.eu/CITnet/jira/browse/COMPASS-246" TargetMode="External"/><Relationship Id="rId132" Type="http://schemas.openxmlformats.org/officeDocument/2006/relationships/hyperlink" Target="https://webgate.ec.europa.eu/CITnet/jira/browse/CCTASK-563" TargetMode="External"/><Relationship Id="rId153" Type="http://schemas.openxmlformats.org/officeDocument/2006/relationships/hyperlink" Target="https://webgate.ec.europa.eu/CITnet/jira/browse/CCPMO-79" TargetMode="External"/><Relationship Id="rId174" Type="http://schemas.openxmlformats.org/officeDocument/2006/relationships/hyperlink" Target="https://webgate.ec.europa.eu/CITnet/jira/browse/CCDOCLIST-121" TargetMode="External"/><Relationship Id="rId179" Type="http://schemas.openxmlformats.org/officeDocument/2006/relationships/hyperlink" Target="https://webgate.ec.europa.eu/CITnet/jira/browse/CCADMIN-53" TargetMode="External"/><Relationship Id="rId190" Type="http://schemas.openxmlformats.org/officeDocument/2006/relationships/hyperlink" Target="https://webgate.ec.europa.eu/CITnet/jira/browse/CCADMIN-13" TargetMode="External"/><Relationship Id="rId15" Type="http://schemas.openxmlformats.org/officeDocument/2006/relationships/hyperlink" Target="https://webgate.ec.europa.eu/CITnet/jira/browse/PROCESS-129" TargetMode="External"/><Relationship Id="rId36" Type="http://schemas.openxmlformats.org/officeDocument/2006/relationships/hyperlink" Target="https://webgate.ec.europa.eu/CITnet/jira/browse/PROCESS-86" TargetMode="External"/><Relationship Id="rId57" Type="http://schemas.openxmlformats.org/officeDocument/2006/relationships/hyperlink" Target="https://webgate.ec.europa.eu/CITnet/jira/browse/PFM-92" TargetMode="External"/><Relationship Id="rId106" Type="http://schemas.openxmlformats.org/officeDocument/2006/relationships/hyperlink" Target="https://webgate.ec.europa.eu/CITnet/jira/browse/COMPASS-277" TargetMode="External"/><Relationship Id="rId127" Type="http://schemas.openxmlformats.org/officeDocument/2006/relationships/hyperlink" Target="https://webgate.ec.europa.eu/CITnet/jira/browse/CCTASK-590" TargetMode="External"/><Relationship Id="rId10" Type="http://schemas.openxmlformats.org/officeDocument/2006/relationships/hyperlink" Target="https://webgate.ec.europa.eu/CITnet/jira/browse/TSKACTION-259" TargetMode="External"/><Relationship Id="rId31" Type="http://schemas.openxmlformats.org/officeDocument/2006/relationships/hyperlink" Target="https://webgate.ec.europa.eu/CITnet/jira/browse/PROCESS-109" TargetMode="External"/><Relationship Id="rId52" Type="http://schemas.openxmlformats.org/officeDocument/2006/relationships/hyperlink" Target="https://webgate.ec.europa.eu/CITnet/jira/browse/PFM-143" TargetMode="External"/><Relationship Id="rId73" Type="http://schemas.openxmlformats.org/officeDocument/2006/relationships/hyperlink" Target="https://webgate.ec.europa.eu/CITnet/jira/browse/PFM-51" TargetMode="External"/><Relationship Id="rId78" Type="http://schemas.openxmlformats.org/officeDocument/2006/relationships/hyperlink" Target="https://webgate.ec.europa.eu/CITnet/jira/browse/INTERCOM-83" TargetMode="External"/><Relationship Id="rId94" Type="http://schemas.openxmlformats.org/officeDocument/2006/relationships/hyperlink" Target="https://webgate.ec.europa.eu/CITnet/jira/browse/INTERCOM-43" TargetMode="External"/><Relationship Id="rId99" Type="http://schemas.openxmlformats.org/officeDocument/2006/relationships/hyperlink" Target="https://webgate.ec.europa.eu/CITnet/jira/browse/COMPASS-293" TargetMode="External"/><Relationship Id="rId101" Type="http://schemas.openxmlformats.org/officeDocument/2006/relationships/hyperlink" Target="https://webgate.ec.europa.eu/CITnet/jira/browse/COMPASS-283" TargetMode="External"/><Relationship Id="rId122" Type="http://schemas.openxmlformats.org/officeDocument/2006/relationships/hyperlink" Target="https://webgate.ec.europa.eu/CITnet/jira/browse/COMPASS-202" TargetMode="External"/><Relationship Id="rId143" Type="http://schemas.openxmlformats.org/officeDocument/2006/relationships/hyperlink" Target="https://webgate.ec.europa.eu/CITnet/jira/browse/CCTASK-522" TargetMode="External"/><Relationship Id="rId148" Type="http://schemas.openxmlformats.org/officeDocument/2006/relationships/hyperlink" Target="https://webgate.ec.europa.eu/CITnet/jira/browse/CCPMO-119" TargetMode="External"/><Relationship Id="rId164" Type="http://schemas.openxmlformats.org/officeDocument/2006/relationships/hyperlink" Target="https://webgate.ec.europa.eu/CITnet/jira/browse/CCDOCLIST-171" TargetMode="External"/><Relationship Id="rId169" Type="http://schemas.openxmlformats.org/officeDocument/2006/relationships/hyperlink" Target="https://webgate.ec.europa.eu/CITnet/jira/browse/CCDOCLIST-161" TargetMode="External"/><Relationship Id="rId185" Type="http://schemas.openxmlformats.org/officeDocument/2006/relationships/hyperlink" Target="https://webgate.ec.europa.eu/CITnet/jira/browse/CCADMIN-45" TargetMode="External"/><Relationship Id="rId4" Type="http://schemas.openxmlformats.org/officeDocument/2006/relationships/hyperlink" Target="https://webgate.ec.europa.eu/CITnet/jira/browse/WAVECC-35" TargetMode="External"/><Relationship Id="rId9" Type="http://schemas.openxmlformats.org/officeDocument/2006/relationships/hyperlink" Target="https://webgate.ec.europa.eu/CITnet/jira/browse/TSKACTION-260" TargetMode="External"/><Relationship Id="rId180" Type="http://schemas.openxmlformats.org/officeDocument/2006/relationships/hyperlink" Target="https://webgate.ec.europa.eu/CITnet/jira/browse/CCADMIN-52" TargetMode="External"/></Relationships>
</file>

<file path=xl/worksheets/_rels/sheet15.xml.rels><?xml version="1.0" encoding="UTF-8" standalone="yes"?>
<Relationships xmlns="http://schemas.openxmlformats.org/package/2006/relationships"><Relationship Id="rId13" Type="http://schemas.openxmlformats.org/officeDocument/2006/relationships/hyperlink" Target="https://webgate.ec.europa.eu/CITnet/jira/browse/CCTASK-534" TargetMode="External"/><Relationship Id="rId18" Type="http://schemas.openxmlformats.org/officeDocument/2006/relationships/hyperlink" Target="https://webgate.ec.europa.eu/CITnet/jira/browse/TSKACTION-245" TargetMode="External"/><Relationship Id="rId26" Type="http://schemas.openxmlformats.org/officeDocument/2006/relationships/hyperlink" Target="https://webgate.ec.europa.eu/CITnet/jira/browse/TSKACTION-56" TargetMode="External"/><Relationship Id="rId39" Type="http://schemas.openxmlformats.org/officeDocument/2006/relationships/hyperlink" Target="https://webgate.ec.europa.eu/CITnet/jira/browse/CCTASK-532" TargetMode="External"/><Relationship Id="rId3" Type="http://schemas.openxmlformats.org/officeDocument/2006/relationships/hyperlink" Target="https://webgate.ec.europa.eu/CITnet/jira/browse/CCDOCLIST-165" TargetMode="External"/><Relationship Id="rId21" Type="http://schemas.openxmlformats.org/officeDocument/2006/relationships/hyperlink" Target="https://webgate.ec.europa.eu/CITnet/jira/browse/CCTASK-527" TargetMode="External"/><Relationship Id="rId34" Type="http://schemas.openxmlformats.org/officeDocument/2006/relationships/hyperlink" Target="https://webgate.ec.europa.eu/CITnet/jira/browse/INTERCOM-71" TargetMode="External"/><Relationship Id="rId42" Type="http://schemas.openxmlformats.org/officeDocument/2006/relationships/hyperlink" Target="https://webgate.ec.europa.eu/CITnet/jira/browse/CCPMO-76" TargetMode="External"/><Relationship Id="rId47" Type="http://schemas.openxmlformats.org/officeDocument/2006/relationships/hyperlink" Target="https://webgate.ec.europa.eu/CITnet/jira/browse/INTERCOM-59" TargetMode="External"/><Relationship Id="rId50" Type="http://schemas.openxmlformats.org/officeDocument/2006/relationships/hyperlink" Target="https://webgate.ec.europa.eu/CITnet/jira/browse/PFM-131" TargetMode="External"/><Relationship Id="rId7" Type="http://schemas.openxmlformats.org/officeDocument/2006/relationships/hyperlink" Target="https://webgate.ec.europa.eu/CITnet/jira/browse/CCARCHITEC-37" TargetMode="External"/><Relationship Id="rId12" Type="http://schemas.openxmlformats.org/officeDocument/2006/relationships/hyperlink" Target="https://webgate.ec.europa.eu/CITnet/jira/browse/CCDOCLIST-157" TargetMode="External"/><Relationship Id="rId17" Type="http://schemas.openxmlformats.org/officeDocument/2006/relationships/hyperlink" Target="https://webgate.ec.europa.eu/CITnet/jira/browse/CCARCHITEC-49" TargetMode="External"/><Relationship Id="rId25" Type="http://schemas.openxmlformats.org/officeDocument/2006/relationships/hyperlink" Target="https://webgate.ec.europa.eu/CITnet/jira/browse/CCTASK-476" TargetMode="External"/><Relationship Id="rId33" Type="http://schemas.openxmlformats.org/officeDocument/2006/relationships/hyperlink" Target="https://webgate.ec.europa.eu/CITnet/jira/browse/INTERCOM-54" TargetMode="External"/><Relationship Id="rId38" Type="http://schemas.openxmlformats.org/officeDocument/2006/relationships/hyperlink" Target="https://webgate.ec.europa.eu/CITnet/jira/browse/PROCESS-33" TargetMode="External"/><Relationship Id="rId46" Type="http://schemas.openxmlformats.org/officeDocument/2006/relationships/hyperlink" Target="https://webgate.ec.europa.eu/CITnet/jira/browse/CCADMIN-44" TargetMode="External"/><Relationship Id="rId2" Type="http://schemas.openxmlformats.org/officeDocument/2006/relationships/hyperlink" Target="https://webgate.ec.europa.eu/CITnet/jira/browse/TSKACTION-217" TargetMode="External"/><Relationship Id="rId16" Type="http://schemas.openxmlformats.org/officeDocument/2006/relationships/hyperlink" Target="https://webgate.ec.europa.eu/CITnet/jira/browse/CCDOCLIST-25" TargetMode="External"/><Relationship Id="rId20" Type="http://schemas.openxmlformats.org/officeDocument/2006/relationships/hyperlink" Target="https://webgate.ec.europa.eu/CITnet/jira/browse/CCTASK-579" TargetMode="External"/><Relationship Id="rId29" Type="http://schemas.openxmlformats.org/officeDocument/2006/relationships/hyperlink" Target="https://webgate.ec.europa.eu/CITnet/jira/browse/CCPMO-77" TargetMode="External"/><Relationship Id="rId41" Type="http://schemas.openxmlformats.org/officeDocument/2006/relationships/hyperlink" Target="https://webgate.ec.europa.eu/CITnet/jira/browse/WAVECC-34" TargetMode="External"/><Relationship Id="rId54" Type="http://schemas.openxmlformats.org/officeDocument/2006/relationships/drawing" Target="../drawings/drawing12.xml"/><Relationship Id="rId1" Type="http://schemas.openxmlformats.org/officeDocument/2006/relationships/hyperlink" Target="https://webgate.ec.europa.eu/CITnet/jira/issues/?jql=project+in+%28COMPCORP%2C+CCADMIN%2C+CCARCHITEC%2C+CCDOCLIST%2C+ECKL%2C+CCINFRAEC%2C+INTERCOM%2C+CCPMO%2C+PFM%2C+PROCESS%2C+CCTASK%2C+TSKACTION%2C+WAVECC%2C+COMPASS%29+AND+issuetype+in+%28Enabler%2C+%22New+Feature%22%29+AND+fixVersion+in+%28COMPCORP-PI4%29+ORDER+BY+progress+ASC%2C+cf%5B12631%5D+ASC%2C+summary+ASC%2C+WSJF+DESC" TargetMode="External"/><Relationship Id="rId6" Type="http://schemas.openxmlformats.org/officeDocument/2006/relationships/hyperlink" Target="https://webgate.ec.europa.eu/CITnet/jira/browse/PROCESS-75" TargetMode="External"/><Relationship Id="rId11" Type="http://schemas.openxmlformats.org/officeDocument/2006/relationships/hyperlink" Target="https://webgate.ec.europa.eu/CITnet/jira/browse/CCDOCLIST-19" TargetMode="External"/><Relationship Id="rId24" Type="http://schemas.openxmlformats.org/officeDocument/2006/relationships/hyperlink" Target="https://webgate.ec.europa.eu/CITnet/jira/browse/CCDOCLIST-174" TargetMode="External"/><Relationship Id="rId32" Type="http://schemas.openxmlformats.org/officeDocument/2006/relationships/hyperlink" Target="https://webgate.ec.europa.eu/CITnet/jira/browse/CCADMIN-42" TargetMode="External"/><Relationship Id="rId37" Type="http://schemas.openxmlformats.org/officeDocument/2006/relationships/hyperlink" Target="https://webgate.ec.europa.eu/CITnet/jira/browse/PROCESS-95" TargetMode="External"/><Relationship Id="rId40" Type="http://schemas.openxmlformats.org/officeDocument/2006/relationships/hyperlink" Target="https://webgate.ec.europa.eu/CITnet/jira/browse/CCDOCLIST-116" TargetMode="External"/><Relationship Id="rId45" Type="http://schemas.openxmlformats.org/officeDocument/2006/relationships/hyperlink" Target="https://webgate.ec.europa.eu/CITnet/jira/browse/PROCESS-125" TargetMode="External"/><Relationship Id="rId53" Type="http://schemas.openxmlformats.org/officeDocument/2006/relationships/hyperlink" Target="https://webgate.ec.europa.eu/CITnet/jira/browse/PROCESS-96" TargetMode="External"/><Relationship Id="rId5" Type="http://schemas.openxmlformats.org/officeDocument/2006/relationships/hyperlink" Target="https://webgate.ec.europa.eu/CITnet/jira/browse/PROCESS-92" TargetMode="External"/><Relationship Id="rId15" Type="http://schemas.openxmlformats.org/officeDocument/2006/relationships/hyperlink" Target="https://webgate.ec.europa.eu/CITnet/jira/browse/CCDOCLIST-27" TargetMode="External"/><Relationship Id="rId23" Type="http://schemas.openxmlformats.org/officeDocument/2006/relationships/hyperlink" Target="https://webgate.ec.europa.eu/CITnet/jira/browse/CCTASK-519" TargetMode="External"/><Relationship Id="rId28" Type="http://schemas.openxmlformats.org/officeDocument/2006/relationships/hyperlink" Target="https://webgate.ec.europa.eu/CITnet/jira/browse/CCPMO-129" TargetMode="External"/><Relationship Id="rId36" Type="http://schemas.openxmlformats.org/officeDocument/2006/relationships/hyperlink" Target="https://webgate.ec.europa.eu/CITnet/jira/browse/PFM-125" TargetMode="External"/><Relationship Id="rId49" Type="http://schemas.openxmlformats.org/officeDocument/2006/relationships/hyperlink" Target="https://webgate.ec.europa.eu/CITnet/jira/browse/CCTASK-518" TargetMode="External"/><Relationship Id="rId10" Type="http://schemas.openxmlformats.org/officeDocument/2006/relationships/hyperlink" Target="https://webgate.ec.europa.eu/CITnet/jira/browse/CCDOCLIST-156" TargetMode="External"/><Relationship Id="rId19" Type="http://schemas.openxmlformats.org/officeDocument/2006/relationships/hyperlink" Target="https://webgate.ec.europa.eu/CITnet/jira/browse/CCDOCLIST-181" TargetMode="External"/><Relationship Id="rId31" Type="http://schemas.openxmlformats.org/officeDocument/2006/relationships/hyperlink" Target="https://webgate.ec.europa.eu/CITnet/jira/browse/WAVECC-42" TargetMode="External"/><Relationship Id="rId44" Type="http://schemas.openxmlformats.org/officeDocument/2006/relationships/hyperlink" Target="https://webgate.ec.europa.eu/CITnet/jira/browse/CCADMIN-55" TargetMode="External"/><Relationship Id="rId52" Type="http://schemas.openxmlformats.org/officeDocument/2006/relationships/hyperlink" Target="https://webgate.ec.europa.eu/CITnet/jira/browse/PFM-126" TargetMode="External"/><Relationship Id="rId4" Type="http://schemas.openxmlformats.org/officeDocument/2006/relationships/hyperlink" Target="https://webgate.ec.europa.eu/CITnet/jira/browse/PROCESS-44" TargetMode="External"/><Relationship Id="rId9" Type="http://schemas.openxmlformats.org/officeDocument/2006/relationships/hyperlink" Target="https://webgate.ec.europa.eu/CITnet/jira/browse/CCTASK-533" TargetMode="External"/><Relationship Id="rId14" Type="http://schemas.openxmlformats.org/officeDocument/2006/relationships/hyperlink" Target="https://webgate.ec.europa.eu/CITnet/jira/browse/CCDOCLIST-17" TargetMode="External"/><Relationship Id="rId22" Type="http://schemas.openxmlformats.org/officeDocument/2006/relationships/hyperlink" Target="https://webgate.ec.europa.eu/CITnet/jira/browse/CCTASK-272" TargetMode="External"/><Relationship Id="rId27" Type="http://schemas.openxmlformats.org/officeDocument/2006/relationships/hyperlink" Target="https://webgate.ec.europa.eu/CITnet/jira/browse/INTERCOM-55" TargetMode="External"/><Relationship Id="rId30" Type="http://schemas.openxmlformats.org/officeDocument/2006/relationships/hyperlink" Target="https://webgate.ec.europa.eu/CITnet/jira/browse/CCPMO-63" TargetMode="External"/><Relationship Id="rId35" Type="http://schemas.openxmlformats.org/officeDocument/2006/relationships/hyperlink" Target="https://webgate.ec.europa.eu/CITnet/jira/browse/PROCESS-98" TargetMode="External"/><Relationship Id="rId43" Type="http://schemas.openxmlformats.org/officeDocument/2006/relationships/hyperlink" Target="https://webgate.ec.europa.eu/CITnet/jira/browse/INTERCOM-75" TargetMode="External"/><Relationship Id="rId48" Type="http://schemas.openxmlformats.org/officeDocument/2006/relationships/hyperlink" Target="https://webgate.ec.europa.eu/CITnet/jira/browse/INTERCOM-72" TargetMode="External"/><Relationship Id="rId8" Type="http://schemas.openxmlformats.org/officeDocument/2006/relationships/hyperlink" Target="https://webgate.ec.europa.eu/CITnet/jira/browse/COMPCORP-114" TargetMode="External"/><Relationship Id="rId51" Type="http://schemas.openxmlformats.org/officeDocument/2006/relationships/hyperlink" Target="https://webgate.ec.europa.eu/CITnet/jira/browse/INTERCOM-52" TargetMode="External"/></Relationships>
</file>

<file path=xl/worksheets/_rels/sheet16.xml.rels><?xml version="1.0" encoding="UTF-8" standalone="yes"?>
<Relationships xmlns="http://schemas.openxmlformats.org/package/2006/relationships"><Relationship Id="rId26" Type="http://schemas.openxmlformats.org/officeDocument/2006/relationships/hyperlink" Target="https://webgate.ec.europa.eu/CITnet/jira/browse/CCTASK-84" TargetMode="External"/><Relationship Id="rId117" Type="http://schemas.openxmlformats.org/officeDocument/2006/relationships/hyperlink" Target="https://webgate.ec.europa.eu/CITnet/jira/browse/WAVECC-35" TargetMode="External"/><Relationship Id="rId21" Type="http://schemas.openxmlformats.org/officeDocument/2006/relationships/hyperlink" Target="https://webgate.ec.europa.eu/CITnet/jira/browse/CCTASK-117" TargetMode="External"/><Relationship Id="rId42" Type="http://schemas.openxmlformats.org/officeDocument/2006/relationships/hyperlink" Target="https://webgate.ec.europa.eu/CITnet/jira/browse/CCTASK-93" TargetMode="External"/><Relationship Id="rId47" Type="http://schemas.openxmlformats.org/officeDocument/2006/relationships/hyperlink" Target="https://webgate.ec.europa.eu/CITnet/jira/browse/CCTASK-82" TargetMode="External"/><Relationship Id="rId63" Type="http://schemas.openxmlformats.org/officeDocument/2006/relationships/hyperlink" Target="https://webgate.ec.europa.eu/CITnet/jira/browse/CCADMIN-51" TargetMode="External"/><Relationship Id="rId68" Type="http://schemas.openxmlformats.org/officeDocument/2006/relationships/hyperlink" Target="https://webgate.ec.europa.eu/CITnet/jira/browse/CCADMIN-47" TargetMode="External"/><Relationship Id="rId84" Type="http://schemas.openxmlformats.org/officeDocument/2006/relationships/hyperlink" Target="https://webgate.ec.europa.eu/CITnet/jira/browse/CCPMO-79" TargetMode="External"/><Relationship Id="rId89" Type="http://schemas.openxmlformats.org/officeDocument/2006/relationships/hyperlink" Target="https://webgate.ec.europa.eu/CITnet/jira/browse/PFM-92" TargetMode="External"/><Relationship Id="rId112" Type="http://schemas.openxmlformats.org/officeDocument/2006/relationships/hyperlink" Target="https://webgate.ec.europa.eu/CITnet/jira/browse/PROCESS-108" TargetMode="External"/><Relationship Id="rId133" Type="http://schemas.openxmlformats.org/officeDocument/2006/relationships/hyperlink" Target="https://webgate.ec.europa.eu/CITnet/jira/browse/CCTASK-53" TargetMode="External"/><Relationship Id="rId138" Type="http://schemas.openxmlformats.org/officeDocument/2006/relationships/hyperlink" Target="https://webgate.ec.europa.eu/CITnet/jira/browse/CCTASK-564" TargetMode="External"/><Relationship Id="rId154" Type="http://schemas.openxmlformats.org/officeDocument/2006/relationships/drawing" Target="../drawings/drawing13.xml"/><Relationship Id="rId16" Type="http://schemas.openxmlformats.org/officeDocument/2006/relationships/hyperlink" Target="https://webgate.ec.europa.eu/CITnet/jira/browse/PFM-51" TargetMode="External"/><Relationship Id="rId107" Type="http://schemas.openxmlformats.org/officeDocument/2006/relationships/hyperlink" Target="https://webgate.ec.europa.eu/CITnet/jira/browse/PFM-150" TargetMode="External"/><Relationship Id="rId11" Type="http://schemas.openxmlformats.org/officeDocument/2006/relationships/hyperlink" Target="https://webgate.ec.europa.eu/CITnet/jira/browse/INTERCOM-36" TargetMode="External"/><Relationship Id="rId32" Type="http://schemas.openxmlformats.org/officeDocument/2006/relationships/hyperlink" Target="https://webgate.ec.europa.eu/CITnet/jira/browse/CCTASK-100" TargetMode="External"/><Relationship Id="rId37" Type="http://schemas.openxmlformats.org/officeDocument/2006/relationships/hyperlink" Target="https://webgate.ec.europa.eu/CITnet/jira/browse/CCTASK-77" TargetMode="External"/><Relationship Id="rId53" Type="http://schemas.openxmlformats.org/officeDocument/2006/relationships/hyperlink" Target="https://webgate.ec.europa.eu/CITnet/jira/browse/PROCESS-89" TargetMode="External"/><Relationship Id="rId58" Type="http://schemas.openxmlformats.org/officeDocument/2006/relationships/hyperlink" Target="https://webgate.ec.europa.eu/CITnet/jira/browse/INTERCOM-65" TargetMode="External"/><Relationship Id="rId74" Type="http://schemas.openxmlformats.org/officeDocument/2006/relationships/hyperlink" Target="https://webgate.ec.europa.eu/CITnet/jira/browse/INTERCOM-57" TargetMode="External"/><Relationship Id="rId79" Type="http://schemas.openxmlformats.org/officeDocument/2006/relationships/hyperlink" Target="https://webgate.ec.europa.eu/CITnet/jira/browse/INTERCOM-74" TargetMode="External"/><Relationship Id="rId102" Type="http://schemas.openxmlformats.org/officeDocument/2006/relationships/hyperlink" Target="https://webgate.ec.europa.eu/CITnet/jira/browse/PROCESS-128" TargetMode="External"/><Relationship Id="rId123" Type="http://schemas.openxmlformats.org/officeDocument/2006/relationships/hyperlink" Target="https://webgate.ec.europa.eu/CITnet/jira/browse/CCTASK-455" TargetMode="External"/><Relationship Id="rId128" Type="http://schemas.openxmlformats.org/officeDocument/2006/relationships/hyperlink" Target="https://webgate.ec.europa.eu/CITnet/jira/browse/PFM-68" TargetMode="External"/><Relationship Id="rId144" Type="http://schemas.openxmlformats.org/officeDocument/2006/relationships/hyperlink" Target="https://webgate.ec.europa.eu/CITnet/jira/browse/PROCESS-119" TargetMode="External"/><Relationship Id="rId149" Type="http://schemas.openxmlformats.org/officeDocument/2006/relationships/hyperlink" Target="https://webgate.ec.europa.eu/CITnet/jira/browse/PROCESS-118" TargetMode="External"/><Relationship Id="rId5" Type="http://schemas.openxmlformats.org/officeDocument/2006/relationships/hyperlink" Target="https://webgate.ec.europa.eu/CITnet/jira/browse/CCADMIN-12" TargetMode="External"/><Relationship Id="rId90" Type="http://schemas.openxmlformats.org/officeDocument/2006/relationships/hyperlink" Target="https://webgate.ec.europa.eu/CITnet/jira/browse/PFM-91" TargetMode="External"/><Relationship Id="rId95" Type="http://schemas.openxmlformats.org/officeDocument/2006/relationships/hyperlink" Target="https://webgate.ec.europa.eu/CITnet/jira/browse/PFM-54" TargetMode="External"/><Relationship Id="rId22" Type="http://schemas.openxmlformats.org/officeDocument/2006/relationships/hyperlink" Target="https://webgate.ec.europa.eu/CITnet/jira/browse/CCTASK-121" TargetMode="External"/><Relationship Id="rId27" Type="http://schemas.openxmlformats.org/officeDocument/2006/relationships/hyperlink" Target="https://webgate.ec.europa.eu/CITnet/jira/browse/CCTASK-90" TargetMode="External"/><Relationship Id="rId43" Type="http://schemas.openxmlformats.org/officeDocument/2006/relationships/hyperlink" Target="https://webgate.ec.europa.eu/CITnet/jira/browse/CCTASK-123" TargetMode="External"/><Relationship Id="rId48" Type="http://schemas.openxmlformats.org/officeDocument/2006/relationships/hyperlink" Target="https://webgate.ec.europa.eu/CITnet/jira/browse/CCTASK-89" TargetMode="External"/><Relationship Id="rId64" Type="http://schemas.openxmlformats.org/officeDocument/2006/relationships/hyperlink" Target="https://webgate.ec.europa.eu/CITnet/jira/browse/CCADMIN-35" TargetMode="External"/><Relationship Id="rId69" Type="http://schemas.openxmlformats.org/officeDocument/2006/relationships/hyperlink" Target="https://webgate.ec.europa.eu/CITnet/jira/browse/CCADMIN-45" TargetMode="External"/><Relationship Id="rId113" Type="http://schemas.openxmlformats.org/officeDocument/2006/relationships/hyperlink" Target="https://webgate.ec.europa.eu/CITnet/jira/browse/PROCESS-107" TargetMode="External"/><Relationship Id="rId118" Type="http://schemas.openxmlformats.org/officeDocument/2006/relationships/hyperlink" Target="https://webgate.ec.europa.eu/CITnet/jira/browse/PFM-143" TargetMode="External"/><Relationship Id="rId134" Type="http://schemas.openxmlformats.org/officeDocument/2006/relationships/hyperlink" Target="https://webgate.ec.europa.eu/CITnet/jira/browse/CCTASK-137" TargetMode="External"/><Relationship Id="rId139" Type="http://schemas.openxmlformats.org/officeDocument/2006/relationships/hyperlink" Target="https://webgate.ec.europa.eu/CITnet/jira/browse/CCTASK-522" TargetMode="External"/><Relationship Id="rId80" Type="http://schemas.openxmlformats.org/officeDocument/2006/relationships/hyperlink" Target="https://webgate.ec.europa.eu/CITnet/jira/browse/CCDOCLIST-63" TargetMode="External"/><Relationship Id="rId85" Type="http://schemas.openxmlformats.org/officeDocument/2006/relationships/hyperlink" Target="https://webgate.ec.europa.eu/CITnet/jira/browse/WAVECC-25" TargetMode="External"/><Relationship Id="rId150" Type="http://schemas.openxmlformats.org/officeDocument/2006/relationships/hyperlink" Target="https://webgate.ec.europa.eu/CITnet/jira/browse/PROCESS-121" TargetMode="External"/><Relationship Id="rId12" Type="http://schemas.openxmlformats.org/officeDocument/2006/relationships/hyperlink" Target="https://webgate.ec.europa.eu/CITnet/jira/browse/PROCESS-86" TargetMode="External"/><Relationship Id="rId17" Type="http://schemas.openxmlformats.org/officeDocument/2006/relationships/hyperlink" Target="https://webgate.ec.europa.eu/CITnet/jira/browse/PFM-53" TargetMode="External"/><Relationship Id="rId25" Type="http://schemas.openxmlformats.org/officeDocument/2006/relationships/hyperlink" Target="https://webgate.ec.europa.eu/CITnet/jira/browse/CCTASK-107" TargetMode="External"/><Relationship Id="rId33" Type="http://schemas.openxmlformats.org/officeDocument/2006/relationships/hyperlink" Target="https://webgate.ec.europa.eu/CITnet/jira/browse/CCTASK-88" TargetMode="External"/><Relationship Id="rId38" Type="http://schemas.openxmlformats.org/officeDocument/2006/relationships/hyperlink" Target="https://webgate.ec.europa.eu/CITnet/jira/browse/CCTASK-120" TargetMode="External"/><Relationship Id="rId46" Type="http://schemas.openxmlformats.org/officeDocument/2006/relationships/hyperlink" Target="https://webgate.ec.europa.eu/CITnet/jira/browse/CCTASK-112" TargetMode="External"/><Relationship Id="rId59" Type="http://schemas.openxmlformats.org/officeDocument/2006/relationships/hyperlink" Target="https://webgate.ec.europa.eu/CITnet/jira/browse/INTERCOM-64" TargetMode="External"/><Relationship Id="rId67" Type="http://schemas.openxmlformats.org/officeDocument/2006/relationships/hyperlink" Target="https://webgate.ec.europa.eu/CITnet/jira/browse/PFM-144" TargetMode="External"/><Relationship Id="rId103" Type="http://schemas.openxmlformats.org/officeDocument/2006/relationships/hyperlink" Target="https://webgate.ec.europa.eu/CITnet/jira/browse/CCPMO-119" TargetMode="External"/><Relationship Id="rId108" Type="http://schemas.openxmlformats.org/officeDocument/2006/relationships/hyperlink" Target="https://webgate.ec.europa.eu/CITnet/jira/browse/PFM-148" TargetMode="External"/><Relationship Id="rId116" Type="http://schemas.openxmlformats.org/officeDocument/2006/relationships/hyperlink" Target="https://webgate.ec.europa.eu/CITnet/jira/browse/INTERCOM-66" TargetMode="External"/><Relationship Id="rId124" Type="http://schemas.openxmlformats.org/officeDocument/2006/relationships/hyperlink" Target="https://webgate.ec.europa.eu/CITnet/jira/browse/PROCESS-74" TargetMode="External"/><Relationship Id="rId129" Type="http://schemas.openxmlformats.org/officeDocument/2006/relationships/hyperlink" Target="https://webgate.ec.europa.eu/CITnet/jira/browse/PFM-59" TargetMode="External"/><Relationship Id="rId137" Type="http://schemas.openxmlformats.org/officeDocument/2006/relationships/hyperlink" Target="https://webgate.ec.europa.eu/CITnet/jira/browse/CCPMO-62" TargetMode="External"/><Relationship Id="rId20" Type="http://schemas.openxmlformats.org/officeDocument/2006/relationships/hyperlink" Target="https://webgate.ec.europa.eu/CITnet/jira/browse/CCTASK-118" TargetMode="External"/><Relationship Id="rId41" Type="http://schemas.openxmlformats.org/officeDocument/2006/relationships/hyperlink" Target="https://webgate.ec.europa.eu/CITnet/jira/browse/CCTASK-113" TargetMode="External"/><Relationship Id="rId54" Type="http://schemas.openxmlformats.org/officeDocument/2006/relationships/hyperlink" Target="https://webgate.ec.europa.eu/CITnet/jira/browse/CCADMIN-56" TargetMode="External"/><Relationship Id="rId62" Type="http://schemas.openxmlformats.org/officeDocument/2006/relationships/hyperlink" Target="https://webgate.ec.europa.eu/CITnet/jira/browse/INTERCOM-60" TargetMode="External"/><Relationship Id="rId70" Type="http://schemas.openxmlformats.org/officeDocument/2006/relationships/hyperlink" Target="https://webgate.ec.europa.eu/CITnet/jira/browse/CCADMIN-43" TargetMode="External"/><Relationship Id="rId75" Type="http://schemas.openxmlformats.org/officeDocument/2006/relationships/hyperlink" Target="https://webgate.ec.europa.eu/CITnet/jira/browse/INTERCOM-56" TargetMode="External"/><Relationship Id="rId83" Type="http://schemas.openxmlformats.org/officeDocument/2006/relationships/hyperlink" Target="https://webgate.ec.europa.eu/CITnet/jira/browse/CCPMO-111" TargetMode="External"/><Relationship Id="rId88" Type="http://schemas.openxmlformats.org/officeDocument/2006/relationships/hyperlink" Target="https://webgate.ec.europa.eu/CITnet/jira/browse/CCADMIN-48" TargetMode="External"/><Relationship Id="rId91" Type="http://schemas.openxmlformats.org/officeDocument/2006/relationships/hyperlink" Target="https://webgate.ec.europa.eu/CITnet/jira/browse/CCADMIN-14" TargetMode="External"/><Relationship Id="rId96" Type="http://schemas.openxmlformats.org/officeDocument/2006/relationships/hyperlink" Target="https://webgate.ec.europa.eu/CITnet/jira/browse/PFM-50" TargetMode="External"/><Relationship Id="rId111" Type="http://schemas.openxmlformats.org/officeDocument/2006/relationships/hyperlink" Target="https://webgate.ec.europa.eu/CITnet/jira/browse/PROCESS-110" TargetMode="External"/><Relationship Id="rId132" Type="http://schemas.openxmlformats.org/officeDocument/2006/relationships/hyperlink" Target="https://webgate.ec.europa.eu/CITnet/jira/browse/CCTASK-67" TargetMode="External"/><Relationship Id="rId140" Type="http://schemas.openxmlformats.org/officeDocument/2006/relationships/hyperlink" Target="https://webgate.ec.europa.eu/CITnet/jira/browse/CCTASK-512" TargetMode="External"/><Relationship Id="rId145" Type="http://schemas.openxmlformats.org/officeDocument/2006/relationships/hyperlink" Target="https://webgate.ec.europa.eu/CITnet/jira/browse/PFM-146" TargetMode="External"/><Relationship Id="rId153" Type="http://schemas.openxmlformats.org/officeDocument/2006/relationships/hyperlink" Target="https://webgate.ec.europa.eu/CITnet/jira/browse/PROCESS-115" TargetMode="External"/><Relationship Id="rId1" Type="http://schemas.openxmlformats.org/officeDocument/2006/relationships/hyperlink" Target="https://webgate.ec.europa.eu/CITnet/jira/issues/?jql=project+in+%28COMPCORP%2C+CCADMIN%2C+CCARCHITEC%2C+CCDOCLIST%2C+ECKL%2C+CCINFRAEC%2C+INTERCOM%2C+CCPMO%2C+PFM%2C+PROCESS%2C+CCTASK%2C+TSKACTION%2C+WAVECC%2C+COMPASS%29+AND+issuetype+in+%28Story%29+AND+fixversion+is+not+EMPTY+ORDER+BY+status+DESC" TargetMode="External"/><Relationship Id="rId6" Type="http://schemas.openxmlformats.org/officeDocument/2006/relationships/hyperlink" Target="https://webgate.ec.europa.eu/CITnet/jira/browse/PFM-116" TargetMode="External"/><Relationship Id="rId15" Type="http://schemas.openxmlformats.org/officeDocument/2006/relationships/hyperlink" Target="https://webgate.ec.europa.eu/CITnet/jira/browse/CCADMIN-15" TargetMode="External"/><Relationship Id="rId23" Type="http://schemas.openxmlformats.org/officeDocument/2006/relationships/hyperlink" Target="https://webgate.ec.europa.eu/CITnet/jira/browse/CCTASK-99" TargetMode="External"/><Relationship Id="rId28" Type="http://schemas.openxmlformats.org/officeDocument/2006/relationships/hyperlink" Target="https://webgate.ec.europa.eu/CITnet/jira/browse/CCTASK-79" TargetMode="External"/><Relationship Id="rId36" Type="http://schemas.openxmlformats.org/officeDocument/2006/relationships/hyperlink" Target="https://webgate.ec.europa.eu/CITnet/jira/browse/CCTASK-98" TargetMode="External"/><Relationship Id="rId49" Type="http://schemas.openxmlformats.org/officeDocument/2006/relationships/hyperlink" Target="https://webgate.ec.europa.eu/CITnet/jira/browse/CCTASK-102" TargetMode="External"/><Relationship Id="rId57" Type="http://schemas.openxmlformats.org/officeDocument/2006/relationships/hyperlink" Target="https://webgate.ec.europa.eu/CITnet/jira/browse/INTERCOM-70" TargetMode="External"/><Relationship Id="rId106" Type="http://schemas.openxmlformats.org/officeDocument/2006/relationships/hyperlink" Target="https://webgate.ec.europa.eu/CITnet/jira/browse/PFM-149" TargetMode="External"/><Relationship Id="rId114" Type="http://schemas.openxmlformats.org/officeDocument/2006/relationships/hyperlink" Target="https://webgate.ec.europa.eu/CITnet/jira/browse/PROCESS-109" TargetMode="External"/><Relationship Id="rId119" Type="http://schemas.openxmlformats.org/officeDocument/2006/relationships/hyperlink" Target="https://webgate.ec.europa.eu/CITnet/jira/browse/PROCESS-112" TargetMode="External"/><Relationship Id="rId127" Type="http://schemas.openxmlformats.org/officeDocument/2006/relationships/hyperlink" Target="https://webgate.ec.europa.eu/CITnet/jira/browse/PFM-69" TargetMode="External"/><Relationship Id="rId10" Type="http://schemas.openxmlformats.org/officeDocument/2006/relationships/hyperlink" Target="https://webgate.ec.europa.eu/CITnet/jira/browse/WAVECC-7" TargetMode="External"/><Relationship Id="rId31" Type="http://schemas.openxmlformats.org/officeDocument/2006/relationships/hyperlink" Target="https://webgate.ec.europa.eu/CITnet/jira/browse/CCTASK-80" TargetMode="External"/><Relationship Id="rId44" Type="http://schemas.openxmlformats.org/officeDocument/2006/relationships/hyperlink" Target="https://webgate.ec.europa.eu/CITnet/jira/browse/CCTASK-78" TargetMode="External"/><Relationship Id="rId52" Type="http://schemas.openxmlformats.org/officeDocument/2006/relationships/hyperlink" Target="https://webgate.ec.europa.eu/CITnet/jira/browse/CCPMO-58" TargetMode="External"/><Relationship Id="rId60" Type="http://schemas.openxmlformats.org/officeDocument/2006/relationships/hyperlink" Target="https://webgate.ec.europa.eu/CITnet/jira/browse/PFM-160" TargetMode="External"/><Relationship Id="rId65" Type="http://schemas.openxmlformats.org/officeDocument/2006/relationships/hyperlink" Target="https://webgate.ec.europa.eu/CITnet/jira/browse/WAVECC-26" TargetMode="External"/><Relationship Id="rId73" Type="http://schemas.openxmlformats.org/officeDocument/2006/relationships/hyperlink" Target="https://webgate.ec.europa.eu/CITnet/jira/browse/PFM-155" TargetMode="External"/><Relationship Id="rId78" Type="http://schemas.openxmlformats.org/officeDocument/2006/relationships/hyperlink" Target="https://webgate.ec.europa.eu/CITnet/jira/browse/PFM-64" TargetMode="External"/><Relationship Id="rId81" Type="http://schemas.openxmlformats.org/officeDocument/2006/relationships/hyperlink" Target="https://webgate.ec.europa.eu/CITnet/jira/browse/CCTASK-567" TargetMode="External"/><Relationship Id="rId86" Type="http://schemas.openxmlformats.org/officeDocument/2006/relationships/hyperlink" Target="https://webgate.ec.europa.eu/CITnet/jira/browse/PROCESS-90" TargetMode="External"/><Relationship Id="rId94" Type="http://schemas.openxmlformats.org/officeDocument/2006/relationships/hyperlink" Target="https://webgate.ec.europa.eu/CITnet/jira/browse/PFM-110" TargetMode="External"/><Relationship Id="rId99" Type="http://schemas.openxmlformats.org/officeDocument/2006/relationships/hyperlink" Target="https://webgate.ec.europa.eu/CITnet/jira/browse/PFM-63" TargetMode="External"/><Relationship Id="rId101" Type="http://schemas.openxmlformats.org/officeDocument/2006/relationships/hyperlink" Target="https://webgate.ec.europa.eu/CITnet/jira/browse/PROCESS-129" TargetMode="External"/><Relationship Id="rId122" Type="http://schemas.openxmlformats.org/officeDocument/2006/relationships/hyperlink" Target="https://webgate.ec.europa.eu/CITnet/jira/browse/PFM-82" TargetMode="External"/><Relationship Id="rId130" Type="http://schemas.openxmlformats.org/officeDocument/2006/relationships/hyperlink" Target="https://webgate.ec.europa.eu/CITnet/jira/browse/PROCESS-48" TargetMode="External"/><Relationship Id="rId135" Type="http://schemas.openxmlformats.org/officeDocument/2006/relationships/hyperlink" Target="https://webgate.ec.europa.eu/CITnet/jira/browse/CCTASK-62" TargetMode="External"/><Relationship Id="rId143" Type="http://schemas.openxmlformats.org/officeDocument/2006/relationships/hyperlink" Target="https://webgate.ec.europa.eu/CITnet/jira/browse/PROCESS-117" TargetMode="External"/><Relationship Id="rId148" Type="http://schemas.openxmlformats.org/officeDocument/2006/relationships/hyperlink" Target="https://webgate.ec.europa.eu/CITnet/jira/browse/PFM-147" TargetMode="External"/><Relationship Id="rId151" Type="http://schemas.openxmlformats.org/officeDocument/2006/relationships/hyperlink" Target="https://webgate.ec.europa.eu/CITnet/jira/browse/PROCESS-114" TargetMode="External"/><Relationship Id="rId4" Type="http://schemas.openxmlformats.org/officeDocument/2006/relationships/hyperlink" Target="https://webgate.ec.europa.eu/CITnet/jira/browse/CCADMIN-13" TargetMode="External"/><Relationship Id="rId9" Type="http://schemas.openxmlformats.org/officeDocument/2006/relationships/hyperlink" Target="https://webgate.ec.europa.eu/CITnet/jira/browse/CCPMO-46" TargetMode="External"/><Relationship Id="rId13" Type="http://schemas.openxmlformats.org/officeDocument/2006/relationships/hyperlink" Target="https://webgate.ec.europa.eu/CITnet/jira/browse/PROCESS-76" TargetMode="External"/><Relationship Id="rId18" Type="http://schemas.openxmlformats.org/officeDocument/2006/relationships/hyperlink" Target="https://webgate.ec.europa.eu/CITnet/jira/browse/PFM-56" TargetMode="External"/><Relationship Id="rId39" Type="http://schemas.openxmlformats.org/officeDocument/2006/relationships/hyperlink" Target="https://webgate.ec.europa.eu/CITnet/jira/browse/CCTASK-75" TargetMode="External"/><Relationship Id="rId109" Type="http://schemas.openxmlformats.org/officeDocument/2006/relationships/hyperlink" Target="https://webgate.ec.europa.eu/CITnet/jira/browse/PROCESS-111" TargetMode="External"/><Relationship Id="rId34" Type="http://schemas.openxmlformats.org/officeDocument/2006/relationships/hyperlink" Target="https://webgate.ec.europa.eu/CITnet/jira/browse/CCTASK-109" TargetMode="External"/><Relationship Id="rId50" Type="http://schemas.openxmlformats.org/officeDocument/2006/relationships/hyperlink" Target="https://webgate.ec.europa.eu/CITnet/jira/browse/CCTASK-110" TargetMode="External"/><Relationship Id="rId55" Type="http://schemas.openxmlformats.org/officeDocument/2006/relationships/hyperlink" Target="https://webgate.ec.europa.eu/CITnet/jira/browse/INTERCOM-73" TargetMode="External"/><Relationship Id="rId76" Type="http://schemas.openxmlformats.org/officeDocument/2006/relationships/hyperlink" Target="https://webgate.ec.europa.eu/CITnet/jira/browse/INTERCOM-58" TargetMode="External"/><Relationship Id="rId97" Type="http://schemas.openxmlformats.org/officeDocument/2006/relationships/hyperlink" Target="https://webgate.ec.europa.eu/CITnet/jira/browse/PFM-49" TargetMode="External"/><Relationship Id="rId104" Type="http://schemas.openxmlformats.org/officeDocument/2006/relationships/hyperlink" Target="https://webgate.ec.europa.eu/CITnet/jira/browse/CCPMO-95" TargetMode="External"/><Relationship Id="rId120" Type="http://schemas.openxmlformats.org/officeDocument/2006/relationships/hyperlink" Target="https://webgate.ec.europa.eu/CITnet/jira/browse/WAVECC-44" TargetMode="External"/><Relationship Id="rId125" Type="http://schemas.openxmlformats.org/officeDocument/2006/relationships/hyperlink" Target="https://webgate.ec.europa.eu/CITnet/jira/browse/PFM-52" TargetMode="External"/><Relationship Id="rId141" Type="http://schemas.openxmlformats.org/officeDocument/2006/relationships/hyperlink" Target="https://webgate.ec.europa.eu/CITnet/jira/browse/PROCESS-122" TargetMode="External"/><Relationship Id="rId146" Type="http://schemas.openxmlformats.org/officeDocument/2006/relationships/hyperlink" Target="https://webgate.ec.europa.eu/CITnet/jira/browse/PFM-151" TargetMode="External"/><Relationship Id="rId7" Type="http://schemas.openxmlformats.org/officeDocument/2006/relationships/hyperlink" Target="https://webgate.ec.europa.eu/CITnet/jira/browse/INTERCOM-41" TargetMode="External"/><Relationship Id="rId71" Type="http://schemas.openxmlformats.org/officeDocument/2006/relationships/hyperlink" Target="https://webgate.ec.europa.eu/CITnet/jira/browse/CCADMIN-46" TargetMode="External"/><Relationship Id="rId92" Type="http://schemas.openxmlformats.org/officeDocument/2006/relationships/hyperlink" Target="https://webgate.ec.europa.eu/CITnet/jira/browse/INTERCOM-43" TargetMode="External"/><Relationship Id="rId2" Type="http://schemas.openxmlformats.org/officeDocument/2006/relationships/hyperlink" Target="https://webgate.ec.europa.eu/CITnet/jira/browse/PFM-87" TargetMode="External"/><Relationship Id="rId29" Type="http://schemas.openxmlformats.org/officeDocument/2006/relationships/hyperlink" Target="https://webgate.ec.europa.eu/CITnet/jira/browse/CCTASK-104" TargetMode="External"/><Relationship Id="rId24" Type="http://schemas.openxmlformats.org/officeDocument/2006/relationships/hyperlink" Target="https://webgate.ec.europa.eu/CITnet/jira/browse/CCTASK-94" TargetMode="External"/><Relationship Id="rId40" Type="http://schemas.openxmlformats.org/officeDocument/2006/relationships/hyperlink" Target="https://webgate.ec.europa.eu/CITnet/jira/browse/CCTASK-103" TargetMode="External"/><Relationship Id="rId45" Type="http://schemas.openxmlformats.org/officeDocument/2006/relationships/hyperlink" Target="https://webgate.ec.europa.eu/CITnet/jira/browse/CCTASK-101" TargetMode="External"/><Relationship Id="rId66" Type="http://schemas.openxmlformats.org/officeDocument/2006/relationships/hyperlink" Target="https://webgate.ec.europa.eu/CITnet/jira/browse/WAVECC-28" TargetMode="External"/><Relationship Id="rId87" Type="http://schemas.openxmlformats.org/officeDocument/2006/relationships/hyperlink" Target="https://webgate.ec.europa.eu/CITnet/jira/browse/PFM-142" TargetMode="External"/><Relationship Id="rId110" Type="http://schemas.openxmlformats.org/officeDocument/2006/relationships/hyperlink" Target="https://webgate.ec.europa.eu/CITnet/jira/browse/PROCESS-113" TargetMode="External"/><Relationship Id="rId115" Type="http://schemas.openxmlformats.org/officeDocument/2006/relationships/hyperlink" Target="https://webgate.ec.europa.eu/CITnet/jira/browse/INTERCOM-67" TargetMode="External"/><Relationship Id="rId131" Type="http://schemas.openxmlformats.org/officeDocument/2006/relationships/hyperlink" Target="https://webgate.ec.europa.eu/CITnet/jira/browse/PROCESS-49" TargetMode="External"/><Relationship Id="rId136" Type="http://schemas.openxmlformats.org/officeDocument/2006/relationships/hyperlink" Target="https://webgate.ec.europa.eu/CITnet/jira/browse/CCTASK-65" TargetMode="External"/><Relationship Id="rId61" Type="http://schemas.openxmlformats.org/officeDocument/2006/relationships/hyperlink" Target="https://webgate.ec.europa.eu/CITnet/jira/browse/WAVECC-43" TargetMode="External"/><Relationship Id="rId82" Type="http://schemas.openxmlformats.org/officeDocument/2006/relationships/hyperlink" Target="https://webgate.ec.europa.eu/CITnet/jira/browse/CCPMO-103" TargetMode="External"/><Relationship Id="rId152" Type="http://schemas.openxmlformats.org/officeDocument/2006/relationships/hyperlink" Target="https://webgate.ec.europa.eu/CITnet/jira/browse/PROCESS-116" TargetMode="External"/><Relationship Id="rId19" Type="http://schemas.openxmlformats.org/officeDocument/2006/relationships/hyperlink" Target="https://webgate.ec.europa.eu/CITnet/jira/browse/CCTASK-116" TargetMode="External"/><Relationship Id="rId14" Type="http://schemas.openxmlformats.org/officeDocument/2006/relationships/hyperlink" Target="https://webgate.ec.europa.eu/CITnet/jira/browse/CCADMIN-16" TargetMode="External"/><Relationship Id="rId30" Type="http://schemas.openxmlformats.org/officeDocument/2006/relationships/hyperlink" Target="https://webgate.ec.europa.eu/CITnet/jira/browse/CCTASK-87" TargetMode="External"/><Relationship Id="rId35" Type="http://schemas.openxmlformats.org/officeDocument/2006/relationships/hyperlink" Target="https://webgate.ec.europa.eu/CITnet/jira/browse/CCTASK-97" TargetMode="External"/><Relationship Id="rId56" Type="http://schemas.openxmlformats.org/officeDocument/2006/relationships/hyperlink" Target="https://webgate.ec.europa.eu/CITnet/jira/browse/CCADMIN-53" TargetMode="External"/><Relationship Id="rId77" Type="http://schemas.openxmlformats.org/officeDocument/2006/relationships/hyperlink" Target="https://webgate.ec.europa.eu/CITnet/jira/browse/CCADMIN-52" TargetMode="External"/><Relationship Id="rId100" Type="http://schemas.openxmlformats.org/officeDocument/2006/relationships/hyperlink" Target="https://webgate.ec.europa.eu/CITnet/jira/browse/PFM-8" TargetMode="External"/><Relationship Id="rId105" Type="http://schemas.openxmlformats.org/officeDocument/2006/relationships/hyperlink" Target="https://webgate.ec.europa.eu/CITnet/jira/browse/CCPMO-87" TargetMode="External"/><Relationship Id="rId126" Type="http://schemas.openxmlformats.org/officeDocument/2006/relationships/hyperlink" Target="https://webgate.ec.europa.eu/CITnet/jira/browse/PFM-71" TargetMode="External"/><Relationship Id="rId147" Type="http://schemas.openxmlformats.org/officeDocument/2006/relationships/hyperlink" Target="https://webgate.ec.europa.eu/CITnet/jira/browse/PFM-152" TargetMode="External"/><Relationship Id="rId8" Type="http://schemas.openxmlformats.org/officeDocument/2006/relationships/hyperlink" Target="https://webgate.ec.europa.eu/CITnet/jira/browse/PFM-114" TargetMode="External"/><Relationship Id="rId51" Type="http://schemas.openxmlformats.org/officeDocument/2006/relationships/hyperlink" Target="https://webgate.ec.europa.eu/CITnet/jira/browse/CCPMO-59" TargetMode="External"/><Relationship Id="rId72" Type="http://schemas.openxmlformats.org/officeDocument/2006/relationships/hyperlink" Target="https://webgate.ec.europa.eu/CITnet/jira/browse/INTERCOM-53" TargetMode="External"/><Relationship Id="rId93" Type="http://schemas.openxmlformats.org/officeDocument/2006/relationships/hyperlink" Target="https://webgate.ec.europa.eu/CITnet/jira/browse/WAVECC-6" TargetMode="External"/><Relationship Id="rId98" Type="http://schemas.openxmlformats.org/officeDocument/2006/relationships/hyperlink" Target="https://webgate.ec.europa.eu/CITnet/jira/browse/PFM-73" TargetMode="External"/><Relationship Id="rId121" Type="http://schemas.openxmlformats.org/officeDocument/2006/relationships/hyperlink" Target="https://webgate.ec.europa.eu/CITnet/jira/browse/CCTASK-50" TargetMode="External"/><Relationship Id="rId142" Type="http://schemas.openxmlformats.org/officeDocument/2006/relationships/hyperlink" Target="https://webgate.ec.europa.eu/CITnet/jira/browse/PROCESS-120" TargetMode="External"/><Relationship Id="rId3" Type="http://schemas.openxmlformats.org/officeDocument/2006/relationships/hyperlink" Target="https://webgate.ec.europa.eu/CITnet/jira/browse/PFM-81" TargetMode="External"/></Relationships>
</file>

<file path=xl/worksheets/_rels/sheet17.xml.rels><?xml version="1.0" encoding="UTF-8" standalone="yes"?>
<Relationships xmlns="http://schemas.openxmlformats.org/package/2006/relationships"><Relationship Id="rId26" Type="http://schemas.openxmlformats.org/officeDocument/2006/relationships/hyperlink" Target="https://webgate.ec.europa.eu/CITnet/jira/browse/PROCESS-108" TargetMode="External"/><Relationship Id="rId117" Type="http://schemas.openxmlformats.org/officeDocument/2006/relationships/hyperlink" Target="https://webgate.ec.europa.eu/CITnet/jira/browse/CCTASK-82" TargetMode="External"/><Relationship Id="rId21" Type="http://schemas.openxmlformats.org/officeDocument/2006/relationships/hyperlink" Target="https://webgate.ec.europa.eu/CITnet/jira/browse/PROCESS-113" TargetMode="External"/><Relationship Id="rId42" Type="http://schemas.openxmlformats.org/officeDocument/2006/relationships/hyperlink" Target="https://webgate.ec.europa.eu/CITnet/jira/browse/PFM-147" TargetMode="External"/><Relationship Id="rId47" Type="http://schemas.openxmlformats.org/officeDocument/2006/relationships/hyperlink" Target="https://webgate.ec.europa.eu/CITnet/jira/browse/PFM-116" TargetMode="External"/><Relationship Id="rId63" Type="http://schemas.openxmlformats.org/officeDocument/2006/relationships/hyperlink" Target="https://webgate.ec.europa.eu/CITnet/jira/browse/PFM-54" TargetMode="External"/><Relationship Id="rId68" Type="http://schemas.openxmlformats.org/officeDocument/2006/relationships/hyperlink" Target="https://webgate.ec.europa.eu/CITnet/jira/browse/PFM-49" TargetMode="External"/><Relationship Id="rId84" Type="http://schemas.openxmlformats.org/officeDocument/2006/relationships/hyperlink" Target="https://webgate.ec.europa.eu/CITnet/jira/browse/INTERCOM-36" TargetMode="External"/><Relationship Id="rId89" Type="http://schemas.openxmlformats.org/officeDocument/2006/relationships/hyperlink" Target="https://webgate.ec.europa.eu/CITnet/jira/browse/CCTASK-455" TargetMode="External"/><Relationship Id="rId112" Type="http://schemas.openxmlformats.org/officeDocument/2006/relationships/hyperlink" Target="https://webgate.ec.europa.eu/CITnet/jira/browse/CCTASK-90" TargetMode="External"/><Relationship Id="rId133" Type="http://schemas.openxmlformats.org/officeDocument/2006/relationships/hyperlink" Target="https://webgate.ec.europa.eu/CITnet/jira/browse/CCPMO-79" TargetMode="External"/><Relationship Id="rId138" Type="http://schemas.openxmlformats.org/officeDocument/2006/relationships/hyperlink" Target="https://webgate.ec.europa.eu/CITnet/jira/browse/CCDOCLIST-63" TargetMode="External"/><Relationship Id="rId154" Type="http://schemas.openxmlformats.org/officeDocument/2006/relationships/drawing" Target="../drawings/drawing14.xml"/><Relationship Id="rId16" Type="http://schemas.openxmlformats.org/officeDocument/2006/relationships/hyperlink" Target="https://webgate.ec.europa.eu/CITnet/jira/browse/PROCESS-118" TargetMode="External"/><Relationship Id="rId107" Type="http://schemas.openxmlformats.org/officeDocument/2006/relationships/hyperlink" Target="https://webgate.ec.europa.eu/CITnet/jira/browse/CCTASK-99" TargetMode="External"/><Relationship Id="rId11" Type="http://schemas.openxmlformats.org/officeDocument/2006/relationships/hyperlink" Target="https://webgate.ec.europa.eu/CITnet/jira/browse/PROCESS-128" TargetMode="External"/><Relationship Id="rId32" Type="http://schemas.openxmlformats.org/officeDocument/2006/relationships/hyperlink" Target="https://webgate.ec.europa.eu/CITnet/jira/browse/PROCESS-74" TargetMode="External"/><Relationship Id="rId37" Type="http://schemas.openxmlformats.org/officeDocument/2006/relationships/hyperlink" Target="https://webgate.ec.europa.eu/CITnet/jira/browse/PFM-152" TargetMode="External"/><Relationship Id="rId53" Type="http://schemas.openxmlformats.org/officeDocument/2006/relationships/hyperlink" Target="https://webgate.ec.europa.eu/CITnet/jira/browse/PFM-82" TargetMode="External"/><Relationship Id="rId58" Type="http://schemas.openxmlformats.org/officeDocument/2006/relationships/hyperlink" Target="https://webgate.ec.europa.eu/CITnet/jira/browse/PFM-68" TargetMode="External"/><Relationship Id="rId74" Type="http://schemas.openxmlformats.org/officeDocument/2006/relationships/hyperlink" Target="https://webgate.ec.europa.eu/CITnet/jira/browse/INTERCOM-66" TargetMode="External"/><Relationship Id="rId79" Type="http://schemas.openxmlformats.org/officeDocument/2006/relationships/hyperlink" Target="https://webgate.ec.europa.eu/CITnet/jira/browse/INTERCOM-57" TargetMode="External"/><Relationship Id="rId102" Type="http://schemas.openxmlformats.org/officeDocument/2006/relationships/hyperlink" Target="https://webgate.ec.europa.eu/CITnet/jira/browse/CCTASK-104" TargetMode="External"/><Relationship Id="rId123" Type="http://schemas.openxmlformats.org/officeDocument/2006/relationships/hyperlink" Target="https://webgate.ec.europa.eu/CITnet/jira/browse/CCTASK-67" TargetMode="External"/><Relationship Id="rId128" Type="http://schemas.openxmlformats.org/officeDocument/2006/relationships/hyperlink" Target="https://webgate.ec.europa.eu/CITnet/jira/browse/CCPMO-119" TargetMode="External"/><Relationship Id="rId144" Type="http://schemas.openxmlformats.org/officeDocument/2006/relationships/hyperlink" Target="https://webgate.ec.europa.eu/CITnet/jira/browse/CCADMIN-47" TargetMode="External"/><Relationship Id="rId149" Type="http://schemas.openxmlformats.org/officeDocument/2006/relationships/hyperlink" Target="https://webgate.ec.europa.eu/CITnet/jira/browse/CCADMIN-16" TargetMode="External"/><Relationship Id="rId5" Type="http://schemas.openxmlformats.org/officeDocument/2006/relationships/hyperlink" Target="https://webgate.ec.europa.eu/CITnet/jira/browse/WAVECC-28" TargetMode="External"/><Relationship Id="rId90" Type="http://schemas.openxmlformats.org/officeDocument/2006/relationships/hyperlink" Target="https://webgate.ec.europa.eu/CITnet/jira/browse/CCTASK-137" TargetMode="External"/><Relationship Id="rId95" Type="http://schemas.openxmlformats.org/officeDocument/2006/relationships/hyperlink" Target="https://webgate.ec.europa.eu/CITnet/jira/browse/CCTASK-117" TargetMode="External"/><Relationship Id="rId22" Type="http://schemas.openxmlformats.org/officeDocument/2006/relationships/hyperlink" Target="https://webgate.ec.europa.eu/CITnet/jira/browse/PROCESS-112" TargetMode="External"/><Relationship Id="rId27" Type="http://schemas.openxmlformats.org/officeDocument/2006/relationships/hyperlink" Target="https://webgate.ec.europa.eu/CITnet/jira/browse/PROCESS-107" TargetMode="External"/><Relationship Id="rId43" Type="http://schemas.openxmlformats.org/officeDocument/2006/relationships/hyperlink" Target="https://webgate.ec.europa.eu/CITnet/jira/browse/PFM-146" TargetMode="External"/><Relationship Id="rId48" Type="http://schemas.openxmlformats.org/officeDocument/2006/relationships/hyperlink" Target="https://webgate.ec.europa.eu/CITnet/jira/browse/PFM-114" TargetMode="External"/><Relationship Id="rId64" Type="http://schemas.openxmlformats.org/officeDocument/2006/relationships/hyperlink" Target="https://webgate.ec.europa.eu/CITnet/jira/browse/PFM-53" TargetMode="External"/><Relationship Id="rId69" Type="http://schemas.openxmlformats.org/officeDocument/2006/relationships/hyperlink" Target="https://webgate.ec.europa.eu/CITnet/jira/browse/PFM-8" TargetMode="External"/><Relationship Id="rId113" Type="http://schemas.openxmlformats.org/officeDocument/2006/relationships/hyperlink" Target="https://webgate.ec.europa.eu/CITnet/jira/browse/CCTASK-89" TargetMode="External"/><Relationship Id="rId118" Type="http://schemas.openxmlformats.org/officeDocument/2006/relationships/hyperlink" Target="https://webgate.ec.europa.eu/CITnet/jira/browse/CCTASK-80" TargetMode="External"/><Relationship Id="rId134" Type="http://schemas.openxmlformats.org/officeDocument/2006/relationships/hyperlink" Target="https://webgate.ec.europa.eu/CITnet/jira/browse/CCPMO-62" TargetMode="External"/><Relationship Id="rId139" Type="http://schemas.openxmlformats.org/officeDocument/2006/relationships/hyperlink" Target="https://webgate.ec.europa.eu/CITnet/jira/browse/CCADMIN-56" TargetMode="External"/><Relationship Id="rId80" Type="http://schemas.openxmlformats.org/officeDocument/2006/relationships/hyperlink" Target="https://webgate.ec.europa.eu/CITnet/jira/browse/INTERCOM-56" TargetMode="External"/><Relationship Id="rId85" Type="http://schemas.openxmlformats.org/officeDocument/2006/relationships/hyperlink" Target="https://webgate.ec.europa.eu/CITnet/jira/browse/CCTASK-567" TargetMode="External"/><Relationship Id="rId150" Type="http://schemas.openxmlformats.org/officeDocument/2006/relationships/hyperlink" Target="https://webgate.ec.europa.eu/CITnet/jira/browse/CCADMIN-15" TargetMode="External"/><Relationship Id="rId12" Type="http://schemas.openxmlformats.org/officeDocument/2006/relationships/hyperlink" Target="https://webgate.ec.europa.eu/CITnet/jira/browse/PROCESS-122" TargetMode="External"/><Relationship Id="rId17" Type="http://schemas.openxmlformats.org/officeDocument/2006/relationships/hyperlink" Target="https://webgate.ec.europa.eu/CITnet/jira/browse/PROCESS-117" TargetMode="External"/><Relationship Id="rId25" Type="http://schemas.openxmlformats.org/officeDocument/2006/relationships/hyperlink" Target="https://webgate.ec.europa.eu/CITnet/jira/browse/PROCESS-109" TargetMode="External"/><Relationship Id="rId33" Type="http://schemas.openxmlformats.org/officeDocument/2006/relationships/hyperlink" Target="https://webgate.ec.europa.eu/CITnet/jira/browse/PROCESS-49" TargetMode="External"/><Relationship Id="rId38" Type="http://schemas.openxmlformats.org/officeDocument/2006/relationships/hyperlink" Target="https://webgate.ec.europa.eu/CITnet/jira/browse/PFM-151" TargetMode="External"/><Relationship Id="rId46" Type="http://schemas.openxmlformats.org/officeDocument/2006/relationships/hyperlink" Target="https://webgate.ec.europa.eu/CITnet/jira/browse/PFM-142" TargetMode="External"/><Relationship Id="rId59" Type="http://schemas.openxmlformats.org/officeDocument/2006/relationships/hyperlink" Target="https://webgate.ec.europa.eu/CITnet/jira/browse/PFM-64" TargetMode="External"/><Relationship Id="rId67" Type="http://schemas.openxmlformats.org/officeDocument/2006/relationships/hyperlink" Target="https://webgate.ec.europa.eu/CITnet/jira/browse/PFM-50" TargetMode="External"/><Relationship Id="rId103" Type="http://schemas.openxmlformats.org/officeDocument/2006/relationships/hyperlink" Target="https://webgate.ec.europa.eu/CITnet/jira/browse/CCTASK-103" TargetMode="External"/><Relationship Id="rId108" Type="http://schemas.openxmlformats.org/officeDocument/2006/relationships/hyperlink" Target="https://webgate.ec.europa.eu/CITnet/jira/browse/CCTASK-98" TargetMode="External"/><Relationship Id="rId116" Type="http://schemas.openxmlformats.org/officeDocument/2006/relationships/hyperlink" Target="https://webgate.ec.europa.eu/CITnet/jira/browse/CCTASK-84" TargetMode="External"/><Relationship Id="rId124" Type="http://schemas.openxmlformats.org/officeDocument/2006/relationships/hyperlink" Target="https://webgate.ec.europa.eu/CITnet/jira/browse/CCTASK-65" TargetMode="External"/><Relationship Id="rId129" Type="http://schemas.openxmlformats.org/officeDocument/2006/relationships/hyperlink" Target="https://webgate.ec.europa.eu/CITnet/jira/browse/CCPMO-111" TargetMode="External"/><Relationship Id="rId137" Type="http://schemas.openxmlformats.org/officeDocument/2006/relationships/hyperlink" Target="https://webgate.ec.europa.eu/CITnet/jira/browse/CCPMO-46" TargetMode="External"/><Relationship Id="rId20" Type="http://schemas.openxmlformats.org/officeDocument/2006/relationships/hyperlink" Target="https://webgate.ec.europa.eu/CITnet/jira/browse/PROCESS-114" TargetMode="External"/><Relationship Id="rId41" Type="http://schemas.openxmlformats.org/officeDocument/2006/relationships/hyperlink" Target="https://webgate.ec.europa.eu/CITnet/jira/browse/PFM-148" TargetMode="External"/><Relationship Id="rId54" Type="http://schemas.openxmlformats.org/officeDocument/2006/relationships/hyperlink" Target="https://webgate.ec.europa.eu/CITnet/jira/browse/PFM-81" TargetMode="External"/><Relationship Id="rId62" Type="http://schemas.openxmlformats.org/officeDocument/2006/relationships/hyperlink" Target="https://webgate.ec.europa.eu/CITnet/jira/browse/PFM-56" TargetMode="External"/><Relationship Id="rId70" Type="http://schemas.openxmlformats.org/officeDocument/2006/relationships/hyperlink" Target="https://webgate.ec.europa.eu/CITnet/jira/browse/INTERCOM-74" TargetMode="External"/><Relationship Id="rId75" Type="http://schemas.openxmlformats.org/officeDocument/2006/relationships/hyperlink" Target="https://webgate.ec.europa.eu/CITnet/jira/browse/INTERCOM-65" TargetMode="External"/><Relationship Id="rId83" Type="http://schemas.openxmlformats.org/officeDocument/2006/relationships/hyperlink" Target="https://webgate.ec.europa.eu/CITnet/jira/browse/INTERCOM-41" TargetMode="External"/><Relationship Id="rId88" Type="http://schemas.openxmlformats.org/officeDocument/2006/relationships/hyperlink" Target="https://webgate.ec.europa.eu/CITnet/jira/browse/CCTASK-512" TargetMode="External"/><Relationship Id="rId91" Type="http://schemas.openxmlformats.org/officeDocument/2006/relationships/hyperlink" Target="https://webgate.ec.europa.eu/CITnet/jira/browse/CCTASK-123" TargetMode="External"/><Relationship Id="rId96" Type="http://schemas.openxmlformats.org/officeDocument/2006/relationships/hyperlink" Target="https://webgate.ec.europa.eu/CITnet/jira/browse/CCTASK-116" TargetMode="External"/><Relationship Id="rId111" Type="http://schemas.openxmlformats.org/officeDocument/2006/relationships/hyperlink" Target="https://webgate.ec.europa.eu/CITnet/jira/browse/CCTASK-93" TargetMode="External"/><Relationship Id="rId132" Type="http://schemas.openxmlformats.org/officeDocument/2006/relationships/hyperlink" Target="https://webgate.ec.europa.eu/CITnet/jira/browse/CCPMO-87" TargetMode="External"/><Relationship Id="rId140" Type="http://schemas.openxmlformats.org/officeDocument/2006/relationships/hyperlink" Target="https://webgate.ec.europa.eu/CITnet/jira/browse/CCADMIN-53" TargetMode="External"/><Relationship Id="rId145" Type="http://schemas.openxmlformats.org/officeDocument/2006/relationships/hyperlink" Target="https://webgate.ec.europa.eu/CITnet/jira/browse/CCADMIN-46" TargetMode="External"/><Relationship Id="rId153" Type="http://schemas.openxmlformats.org/officeDocument/2006/relationships/hyperlink" Target="https://webgate.ec.europa.eu/CITnet/jira/browse/CCADMIN-12" TargetMode="External"/><Relationship Id="rId1" Type="http://schemas.openxmlformats.org/officeDocument/2006/relationships/hyperlink" Target="https://webgate.ec.europa.eu/CITnet/jira/issues/?jql=project+in+%28COMPCORP%2C+CCADMIN%2C+CCARCHITEC%2C+CCDOCLIST%2C+ECKL%2C+CCINFRAEC%2C+INTERCOM%2C+CCPMO%2C+PFM%2C+PROCESS%2C+CCTASK%2C+TSKACTION%2C+WAVECC%2C+COMPASS%29+AND+issuetype+in+%28Story%29+and+fixversion+is+not+empty" TargetMode="External"/><Relationship Id="rId6" Type="http://schemas.openxmlformats.org/officeDocument/2006/relationships/hyperlink" Target="https://webgate.ec.europa.eu/CITnet/jira/browse/WAVECC-26" TargetMode="External"/><Relationship Id="rId15" Type="http://schemas.openxmlformats.org/officeDocument/2006/relationships/hyperlink" Target="https://webgate.ec.europa.eu/CITnet/jira/browse/PROCESS-119" TargetMode="External"/><Relationship Id="rId23" Type="http://schemas.openxmlformats.org/officeDocument/2006/relationships/hyperlink" Target="https://webgate.ec.europa.eu/CITnet/jira/browse/PROCESS-111" TargetMode="External"/><Relationship Id="rId28" Type="http://schemas.openxmlformats.org/officeDocument/2006/relationships/hyperlink" Target="https://webgate.ec.europa.eu/CITnet/jira/browse/PROCESS-90" TargetMode="External"/><Relationship Id="rId36" Type="http://schemas.openxmlformats.org/officeDocument/2006/relationships/hyperlink" Target="https://webgate.ec.europa.eu/CITnet/jira/browse/PFM-155" TargetMode="External"/><Relationship Id="rId49" Type="http://schemas.openxmlformats.org/officeDocument/2006/relationships/hyperlink" Target="https://webgate.ec.europa.eu/CITnet/jira/browse/PFM-110" TargetMode="External"/><Relationship Id="rId57" Type="http://schemas.openxmlformats.org/officeDocument/2006/relationships/hyperlink" Target="https://webgate.ec.europa.eu/CITnet/jira/browse/PFM-69" TargetMode="External"/><Relationship Id="rId106" Type="http://schemas.openxmlformats.org/officeDocument/2006/relationships/hyperlink" Target="https://webgate.ec.europa.eu/CITnet/jira/browse/CCTASK-100" TargetMode="External"/><Relationship Id="rId114" Type="http://schemas.openxmlformats.org/officeDocument/2006/relationships/hyperlink" Target="https://webgate.ec.europa.eu/CITnet/jira/browse/CCTASK-88" TargetMode="External"/><Relationship Id="rId119" Type="http://schemas.openxmlformats.org/officeDocument/2006/relationships/hyperlink" Target="https://webgate.ec.europa.eu/CITnet/jira/browse/CCTASK-79" TargetMode="External"/><Relationship Id="rId127" Type="http://schemas.openxmlformats.org/officeDocument/2006/relationships/hyperlink" Target="https://webgate.ec.europa.eu/CITnet/jira/browse/CCTASK-50" TargetMode="External"/><Relationship Id="rId10" Type="http://schemas.openxmlformats.org/officeDocument/2006/relationships/hyperlink" Target="https://webgate.ec.europa.eu/CITnet/jira/browse/PROCESS-129" TargetMode="External"/><Relationship Id="rId31" Type="http://schemas.openxmlformats.org/officeDocument/2006/relationships/hyperlink" Target="https://webgate.ec.europa.eu/CITnet/jira/browse/PROCESS-76" TargetMode="External"/><Relationship Id="rId44" Type="http://schemas.openxmlformats.org/officeDocument/2006/relationships/hyperlink" Target="https://webgate.ec.europa.eu/CITnet/jira/browse/PFM-144" TargetMode="External"/><Relationship Id="rId52" Type="http://schemas.openxmlformats.org/officeDocument/2006/relationships/hyperlink" Target="https://webgate.ec.europa.eu/CITnet/jira/browse/PFM-87" TargetMode="External"/><Relationship Id="rId60" Type="http://schemas.openxmlformats.org/officeDocument/2006/relationships/hyperlink" Target="https://webgate.ec.europa.eu/CITnet/jira/browse/PFM-63" TargetMode="External"/><Relationship Id="rId65" Type="http://schemas.openxmlformats.org/officeDocument/2006/relationships/hyperlink" Target="https://webgate.ec.europa.eu/CITnet/jira/browse/PFM-52" TargetMode="External"/><Relationship Id="rId73" Type="http://schemas.openxmlformats.org/officeDocument/2006/relationships/hyperlink" Target="https://webgate.ec.europa.eu/CITnet/jira/browse/INTERCOM-67" TargetMode="External"/><Relationship Id="rId78" Type="http://schemas.openxmlformats.org/officeDocument/2006/relationships/hyperlink" Target="https://webgate.ec.europa.eu/CITnet/jira/browse/INTERCOM-58" TargetMode="External"/><Relationship Id="rId81" Type="http://schemas.openxmlformats.org/officeDocument/2006/relationships/hyperlink" Target="https://webgate.ec.europa.eu/CITnet/jira/browse/INTERCOM-53" TargetMode="External"/><Relationship Id="rId86" Type="http://schemas.openxmlformats.org/officeDocument/2006/relationships/hyperlink" Target="https://webgate.ec.europa.eu/CITnet/jira/browse/CCTASK-564" TargetMode="External"/><Relationship Id="rId94" Type="http://schemas.openxmlformats.org/officeDocument/2006/relationships/hyperlink" Target="https://webgate.ec.europa.eu/CITnet/jira/browse/CCTASK-118" TargetMode="External"/><Relationship Id="rId99" Type="http://schemas.openxmlformats.org/officeDocument/2006/relationships/hyperlink" Target="https://webgate.ec.europa.eu/CITnet/jira/browse/CCTASK-110" TargetMode="External"/><Relationship Id="rId101" Type="http://schemas.openxmlformats.org/officeDocument/2006/relationships/hyperlink" Target="https://webgate.ec.europa.eu/CITnet/jira/browse/CCTASK-107" TargetMode="External"/><Relationship Id="rId122" Type="http://schemas.openxmlformats.org/officeDocument/2006/relationships/hyperlink" Target="https://webgate.ec.europa.eu/CITnet/jira/browse/CCTASK-75" TargetMode="External"/><Relationship Id="rId130" Type="http://schemas.openxmlformats.org/officeDocument/2006/relationships/hyperlink" Target="https://webgate.ec.europa.eu/CITnet/jira/browse/CCPMO-103" TargetMode="External"/><Relationship Id="rId135" Type="http://schemas.openxmlformats.org/officeDocument/2006/relationships/hyperlink" Target="https://webgate.ec.europa.eu/CITnet/jira/browse/CCPMO-59" TargetMode="External"/><Relationship Id="rId143" Type="http://schemas.openxmlformats.org/officeDocument/2006/relationships/hyperlink" Target="https://webgate.ec.europa.eu/CITnet/jira/browse/CCADMIN-48" TargetMode="External"/><Relationship Id="rId148" Type="http://schemas.openxmlformats.org/officeDocument/2006/relationships/hyperlink" Target="https://webgate.ec.europa.eu/CITnet/jira/browse/CCADMIN-35" TargetMode="External"/><Relationship Id="rId151" Type="http://schemas.openxmlformats.org/officeDocument/2006/relationships/hyperlink" Target="https://webgate.ec.europa.eu/CITnet/jira/browse/CCADMIN-14" TargetMode="External"/><Relationship Id="rId4" Type="http://schemas.openxmlformats.org/officeDocument/2006/relationships/hyperlink" Target="https://webgate.ec.europa.eu/CITnet/jira/browse/WAVECC-35" TargetMode="External"/><Relationship Id="rId9" Type="http://schemas.openxmlformats.org/officeDocument/2006/relationships/hyperlink" Target="https://webgate.ec.europa.eu/CITnet/jira/browse/WAVECC-6" TargetMode="External"/><Relationship Id="rId13" Type="http://schemas.openxmlformats.org/officeDocument/2006/relationships/hyperlink" Target="https://webgate.ec.europa.eu/CITnet/jira/browse/PROCESS-121" TargetMode="External"/><Relationship Id="rId18" Type="http://schemas.openxmlformats.org/officeDocument/2006/relationships/hyperlink" Target="https://webgate.ec.europa.eu/CITnet/jira/browse/PROCESS-116" TargetMode="External"/><Relationship Id="rId39" Type="http://schemas.openxmlformats.org/officeDocument/2006/relationships/hyperlink" Target="https://webgate.ec.europa.eu/CITnet/jira/browse/PFM-150" TargetMode="External"/><Relationship Id="rId109" Type="http://schemas.openxmlformats.org/officeDocument/2006/relationships/hyperlink" Target="https://webgate.ec.europa.eu/CITnet/jira/browse/CCTASK-97" TargetMode="External"/><Relationship Id="rId34" Type="http://schemas.openxmlformats.org/officeDocument/2006/relationships/hyperlink" Target="https://webgate.ec.europa.eu/CITnet/jira/browse/PROCESS-48" TargetMode="External"/><Relationship Id="rId50" Type="http://schemas.openxmlformats.org/officeDocument/2006/relationships/hyperlink" Target="https://webgate.ec.europa.eu/CITnet/jira/browse/PFM-92" TargetMode="External"/><Relationship Id="rId55" Type="http://schemas.openxmlformats.org/officeDocument/2006/relationships/hyperlink" Target="https://webgate.ec.europa.eu/CITnet/jira/browse/PFM-73" TargetMode="External"/><Relationship Id="rId76" Type="http://schemas.openxmlformats.org/officeDocument/2006/relationships/hyperlink" Target="https://webgate.ec.europa.eu/CITnet/jira/browse/INTERCOM-64" TargetMode="External"/><Relationship Id="rId97" Type="http://schemas.openxmlformats.org/officeDocument/2006/relationships/hyperlink" Target="https://webgate.ec.europa.eu/CITnet/jira/browse/CCTASK-113" TargetMode="External"/><Relationship Id="rId104" Type="http://schemas.openxmlformats.org/officeDocument/2006/relationships/hyperlink" Target="https://webgate.ec.europa.eu/CITnet/jira/browse/CCTASK-102" TargetMode="External"/><Relationship Id="rId120" Type="http://schemas.openxmlformats.org/officeDocument/2006/relationships/hyperlink" Target="https://webgate.ec.europa.eu/CITnet/jira/browse/CCTASK-78" TargetMode="External"/><Relationship Id="rId125" Type="http://schemas.openxmlformats.org/officeDocument/2006/relationships/hyperlink" Target="https://webgate.ec.europa.eu/CITnet/jira/browse/CCTASK-62" TargetMode="External"/><Relationship Id="rId141" Type="http://schemas.openxmlformats.org/officeDocument/2006/relationships/hyperlink" Target="https://webgate.ec.europa.eu/CITnet/jira/browse/CCADMIN-52" TargetMode="External"/><Relationship Id="rId146" Type="http://schemas.openxmlformats.org/officeDocument/2006/relationships/hyperlink" Target="https://webgate.ec.europa.eu/CITnet/jira/browse/CCADMIN-45" TargetMode="External"/><Relationship Id="rId7" Type="http://schemas.openxmlformats.org/officeDocument/2006/relationships/hyperlink" Target="https://webgate.ec.europa.eu/CITnet/jira/browse/WAVECC-25" TargetMode="External"/><Relationship Id="rId71" Type="http://schemas.openxmlformats.org/officeDocument/2006/relationships/hyperlink" Target="https://webgate.ec.europa.eu/CITnet/jira/browse/INTERCOM-73" TargetMode="External"/><Relationship Id="rId92" Type="http://schemas.openxmlformats.org/officeDocument/2006/relationships/hyperlink" Target="https://webgate.ec.europa.eu/CITnet/jira/browse/CCTASK-121" TargetMode="External"/><Relationship Id="rId2" Type="http://schemas.openxmlformats.org/officeDocument/2006/relationships/hyperlink" Target="https://webgate.ec.europa.eu/CITnet/jira/browse/WAVECC-44" TargetMode="External"/><Relationship Id="rId29" Type="http://schemas.openxmlformats.org/officeDocument/2006/relationships/hyperlink" Target="https://webgate.ec.europa.eu/CITnet/jira/browse/PROCESS-89" TargetMode="External"/><Relationship Id="rId24" Type="http://schemas.openxmlformats.org/officeDocument/2006/relationships/hyperlink" Target="https://webgate.ec.europa.eu/CITnet/jira/browse/PROCESS-110" TargetMode="External"/><Relationship Id="rId40" Type="http://schemas.openxmlformats.org/officeDocument/2006/relationships/hyperlink" Target="https://webgate.ec.europa.eu/CITnet/jira/browse/PFM-149" TargetMode="External"/><Relationship Id="rId45" Type="http://schemas.openxmlformats.org/officeDocument/2006/relationships/hyperlink" Target="https://webgate.ec.europa.eu/CITnet/jira/browse/PFM-143" TargetMode="External"/><Relationship Id="rId66" Type="http://schemas.openxmlformats.org/officeDocument/2006/relationships/hyperlink" Target="https://webgate.ec.europa.eu/CITnet/jira/browse/PFM-51" TargetMode="External"/><Relationship Id="rId87" Type="http://schemas.openxmlformats.org/officeDocument/2006/relationships/hyperlink" Target="https://webgate.ec.europa.eu/CITnet/jira/browse/CCTASK-522" TargetMode="External"/><Relationship Id="rId110" Type="http://schemas.openxmlformats.org/officeDocument/2006/relationships/hyperlink" Target="https://webgate.ec.europa.eu/CITnet/jira/browse/CCTASK-94" TargetMode="External"/><Relationship Id="rId115" Type="http://schemas.openxmlformats.org/officeDocument/2006/relationships/hyperlink" Target="https://webgate.ec.europa.eu/CITnet/jira/browse/CCTASK-87" TargetMode="External"/><Relationship Id="rId131" Type="http://schemas.openxmlformats.org/officeDocument/2006/relationships/hyperlink" Target="https://webgate.ec.europa.eu/CITnet/jira/browse/CCPMO-95" TargetMode="External"/><Relationship Id="rId136" Type="http://schemas.openxmlformats.org/officeDocument/2006/relationships/hyperlink" Target="https://webgate.ec.europa.eu/CITnet/jira/browse/CCPMO-58" TargetMode="External"/><Relationship Id="rId61" Type="http://schemas.openxmlformats.org/officeDocument/2006/relationships/hyperlink" Target="https://webgate.ec.europa.eu/CITnet/jira/browse/PFM-59" TargetMode="External"/><Relationship Id="rId82" Type="http://schemas.openxmlformats.org/officeDocument/2006/relationships/hyperlink" Target="https://webgate.ec.europa.eu/CITnet/jira/browse/INTERCOM-43" TargetMode="External"/><Relationship Id="rId152" Type="http://schemas.openxmlformats.org/officeDocument/2006/relationships/hyperlink" Target="https://webgate.ec.europa.eu/CITnet/jira/browse/CCADMIN-13" TargetMode="External"/><Relationship Id="rId19" Type="http://schemas.openxmlformats.org/officeDocument/2006/relationships/hyperlink" Target="https://webgate.ec.europa.eu/CITnet/jira/browse/PROCESS-115" TargetMode="External"/><Relationship Id="rId14" Type="http://schemas.openxmlformats.org/officeDocument/2006/relationships/hyperlink" Target="https://webgate.ec.europa.eu/CITnet/jira/browse/PROCESS-120" TargetMode="External"/><Relationship Id="rId30" Type="http://schemas.openxmlformats.org/officeDocument/2006/relationships/hyperlink" Target="https://webgate.ec.europa.eu/CITnet/jira/browse/PROCESS-86" TargetMode="External"/><Relationship Id="rId35" Type="http://schemas.openxmlformats.org/officeDocument/2006/relationships/hyperlink" Target="https://webgate.ec.europa.eu/CITnet/jira/browse/PFM-160" TargetMode="External"/><Relationship Id="rId56" Type="http://schemas.openxmlformats.org/officeDocument/2006/relationships/hyperlink" Target="https://webgate.ec.europa.eu/CITnet/jira/browse/PFM-71" TargetMode="External"/><Relationship Id="rId77" Type="http://schemas.openxmlformats.org/officeDocument/2006/relationships/hyperlink" Target="https://webgate.ec.europa.eu/CITnet/jira/browse/INTERCOM-60" TargetMode="External"/><Relationship Id="rId100" Type="http://schemas.openxmlformats.org/officeDocument/2006/relationships/hyperlink" Target="https://webgate.ec.europa.eu/CITnet/jira/browse/CCTASK-109" TargetMode="External"/><Relationship Id="rId105" Type="http://schemas.openxmlformats.org/officeDocument/2006/relationships/hyperlink" Target="https://webgate.ec.europa.eu/CITnet/jira/browse/CCTASK-101" TargetMode="External"/><Relationship Id="rId126" Type="http://schemas.openxmlformats.org/officeDocument/2006/relationships/hyperlink" Target="https://webgate.ec.europa.eu/CITnet/jira/browse/CCTASK-53" TargetMode="External"/><Relationship Id="rId147" Type="http://schemas.openxmlformats.org/officeDocument/2006/relationships/hyperlink" Target="https://webgate.ec.europa.eu/CITnet/jira/browse/CCADMIN-43" TargetMode="External"/><Relationship Id="rId8" Type="http://schemas.openxmlformats.org/officeDocument/2006/relationships/hyperlink" Target="https://webgate.ec.europa.eu/CITnet/jira/browse/WAVECC-7" TargetMode="External"/><Relationship Id="rId51" Type="http://schemas.openxmlformats.org/officeDocument/2006/relationships/hyperlink" Target="https://webgate.ec.europa.eu/CITnet/jira/browse/PFM-91" TargetMode="External"/><Relationship Id="rId72" Type="http://schemas.openxmlformats.org/officeDocument/2006/relationships/hyperlink" Target="https://webgate.ec.europa.eu/CITnet/jira/browse/INTERCOM-70" TargetMode="External"/><Relationship Id="rId93" Type="http://schemas.openxmlformats.org/officeDocument/2006/relationships/hyperlink" Target="https://webgate.ec.europa.eu/CITnet/jira/browse/CCTASK-120" TargetMode="External"/><Relationship Id="rId98" Type="http://schemas.openxmlformats.org/officeDocument/2006/relationships/hyperlink" Target="https://webgate.ec.europa.eu/CITnet/jira/browse/CCTASK-112" TargetMode="External"/><Relationship Id="rId121" Type="http://schemas.openxmlformats.org/officeDocument/2006/relationships/hyperlink" Target="https://webgate.ec.europa.eu/CITnet/jira/browse/CCTASK-77" TargetMode="External"/><Relationship Id="rId142" Type="http://schemas.openxmlformats.org/officeDocument/2006/relationships/hyperlink" Target="https://webgate.ec.europa.eu/CITnet/jira/browse/CCADMIN-51" TargetMode="External"/><Relationship Id="rId3" Type="http://schemas.openxmlformats.org/officeDocument/2006/relationships/hyperlink" Target="https://webgate.ec.europa.eu/CITnet/jira/browse/WAVECC-43"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s://webgate.ec.europa.eu/CITnet/jira/browse/CCTASK-272" TargetMode="External"/><Relationship Id="rId18" Type="http://schemas.openxmlformats.org/officeDocument/2006/relationships/hyperlink" Target="https://webgate.ec.europa.eu/CITnet/jira/browse/CCTASK-527" TargetMode="External"/><Relationship Id="rId26" Type="http://schemas.openxmlformats.org/officeDocument/2006/relationships/hyperlink" Target="https://webgate.ec.europa.eu/CITnet/jira/browse/COMPCORP-114" TargetMode="External"/><Relationship Id="rId39" Type="http://schemas.openxmlformats.org/officeDocument/2006/relationships/hyperlink" Target="https://webgate.ec.europa.eu/CITnet/jira/browse/CCDOCLIST-19" TargetMode="External"/><Relationship Id="rId3" Type="http://schemas.openxmlformats.org/officeDocument/2006/relationships/hyperlink" Target="https://webgate.ec.europa.eu/CITnet/jira/browse/PROCESS-96" TargetMode="External"/><Relationship Id="rId21" Type="http://schemas.openxmlformats.org/officeDocument/2006/relationships/hyperlink" Target="https://webgate.ec.europa.eu/CITnet/jira/browse/CCDOCLIST-165" TargetMode="External"/><Relationship Id="rId34" Type="http://schemas.openxmlformats.org/officeDocument/2006/relationships/hyperlink" Target="https://webgate.ec.europa.eu/CITnet/jira/browse/PROCESS-95" TargetMode="External"/><Relationship Id="rId42" Type="http://schemas.openxmlformats.org/officeDocument/2006/relationships/hyperlink" Target="https://webgate.ec.europa.eu/CITnet/jira/browse/CCDOCLIST-156" TargetMode="External"/><Relationship Id="rId47" Type="http://schemas.openxmlformats.org/officeDocument/2006/relationships/hyperlink" Target="https://webgate.ec.europa.eu/CITnet/jira/browse/CCPMO-77" TargetMode="External"/><Relationship Id="rId50" Type="http://schemas.openxmlformats.org/officeDocument/2006/relationships/hyperlink" Target="https://webgate.ec.europa.eu/CITnet/jira/browse/CCTASK-533" TargetMode="External"/><Relationship Id="rId7" Type="http://schemas.openxmlformats.org/officeDocument/2006/relationships/hyperlink" Target="https://webgate.ec.europa.eu/CITnet/jira/browse/CCARCHITEC-49" TargetMode="External"/><Relationship Id="rId12" Type="http://schemas.openxmlformats.org/officeDocument/2006/relationships/hyperlink" Target="https://webgate.ec.europa.eu/CITnet/jira/browse/INTERCOM-72" TargetMode="External"/><Relationship Id="rId17" Type="http://schemas.openxmlformats.org/officeDocument/2006/relationships/hyperlink" Target="https://webgate.ec.europa.eu/CITnet/jira/browse/CCADMIN-55" TargetMode="External"/><Relationship Id="rId25" Type="http://schemas.openxmlformats.org/officeDocument/2006/relationships/hyperlink" Target="https://webgate.ec.europa.eu/CITnet/jira/browse/CCDOCLIST-25" TargetMode="External"/><Relationship Id="rId33" Type="http://schemas.openxmlformats.org/officeDocument/2006/relationships/hyperlink" Target="https://webgate.ec.europa.eu/CITnet/jira/browse/PFM-125" TargetMode="External"/><Relationship Id="rId38" Type="http://schemas.openxmlformats.org/officeDocument/2006/relationships/hyperlink" Target="https://webgate.ec.europa.eu/CITnet/jira/browse/INTERCOM-71" TargetMode="External"/><Relationship Id="rId46" Type="http://schemas.openxmlformats.org/officeDocument/2006/relationships/hyperlink" Target="https://webgate.ec.europa.eu/CITnet/jira/browse/CCPMO-63" TargetMode="External"/><Relationship Id="rId2" Type="http://schemas.openxmlformats.org/officeDocument/2006/relationships/hyperlink" Target="https://webgate.ec.europa.eu/CITnet/jira/browse/PFM-126" TargetMode="External"/><Relationship Id="rId16" Type="http://schemas.openxmlformats.org/officeDocument/2006/relationships/hyperlink" Target="https://webgate.ec.europa.eu/CITnet/jira/browse/PROCESS-125" TargetMode="External"/><Relationship Id="rId20" Type="http://schemas.openxmlformats.org/officeDocument/2006/relationships/hyperlink" Target="https://webgate.ec.europa.eu/CITnet/jira/browse/INTERCOM-75" TargetMode="External"/><Relationship Id="rId29" Type="http://schemas.openxmlformats.org/officeDocument/2006/relationships/hyperlink" Target="https://webgate.ec.europa.eu/CITnet/jira/browse/CCTASK-579" TargetMode="External"/><Relationship Id="rId41" Type="http://schemas.openxmlformats.org/officeDocument/2006/relationships/hyperlink" Target="https://webgate.ec.europa.eu/CITnet/jira/browse/CCDOCLIST-27" TargetMode="External"/><Relationship Id="rId54" Type="http://schemas.openxmlformats.org/officeDocument/2006/relationships/drawing" Target="../drawings/drawing15.xml"/><Relationship Id="rId1" Type="http://schemas.openxmlformats.org/officeDocument/2006/relationships/hyperlink" Target="https://webgate.ec.europa.eu/CITnet/jira/issues/?jql=project+in+%28COMPCORP%2C+CCADMIN%2C+CCARCHITEC%2C+CCDOCLIST%2C+ECKL%2C+CCINFRAEC%2C+INTERCOM%2C+CCPMO%2C+PFM%2C+PROCESS%2C+CCTASK%2C+TSKACTION%2C+WAVECC%2C+COMPASS%29+AND+issuetype+in+%28Enabler%2C+%22New+Feature%22%29+AND+fixVersion+in+%28COMPCORP-PI4%29+ORDER+BY+summary+DESC%2C+issuetype+DESC%2C+cf%5B12631%5D+ASC%2C+WSJF+DESC" TargetMode="External"/><Relationship Id="rId6" Type="http://schemas.openxmlformats.org/officeDocument/2006/relationships/hyperlink" Target="https://webgate.ec.europa.eu/CITnet/jira/browse/CCTASK-476" TargetMode="External"/><Relationship Id="rId11" Type="http://schemas.openxmlformats.org/officeDocument/2006/relationships/hyperlink" Target="https://webgate.ec.europa.eu/CITnet/jira/browse/PROCESS-75" TargetMode="External"/><Relationship Id="rId24" Type="http://schemas.openxmlformats.org/officeDocument/2006/relationships/hyperlink" Target="https://webgate.ec.europa.eu/CITnet/jira/browse/CCDOCLIST-116" TargetMode="External"/><Relationship Id="rId32" Type="http://schemas.openxmlformats.org/officeDocument/2006/relationships/hyperlink" Target="https://webgate.ec.europa.eu/CITnet/jira/browse/PROCESS-33" TargetMode="External"/><Relationship Id="rId37" Type="http://schemas.openxmlformats.org/officeDocument/2006/relationships/hyperlink" Target="https://webgate.ec.europa.eu/CITnet/jira/browse/PROCESS-98" TargetMode="External"/><Relationship Id="rId40" Type="http://schemas.openxmlformats.org/officeDocument/2006/relationships/hyperlink" Target="https://webgate.ec.europa.eu/CITnet/jira/browse/INTERCOM-54" TargetMode="External"/><Relationship Id="rId45" Type="http://schemas.openxmlformats.org/officeDocument/2006/relationships/hyperlink" Target="https://webgate.ec.europa.eu/CITnet/jira/browse/WAVECC-42" TargetMode="External"/><Relationship Id="rId53" Type="http://schemas.openxmlformats.org/officeDocument/2006/relationships/hyperlink" Target="https://webgate.ec.europa.eu/CITnet/jira/browse/TSKACTION-56" TargetMode="External"/><Relationship Id="rId5" Type="http://schemas.openxmlformats.org/officeDocument/2006/relationships/hyperlink" Target="https://webgate.ec.europa.eu/CITnet/jira/browse/PFM-131" TargetMode="External"/><Relationship Id="rId15" Type="http://schemas.openxmlformats.org/officeDocument/2006/relationships/hyperlink" Target="https://webgate.ec.europa.eu/CITnet/jira/browse/CCADMIN-44" TargetMode="External"/><Relationship Id="rId23" Type="http://schemas.openxmlformats.org/officeDocument/2006/relationships/hyperlink" Target="https://webgate.ec.europa.eu/CITnet/jira/browse/WAVECC-34" TargetMode="External"/><Relationship Id="rId28" Type="http://schemas.openxmlformats.org/officeDocument/2006/relationships/hyperlink" Target="https://webgate.ec.europa.eu/CITnet/jira/browse/CCDOCLIST-181" TargetMode="External"/><Relationship Id="rId36" Type="http://schemas.openxmlformats.org/officeDocument/2006/relationships/hyperlink" Target="https://webgate.ec.europa.eu/CITnet/jira/browse/PROCESS-44" TargetMode="External"/><Relationship Id="rId49" Type="http://schemas.openxmlformats.org/officeDocument/2006/relationships/hyperlink" Target="https://webgate.ec.europa.eu/CITnet/jira/browse/INTERCOM-55" TargetMode="External"/><Relationship Id="rId10" Type="http://schemas.openxmlformats.org/officeDocument/2006/relationships/hyperlink" Target="https://webgate.ec.europa.eu/CITnet/jira/browse/CCTASK-518" TargetMode="External"/><Relationship Id="rId19" Type="http://schemas.openxmlformats.org/officeDocument/2006/relationships/hyperlink" Target="https://webgate.ec.europa.eu/CITnet/jira/browse/CCTASK-534" TargetMode="External"/><Relationship Id="rId31" Type="http://schemas.openxmlformats.org/officeDocument/2006/relationships/hyperlink" Target="https://webgate.ec.europa.eu/CITnet/jira/browse/CCTASK-532" TargetMode="External"/><Relationship Id="rId44" Type="http://schemas.openxmlformats.org/officeDocument/2006/relationships/hyperlink" Target="https://webgate.ec.europa.eu/CITnet/jira/browse/CCADMIN-42" TargetMode="External"/><Relationship Id="rId52" Type="http://schemas.openxmlformats.org/officeDocument/2006/relationships/hyperlink" Target="https://webgate.ec.europa.eu/CITnet/jira/browse/TSKACTION-245" TargetMode="External"/><Relationship Id="rId4" Type="http://schemas.openxmlformats.org/officeDocument/2006/relationships/hyperlink" Target="https://webgate.ec.europa.eu/CITnet/jira/browse/INTERCOM-52" TargetMode="External"/><Relationship Id="rId9" Type="http://schemas.openxmlformats.org/officeDocument/2006/relationships/hyperlink" Target="https://webgate.ec.europa.eu/CITnet/jira/browse/CCTASK-519" TargetMode="External"/><Relationship Id="rId14" Type="http://schemas.openxmlformats.org/officeDocument/2006/relationships/hyperlink" Target="https://webgate.ec.europa.eu/CITnet/jira/browse/INTERCOM-59" TargetMode="External"/><Relationship Id="rId22" Type="http://schemas.openxmlformats.org/officeDocument/2006/relationships/hyperlink" Target="https://webgate.ec.europa.eu/CITnet/jira/browse/CCPMO-76" TargetMode="External"/><Relationship Id="rId27" Type="http://schemas.openxmlformats.org/officeDocument/2006/relationships/hyperlink" Target="https://webgate.ec.europa.eu/CITnet/jira/browse/CCARCHITEC-37" TargetMode="External"/><Relationship Id="rId30" Type="http://schemas.openxmlformats.org/officeDocument/2006/relationships/hyperlink" Target="https://webgate.ec.europa.eu/CITnet/jira/browse/PROCESS-92" TargetMode="External"/><Relationship Id="rId35" Type="http://schemas.openxmlformats.org/officeDocument/2006/relationships/hyperlink" Target="https://webgate.ec.europa.eu/CITnet/jira/browse/CCDOCLIST-157" TargetMode="External"/><Relationship Id="rId43" Type="http://schemas.openxmlformats.org/officeDocument/2006/relationships/hyperlink" Target="https://webgate.ec.europa.eu/CITnet/jira/browse/CCDOCLIST-17" TargetMode="External"/><Relationship Id="rId48" Type="http://schemas.openxmlformats.org/officeDocument/2006/relationships/hyperlink" Target="https://webgate.ec.europa.eu/CITnet/jira/browse/CCPMO-129" TargetMode="External"/><Relationship Id="rId8" Type="http://schemas.openxmlformats.org/officeDocument/2006/relationships/hyperlink" Target="https://webgate.ec.europa.eu/CITnet/jira/browse/CCDOCLIST-174" TargetMode="External"/><Relationship Id="rId51" Type="http://schemas.openxmlformats.org/officeDocument/2006/relationships/hyperlink" Target="https://webgate.ec.europa.eu/CITnet/jira/browse/TSKACTION-217"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s://webgate.ec.europa.eu/CITnet/jira/browse/INTERCOM-51" TargetMode="External"/><Relationship Id="rId13" Type="http://schemas.openxmlformats.org/officeDocument/2006/relationships/hyperlink" Target="https://webgate.ec.europa.eu/CITnet/jira/browse/CCTASK-544" TargetMode="External"/><Relationship Id="rId18" Type="http://schemas.openxmlformats.org/officeDocument/2006/relationships/hyperlink" Target="https://webgate.ec.europa.eu/CITnet/jira/browse/CCPMO-68" TargetMode="External"/><Relationship Id="rId26" Type="http://schemas.openxmlformats.org/officeDocument/2006/relationships/hyperlink" Target="https://webgate.ec.europa.eu/CITnet/jira/browse/WAVECC-41" TargetMode="External"/><Relationship Id="rId3" Type="http://schemas.openxmlformats.org/officeDocument/2006/relationships/hyperlink" Target="https://webgate.ec.europa.eu/CITnet/jira/browse/MWP-559" TargetMode="External"/><Relationship Id="rId21" Type="http://schemas.openxmlformats.org/officeDocument/2006/relationships/hyperlink" Target="https://webgate.ec.europa.eu/CITnet/jira/browse/CCPMO-66" TargetMode="External"/><Relationship Id="rId7" Type="http://schemas.openxmlformats.org/officeDocument/2006/relationships/hyperlink" Target="https://webgate.ec.europa.eu/CITnet/jira/browse/CCADMIN-41" TargetMode="External"/><Relationship Id="rId12" Type="http://schemas.openxmlformats.org/officeDocument/2006/relationships/hyperlink" Target="https://webgate.ec.europa.eu/CITnet/jira/browse/MWP-558" TargetMode="External"/><Relationship Id="rId17" Type="http://schemas.openxmlformats.org/officeDocument/2006/relationships/hyperlink" Target="https://webgate.ec.europa.eu/CITnet/jira/browse/PFM-136" TargetMode="External"/><Relationship Id="rId25" Type="http://schemas.openxmlformats.org/officeDocument/2006/relationships/hyperlink" Target="https://webgate.ec.europa.eu/CITnet/jira/browse/WAVECC-39" TargetMode="External"/><Relationship Id="rId33" Type="http://schemas.openxmlformats.org/officeDocument/2006/relationships/drawing" Target="../drawings/drawing16.xml"/><Relationship Id="rId2" Type="http://schemas.openxmlformats.org/officeDocument/2006/relationships/hyperlink" Target="https://webgate.ec.europa.eu/CITnet/jira/browse/MWP-576" TargetMode="External"/><Relationship Id="rId16" Type="http://schemas.openxmlformats.org/officeDocument/2006/relationships/hyperlink" Target="https://webgate.ec.europa.eu/CITnet/jira/browse/PROCESS-105" TargetMode="External"/><Relationship Id="rId20" Type="http://schemas.openxmlformats.org/officeDocument/2006/relationships/hyperlink" Target="https://webgate.ec.europa.eu/CITnet/jira/browse/PFM-135" TargetMode="External"/><Relationship Id="rId29" Type="http://schemas.openxmlformats.org/officeDocument/2006/relationships/hyperlink" Target="https://webgate.ec.europa.eu/CITnet/jira/browse/PFM-137" TargetMode="External"/><Relationship Id="rId1" Type="http://schemas.openxmlformats.org/officeDocument/2006/relationships/hyperlink" Target="https://webgate.ec.europa.eu/CITnet/jira/issues/?jql=project+in+%28%22Compass+Corporate+PMO%22%2C+%22Compass+Corporate+Architecture%22%2C+%22Compass+Corporate+Infrastructure%22%2C+uxatec%2C+mwp%2C+EUI%2C+%22Compass+Corporate+Admin+Tool%22%2C+%22Compass+Corporate+Internal+Communication+Microservice%22%2C+%22Compass+Corporate+Wave+Integration%22%2C+%22Compass+Corporate+Document+List%22%2C+%22Compass+Corporate+eChecklist+-+ECKL%22%2C+%22Compass+Corporate+Process+Centre%22%2C+%22RDIS2+Compass+Corporate+Integration%22%2C+%22Compass+Corporate+Portfolio+Manager%22%2C+%22Compass+Corporate+Task+Centre%22%2C+%22Compass+Corporate+TSKACTION%22%2C+%22COMP+CORP+CLOCK%22%2C+%22Compass+Green+-+Compass+Corporate+Integration%22%29+AND+issuetype+in+%28%22PI+Objective%22%29+and+fixversion+in+%28COMPCORP-PI4%29+ORDER+BY+%22Planned+Business+Value%22+ASC" TargetMode="External"/><Relationship Id="rId6" Type="http://schemas.openxmlformats.org/officeDocument/2006/relationships/hyperlink" Target="https://webgate.ec.europa.eu/CITnet/jira/browse/CCPMO-70" TargetMode="External"/><Relationship Id="rId11" Type="http://schemas.openxmlformats.org/officeDocument/2006/relationships/hyperlink" Target="https://webgate.ec.europa.eu/CITnet/jira/browse/MWP-577" TargetMode="External"/><Relationship Id="rId24" Type="http://schemas.openxmlformats.org/officeDocument/2006/relationships/hyperlink" Target="https://webgate.ec.europa.eu/CITnet/jira/browse/CCARCHITEC-64" TargetMode="External"/><Relationship Id="rId32" Type="http://schemas.openxmlformats.org/officeDocument/2006/relationships/hyperlink" Target="https://webgate.ec.europa.eu/CITnet/jira/browse/CCPMO-67" TargetMode="External"/><Relationship Id="rId5" Type="http://schemas.openxmlformats.org/officeDocument/2006/relationships/hyperlink" Target="https://webgate.ec.europa.eu/CITnet/jira/browse/RDIS2CC-10" TargetMode="External"/><Relationship Id="rId15" Type="http://schemas.openxmlformats.org/officeDocument/2006/relationships/hyperlink" Target="https://webgate.ec.europa.eu/CITnet/jira/browse/CCADMIN-50" TargetMode="External"/><Relationship Id="rId23" Type="http://schemas.openxmlformats.org/officeDocument/2006/relationships/hyperlink" Target="https://webgate.ec.europa.eu/CITnet/jira/browse/CCARCHITEC-46" TargetMode="External"/><Relationship Id="rId28" Type="http://schemas.openxmlformats.org/officeDocument/2006/relationships/hyperlink" Target="https://webgate.ec.europa.eu/CITnet/jira/browse/CCARCHITEC-62" TargetMode="External"/><Relationship Id="rId10" Type="http://schemas.openxmlformats.org/officeDocument/2006/relationships/hyperlink" Target="https://webgate.ec.europa.eu/CITnet/jira/browse/MWP-563" TargetMode="External"/><Relationship Id="rId19" Type="http://schemas.openxmlformats.org/officeDocument/2006/relationships/hyperlink" Target="https://webgate.ec.europa.eu/CITnet/jira/browse/MWP-557" TargetMode="External"/><Relationship Id="rId31" Type="http://schemas.openxmlformats.org/officeDocument/2006/relationships/hyperlink" Target="https://webgate.ec.europa.eu/CITnet/jira/browse/PROCESS-104" TargetMode="External"/><Relationship Id="rId4" Type="http://schemas.openxmlformats.org/officeDocument/2006/relationships/hyperlink" Target="https://webgate.ec.europa.eu/CITnet/jira/browse/CCINFRAEC-6" TargetMode="External"/><Relationship Id="rId9" Type="http://schemas.openxmlformats.org/officeDocument/2006/relationships/hyperlink" Target="https://webgate.ec.europa.eu/CITnet/jira/browse/CCADMIN-39" TargetMode="External"/><Relationship Id="rId14" Type="http://schemas.openxmlformats.org/officeDocument/2006/relationships/hyperlink" Target="https://webgate.ec.europa.eu/CITnet/jira/browse/CCPMO-69" TargetMode="External"/><Relationship Id="rId22" Type="http://schemas.openxmlformats.org/officeDocument/2006/relationships/hyperlink" Target="https://webgate.ec.europa.eu/CITnet/jira/browse/CCINFRAEC-5" TargetMode="External"/><Relationship Id="rId27" Type="http://schemas.openxmlformats.org/officeDocument/2006/relationships/hyperlink" Target="https://webgate.ec.europa.eu/CITnet/jira/browse/CCADMIN-40" TargetMode="External"/><Relationship Id="rId30" Type="http://schemas.openxmlformats.org/officeDocument/2006/relationships/hyperlink" Target="https://webgate.ec.europa.eu/CITnet/jira/browse/PFM-13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8" Type="http://schemas.openxmlformats.org/officeDocument/2006/relationships/hyperlink" Target="https://webgate.ec.europa.eu/CITnet/jira/browse/CCADMIN-39" TargetMode="External"/><Relationship Id="rId13" Type="http://schemas.openxmlformats.org/officeDocument/2006/relationships/hyperlink" Target="https://webgate.ec.europa.eu/CITnet/jira/browse/CCPMO-69" TargetMode="External"/><Relationship Id="rId18" Type="http://schemas.openxmlformats.org/officeDocument/2006/relationships/hyperlink" Target="https://webgate.ec.europa.eu/CITnet/jira/browse/MWP-557" TargetMode="External"/><Relationship Id="rId26" Type="http://schemas.openxmlformats.org/officeDocument/2006/relationships/hyperlink" Target="https://webgate.ec.europa.eu/CITnet/jira/browse/CCADMIN-40" TargetMode="External"/><Relationship Id="rId3" Type="http://schemas.openxmlformats.org/officeDocument/2006/relationships/hyperlink" Target="https://webgate.ec.europa.eu/CITnet/jira/browse/CCINFRAEC-6" TargetMode="External"/><Relationship Id="rId21" Type="http://schemas.openxmlformats.org/officeDocument/2006/relationships/hyperlink" Target="https://webgate.ec.europa.eu/CITnet/jira/browse/CCINFRAEC-5" TargetMode="External"/><Relationship Id="rId7" Type="http://schemas.openxmlformats.org/officeDocument/2006/relationships/hyperlink" Target="https://webgate.ec.europa.eu/CITnet/jira/browse/INTERCOM-51" TargetMode="External"/><Relationship Id="rId12" Type="http://schemas.openxmlformats.org/officeDocument/2006/relationships/hyperlink" Target="https://webgate.ec.europa.eu/CITnet/jira/browse/CCTASK-544" TargetMode="External"/><Relationship Id="rId17" Type="http://schemas.openxmlformats.org/officeDocument/2006/relationships/hyperlink" Target="https://webgate.ec.europa.eu/CITnet/jira/browse/CCPMO-68" TargetMode="External"/><Relationship Id="rId25" Type="http://schemas.openxmlformats.org/officeDocument/2006/relationships/hyperlink" Target="https://webgate.ec.europa.eu/CITnet/jira/browse/WAVECC-41" TargetMode="External"/><Relationship Id="rId2" Type="http://schemas.openxmlformats.org/officeDocument/2006/relationships/hyperlink" Target="https://webgate.ec.europa.eu/CITnet/jira/browse/MWP-559" TargetMode="External"/><Relationship Id="rId16" Type="http://schemas.openxmlformats.org/officeDocument/2006/relationships/hyperlink" Target="https://webgate.ec.europa.eu/CITnet/jira/browse/PFM-136" TargetMode="External"/><Relationship Id="rId20" Type="http://schemas.openxmlformats.org/officeDocument/2006/relationships/hyperlink" Target="https://webgate.ec.europa.eu/CITnet/jira/browse/CCPMO-66" TargetMode="External"/><Relationship Id="rId29" Type="http://schemas.openxmlformats.org/officeDocument/2006/relationships/hyperlink" Target="https://webgate.ec.europa.eu/CITnet/jira/browse/PFM-134" TargetMode="External"/><Relationship Id="rId1" Type="http://schemas.openxmlformats.org/officeDocument/2006/relationships/hyperlink" Target="https://webgate.ec.europa.eu/CITnet/jira/browse/MWP-576" TargetMode="External"/><Relationship Id="rId6" Type="http://schemas.openxmlformats.org/officeDocument/2006/relationships/hyperlink" Target="https://webgate.ec.europa.eu/CITnet/jira/browse/CCADMIN-41" TargetMode="External"/><Relationship Id="rId11" Type="http://schemas.openxmlformats.org/officeDocument/2006/relationships/hyperlink" Target="https://webgate.ec.europa.eu/CITnet/jira/browse/MWP-558" TargetMode="External"/><Relationship Id="rId24" Type="http://schemas.openxmlformats.org/officeDocument/2006/relationships/hyperlink" Target="https://webgate.ec.europa.eu/CITnet/jira/browse/WAVECC-39" TargetMode="External"/><Relationship Id="rId5" Type="http://schemas.openxmlformats.org/officeDocument/2006/relationships/hyperlink" Target="https://webgate.ec.europa.eu/CITnet/jira/browse/CCPMO-70" TargetMode="External"/><Relationship Id="rId15" Type="http://schemas.openxmlformats.org/officeDocument/2006/relationships/hyperlink" Target="https://webgate.ec.europa.eu/CITnet/jira/browse/PROCESS-105" TargetMode="External"/><Relationship Id="rId23" Type="http://schemas.openxmlformats.org/officeDocument/2006/relationships/hyperlink" Target="https://webgate.ec.europa.eu/CITnet/jira/browse/CCARCHITEC-64" TargetMode="External"/><Relationship Id="rId28" Type="http://schemas.openxmlformats.org/officeDocument/2006/relationships/hyperlink" Target="https://webgate.ec.europa.eu/CITnet/jira/browse/PFM-137" TargetMode="External"/><Relationship Id="rId10" Type="http://schemas.openxmlformats.org/officeDocument/2006/relationships/hyperlink" Target="https://webgate.ec.europa.eu/CITnet/jira/browse/MWP-577" TargetMode="External"/><Relationship Id="rId19" Type="http://schemas.openxmlformats.org/officeDocument/2006/relationships/hyperlink" Target="https://webgate.ec.europa.eu/CITnet/jira/browse/PFM-135" TargetMode="External"/><Relationship Id="rId31" Type="http://schemas.openxmlformats.org/officeDocument/2006/relationships/hyperlink" Target="https://webgate.ec.europa.eu/CITnet/jira/browse/CCPMO-67" TargetMode="External"/><Relationship Id="rId4" Type="http://schemas.openxmlformats.org/officeDocument/2006/relationships/hyperlink" Target="https://webgate.ec.europa.eu/CITnet/jira/browse/RDIS2CC-10" TargetMode="External"/><Relationship Id="rId9" Type="http://schemas.openxmlformats.org/officeDocument/2006/relationships/hyperlink" Target="https://webgate.ec.europa.eu/CITnet/jira/browse/MWP-563" TargetMode="External"/><Relationship Id="rId14" Type="http://schemas.openxmlformats.org/officeDocument/2006/relationships/hyperlink" Target="https://webgate.ec.europa.eu/CITnet/jira/browse/CCADMIN-50" TargetMode="External"/><Relationship Id="rId22" Type="http://schemas.openxmlformats.org/officeDocument/2006/relationships/hyperlink" Target="https://webgate.ec.europa.eu/CITnet/jira/browse/CCARCHITEC-46" TargetMode="External"/><Relationship Id="rId27" Type="http://schemas.openxmlformats.org/officeDocument/2006/relationships/hyperlink" Target="https://webgate.ec.europa.eu/CITnet/jira/browse/CCARCHITEC-62" TargetMode="External"/><Relationship Id="rId30" Type="http://schemas.openxmlformats.org/officeDocument/2006/relationships/hyperlink" Target="https://webgate.ec.europa.eu/CITnet/jira/browse/PROCESS-104" TargetMode="Externa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0.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1.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3.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14.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15.bin"/></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16.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17.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18.bin"/></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B4:C9"/>
  <sheetViews>
    <sheetView workbookViewId="0">
      <selection activeCell="F10" sqref="F10"/>
    </sheetView>
  </sheetViews>
  <sheetFormatPr defaultColWidth="11" defaultRowHeight="15.75" x14ac:dyDescent="0.25"/>
  <cols>
    <col min="2" max="2" width="44.125" customWidth="1"/>
    <col min="3" max="3" width="4.625" customWidth="1"/>
    <col min="7" max="7" width="25" customWidth="1"/>
  </cols>
  <sheetData>
    <row r="4" spans="2:3" x14ac:dyDescent="0.25">
      <c r="B4" t="s">
        <v>55</v>
      </c>
      <c r="C4">
        <v>1242</v>
      </c>
    </row>
    <row r="5" spans="2:3" x14ac:dyDescent="0.25">
      <c r="B5" t="s">
        <v>56</v>
      </c>
      <c r="C5">
        <v>123</v>
      </c>
    </row>
    <row r="6" spans="2:3" x14ac:dyDescent="0.25">
      <c r="B6" t="s">
        <v>57</v>
      </c>
      <c r="C6">
        <v>110</v>
      </c>
    </row>
    <row r="7" spans="2:3" x14ac:dyDescent="0.25">
      <c r="B7" t="s">
        <v>408</v>
      </c>
      <c r="C7">
        <v>1055</v>
      </c>
    </row>
    <row r="8" spans="2:3" x14ac:dyDescent="0.25">
      <c r="B8" t="s">
        <v>409</v>
      </c>
      <c r="C8">
        <v>0</v>
      </c>
    </row>
    <row r="9" spans="2:3" x14ac:dyDescent="0.25">
      <c r="B9" t="s">
        <v>410</v>
      </c>
      <c r="C9">
        <v>12</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30" r:id="rId4" name="Button 2">
              <controlPr defaultSize="0" print="0" autoFill="0" autoPict="0" macro="[0]!ParseCOMPCORPData">
                <anchor moveWithCells="1" sizeWithCells="1">
                  <from>
                    <xdr:col>4</xdr:col>
                    <xdr:colOff>0</xdr:colOff>
                    <xdr:row>3</xdr:row>
                    <xdr:rowOff>9525</xdr:rowOff>
                  </from>
                  <to>
                    <xdr:col>6</xdr:col>
                    <xdr:colOff>828675</xdr:colOff>
                    <xdr:row>4</xdr:row>
                    <xdr:rowOff>142875</xdr:rowOff>
                  </to>
                </anchor>
              </controlPr>
            </control>
          </mc:Choice>
        </mc:AlternateContent>
        <mc:AlternateContent xmlns:mc="http://schemas.openxmlformats.org/markup-compatibility/2006">
          <mc:Choice Requires="x14">
            <control shapeId="48132" r:id="rId5" name="Button 4">
              <controlPr defaultSize="0" print="0" autoFill="0" autoPict="0" macro="[0]!ParseOPSYSData">
                <anchor moveWithCells="1" sizeWithCells="1">
                  <from>
                    <xdr:col>4</xdr:col>
                    <xdr:colOff>0</xdr:colOff>
                    <xdr:row>6</xdr:row>
                    <xdr:rowOff>0</xdr:rowOff>
                  </from>
                  <to>
                    <xdr:col>6</xdr:col>
                    <xdr:colOff>838200</xdr:colOff>
                    <xdr:row>7</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FF0000"/>
  </sheetPr>
  <dimension ref="A1:E30"/>
  <sheetViews>
    <sheetView zoomScale="80" zoomScaleNormal="80" zoomScalePageLayoutView="80" workbookViewId="0">
      <selection activeCell="I15" sqref="I15"/>
    </sheetView>
  </sheetViews>
  <sheetFormatPr defaultColWidth="8.875" defaultRowHeight="15.75" x14ac:dyDescent="0.25"/>
  <cols>
    <col min="3" max="3" width="27.125" customWidth="1"/>
    <col min="4" max="4" width="125.375" customWidth="1"/>
  </cols>
  <sheetData>
    <row r="1" spans="1:5" x14ac:dyDescent="0.25">
      <c r="A1" s="5"/>
      <c r="B1" s="5"/>
      <c r="C1" s="5"/>
      <c r="D1" s="5"/>
      <c r="E1" s="5"/>
    </row>
    <row r="2" spans="1:5" x14ac:dyDescent="0.25">
      <c r="A2" s="5"/>
      <c r="B2" s="5"/>
      <c r="C2" s="5"/>
      <c r="D2" s="5"/>
      <c r="E2" s="5"/>
    </row>
    <row r="3" spans="1:5" x14ac:dyDescent="0.25">
      <c r="A3" s="5"/>
      <c r="B3" s="5"/>
      <c r="C3" s="6" t="s">
        <v>26</v>
      </c>
      <c r="D3" s="7" t="s">
        <v>4776</v>
      </c>
      <c r="E3" s="5"/>
    </row>
    <row r="4" spans="1:5" x14ac:dyDescent="0.25">
      <c r="A4" s="5"/>
      <c r="B4" s="5"/>
      <c r="C4" s="6" t="s">
        <v>29</v>
      </c>
      <c r="D4" s="7" t="s">
        <v>862</v>
      </c>
      <c r="E4" s="5"/>
    </row>
    <row r="5" spans="1:5" x14ac:dyDescent="0.25">
      <c r="A5" s="5"/>
      <c r="B5" s="5"/>
      <c r="C5" s="6" t="s">
        <v>30</v>
      </c>
      <c r="D5" s="7" t="s">
        <v>863</v>
      </c>
      <c r="E5" s="5"/>
    </row>
    <row r="6" spans="1:5" x14ac:dyDescent="0.25">
      <c r="A6" s="5"/>
      <c r="B6" s="5"/>
      <c r="C6" s="6" t="s">
        <v>31</v>
      </c>
      <c r="D6" s="7" t="s">
        <v>864</v>
      </c>
      <c r="E6" s="5"/>
    </row>
    <row r="7" spans="1:5" x14ac:dyDescent="0.25">
      <c r="A7" s="5"/>
      <c r="B7" s="5"/>
      <c r="C7" s="6" t="s">
        <v>32</v>
      </c>
      <c r="D7" s="7" t="s">
        <v>865</v>
      </c>
      <c r="E7" s="5"/>
    </row>
    <row r="8" spans="1:5" x14ac:dyDescent="0.25">
      <c r="A8" s="5"/>
      <c r="B8" s="5"/>
      <c r="C8" s="6" t="s">
        <v>34</v>
      </c>
      <c r="D8" s="7" t="s">
        <v>866</v>
      </c>
      <c r="E8" s="8"/>
    </row>
    <row r="9" spans="1:5" x14ac:dyDescent="0.25">
      <c r="A9" s="5"/>
      <c r="B9" s="5"/>
      <c r="C9" s="6" t="s">
        <v>33</v>
      </c>
      <c r="D9" s="7" t="s">
        <v>867</v>
      </c>
      <c r="E9" s="5"/>
    </row>
    <row r="10" spans="1:5" x14ac:dyDescent="0.25">
      <c r="A10" s="5"/>
      <c r="B10" s="5"/>
      <c r="C10" s="6" t="s">
        <v>35</v>
      </c>
      <c r="D10" s="7" t="s">
        <v>868</v>
      </c>
      <c r="E10" s="5"/>
    </row>
    <row r="11" spans="1:5" x14ac:dyDescent="0.25">
      <c r="A11" s="5"/>
      <c r="B11" s="5"/>
      <c r="C11" s="6" t="s">
        <v>36</v>
      </c>
      <c r="D11" s="7" t="s">
        <v>869</v>
      </c>
      <c r="E11" s="5"/>
    </row>
    <row r="12" spans="1:5" x14ac:dyDescent="0.25">
      <c r="A12" s="5"/>
      <c r="B12" s="5"/>
      <c r="C12" s="6" t="s">
        <v>37</v>
      </c>
      <c r="D12" s="7" t="s">
        <v>870</v>
      </c>
      <c r="E12" s="5"/>
    </row>
    <row r="13" spans="1:5" x14ac:dyDescent="0.25">
      <c r="A13" s="5"/>
      <c r="B13" s="5"/>
      <c r="C13" s="6" t="s">
        <v>38</v>
      </c>
      <c r="D13" s="7" t="s">
        <v>871</v>
      </c>
      <c r="E13" s="5"/>
    </row>
    <row r="14" spans="1:5" x14ac:dyDescent="0.25">
      <c r="A14" s="5"/>
      <c r="B14" s="5"/>
      <c r="C14" s="6" t="s">
        <v>39</v>
      </c>
      <c r="D14" s="7" t="s">
        <v>872</v>
      </c>
      <c r="E14" s="5"/>
    </row>
    <row r="15" spans="1:5" x14ac:dyDescent="0.25">
      <c r="A15" s="5"/>
      <c r="B15" s="5"/>
      <c r="C15" s="6" t="s">
        <v>40</v>
      </c>
      <c r="D15" s="7" t="s">
        <v>50</v>
      </c>
      <c r="E15" s="5"/>
    </row>
    <row r="16" spans="1:5" x14ac:dyDescent="0.25">
      <c r="A16" s="5"/>
      <c r="B16" s="5"/>
      <c r="C16" s="6" t="s">
        <v>41</v>
      </c>
      <c r="D16" s="7" t="s">
        <v>873</v>
      </c>
      <c r="E16" s="5"/>
    </row>
    <row r="17" spans="1:5" x14ac:dyDescent="0.25">
      <c r="A17" s="5"/>
      <c r="B17" s="5"/>
      <c r="C17" s="6" t="s">
        <v>42</v>
      </c>
      <c r="D17" s="7" t="s">
        <v>874</v>
      </c>
      <c r="E17" s="5"/>
    </row>
    <row r="18" spans="1:5" x14ac:dyDescent="0.25">
      <c r="A18" s="5"/>
      <c r="B18" s="5"/>
      <c r="C18" s="6" t="s">
        <v>43</v>
      </c>
      <c r="D18" s="7" t="s">
        <v>875</v>
      </c>
      <c r="E18" s="5"/>
    </row>
    <row r="19" spans="1:5" x14ac:dyDescent="0.25">
      <c r="A19" s="5"/>
      <c r="B19" s="5"/>
      <c r="C19" s="6" t="s">
        <v>44</v>
      </c>
      <c r="D19" s="7" t="s">
        <v>876</v>
      </c>
      <c r="E19" s="5"/>
    </row>
    <row r="20" spans="1:5" x14ac:dyDescent="0.25">
      <c r="A20" s="5"/>
      <c r="B20" s="5"/>
      <c r="C20" s="6" t="s">
        <v>45</v>
      </c>
      <c r="D20" s="7" t="s">
        <v>877</v>
      </c>
      <c r="E20" s="5"/>
    </row>
    <row r="21" spans="1:5" x14ac:dyDescent="0.25">
      <c r="A21" s="5"/>
      <c r="B21" s="5"/>
      <c r="C21" s="6" t="s">
        <v>46</v>
      </c>
      <c r="D21" s="7"/>
      <c r="E21" s="5"/>
    </row>
    <row r="22" spans="1:5" x14ac:dyDescent="0.25">
      <c r="A22" s="5"/>
      <c r="B22" s="5"/>
      <c r="C22" s="6" t="s">
        <v>47</v>
      </c>
      <c r="D22" s="7" t="s">
        <v>878</v>
      </c>
      <c r="E22" s="5"/>
    </row>
    <row r="23" spans="1:5" x14ac:dyDescent="0.25">
      <c r="A23" s="5"/>
      <c r="B23" s="5"/>
      <c r="C23" s="6" t="s">
        <v>48</v>
      </c>
      <c r="D23" s="7"/>
      <c r="E23" s="5"/>
    </row>
    <row r="24" spans="1:5" x14ac:dyDescent="0.25">
      <c r="A24" s="5"/>
      <c r="B24" s="5"/>
      <c r="C24" s="6" t="s">
        <v>49</v>
      </c>
      <c r="D24" s="7" t="s">
        <v>879</v>
      </c>
      <c r="E24" s="5"/>
    </row>
    <row r="25" spans="1:5" ht="30" customHeight="1" x14ac:dyDescent="0.25">
      <c r="A25" s="5"/>
      <c r="B25" s="5"/>
      <c r="C25" s="6" t="s">
        <v>58</v>
      </c>
      <c r="D25" s="11" t="s">
        <v>64</v>
      </c>
      <c r="E25" s="5"/>
    </row>
    <row r="26" spans="1:5" ht="30" customHeight="1" x14ac:dyDescent="0.25">
      <c r="A26" s="5"/>
      <c r="B26" s="5"/>
      <c r="C26" s="6" t="s">
        <v>59</v>
      </c>
      <c r="D26" s="11" t="s">
        <v>65</v>
      </c>
      <c r="E26" s="5"/>
    </row>
    <row r="27" spans="1:5" ht="30" customHeight="1" x14ac:dyDescent="0.25">
      <c r="A27" s="5"/>
      <c r="B27" s="5"/>
      <c r="C27" s="6" t="s">
        <v>60</v>
      </c>
      <c r="D27" s="11" t="s">
        <v>66</v>
      </c>
      <c r="E27" s="5"/>
    </row>
    <row r="28" spans="1:5" ht="30" customHeight="1" x14ac:dyDescent="0.25">
      <c r="A28" s="5"/>
      <c r="B28" s="5"/>
      <c r="C28" s="6" t="s">
        <v>61</v>
      </c>
      <c r="D28" s="11" t="s">
        <v>63</v>
      </c>
      <c r="E28" s="5"/>
    </row>
    <row r="29" spans="1:5" ht="30" customHeight="1" x14ac:dyDescent="0.25">
      <c r="A29" s="5"/>
      <c r="B29" s="5"/>
      <c r="C29" s="6" t="s">
        <v>62</v>
      </c>
      <c r="D29" s="11" t="s">
        <v>67</v>
      </c>
      <c r="E29" s="5"/>
    </row>
    <row r="30" spans="1:5" ht="30" customHeight="1" x14ac:dyDescent="0.25"/>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E30"/>
  <sheetViews>
    <sheetView zoomScale="80" zoomScaleNormal="80" zoomScalePageLayoutView="80" workbookViewId="0">
      <selection activeCell="C42" sqref="C42"/>
    </sheetView>
  </sheetViews>
  <sheetFormatPr defaultColWidth="8.875" defaultRowHeight="15.75" x14ac:dyDescent="0.25"/>
  <cols>
    <col min="3" max="3" width="27.125" customWidth="1"/>
    <col min="4" max="4" width="125.375" customWidth="1"/>
  </cols>
  <sheetData>
    <row r="1" spans="1:5" x14ac:dyDescent="0.25">
      <c r="A1" s="5"/>
      <c r="B1" s="5"/>
      <c r="C1" s="5"/>
      <c r="D1" s="5"/>
      <c r="E1" s="5"/>
    </row>
    <row r="2" spans="1:5" x14ac:dyDescent="0.25">
      <c r="A2" s="5"/>
      <c r="B2" s="5"/>
      <c r="C2" s="5"/>
      <c r="D2" s="5"/>
      <c r="E2" s="5"/>
    </row>
    <row r="3" spans="1:5" x14ac:dyDescent="0.25">
      <c r="A3" s="5"/>
      <c r="B3" s="5"/>
      <c r="C3" s="6" t="s">
        <v>26</v>
      </c>
      <c r="D3" s="7" t="s">
        <v>4799</v>
      </c>
      <c r="E3" s="5"/>
    </row>
    <row r="4" spans="1:5" x14ac:dyDescent="0.25">
      <c r="A4" s="5"/>
      <c r="B4" s="5"/>
      <c r="C4" s="6" t="s">
        <v>29</v>
      </c>
      <c r="D4" s="7" t="s">
        <v>398</v>
      </c>
      <c r="E4" s="5"/>
    </row>
    <row r="5" spans="1:5" x14ac:dyDescent="0.25">
      <c r="A5" s="5"/>
      <c r="B5" s="5"/>
      <c r="C5" s="6" t="s">
        <v>30</v>
      </c>
      <c r="D5" s="7" t="s">
        <v>406</v>
      </c>
      <c r="E5" s="5"/>
    </row>
    <row r="6" spans="1:5" x14ac:dyDescent="0.25">
      <c r="A6" s="5"/>
      <c r="B6" s="5"/>
      <c r="C6" s="6" t="s">
        <v>31</v>
      </c>
      <c r="D6" s="7" t="s">
        <v>399</v>
      </c>
      <c r="E6" s="5"/>
    </row>
    <row r="7" spans="1:5" x14ac:dyDescent="0.25">
      <c r="A7" s="5"/>
      <c r="B7" s="5"/>
      <c r="C7" s="6" t="s">
        <v>32</v>
      </c>
      <c r="D7" s="7" t="s">
        <v>405</v>
      </c>
      <c r="E7" s="5"/>
    </row>
    <row r="8" spans="1:5" x14ac:dyDescent="0.25">
      <c r="A8" s="5"/>
      <c r="B8" s="5"/>
      <c r="C8" s="6" t="s">
        <v>34</v>
      </c>
      <c r="D8" s="7" t="s">
        <v>400</v>
      </c>
      <c r="E8" s="8"/>
    </row>
    <row r="9" spans="1:5" x14ac:dyDescent="0.25">
      <c r="A9" s="5"/>
      <c r="B9" s="5"/>
      <c r="C9" s="6" t="s">
        <v>33</v>
      </c>
      <c r="D9" s="7" t="s">
        <v>413</v>
      </c>
      <c r="E9" s="5"/>
    </row>
    <row r="10" spans="1:5" x14ac:dyDescent="0.25">
      <c r="A10" s="5"/>
      <c r="B10" s="5"/>
      <c r="C10" s="6" t="s">
        <v>35</v>
      </c>
      <c r="D10" s="7" t="s">
        <v>401</v>
      </c>
      <c r="E10" s="5"/>
    </row>
    <row r="11" spans="1:5" x14ac:dyDescent="0.25">
      <c r="A11" s="5"/>
      <c r="B11" s="5"/>
      <c r="C11" s="6" t="s">
        <v>36</v>
      </c>
      <c r="D11" s="7" t="s">
        <v>50</v>
      </c>
      <c r="E11" s="5"/>
    </row>
    <row r="12" spans="1:5" x14ac:dyDescent="0.25">
      <c r="A12" s="5"/>
      <c r="B12" s="5"/>
      <c r="C12" s="6" t="s">
        <v>37</v>
      </c>
      <c r="D12" s="7" t="s">
        <v>402</v>
      </c>
      <c r="E12" s="5"/>
    </row>
    <row r="13" spans="1:5" x14ac:dyDescent="0.25">
      <c r="A13" s="5"/>
      <c r="B13" s="5"/>
      <c r="C13" s="6" t="s">
        <v>38</v>
      </c>
      <c r="D13" s="7" t="s">
        <v>407</v>
      </c>
      <c r="E13" s="5"/>
    </row>
    <row r="14" spans="1:5" x14ac:dyDescent="0.25">
      <c r="A14" s="5"/>
      <c r="B14" s="5"/>
      <c r="C14" s="6" t="s">
        <v>39</v>
      </c>
      <c r="D14" s="7" t="s">
        <v>403</v>
      </c>
      <c r="E14" s="5"/>
    </row>
    <row r="15" spans="1:5" x14ac:dyDescent="0.25">
      <c r="A15" s="5"/>
      <c r="B15" s="5"/>
      <c r="C15" s="6" t="s">
        <v>40</v>
      </c>
      <c r="D15" s="7" t="s">
        <v>404</v>
      </c>
      <c r="E15" s="5"/>
    </row>
    <row r="16" spans="1:5" x14ac:dyDescent="0.25">
      <c r="A16" s="5"/>
      <c r="B16" s="5"/>
      <c r="C16" s="6" t="s">
        <v>41</v>
      </c>
      <c r="D16" s="7" t="s">
        <v>411</v>
      </c>
      <c r="E16" s="5"/>
    </row>
    <row r="17" spans="1:5" x14ac:dyDescent="0.25">
      <c r="A17" s="5"/>
      <c r="B17" s="5"/>
      <c r="C17" s="6" t="s">
        <v>42</v>
      </c>
      <c r="D17" s="7" t="s">
        <v>412</v>
      </c>
      <c r="E17" s="5"/>
    </row>
    <row r="18" spans="1:5" x14ac:dyDescent="0.25">
      <c r="A18" s="5"/>
      <c r="B18" s="5"/>
      <c r="C18" s="6" t="s">
        <v>43</v>
      </c>
      <c r="D18" s="7"/>
      <c r="E18" s="5"/>
    </row>
    <row r="19" spans="1:5" x14ac:dyDescent="0.25">
      <c r="A19" s="5"/>
      <c r="B19" s="5"/>
      <c r="C19" s="6" t="s">
        <v>44</v>
      </c>
      <c r="D19" s="7"/>
      <c r="E19" s="5"/>
    </row>
    <row r="20" spans="1:5" x14ac:dyDescent="0.25">
      <c r="A20" s="5"/>
      <c r="B20" s="5"/>
      <c r="C20" s="6" t="s">
        <v>45</v>
      </c>
      <c r="D20" s="7"/>
      <c r="E20" s="5"/>
    </row>
    <row r="21" spans="1:5" x14ac:dyDescent="0.25">
      <c r="A21" s="5"/>
      <c r="B21" s="5"/>
      <c r="C21" s="6" t="s">
        <v>46</v>
      </c>
      <c r="D21" s="7"/>
      <c r="E21" s="5"/>
    </row>
    <row r="22" spans="1:5" x14ac:dyDescent="0.25">
      <c r="A22" s="5"/>
      <c r="B22" s="5"/>
      <c r="C22" s="6" t="s">
        <v>47</v>
      </c>
      <c r="D22" s="7"/>
      <c r="E22" s="5"/>
    </row>
    <row r="23" spans="1:5" x14ac:dyDescent="0.25">
      <c r="A23" s="5"/>
      <c r="B23" s="5"/>
      <c r="C23" s="6" t="s">
        <v>48</v>
      </c>
      <c r="D23" s="7"/>
      <c r="E23" s="5"/>
    </row>
    <row r="24" spans="1:5" x14ac:dyDescent="0.25">
      <c r="A24" s="5"/>
      <c r="B24" s="5"/>
      <c r="C24" s="6" t="s">
        <v>49</v>
      </c>
      <c r="D24" s="7" t="s">
        <v>861</v>
      </c>
      <c r="E24" s="5"/>
    </row>
    <row r="25" spans="1:5" ht="30" customHeight="1" x14ac:dyDescent="0.25">
      <c r="A25" s="5"/>
      <c r="B25" s="5"/>
      <c r="C25" s="6" t="s">
        <v>58</v>
      </c>
      <c r="D25" s="11" t="s">
        <v>64</v>
      </c>
      <c r="E25" s="5"/>
    </row>
    <row r="26" spans="1:5" ht="30" customHeight="1" x14ac:dyDescent="0.25">
      <c r="A26" s="5"/>
      <c r="B26" s="5"/>
      <c r="C26" s="6" t="s">
        <v>59</v>
      </c>
      <c r="D26" s="11" t="s">
        <v>65</v>
      </c>
      <c r="E26" s="5"/>
    </row>
    <row r="27" spans="1:5" ht="30" customHeight="1" x14ac:dyDescent="0.25">
      <c r="A27" s="5"/>
      <c r="B27" s="5"/>
      <c r="C27" s="6" t="s">
        <v>60</v>
      </c>
      <c r="D27" s="11" t="s">
        <v>66</v>
      </c>
      <c r="E27" s="5"/>
    </row>
    <row r="28" spans="1:5" ht="30" customHeight="1" x14ac:dyDescent="0.25">
      <c r="A28" s="5"/>
      <c r="B28" s="5"/>
      <c r="C28" s="6" t="s">
        <v>61</v>
      </c>
      <c r="D28" s="11" t="s">
        <v>63</v>
      </c>
      <c r="E28" s="5"/>
    </row>
    <row r="29" spans="1:5" ht="30" customHeight="1" x14ac:dyDescent="0.25">
      <c r="A29" s="5"/>
      <c r="B29" s="5"/>
      <c r="C29" s="6" t="s">
        <v>62</v>
      </c>
      <c r="D29" s="11" t="s">
        <v>67</v>
      </c>
      <c r="E29" s="5"/>
    </row>
    <row r="30" spans="1:5" ht="30" customHeight="1" x14ac:dyDescent="0.25"/>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0000"/>
  </sheetPr>
  <dimension ref="B1:B2913"/>
  <sheetViews>
    <sheetView topLeftCell="A2685" workbookViewId="0">
      <selection activeCell="C53" sqref="C53"/>
    </sheetView>
  </sheetViews>
  <sheetFormatPr defaultColWidth="11" defaultRowHeight="15.75" x14ac:dyDescent="0.25"/>
  <cols>
    <col min="1" max="1" width="4.625" customWidth="1"/>
    <col min="2" max="2" width="95" customWidth="1"/>
  </cols>
  <sheetData>
    <row r="1" spans="2:2" ht="21" x14ac:dyDescent="0.35">
      <c r="B1" s="60"/>
    </row>
    <row r="43" spans="2:2" x14ac:dyDescent="0.25">
      <c r="B43" s="23"/>
    </row>
    <row r="158" spans="2:2" x14ac:dyDescent="0.25">
      <c r="B158" s="23"/>
    </row>
    <row r="160" spans="2:2" x14ac:dyDescent="0.25">
      <c r="B160" s="23"/>
    </row>
    <row r="166" spans="2:2" x14ac:dyDescent="0.25">
      <c r="B166" s="23"/>
    </row>
    <row r="282" spans="2:2" x14ac:dyDescent="0.25">
      <c r="B282" s="23"/>
    </row>
    <row r="288" spans="2:2" x14ac:dyDescent="0.25">
      <c r="B288" s="23"/>
    </row>
    <row r="329" spans="2:2" x14ac:dyDescent="0.25">
      <c r="B329" s="23"/>
    </row>
    <row r="331" spans="2:2" x14ac:dyDescent="0.25">
      <c r="B331" s="23"/>
    </row>
    <row r="334" spans="2:2" x14ac:dyDescent="0.25">
      <c r="B334" s="23"/>
    </row>
    <row r="404" spans="2:2" x14ac:dyDescent="0.25">
      <c r="B404" s="23"/>
    </row>
    <row r="410" spans="2:2" x14ac:dyDescent="0.25">
      <c r="B410" s="23"/>
    </row>
    <row r="532" spans="2:2" x14ac:dyDescent="0.25">
      <c r="B532" s="23"/>
    </row>
    <row r="534" spans="2:2" x14ac:dyDescent="0.25">
      <c r="B534" s="23"/>
    </row>
    <row r="537" spans="2:2" x14ac:dyDescent="0.25">
      <c r="B537" s="23"/>
    </row>
    <row r="544" spans="2:2" x14ac:dyDescent="0.25">
      <c r="B544" s="23"/>
    </row>
    <row r="555" spans="2:2" x14ac:dyDescent="0.25">
      <c r="B555" s="23"/>
    </row>
    <row r="587" spans="2:2" x14ac:dyDescent="0.25">
      <c r="B587" s="23"/>
    </row>
    <row r="589" spans="2:2" x14ac:dyDescent="0.25">
      <c r="B589" s="23"/>
    </row>
    <row r="593" spans="2:2" x14ac:dyDescent="0.25">
      <c r="B593" s="23"/>
    </row>
    <row r="620" spans="2:2" x14ac:dyDescent="0.25">
      <c r="B620" s="23"/>
    </row>
    <row r="623" spans="2:2" x14ac:dyDescent="0.25">
      <c r="B623" s="23"/>
    </row>
    <row r="690" spans="2:2" x14ac:dyDescent="0.25">
      <c r="B690" s="23"/>
    </row>
    <row r="692" spans="2:2" x14ac:dyDescent="0.25">
      <c r="B692" s="23"/>
    </row>
    <row r="700" spans="2:2" x14ac:dyDescent="0.25">
      <c r="B700" s="23"/>
    </row>
    <row r="701" spans="2:2" x14ac:dyDescent="0.25">
      <c r="B701" s="23"/>
    </row>
    <row r="703" spans="2:2" x14ac:dyDescent="0.25">
      <c r="B703" s="23"/>
    </row>
    <row r="711" spans="2:2" x14ac:dyDescent="0.25">
      <c r="B711" s="23"/>
    </row>
    <row r="755" spans="2:2" x14ac:dyDescent="0.25">
      <c r="B755" s="23"/>
    </row>
    <row r="757" spans="2:2" x14ac:dyDescent="0.25">
      <c r="B757" s="23"/>
    </row>
    <row r="765" spans="2:2" x14ac:dyDescent="0.25">
      <c r="B765" s="23"/>
    </row>
    <row r="909" spans="2:2" x14ac:dyDescent="0.25">
      <c r="B909" s="23"/>
    </row>
    <row r="912" spans="2:2" x14ac:dyDescent="0.25">
      <c r="B912" s="23"/>
    </row>
    <row r="1018" spans="2:2" x14ac:dyDescent="0.25">
      <c r="B1018" s="23"/>
    </row>
    <row r="1023" spans="2:2" x14ac:dyDescent="0.25">
      <c r="B1023" s="23"/>
    </row>
    <row r="1036" spans="2:2" x14ac:dyDescent="0.25">
      <c r="B1036" s="23"/>
    </row>
    <row r="1057" spans="2:2" x14ac:dyDescent="0.25">
      <c r="B1057" s="23"/>
    </row>
    <row r="1136" spans="2:2" x14ac:dyDescent="0.25">
      <c r="B1136" s="23"/>
    </row>
    <row r="1140" spans="2:2" x14ac:dyDescent="0.25">
      <c r="B1140" s="23"/>
    </row>
    <row r="1201" spans="2:2" x14ac:dyDescent="0.25">
      <c r="B1201" s="23"/>
    </row>
    <row r="1345" spans="2:2" x14ac:dyDescent="0.25">
      <c r="B1345" s="23"/>
    </row>
    <row r="1353" spans="2:2" x14ac:dyDescent="0.25">
      <c r="B1353" s="23"/>
    </row>
    <row r="1366" spans="2:2" x14ac:dyDescent="0.25">
      <c r="B1366" s="23"/>
    </row>
    <row r="1374" spans="2:2" x14ac:dyDescent="0.25">
      <c r="B1374" s="23"/>
    </row>
    <row r="1473" spans="2:2" x14ac:dyDescent="0.25">
      <c r="B1473" s="23"/>
    </row>
    <row r="1481" spans="2:2" x14ac:dyDescent="0.25">
      <c r="B1481" s="23"/>
    </row>
    <row r="1683" spans="2:2" x14ac:dyDescent="0.25">
      <c r="B1683" s="23"/>
    </row>
    <row r="1687" spans="2:2" x14ac:dyDescent="0.25">
      <c r="B1687" s="23"/>
    </row>
    <row r="1998" spans="2:2" x14ac:dyDescent="0.25">
      <c r="B1998" s="23"/>
    </row>
    <row r="2006" spans="2:2" x14ac:dyDescent="0.25">
      <c r="B2006" s="23"/>
    </row>
    <row r="2029" spans="2:2" x14ac:dyDescent="0.25">
      <c r="B2029" s="23"/>
    </row>
    <row r="2037" spans="2:2" x14ac:dyDescent="0.25">
      <c r="B2037" s="23"/>
    </row>
    <row r="2189" spans="2:2" x14ac:dyDescent="0.25">
      <c r="B2189" s="23"/>
    </row>
    <row r="2197" spans="2:2" x14ac:dyDescent="0.25">
      <c r="B2197" s="23"/>
    </row>
    <row r="2234" spans="2:2" x14ac:dyDescent="0.25">
      <c r="B2234" s="23"/>
    </row>
    <row r="2659" spans="2:2" x14ac:dyDescent="0.25">
      <c r="B2659" s="23"/>
    </row>
    <row r="2700" spans="2:2" x14ac:dyDescent="0.25">
      <c r="B2700" s="23"/>
    </row>
    <row r="2913" spans="2:2" x14ac:dyDescent="0.25">
      <c r="B2913" s="2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rgb="FF00B0F0"/>
  </sheetPr>
  <dimension ref="A1:O238"/>
  <sheetViews>
    <sheetView showGridLines="0" topLeftCell="B235" workbookViewId="0">
      <selection activeCell="E266" sqref="E266"/>
    </sheetView>
  </sheetViews>
  <sheetFormatPr defaultColWidth="10.875" defaultRowHeight="15" x14ac:dyDescent="0.2"/>
  <cols>
    <col min="1" max="1" width="12.5" style="51" bestFit="1" customWidth="1"/>
    <col min="2" max="2" width="19.875" style="51" bestFit="1" customWidth="1"/>
    <col min="3" max="3" width="43.375" style="51" bestFit="1" customWidth="1"/>
    <col min="4" max="4" width="16.625" style="51" bestFit="1" customWidth="1"/>
    <col min="5" max="6" width="43.375" style="51" bestFit="1" customWidth="1"/>
    <col min="7" max="7" width="12.875" style="51" bestFit="1" customWidth="1"/>
    <col min="8" max="8" width="9.875" style="51" customWidth="1"/>
    <col min="9" max="9" width="19.375" style="51" bestFit="1" customWidth="1"/>
    <col min="10" max="10" width="22" style="51" bestFit="1" customWidth="1"/>
    <col min="11" max="11" width="9.125" style="51" customWidth="1"/>
    <col min="12" max="12" width="15.5" style="51" bestFit="1" customWidth="1"/>
    <col min="13" max="13" width="15.875" style="51" bestFit="1" customWidth="1"/>
    <col min="14" max="14" width="15.625" style="51" bestFit="1" customWidth="1"/>
    <col min="15" max="15" width="43.375" style="51" bestFit="1" customWidth="1"/>
    <col min="16" max="16384" width="10.875" style="51"/>
  </cols>
  <sheetData>
    <row r="1" spans="1:15" ht="36" customHeight="1" x14ac:dyDescent="0.2">
      <c r="A1" s="61"/>
      <c r="B1" s="62"/>
      <c r="C1" s="62"/>
      <c r="D1" s="62"/>
      <c r="E1" s="62"/>
      <c r="F1" s="62"/>
      <c r="G1" s="62"/>
      <c r="H1" s="62"/>
      <c r="I1" s="62"/>
      <c r="J1" s="62"/>
      <c r="K1" s="62"/>
      <c r="L1" s="62"/>
      <c r="M1" s="62"/>
      <c r="N1" s="62"/>
      <c r="O1" s="63"/>
    </row>
    <row r="2" spans="1:15" ht="15.95" customHeight="1" x14ac:dyDescent="0.2">
      <c r="A2" s="64" t="s">
        <v>426</v>
      </c>
      <c r="B2" s="65"/>
      <c r="C2" s="65"/>
      <c r="D2" s="65"/>
      <c r="E2" s="65"/>
      <c r="F2" s="65"/>
      <c r="G2" s="65"/>
      <c r="H2" s="65"/>
      <c r="I2" s="65"/>
      <c r="J2" s="65"/>
      <c r="K2" s="65"/>
      <c r="L2" s="65"/>
      <c r="M2" s="65"/>
      <c r="N2" s="65"/>
      <c r="O2" s="66"/>
    </row>
    <row r="3" spans="1:15" ht="15.95" customHeight="1" x14ac:dyDescent="0.2">
      <c r="A3" s="67" t="s">
        <v>880</v>
      </c>
      <c r="B3" s="68"/>
      <c r="C3" s="68"/>
      <c r="D3" s="68"/>
      <c r="E3" s="68"/>
      <c r="F3" s="68"/>
      <c r="G3" s="68"/>
      <c r="H3" s="68"/>
      <c r="I3" s="68"/>
      <c r="J3" s="68"/>
      <c r="K3" s="68"/>
      <c r="L3" s="68"/>
      <c r="M3" s="68"/>
      <c r="N3" s="68"/>
      <c r="O3" s="69"/>
    </row>
    <row r="4" spans="1:15" ht="31.5" x14ac:dyDescent="0.2">
      <c r="A4" s="52" t="s">
        <v>4</v>
      </c>
      <c r="B4" s="52" t="s">
        <v>5</v>
      </c>
      <c r="C4" s="52" t="s">
        <v>54</v>
      </c>
      <c r="D4" s="52" t="s">
        <v>6</v>
      </c>
      <c r="E4" s="52" t="s">
        <v>7</v>
      </c>
      <c r="F4" s="52" t="s">
        <v>53</v>
      </c>
      <c r="G4" s="52" t="s">
        <v>8</v>
      </c>
      <c r="H4" s="52" t="s">
        <v>427</v>
      </c>
      <c r="I4" s="52" t="s">
        <v>429</v>
      </c>
      <c r="J4" s="52" t="s">
        <v>428</v>
      </c>
      <c r="K4" s="52" t="s">
        <v>9</v>
      </c>
      <c r="L4" s="52" t="s">
        <v>10</v>
      </c>
      <c r="M4" s="52" t="s">
        <v>52</v>
      </c>
      <c r="N4" s="52" t="s">
        <v>51</v>
      </c>
      <c r="O4" s="52" t="s">
        <v>11</v>
      </c>
    </row>
    <row r="5" spans="1:15" ht="45" x14ac:dyDescent="0.2">
      <c r="A5" s="53" t="s">
        <v>24</v>
      </c>
      <c r="B5" s="53" t="s">
        <v>20</v>
      </c>
      <c r="C5" s="54" t="s">
        <v>881</v>
      </c>
      <c r="D5" s="55" t="s">
        <v>882</v>
      </c>
      <c r="E5" s="54" t="s">
        <v>883</v>
      </c>
      <c r="F5" s="54" t="s">
        <v>884</v>
      </c>
      <c r="G5" s="54"/>
      <c r="H5" s="54"/>
      <c r="I5" s="54"/>
      <c r="J5" s="54"/>
      <c r="K5" s="54"/>
      <c r="L5" s="54"/>
      <c r="M5" s="54"/>
      <c r="N5" s="54"/>
      <c r="O5" s="54" t="s">
        <v>885</v>
      </c>
    </row>
    <row r="6" spans="1:15" ht="75" x14ac:dyDescent="0.2">
      <c r="A6" s="53" t="s">
        <v>18</v>
      </c>
      <c r="B6" s="53" t="s">
        <v>19</v>
      </c>
      <c r="C6" s="54" t="s">
        <v>886</v>
      </c>
      <c r="D6" s="55" t="s">
        <v>887</v>
      </c>
      <c r="E6" s="54" t="s">
        <v>883</v>
      </c>
      <c r="F6" s="54" t="s">
        <v>888</v>
      </c>
      <c r="G6" s="54"/>
      <c r="H6" s="54"/>
      <c r="I6" s="54"/>
      <c r="J6" s="54"/>
      <c r="K6" s="54"/>
      <c r="L6" s="54"/>
      <c r="M6" s="54"/>
      <c r="N6" s="54"/>
      <c r="O6" s="54" t="s">
        <v>889</v>
      </c>
    </row>
    <row r="7" spans="1:15" ht="90" x14ac:dyDescent="0.2">
      <c r="A7" s="53" t="s">
        <v>24</v>
      </c>
      <c r="B7" s="53" t="s">
        <v>19</v>
      </c>
      <c r="C7" s="54" t="s">
        <v>890</v>
      </c>
      <c r="D7" s="55" t="s">
        <v>891</v>
      </c>
      <c r="E7" s="54" t="s">
        <v>883</v>
      </c>
      <c r="F7" s="54" t="s">
        <v>892</v>
      </c>
      <c r="G7" s="54"/>
      <c r="H7" s="54"/>
      <c r="I7" s="54"/>
      <c r="J7" s="54"/>
      <c r="K7" s="54"/>
      <c r="L7" s="54"/>
      <c r="M7" s="54"/>
      <c r="N7" s="54"/>
      <c r="O7" s="54" t="s">
        <v>893</v>
      </c>
    </row>
    <row r="8" spans="1:15" ht="30" x14ac:dyDescent="0.2">
      <c r="A8" s="53" t="s">
        <v>18</v>
      </c>
      <c r="B8" s="53" t="s">
        <v>20</v>
      </c>
      <c r="C8" s="54" t="s">
        <v>894</v>
      </c>
      <c r="D8" s="55" t="s">
        <v>895</v>
      </c>
      <c r="E8" s="54" t="s">
        <v>883</v>
      </c>
      <c r="F8" s="54" t="s">
        <v>884</v>
      </c>
      <c r="G8" s="54"/>
      <c r="H8" s="54"/>
      <c r="I8" s="54"/>
      <c r="J8" s="54"/>
      <c r="K8" s="54"/>
      <c r="L8" s="54"/>
      <c r="M8" s="54"/>
      <c r="N8" s="54"/>
      <c r="O8" s="54" t="s">
        <v>896</v>
      </c>
    </row>
    <row r="9" spans="1:15" ht="15.75" x14ac:dyDescent="0.2">
      <c r="A9" s="53" t="s">
        <v>24</v>
      </c>
      <c r="B9" s="53" t="s">
        <v>21</v>
      </c>
      <c r="C9" s="54" t="s">
        <v>897</v>
      </c>
      <c r="D9" s="55" t="s">
        <v>898</v>
      </c>
      <c r="E9" s="54" t="s">
        <v>899</v>
      </c>
      <c r="F9" s="54" t="s">
        <v>900</v>
      </c>
      <c r="G9" s="54"/>
      <c r="H9" s="54"/>
      <c r="I9" s="54"/>
      <c r="J9" s="54"/>
      <c r="K9" s="54"/>
      <c r="L9" s="54"/>
      <c r="M9" s="54"/>
      <c r="N9" s="54"/>
      <c r="O9" s="54" t="s">
        <v>901</v>
      </c>
    </row>
    <row r="10" spans="1:15" ht="105" x14ac:dyDescent="0.2">
      <c r="A10" s="53" t="s">
        <v>24</v>
      </c>
      <c r="B10" s="53" t="s">
        <v>19</v>
      </c>
      <c r="C10" s="54" t="s">
        <v>902</v>
      </c>
      <c r="D10" s="55" t="s">
        <v>903</v>
      </c>
      <c r="E10" s="54" t="s">
        <v>883</v>
      </c>
      <c r="F10" s="54" t="s">
        <v>888</v>
      </c>
      <c r="G10" s="54"/>
      <c r="H10" s="54"/>
      <c r="I10" s="54"/>
      <c r="J10" s="54"/>
      <c r="K10" s="54"/>
      <c r="L10" s="54"/>
      <c r="M10" s="54"/>
      <c r="N10" s="54"/>
      <c r="O10" s="54" t="s">
        <v>904</v>
      </c>
    </row>
    <row r="11" spans="1:15" ht="90" x14ac:dyDescent="0.2">
      <c r="A11" s="53" t="s">
        <v>24</v>
      </c>
      <c r="B11" s="53" t="s">
        <v>20</v>
      </c>
      <c r="C11" s="54" t="s">
        <v>905</v>
      </c>
      <c r="D11" s="55" t="s">
        <v>906</v>
      </c>
      <c r="E11" s="54" t="s">
        <v>883</v>
      </c>
      <c r="F11" s="54" t="s">
        <v>888</v>
      </c>
      <c r="G11" s="54"/>
      <c r="H11" s="54"/>
      <c r="I11" s="54"/>
      <c r="J11" s="54"/>
      <c r="K11" s="54"/>
      <c r="L11" s="54"/>
      <c r="M11" s="54"/>
      <c r="N11" s="54"/>
      <c r="O11" s="54" t="s">
        <v>907</v>
      </c>
    </row>
    <row r="12" spans="1:15" ht="15.75" x14ac:dyDescent="0.2">
      <c r="A12" s="53" t="s">
        <v>24</v>
      </c>
      <c r="B12" s="53" t="s">
        <v>20</v>
      </c>
      <c r="C12" s="54" t="s">
        <v>908</v>
      </c>
      <c r="D12" s="55" t="s">
        <v>909</v>
      </c>
      <c r="E12" s="54" t="s">
        <v>883</v>
      </c>
      <c r="F12" s="54" t="s">
        <v>910</v>
      </c>
      <c r="G12" s="54"/>
      <c r="H12" s="54"/>
      <c r="I12" s="54"/>
      <c r="J12" s="54"/>
      <c r="K12" s="54"/>
      <c r="L12" s="54"/>
      <c r="M12" s="54"/>
      <c r="N12" s="54"/>
      <c r="O12" s="54" t="s">
        <v>911</v>
      </c>
    </row>
    <row r="13" spans="1:15" ht="75" x14ac:dyDescent="0.2">
      <c r="A13" s="53" t="s">
        <v>24</v>
      </c>
      <c r="B13" s="53" t="s">
        <v>19</v>
      </c>
      <c r="C13" s="54" t="s">
        <v>912</v>
      </c>
      <c r="D13" s="55" t="s">
        <v>913</v>
      </c>
      <c r="E13" s="54" t="s">
        <v>883</v>
      </c>
      <c r="F13" s="54" t="s">
        <v>884</v>
      </c>
      <c r="G13" s="54"/>
      <c r="H13" s="54"/>
      <c r="I13" s="54"/>
      <c r="J13" s="54"/>
      <c r="K13" s="54"/>
      <c r="L13" s="54"/>
      <c r="M13" s="54"/>
      <c r="N13" s="54"/>
      <c r="O13" s="54" t="s">
        <v>914</v>
      </c>
    </row>
    <row r="14" spans="1:15" ht="120" x14ac:dyDescent="0.2">
      <c r="A14" s="53" t="s">
        <v>24</v>
      </c>
      <c r="B14" s="53" t="s">
        <v>20</v>
      </c>
      <c r="C14" s="54" t="s">
        <v>915</v>
      </c>
      <c r="D14" s="55" t="s">
        <v>916</v>
      </c>
      <c r="E14" s="54" t="s">
        <v>883</v>
      </c>
      <c r="F14" s="54" t="s">
        <v>884</v>
      </c>
      <c r="G14" s="54"/>
      <c r="H14" s="54"/>
      <c r="I14" s="54"/>
      <c r="J14" s="54"/>
      <c r="K14" s="54"/>
      <c r="L14" s="54"/>
      <c r="M14" s="54"/>
      <c r="N14" s="54"/>
      <c r="O14" s="54" t="s">
        <v>917</v>
      </c>
    </row>
    <row r="15" spans="1:15" ht="60" x14ac:dyDescent="0.2">
      <c r="A15" s="53" t="s">
        <v>24</v>
      </c>
      <c r="B15" s="53" t="s">
        <v>19</v>
      </c>
      <c r="C15" s="54" t="s">
        <v>918</v>
      </c>
      <c r="D15" s="55" t="s">
        <v>919</v>
      </c>
      <c r="E15" s="54" t="s">
        <v>920</v>
      </c>
      <c r="F15" s="54"/>
      <c r="G15" s="54"/>
      <c r="H15" s="54"/>
      <c r="I15" s="54"/>
      <c r="J15" s="54"/>
      <c r="K15" s="54"/>
      <c r="L15" s="54"/>
      <c r="M15" s="54"/>
      <c r="N15" s="54"/>
      <c r="O15" s="54" t="s">
        <v>921</v>
      </c>
    </row>
    <row r="16" spans="1:15" ht="15.75" x14ac:dyDescent="0.2">
      <c r="A16" s="53" t="s">
        <v>24</v>
      </c>
      <c r="B16" s="53" t="s">
        <v>20</v>
      </c>
      <c r="C16" s="54" t="s">
        <v>922</v>
      </c>
      <c r="D16" s="55" t="s">
        <v>923</v>
      </c>
      <c r="E16" s="54" t="s">
        <v>883</v>
      </c>
      <c r="F16" s="54" t="s">
        <v>910</v>
      </c>
      <c r="G16" s="54"/>
      <c r="H16" s="54"/>
      <c r="I16" s="54"/>
      <c r="J16" s="54"/>
      <c r="K16" s="54"/>
      <c r="L16" s="54"/>
      <c r="M16" s="54"/>
      <c r="N16" s="54"/>
      <c r="O16" s="54" t="s">
        <v>911</v>
      </c>
    </row>
    <row r="17" spans="1:15" ht="30" x14ac:dyDescent="0.2">
      <c r="A17" s="53" t="s">
        <v>24</v>
      </c>
      <c r="B17" s="53" t="s">
        <v>20</v>
      </c>
      <c r="C17" s="54" t="s">
        <v>924</v>
      </c>
      <c r="D17" s="55" t="s">
        <v>925</v>
      </c>
      <c r="E17" s="54" t="s">
        <v>883</v>
      </c>
      <c r="F17" s="54" t="s">
        <v>884</v>
      </c>
      <c r="G17" s="54"/>
      <c r="H17" s="54"/>
      <c r="I17" s="54"/>
      <c r="J17" s="54"/>
      <c r="K17" s="54"/>
      <c r="L17" s="54"/>
      <c r="M17" s="54"/>
      <c r="N17" s="54"/>
      <c r="O17" s="54" t="s">
        <v>926</v>
      </c>
    </row>
    <row r="18" spans="1:15" ht="30" x14ac:dyDescent="0.2">
      <c r="A18" s="53" t="s">
        <v>24</v>
      </c>
      <c r="B18" s="53" t="s">
        <v>20</v>
      </c>
      <c r="C18" s="54" t="s">
        <v>927</v>
      </c>
      <c r="D18" s="55" t="s">
        <v>928</v>
      </c>
      <c r="E18" s="54" t="s">
        <v>883</v>
      </c>
      <c r="F18" s="54" t="s">
        <v>888</v>
      </c>
      <c r="G18" s="54"/>
      <c r="H18" s="54"/>
      <c r="I18" s="54"/>
      <c r="J18" s="54"/>
      <c r="K18" s="54"/>
      <c r="L18" s="54"/>
      <c r="M18" s="54"/>
      <c r="N18" s="54"/>
      <c r="O18" s="54" t="s">
        <v>929</v>
      </c>
    </row>
    <row r="19" spans="1:15" ht="30" x14ac:dyDescent="0.2">
      <c r="A19" s="53" t="s">
        <v>24</v>
      </c>
      <c r="B19" s="53" t="s">
        <v>20</v>
      </c>
      <c r="C19" s="54" t="s">
        <v>930</v>
      </c>
      <c r="D19" s="55" t="s">
        <v>931</v>
      </c>
      <c r="E19" s="54" t="s">
        <v>883</v>
      </c>
      <c r="F19" s="54" t="s">
        <v>884</v>
      </c>
      <c r="G19" s="54"/>
      <c r="H19" s="54"/>
      <c r="I19" s="54"/>
      <c r="J19" s="54"/>
      <c r="K19" s="54"/>
      <c r="L19" s="54"/>
      <c r="M19" s="54"/>
      <c r="N19" s="54"/>
      <c r="O19" s="54" t="s">
        <v>932</v>
      </c>
    </row>
    <row r="20" spans="1:15" ht="45" x14ac:dyDescent="0.2">
      <c r="A20" s="53" t="s">
        <v>24</v>
      </c>
      <c r="B20" s="53" t="s">
        <v>20</v>
      </c>
      <c r="C20" s="54" t="s">
        <v>933</v>
      </c>
      <c r="D20" s="55" t="s">
        <v>934</v>
      </c>
      <c r="E20" s="54" t="s">
        <v>883</v>
      </c>
      <c r="F20" s="54" t="s">
        <v>884</v>
      </c>
      <c r="G20" s="54"/>
      <c r="H20" s="54"/>
      <c r="I20" s="54"/>
      <c r="J20" s="54"/>
      <c r="K20" s="54"/>
      <c r="L20" s="54"/>
      <c r="M20" s="54"/>
      <c r="N20" s="54"/>
      <c r="O20" s="54" t="s">
        <v>935</v>
      </c>
    </row>
    <row r="21" spans="1:15" ht="75" x14ac:dyDescent="0.2">
      <c r="A21" s="53" t="s">
        <v>18</v>
      </c>
      <c r="B21" s="53" t="s">
        <v>19</v>
      </c>
      <c r="C21" s="54" t="s">
        <v>936</v>
      </c>
      <c r="D21" s="55" t="s">
        <v>937</v>
      </c>
      <c r="E21" s="54" t="s">
        <v>883</v>
      </c>
      <c r="F21" s="54" t="s">
        <v>938</v>
      </c>
      <c r="G21" s="54"/>
      <c r="H21" s="54"/>
      <c r="I21" s="54"/>
      <c r="J21" s="54"/>
      <c r="K21" s="54"/>
      <c r="L21" s="54"/>
      <c r="M21" s="54"/>
      <c r="N21" s="54"/>
      <c r="O21" s="54" t="s">
        <v>939</v>
      </c>
    </row>
    <row r="22" spans="1:15" ht="75" x14ac:dyDescent="0.2">
      <c r="A22" s="53" t="s">
        <v>24</v>
      </c>
      <c r="B22" s="53" t="s">
        <v>20</v>
      </c>
      <c r="C22" s="54" t="s">
        <v>940</v>
      </c>
      <c r="D22" s="55" t="s">
        <v>941</v>
      </c>
      <c r="E22" s="54" t="s">
        <v>883</v>
      </c>
      <c r="F22" s="54" t="s">
        <v>938</v>
      </c>
      <c r="G22" s="54"/>
      <c r="H22" s="54"/>
      <c r="I22" s="54"/>
      <c r="J22" s="54"/>
      <c r="K22" s="54"/>
      <c r="L22" s="54"/>
      <c r="M22" s="54"/>
      <c r="N22" s="54"/>
      <c r="O22" s="54" t="s">
        <v>942</v>
      </c>
    </row>
    <row r="23" spans="1:15" ht="150" x14ac:dyDescent="0.2">
      <c r="A23" s="53" t="s">
        <v>18</v>
      </c>
      <c r="B23" s="53" t="s">
        <v>20</v>
      </c>
      <c r="C23" s="54" t="s">
        <v>943</v>
      </c>
      <c r="D23" s="55" t="s">
        <v>944</v>
      </c>
      <c r="E23" s="54" t="s">
        <v>883</v>
      </c>
      <c r="F23" s="54" t="s">
        <v>884</v>
      </c>
      <c r="G23" s="54"/>
      <c r="H23" s="54"/>
      <c r="I23" s="54"/>
      <c r="J23" s="54"/>
      <c r="K23" s="54"/>
      <c r="L23" s="54"/>
      <c r="M23" s="54"/>
      <c r="N23" s="54"/>
      <c r="O23" s="54" t="s">
        <v>945</v>
      </c>
    </row>
    <row r="24" spans="1:15" ht="30" x14ac:dyDescent="0.2">
      <c r="A24" s="53" t="s">
        <v>24</v>
      </c>
      <c r="B24" s="53" t="s">
        <v>20</v>
      </c>
      <c r="C24" s="54" t="s">
        <v>946</v>
      </c>
      <c r="D24" s="55" t="s">
        <v>947</v>
      </c>
      <c r="E24" s="54" t="s">
        <v>883</v>
      </c>
      <c r="F24" s="54" t="s">
        <v>888</v>
      </c>
      <c r="G24" s="54"/>
      <c r="H24" s="54"/>
      <c r="I24" s="54"/>
      <c r="J24" s="54"/>
      <c r="K24" s="54"/>
      <c r="L24" s="54"/>
      <c r="M24" s="54"/>
      <c r="N24" s="54"/>
      <c r="O24" s="54" t="s">
        <v>948</v>
      </c>
    </row>
    <row r="25" spans="1:15" ht="90" x14ac:dyDescent="0.2">
      <c r="A25" s="53" t="s">
        <v>18</v>
      </c>
      <c r="B25" s="53" t="s">
        <v>19</v>
      </c>
      <c r="C25" s="54" t="s">
        <v>949</v>
      </c>
      <c r="D25" s="55" t="s">
        <v>950</v>
      </c>
      <c r="E25" s="54" t="s">
        <v>883</v>
      </c>
      <c r="F25" s="54" t="s">
        <v>888</v>
      </c>
      <c r="G25" s="54"/>
      <c r="H25" s="54"/>
      <c r="I25" s="54"/>
      <c r="J25" s="54"/>
      <c r="K25" s="54"/>
      <c r="L25" s="54"/>
      <c r="M25" s="54"/>
      <c r="N25" s="54"/>
      <c r="O25" s="54" t="s">
        <v>951</v>
      </c>
    </row>
    <row r="26" spans="1:15" ht="105" x14ac:dyDescent="0.2">
      <c r="A26" s="53" t="s">
        <v>18</v>
      </c>
      <c r="B26" s="53" t="s">
        <v>19</v>
      </c>
      <c r="C26" s="54" t="s">
        <v>952</v>
      </c>
      <c r="D26" s="55" t="s">
        <v>953</v>
      </c>
      <c r="E26" s="54" t="s">
        <v>883</v>
      </c>
      <c r="F26" s="54" t="s">
        <v>938</v>
      </c>
      <c r="G26" s="54"/>
      <c r="H26" s="54"/>
      <c r="I26" s="54"/>
      <c r="J26" s="54"/>
      <c r="K26" s="54"/>
      <c r="L26" s="54"/>
      <c r="M26" s="54"/>
      <c r="N26" s="54"/>
      <c r="O26" s="54" t="s">
        <v>954</v>
      </c>
    </row>
    <row r="27" spans="1:15" ht="409.5" x14ac:dyDescent="0.2">
      <c r="A27" s="53" t="s">
        <v>24</v>
      </c>
      <c r="B27" s="53" t="s">
        <v>19</v>
      </c>
      <c r="C27" s="54" t="s">
        <v>955</v>
      </c>
      <c r="D27" s="55" t="s">
        <v>956</v>
      </c>
      <c r="E27" s="54" t="s">
        <v>883</v>
      </c>
      <c r="F27" s="54" t="s">
        <v>884</v>
      </c>
      <c r="G27" s="54"/>
      <c r="H27" s="54"/>
      <c r="I27" s="54"/>
      <c r="J27" s="54"/>
      <c r="K27" s="54"/>
      <c r="L27" s="54"/>
      <c r="M27" s="54"/>
      <c r="N27" s="54"/>
      <c r="O27" s="54" t="s">
        <v>957</v>
      </c>
    </row>
    <row r="28" spans="1:15" ht="120" x14ac:dyDescent="0.2">
      <c r="A28" s="53" t="s">
        <v>24</v>
      </c>
      <c r="B28" s="53" t="s">
        <v>19</v>
      </c>
      <c r="C28" s="54" t="s">
        <v>958</v>
      </c>
      <c r="D28" s="55" t="s">
        <v>959</v>
      </c>
      <c r="E28" s="54" t="s">
        <v>883</v>
      </c>
      <c r="F28" s="54" t="s">
        <v>938</v>
      </c>
      <c r="G28" s="54"/>
      <c r="H28" s="54"/>
      <c r="I28" s="54"/>
      <c r="J28" s="54"/>
      <c r="K28" s="54"/>
      <c r="L28" s="54"/>
      <c r="M28" s="54"/>
      <c r="N28" s="54"/>
      <c r="O28" s="54" t="s">
        <v>960</v>
      </c>
    </row>
    <row r="29" spans="1:15" ht="60" x14ac:dyDescent="0.2">
      <c r="A29" s="53" t="s">
        <v>24</v>
      </c>
      <c r="B29" s="53" t="s">
        <v>19</v>
      </c>
      <c r="C29" s="54" t="s">
        <v>961</v>
      </c>
      <c r="D29" s="55" t="s">
        <v>962</v>
      </c>
      <c r="E29" s="54" t="s">
        <v>883</v>
      </c>
      <c r="F29" s="54" t="s">
        <v>938</v>
      </c>
      <c r="G29" s="54"/>
      <c r="H29" s="54"/>
      <c r="I29" s="54"/>
      <c r="J29" s="54"/>
      <c r="K29" s="54"/>
      <c r="L29" s="54"/>
      <c r="M29" s="54"/>
      <c r="N29" s="54"/>
      <c r="O29" s="54" t="s">
        <v>963</v>
      </c>
    </row>
    <row r="30" spans="1:15" ht="90" x14ac:dyDescent="0.2">
      <c r="A30" s="53" t="s">
        <v>24</v>
      </c>
      <c r="B30" s="53" t="s">
        <v>19</v>
      </c>
      <c r="C30" s="54" t="s">
        <v>964</v>
      </c>
      <c r="D30" s="55" t="s">
        <v>965</v>
      </c>
      <c r="E30" s="54" t="s">
        <v>883</v>
      </c>
      <c r="F30" s="54" t="s">
        <v>888</v>
      </c>
      <c r="G30" s="54"/>
      <c r="H30" s="54"/>
      <c r="I30" s="54"/>
      <c r="J30" s="54"/>
      <c r="K30" s="54"/>
      <c r="L30" s="54"/>
      <c r="M30" s="54"/>
      <c r="N30" s="54"/>
      <c r="O30" s="54" t="s">
        <v>966</v>
      </c>
    </row>
    <row r="31" spans="1:15" ht="30" x14ac:dyDescent="0.2">
      <c r="A31" s="53" t="s">
        <v>24</v>
      </c>
      <c r="B31" s="53" t="s">
        <v>20</v>
      </c>
      <c r="C31" s="54" t="s">
        <v>967</v>
      </c>
      <c r="D31" s="55" t="s">
        <v>968</v>
      </c>
      <c r="E31" s="54" t="s">
        <v>883</v>
      </c>
      <c r="F31" s="54" t="s">
        <v>884</v>
      </c>
      <c r="G31" s="54"/>
      <c r="H31" s="54"/>
      <c r="I31" s="54"/>
      <c r="J31" s="54"/>
      <c r="K31" s="54"/>
      <c r="L31" s="54"/>
      <c r="M31" s="54"/>
      <c r="N31" s="54"/>
      <c r="O31" s="54" t="s">
        <v>969</v>
      </c>
    </row>
    <row r="32" spans="1:15" ht="30" x14ac:dyDescent="0.2">
      <c r="A32" s="53" t="s">
        <v>18</v>
      </c>
      <c r="B32" s="53" t="s">
        <v>20</v>
      </c>
      <c r="C32" s="54" t="s">
        <v>970</v>
      </c>
      <c r="D32" s="55" t="s">
        <v>971</v>
      </c>
      <c r="E32" s="54" t="s">
        <v>883</v>
      </c>
      <c r="F32" s="54" t="s">
        <v>884</v>
      </c>
      <c r="G32" s="54"/>
      <c r="H32" s="54"/>
      <c r="I32" s="54"/>
      <c r="J32" s="54"/>
      <c r="K32" s="54"/>
      <c r="L32" s="54"/>
      <c r="M32" s="54"/>
      <c r="N32" s="54"/>
      <c r="O32" s="54" t="s">
        <v>972</v>
      </c>
    </row>
    <row r="33" spans="1:15" ht="30" x14ac:dyDescent="0.2">
      <c r="A33" s="53" t="s">
        <v>24</v>
      </c>
      <c r="B33" s="53" t="s">
        <v>20</v>
      </c>
      <c r="C33" s="54" t="s">
        <v>973</v>
      </c>
      <c r="D33" s="55" t="s">
        <v>974</v>
      </c>
      <c r="E33" s="54" t="s">
        <v>883</v>
      </c>
      <c r="F33" s="54" t="s">
        <v>884</v>
      </c>
      <c r="G33" s="54"/>
      <c r="H33" s="54"/>
      <c r="I33" s="54"/>
      <c r="J33" s="54"/>
      <c r="K33" s="54"/>
      <c r="L33" s="54"/>
      <c r="M33" s="54"/>
      <c r="N33" s="54"/>
      <c r="O33" s="54" t="s">
        <v>975</v>
      </c>
    </row>
    <row r="34" spans="1:15" ht="75" x14ac:dyDescent="0.2">
      <c r="A34" s="53" t="s">
        <v>24</v>
      </c>
      <c r="B34" s="53" t="s">
        <v>19</v>
      </c>
      <c r="C34" s="54" t="s">
        <v>976</v>
      </c>
      <c r="D34" s="55" t="s">
        <v>977</v>
      </c>
      <c r="E34" s="54" t="s">
        <v>883</v>
      </c>
      <c r="F34" s="54" t="s">
        <v>884</v>
      </c>
      <c r="G34" s="54"/>
      <c r="H34" s="54"/>
      <c r="I34" s="54"/>
      <c r="J34" s="54"/>
      <c r="K34" s="54"/>
      <c r="L34" s="54"/>
      <c r="M34" s="54"/>
      <c r="N34" s="54"/>
      <c r="O34" s="54" t="s">
        <v>978</v>
      </c>
    </row>
    <row r="35" spans="1:15" ht="105" x14ac:dyDescent="0.2">
      <c r="A35" s="53" t="s">
        <v>18</v>
      </c>
      <c r="B35" s="53" t="s">
        <v>20</v>
      </c>
      <c r="C35" s="54" t="s">
        <v>979</v>
      </c>
      <c r="D35" s="55" t="s">
        <v>980</v>
      </c>
      <c r="E35" s="54" t="s">
        <v>883</v>
      </c>
      <c r="F35" s="54" t="s">
        <v>884</v>
      </c>
      <c r="G35" s="54"/>
      <c r="H35" s="54"/>
      <c r="I35" s="54"/>
      <c r="J35" s="54"/>
      <c r="K35" s="54"/>
      <c r="L35" s="54"/>
      <c r="M35" s="54"/>
      <c r="N35" s="54"/>
      <c r="O35" s="54" t="s">
        <v>981</v>
      </c>
    </row>
    <row r="36" spans="1:15" ht="45" x14ac:dyDescent="0.2">
      <c r="A36" s="53" t="s">
        <v>24</v>
      </c>
      <c r="B36" s="53" t="s">
        <v>19</v>
      </c>
      <c r="C36" s="54" t="s">
        <v>982</v>
      </c>
      <c r="D36" s="55" t="s">
        <v>983</v>
      </c>
      <c r="E36" s="54" t="s">
        <v>883</v>
      </c>
      <c r="F36" s="54" t="s">
        <v>884</v>
      </c>
      <c r="G36" s="54"/>
      <c r="H36" s="54"/>
      <c r="I36" s="54"/>
      <c r="J36" s="54"/>
      <c r="K36" s="54"/>
      <c r="L36" s="54"/>
      <c r="M36" s="54"/>
      <c r="N36" s="54"/>
      <c r="O36" s="54" t="s">
        <v>984</v>
      </c>
    </row>
    <row r="37" spans="1:15" ht="105" x14ac:dyDescent="0.2">
      <c r="A37" s="53" t="s">
        <v>18</v>
      </c>
      <c r="B37" s="53" t="s">
        <v>19</v>
      </c>
      <c r="C37" s="54" t="s">
        <v>985</v>
      </c>
      <c r="D37" s="55" t="s">
        <v>986</v>
      </c>
      <c r="E37" s="54" t="s">
        <v>883</v>
      </c>
      <c r="F37" s="54" t="s">
        <v>938</v>
      </c>
      <c r="G37" s="54"/>
      <c r="H37" s="54"/>
      <c r="I37" s="54"/>
      <c r="J37" s="54"/>
      <c r="K37" s="54"/>
      <c r="L37" s="54"/>
      <c r="M37" s="54"/>
      <c r="N37" s="54"/>
      <c r="O37" s="54" t="s">
        <v>987</v>
      </c>
    </row>
    <row r="38" spans="1:15" ht="210" x14ac:dyDescent="0.2">
      <c r="A38" s="53" t="s">
        <v>18</v>
      </c>
      <c r="B38" s="53" t="s">
        <v>19</v>
      </c>
      <c r="C38" s="54" t="s">
        <v>988</v>
      </c>
      <c r="D38" s="55" t="s">
        <v>989</v>
      </c>
      <c r="E38" s="54" t="s">
        <v>883</v>
      </c>
      <c r="F38" s="54" t="s">
        <v>888</v>
      </c>
      <c r="G38" s="54"/>
      <c r="H38" s="54"/>
      <c r="I38" s="54"/>
      <c r="J38" s="54"/>
      <c r="K38" s="54"/>
      <c r="L38" s="54"/>
      <c r="M38" s="54"/>
      <c r="N38" s="54"/>
      <c r="O38" s="54" t="s">
        <v>990</v>
      </c>
    </row>
    <row r="39" spans="1:15" ht="90" x14ac:dyDescent="0.2">
      <c r="A39" s="53" t="s">
        <v>18</v>
      </c>
      <c r="B39" s="53" t="s">
        <v>19</v>
      </c>
      <c r="C39" s="54" t="s">
        <v>991</v>
      </c>
      <c r="D39" s="55" t="s">
        <v>992</v>
      </c>
      <c r="E39" s="54" t="s">
        <v>883</v>
      </c>
      <c r="F39" s="54" t="s">
        <v>938</v>
      </c>
      <c r="G39" s="54"/>
      <c r="H39" s="54"/>
      <c r="I39" s="54"/>
      <c r="J39" s="54"/>
      <c r="K39" s="54"/>
      <c r="L39" s="54"/>
      <c r="M39" s="54"/>
      <c r="N39" s="54"/>
      <c r="O39" s="54" t="s">
        <v>993</v>
      </c>
    </row>
    <row r="40" spans="1:15" ht="60" x14ac:dyDescent="0.2">
      <c r="A40" s="53" t="s">
        <v>24</v>
      </c>
      <c r="B40" s="53" t="s">
        <v>15</v>
      </c>
      <c r="C40" s="54" t="s">
        <v>994</v>
      </c>
      <c r="D40" s="55" t="s">
        <v>995</v>
      </c>
      <c r="E40" s="54" t="s">
        <v>899</v>
      </c>
      <c r="F40" s="54" t="s">
        <v>996</v>
      </c>
      <c r="G40" s="54"/>
      <c r="H40" s="54"/>
      <c r="I40" s="54"/>
      <c r="J40" s="54">
        <v>0</v>
      </c>
      <c r="K40" s="54"/>
      <c r="L40" s="54">
        <v>1</v>
      </c>
      <c r="M40" s="54"/>
      <c r="N40" s="54"/>
      <c r="O40" s="54" t="s">
        <v>997</v>
      </c>
    </row>
    <row r="41" spans="1:15" ht="30" x14ac:dyDescent="0.2">
      <c r="A41" s="53" t="s">
        <v>24</v>
      </c>
      <c r="B41" s="53" t="s">
        <v>19</v>
      </c>
      <c r="C41" s="54" t="s">
        <v>998</v>
      </c>
      <c r="D41" s="55" t="s">
        <v>999</v>
      </c>
      <c r="E41" s="54" t="s">
        <v>899</v>
      </c>
      <c r="F41" s="54" t="s">
        <v>900</v>
      </c>
      <c r="G41" s="54">
        <v>8</v>
      </c>
      <c r="H41" s="54"/>
      <c r="I41" s="54"/>
      <c r="J41" s="54"/>
      <c r="K41" s="54"/>
      <c r="L41" s="54"/>
      <c r="M41" s="54"/>
      <c r="N41" s="54"/>
      <c r="O41" s="54" t="s">
        <v>1000</v>
      </c>
    </row>
    <row r="42" spans="1:15" ht="15.75" x14ac:dyDescent="0.2">
      <c r="A42" s="53" t="s">
        <v>24</v>
      </c>
      <c r="B42" s="53" t="s">
        <v>21</v>
      </c>
      <c r="C42" s="54" t="s">
        <v>1001</v>
      </c>
      <c r="D42" s="55" t="s">
        <v>1002</v>
      </c>
      <c r="E42" s="54" t="s">
        <v>899</v>
      </c>
      <c r="F42" s="54" t="s">
        <v>1003</v>
      </c>
      <c r="G42" s="54"/>
      <c r="H42" s="54"/>
      <c r="I42" s="54"/>
      <c r="J42" s="54"/>
      <c r="K42" s="54"/>
      <c r="L42" s="54"/>
      <c r="M42" s="54"/>
      <c r="N42" s="54"/>
      <c r="O42" s="54" t="s">
        <v>1004</v>
      </c>
    </row>
    <row r="43" spans="1:15" ht="45" x14ac:dyDescent="0.2">
      <c r="A43" s="53" t="s">
        <v>18</v>
      </c>
      <c r="B43" s="53" t="s">
        <v>19</v>
      </c>
      <c r="C43" s="54" t="s">
        <v>1005</v>
      </c>
      <c r="D43" s="55" t="s">
        <v>1006</v>
      </c>
      <c r="E43" s="54" t="s">
        <v>899</v>
      </c>
      <c r="F43" s="54" t="s">
        <v>900</v>
      </c>
      <c r="G43" s="54"/>
      <c r="H43" s="54"/>
      <c r="I43" s="54"/>
      <c r="J43" s="54"/>
      <c r="K43" s="54"/>
      <c r="L43" s="54">
        <v>1</v>
      </c>
      <c r="M43" s="54"/>
      <c r="N43" s="54"/>
      <c r="O43" s="54" t="s">
        <v>1007</v>
      </c>
    </row>
    <row r="44" spans="1:15" ht="15.75" x14ac:dyDescent="0.2">
      <c r="A44" s="53" t="s">
        <v>18</v>
      </c>
      <c r="B44" s="53" t="s">
        <v>21</v>
      </c>
      <c r="C44" s="54" t="s">
        <v>1008</v>
      </c>
      <c r="D44" s="55" t="s">
        <v>1009</v>
      </c>
      <c r="E44" s="54" t="s">
        <v>899</v>
      </c>
      <c r="F44" s="54"/>
      <c r="G44" s="54"/>
      <c r="H44" s="54"/>
      <c r="I44" s="54"/>
      <c r="J44" s="54"/>
      <c r="K44" s="54"/>
      <c r="L44" s="54"/>
      <c r="M44" s="54"/>
      <c r="N44" s="54"/>
      <c r="O44" s="54" t="s">
        <v>1010</v>
      </c>
    </row>
    <row r="45" spans="1:15" ht="30" x14ac:dyDescent="0.2">
      <c r="A45" s="53" t="s">
        <v>24</v>
      </c>
      <c r="B45" s="53" t="s">
        <v>25</v>
      </c>
      <c r="C45" s="54" t="s">
        <v>1011</v>
      </c>
      <c r="D45" s="55" t="s">
        <v>1012</v>
      </c>
      <c r="E45" s="54" t="s">
        <v>899</v>
      </c>
      <c r="F45" s="54" t="s">
        <v>1013</v>
      </c>
      <c r="G45" s="54"/>
      <c r="H45" s="54"/>
      <c r="I45" s="54"/>
      <c r="J45" s="54"/>
      <c r="K45" s="54"/>
      <c r="L45" s="54">
        <v>1</v>
      </c>
      <c r="M45" s="54"/>
      <c r="N45" s="54"/>
      <c r="O45" s="54" t="s">
        <v>1014</v>
      </c>
    </row>
    <row r="46" spans="1:15" ht="30" x14ac:dyDescent="0.2">
      <c r="A46" s="53" t="s">
        <v>24</v>
      </c>
      <c r="B46" s="53" t="s">
        <v>25</v>
      </c>
      <c r="C46" s="54" t="s">
        <v>1015</v>
      </c>
      <c r="D46" s="55" t="s">
        <v>1016</v>
      </c>
      <c r="E46" s="54" t="s">
        <v>899</v>
      </c>
      <c r="F46" s="54" t="s">
        <v>1017</v>
      </c>
      <c r="G46" s="54"/>
      <c r="H46" s="54"/>
      <c r="I46" s="54"/>
      <c r="J46" s="54"/>
      <c r="K46" s="54"/>
      <c r="L46" s="54">
        <v>1</v>
      </c>
      <c r="M46" s="54"/>
      <c r="N46" s="54"/>
      <c r="O46" s="54" t="s">
        <v>1018</v>
      </c>
    </row>
    <row r="47" spans="1:15" ht="30" x14ac:dyDescent="0.2">
      <c r="A47" s="53" t="s">
        <v>18</v>
      </c>
      <c r="B47" s="53" t="s">
        <v>21</v>
      </c>
      <c r="C47" s="54" t="s">
        <v>1019</v>
      </c>
      <c r="D47" s="55" t="s">
        <v>1020</v>
      </c>
      <c r="E47" s="54" t="s">
        <v>899</v>
      </c>
      <c r="F47" s="54"/>
      <c r="G47" s="54"/>
      <c r="H47" s="54"/>
      <c r="I47" s="54"/>
      <c r="J47" s="54"/>
      <c r="K47" s="54"/>
      <c r="L47" s="54"/>
      <c r="M47" s="54"/>
      <c r="N47" s="54"/>
      <c r="O47" s="54" t="s">
        <v>1021</v>
      </c>
    </row>
    <row r="48" spans="1:15" ht="270" x14ac:dyDescent="0.2">
      <c r="A48" s="53" t="s">
        <v>24</v>
      </c>
      <c r="B48" s="53" t="s">
        <v>19</v>
      </c>
      <c r="C48" s="54" t="s">
        <v>1022</v>
      </c>
      <c r="D48" s="55" t="s">
        <v>1023</v>
      </c>
      <c r="E48" s="54" t="s">
        <v>899</v>
      </c>
      <c r="F48" s="54" t="s">
        <v>1024</v>
      </c>
      <c r="G48" s="54"/>
      <c r="H48" s="54"/>
      <c r="I48" s="54"/>
      <c r="J48" s="54"/>
      <c r="K48" s="54"/>
      <c r="L48" s="54"/>
      <c r="M48" s="54"/>
      <c r="N48" s="54"/>
      <c r="O48" s="54" t="s">
        <v>1025</v>
      </c>
    </row>
    <row r="49" spans="1:15" ht="30" x14ac:dyDescent="0.2">
      <c r="A49" s="53" t="s">
        <v>24</v>
      </c>
      <c r="B49" s="53" t="s">
        <v>21</v>
      </c>
      <c r="C49" s="54" t="s">
        <v>1026</v>
      </c>
      <c r="D49" s="55" t="s">
        <v>1027</v>
      </c>
      <c r="E49" s="54" t="s">
        <v>920</v>
      </c>
      <c r="F49" s="54"/>
      <c r="G49" s="54"/>
      <c r="H49" s="54"/>
      <c r="I49" s="54"/>
      <c r="J49" s="54"/>
      <c r="K49" s="54"/>
      <c r="L49" s="54"/>
      <c r="M49" s="54"/>
      <c r="N49" s="54"/>
      <c r="O49" s="54" t="s">
        <v>1028</v>
      </c>
    </row>
    <row r="50" spans="1:15" ht="45" x14ac:dyDescent="0.2">
      <c r="A50" s="53" t="s">
        <v>24</v>
      </c>
      <c r="B50" s="53" t="s">
        <v>21</v>
      </c>
      <c r="C50" s="54" t="s">
        <v>1029</v>
      </c>
      <c r="D50" s="55" t="s">
        <v>1030</v>
      </c>
      <c r="E50" s="54" t="s">
        <v>899</v>
      </c>
      <c r="F50" s="54" t="s">
        <v>1003</v>
      </c>
      <c r="G50" s="54"/>
      <c r="H50" s="54"/>
      <c r="I50" s="54"/>
      <c r="J50" s="54"/>
      <c r="K50" s="54"/>
      <c r="L50" s="54">
        <v>2</v>
      </c>
      <c r="M50" s="54"/>
      <c r="N50" s="54"/>
      <c r="O50" s="54" t="s">
        <v>1031</v>
      </c>
    </row>
    <row r="51" spans="1:15" ht="30" x14ac:dyDescent="0.2">
      <c r="A51" s="53" t="s">
        <v>24</v>
      </c>
      <c r="B51" s="53" t="s">
        <v>21</v>
      </c>
      <c r="C51" s="54" t="s">
        <v>1032</v>
      </c>
      <c r="D51" s="55" t="s">
        <v>1033</v>
      </c>
      <c r="E51" s="54" t="s">
        <v>920</v>
      </c>
      <c r="F51" s="54"/>
      <c r="G51" s="54"/>
      <c r="H51" s="54"/>
      <c r="I51" s="54"/>
      <c r="J51" s="54"/>
      <c r="K51" s="54"/>
      <c r="L51" s="54"/>
      <c r="M51" s="54"/>
      <c r="N51" s="54"/>
      <c r="O51" s="54" t="s">
        <v>1034</v>
      </c>
    </row>
    <row r="52" spans="1:15" ht="30" x14ac:dyDescent="0.2">
      <c r="A52" s="53" t="s">
        <v>24</v>
      </c>
      <c r="B52" s="53" t="s">
        <v>21</v>
      </c>
      <c r="C52" s="54" t="s">
        <v>1035</v>
      </c>
      <c r="D52" s="55" t="s">
        <v>1036</v>
      </c>
      <c r="E52" s="54" t="s">
        <v>920</v>
      </c>
      <c r="F52" s="54"/>
      <c r="G52" s="54"/>
      <c r="H52" s="54"/>
      <c r="I52" s="54"/>
      <c r="J52" s="54"/>
      <c r="K52" s="54"/>
      <c r="L52" s="54"/>
      <c r="M52" s="54"/>
      <c r="N52" s="54"/>
      <c r="O52" s="54" t="s">
        <v>1037</v>
      </c>
    </row>
    <row r="53" spans="1:15" ht="15.75" x14ac:dyDescent="0.2">
      <c r="A53" s="53" t="s">
        <v>18</v>
      </c>
      <c r="B53" s="53" t="s">
        <v>21</v>
      </c>
      <c r="C53" s="54" t="s">
        <v>1038</v>
      </c>
      <c r="D53" s="55" t="s">
        <v>1039</v>
      </c>
      <c r="E53" s="54" t="s">
        <v>899</v>
      </c>
      <c r="F53" s="54"/>
      <c r="G53" s="54"/>
      <c r="H53" s="54"/>
      <c r="I53" s="54">
        <v>86400</v>
      </c>
      <c r="J53" s="54">
        <v>0</v>
      </c>
      <c r="K53" s="54"/>
      <c r="L53" s="54"/>
      <c r="M53" s="54"/>
      <c r="N53" s="54"/>
      <c r="O53" s="54"/>
    </row>
    <row r="54" spans="1:15" ht="30" x14ac:dyDescent="0.2">
      <c r="A54" s="53" t="s">
        <v>18</v>
      </c>
      <c r="B54" s="53" t="s">
        <v>1040</v>
      </c>
      <c r="C54" s="54" t="s">
        <v>1041</v>
      </c>
      <c r="D54" s="55" t="s">
        <v>1042</v>
      </c>
      <c r="E54" s="54" t="s">
        <v>899</v>
      </c>
      <c r="F54" s="54"/>
      <c r="G54" s="54"/>
      <c r="H54" s="54"/>
      <c r="I54" s="54">
        <v>144000</v>
      </c>
      <c r="J54" s="54">
        <v>144000</v>
      </c>
      <c r="K54" s="54"/>
      <c r="L54" s="54"/>
      <c r="M54" s="54"/>
      <c r="N54" s="54"/>
      <c r="O54" s="54"/>
    </row>
    <row r="55" spans="1:15" ht="30" x14ac:dyDescent="0.2">
      <c r="A55" s="53" t="s">
        <v>18</v>
      </c>
      <c r="B55" s="53" t="s">
        <v>1040</v>
      </c>
      <c r="C55" s="54" t="s">
        <v>1043</v>
      </c>
      <c r="D55" s="55" t="s">
        <v>1044</v>
      </c>
      <c r="E55" s="54" t="s">
        <v>899</v>
      </c>
      <c r="F55" s="54"/>
      <c r="G55" s="54"/>
      <c r="H55" s="54"/>
      <c r="I55" s="54">
        <v>57600</v>
      </c>
      <c r="J55" s="54">
        <v>57600</v>
      </c>
      <c r="K55" s="54"/>
      <c r="L55" s="54"/>
      <c r="M55" s="54"/>
      <c r="N55" s="54"/>
      <c r="O55" s="54" t="s">
        <v>1045</v>
      </c>
    </row>
    <row r="56" spans="1:15" ht="409.5" x14ac:dyDescent="0.2">
      <c r="A56" s="53" t="s">
        <v>24</v>
      </c>
      <c r="B56" s="53" t="s">
        <v>19</v>
      </c>
      <c r="C56" s="54" t="s">
        <v>1046</v>
      </c>
      <c r="D56" s="55" t="s">
        <v>1047</v>
      </c>
      <c r="E56" s="54" t="s">
        <v>899</v>
      </c>
      <c r="F56" s="54" t="s">
        <v>1003</v>
      </c>
      <c r="G56" s="54"/>
      <c r="H56" s="54"/>
      <c r="I56" s="54"/>
      <c r="J56" s="54"/>
      <c r="K56" s="54"/>
      <c r="L56" s="54"/>
      <c r="M56" s="54"/>
      <c r="N56" s="54"/>
      <c r="O56" s="54" t="s">
        <v>1048</v>
      </c>
    </row>
    <row r="57" spans="1:15" ht="30" x14ac:dyDescent="0.2">
      <c r="A57" s="53" t="s">
        <v>18</v>
      </c>
      <c r="B57" s="53" t="s">
        <v>25</v>
      </c>
      <c r="C57" s="54" t="s">
        <v>1049</v>
      </c>
      <c r="D57" s="55" t="s">
        <v>1050</v>
      </c>
      <c r="E57" s="54" t="s">
        <v>899</v>
      </c>
      <c r="F57" s="54" t="s">
        <v>1003</v>
      </c>
      <c r="G57" s="54"/>
      <c r="H57" s="54"/>
      <c r="I57" s="54"/>
      <c r="J57" s="54"/>
      <c r="K57" s="54"/>
      <c r="L57" s="54"/>
      <c r="M57" s="54"/>
      <c r="N57" s="54"/>
      <c r="O57" s="54" t="s">
        <v>1051</v>
      </c>
    </row>
    <row r="58" spans="1:15" ht="30" x14ac:dyDescent="0.2">
      <c r="A58" s="53" t="s">
        <v>18</v>
      </c>
      <c r="B58" s="53" t="s">
        <v>21</v>
      </c>
      <c r="C58" s="54" t="s">
        <v>1052</v>
      </c>
      <c r="D58" s="55" t="s">
        <v>1053</v>
      </c>
      <c r="E58" s="54" t="s">
        <v>899</v>
      </c>
      <c r="F58" s="54" t="s">
        <v>1003</v>
      </c>
      <c r="G58" s="54"/>
      <c r="H58" s="54"/>
      <c r="I58" s="54"/>
      <c r="J58" s="54"/>
      <c r="K58" s="54"/>
      <c r="L58" s="54"/>
      <c r="M58" s="54"/>
      <c r="N58" s="54"/>
      <c r="O58" s="54" t="s">
        <v>1054</v>
      </c>
    </row>
    <row r="59" spans="1:15" ht="30" x14ac:dyDescent="0.2">
      <c r="A59" s="53" t="s">
        <v>18</v>
      </c>
      <c r="B59" s="53" t="s">
        <v>1040</v>
      </c>
      <c r="C59" s="54" t="s">
        <v>1055</v>
      </c>
      <c r="D59" s="55" t="s">
        <v>1056</v>
      </c>
      <c r="E59" s="54" t="s">
        <v>1057</v>
      </c>
      <c r="F59" s="54"/>
      <c r="G59" s="54"/>
      <c r="H59" s="54"/>
      <c r="I59" s="54"/>
      <c r="J59" s="54"/>
      <c r="K59" s="54"/>
      <c r="L59" s="54"/>
      <c r="M59" s="54"/>
      <c r="N59" s="54"/>
      <c r="O59" s="54" t="s">
        <v>1058</v>
      </c>
    </row>
    <row r="60" spans="1:15" ht="15.75" x14ac:dyDescent="0.2">
      <c r="A60" s="53" t="s">
        <v>18</v>
      </c>
      <c r="B60" s="53" t="s">
        <v>23</v>
      </c>
      <c r="C60" s="54" t="s">
        <v>1059</v>
      </c>
      <c r="D60" s="55" t="s">
        <v>1060</v>
      </c>
      <c r="E60" s="54" t="s">
        <v>899</v>
      </c>
      <c r="F60" s="54"/>
      <c r="G60" s="54"/>
      <c r="H60" s="54"/>
      <c r="I60" s="54"/>
      <c r="J60" s="54"/>
      <c r="K60" s="54"/>
      <c r="L60" s="54"/>
      <c r="M60" s="54"/>
      <c r="N60" s="54"/>
      <c r="O60" s="54"/>
    </row>
    <row r="61" spans="1:15" ht="15.75" x14ac:dyDescent="0.2">
      <c r="A61" s="53" t="s">
        <v>18</v>
      </c>
      <c r="B61" s="53" t="s">
        <v>19</v>
      </c>
      <c r="C61" s="54" t="s">
        <v>1061</v>
      </c>
      <c r="D61" s="55" t="s">
        <v>1062</v>
      </c>
      <c r="E61" s="54" t="s">
        <v>899</v>
      </c>
      <c r="F61" s="54"/>
      <c r="G61" s="54"/>
      <c r="H61" s="54"/>
      <c r="I61" s="54"/>
      <c r="J61" s="54"/>
      <c r="K61" s="54"/>
      <c r="L61" s="54"/>
      <c r="M61" s="54"/>
      <c r="N61" s="54"/>
      <c r="O61" s="54" t="s">
        <v>1063</v>
      </c>
    </row>
    <row r="62" spans="1:15" ht="60" x14ac:dyDescent="0.2">
      <c r="A62" s="53" t="s">
        <v>18</v>
      </c>
      <c r="B62" s="53" t="s">
        <v>19</v>
      </c>
      <c r="C62" s="54" t="s">
        <v>1064</v>
      </c>
      <c r="D62" s="55" t="s">
        <v>1065</v>
      </c>
      <c r="E62" s="54" t="s">
        <v>920</v>
      </c>
      <c r="F62" s="54"/>
      <c r="G62" s="54"/>
      <c r="H62" s="54"/>
      <c r="I62" s="54"/>
      <c r="J62" s="54"/>
      <c r="K62" s="54"/>
      <c r="L62" s="54"/>
      <c r="M62" s="54"/>
      <c r="N62" s="54"/>
      <c r="O62" s="54" t="s">
        <v>1066</v>
      </c>
    </row>
    <row r="63" spans="1:15" ht="15.75" x14ac:dyDescent="0.2">
      <c r="A63" s="53" t="s">
        <v>18</v>
      </c>
      <c r="B63" s="53" t="s">
        <v>19</v>
      </c>
      <c r="C63" s="54" t="s">
        <v>1067</v>
      </c>
      <c r="D63" s="55" t="s">
        <v>1068</v>
      </c>
      <c r="E63" s="54" t="s">
        <v>920</v>
      </c>
      <c r="F63" s="54"/>
      <c r="G63" s="54"/>
      <c r="H63" s="54"/>
      <c r="I63" s="54"/>
      <c r="J63" s="54"/>
      <c r="K63" s="54"/>
      <c r="L63" s="54"/>
      <c r="M63" s="54"/>
      <c r="N63" s="54"/>
      <c r="O63" s="54"/>
    </row>
    <row r="64" spans="1:15" ht="30" x14ac:dyDescent="0.2">
      <c r="A64" s="53" t="s">
        <v>18</v>
      </c>
      <c r="B64" s="53" t="s">
        <v>15</v>
      </c>
      <c r="C64" s="54" t="s">
        <v>1069</v>
      </c>
      <c r="D64" s="55" t="s">
        <v>1063</v>
      </c>
      <c r="E64" s="54" t="s">
        <v>899</v>
      </c>
      <c r="F64" s="54"/>
      <c r="G64" s="54"/>
      <c r="H64" s="54"/>
      <c r="I64" s="54"/>
      <c r="J64" s="54"/>
      <c r="K64" s="54"/>
      <c r="L64" s="54"/>
      <c r="M64" s="54"/>
      <c r="N64" s="54"/>
      <c r="O64" s="54" t="s">
        <v>1070</v>
      </c>
    </row>
    <row r="65" spans="1:15" ht="30" x14ac:dyDescent="0.2">
      <c r="A65" s="53" t="s">
        <v>24</v>
      </c>
      <c r="B65" s="53" t="s">
        <v>19</v>
      </c>
      <c r="C65" s="54" t="s">
        <v>1071</v>
      </c>
      <c r="D65" s="55" t="s">
        <v>1072</v>
      </c>
      <c r="E65" s="54" t="s">
        <v>899</v>
      </c>
      <c r="F65" s="54"/>
      <c r="G65" s="54"/>
      <c r="H65" s="54"/>
      <c r="I65" s="54"/>
      <c r="J65" s="54"/>
      <c r="K65" s="54"/>
      <c r="L65" s="54"/>
      <c r="M65" s="54"/>
      <c r="N65" s="54"/>
      <c r="O65" s="54"/>
    </row>
    <row r="66" spans="1:15" ht="30" x14ac:dyDescent="0.2">
      <c r="A66" s="53" t="s">
        <v>24</v>
      </c>
      <c r="B66" s="53" t="s">
        <v>19</v>
      </c>
      <c r="C66" s="54" t="s">
        <v>1073</v>
      </c>
      <c r="D66" s="55" t="s">
        <v>1074</v>
      </c>
      <c r="E66" s="54" t="s">
        <v>920</v>
      </c>
      <c r="F66" s="54"/>
      <c r="G66" s="54"/>
      <c r="H66" s="54"/>
      <c r="I66" s="54"/>
      <c r="J66" s="54"/>
      <c r="K66" s="54"/>
      <c r="L66" s="54"/>
      <c r="M66" s="54"/>
      <c r="N66" s="54"/>
      <c r="O66" s="54" t="s">
        <v>1075</v>
      </c>
    </row>
    <row r="67" spans="1:15" ht="30" x14ac:dyDescent="0.2">
      <c r="A67" s="53" t="s">
        <v>24</v>
      </c>
      <c r="B67" s="53" t="s">
        <v>19</v>
      </c>
      <c r="C67" s="54" t="s">
        <v>1076</v>
      </c>
      <c r="D67" s="55" t="s">
        <v>1075</v>
      </c>
      <c r="E67" s="54" t="s">
        <v>920</v>
      </c>
      <c r="F67" s="54"/>
      <c r="G67" s="54"/>
      <c r="H67" s="54"/>
      <c r="I67" s="54"/>
      <c r="J67" s="54"/>
      <c r="K67" s="54"/>
      <c r="L67" s="54"/>
      <c r="M67" s="54"/>
      <c r="N67" s="54"/>
      <c r="O67" s="54" t="s">
        <v>1074</v>
      </c>
    </row>
    <row r="68" spans="1:15" ht="15.75" x14ac:dyDescent="0.2">
      <c r="A68" s="53" t="s">
        <v>18</v>
      </c>
      <c r="B68" s="53" t="s">
        <v>19</v>
      </c>
      <c r="C68" s="54" t="s">
        <v>1077</v>
      </c>
      <c r="D68" s="55" t="s">
        <v>1078</v>
      </c>
      <c r="E68" s="54" t="s">
        <v>899</v>
      </c>
      <c r="F68" s="54"/>
      <c r="G68" s="54"/>
      <c r="H68" s="54"/>
      <c r="I68" s="54"/>
      <c r="J68" s="54"/>
      <c r="K68" s="54"/>
      <c r="L68" s="54"/>
      <c r="M68" s="54"/>
      <c r="N68" s="54"/>
      <c r="O68" s="54"/>
    </row>
    <row r="69" spans="1:15" ht="15.75" x14ac:dyDescent="0.2">
      <c r="A69" s="53" t="s">
        <v>24</v>
      </c>
      <c r="B69" s="53" t="s">
        <v>20</v>
      </c>
      <c r="C69" s="54" t="s">
        <v>1079</v>
      </c>
      <c r="D69" s="55" t="s">
        <v>1080</v>
      </c>
      <c r="E69" s="54" t="s">
        <v>899</v>
      </c>
      <c r="F69" s="54"/>
      <c r="G69" s="54"/>
      <c r="H69" s="54"/>
      <c r="I69" s="54"/>
      <c r="J69" s="54"/>
      <c r="K69" s="54"/>
      <c r="L69" s="54"/>
      <c r="M69" s="54"/>
      <c r="N69" s="54"/>
      <c r="O69" s="54"/>
    </row>
    <row r="70" spans="1:15" ht="15.75" x14ac:dyDescent="0.2">
      <c r="A70" s="53" t="s">
        <v>24</v>
      </c>
      <c r="B70" s="53" t="s">
        <v>1040</v>
      </c>
      <c r="C70" s="54" t="s">
        <v>1081</v>
      </c>
      <c r="D70" s="55" t="s">
        <v>1082</v>
      </c>
      <c r="E70" s="54" t="s">
        <v>1057</v>
      </c>
      <c r="F70" s="54"/>
      <c r="G70" s="54"/>
      <c r="H70" s="54"/>
      <c r="I70" s="54"/>
      <c r="J70" s="54"/>
      <c r="K70" s="54"/>
      <c r="L70" s="54"/>
      <c r="M70" s="54"/>
      <c r="N70" s="54"/>
      <c r="O70" s="54"/>
    </row>
    <row r="71" spans="1:15" ht="15.75" x14ac:dyDescent="0.2">
      <c r="A71" s="53" t="s">
        <v>24</v>
      </c>
      <c r="B71" s="53" t="s">
        <v>20</v>
      </c>
      <c r="C71" s="54" t="s">
        <v>1083</v>
      </c>
      <c r="D71" s="55" t="s">
        <v>1084</v>
      </c>
      <c r="E71" s="54" t="s">
        <v>899</v>
      </c>
      <c r="F71" s="54"/>
      <c r="G71" s="54"/>
      <c r="H71" s="54"/>
      <c r="I71" s="54"/>
      <c r="J71" s="54"/>
      <c r="K71" s="54"/>
      <c r="L71" s="54"/>
      <c r="M71" s="54"/>
      <c r="N71" s="54"/>
      <c r="O71" s="54"/>
    </row>
    <row r="72" spans="1:15" ht="30" x14ac:dyDescent="0.2">
      <c r="A72" s="53" t="s">
        <v>18</v>
      </c>
      <c r="B72" s="53" t="s">
        <v>1040</v>
      </c>
      <c r="C72" s="54" t="s">
        <v>1085</v>
      </c>
      <c r="D72" s="55" t="s">
        <v>1086</v>
      </c>
      <c r="E72" s="54" t="s">
        <v>1087</v>
      </c>
      <c r="F72" s="54"/>
      <c r="G72" s="54"/>
      <c r="H72" s="54"/>
      <c r="I72" s="54"/>
      <c r="J72" s="54"/>
      <c r="K72" s="54"/>
      <c r="L72" s="54"/>
      <c r="M72" s="54"/>
      <c r="N72" s="54"/>
      <c r="O72" s="54"/>
    </row>
    <row r="73" spans="1:15" ht="15.75" x14ac:dyDescent="0.2">
      <c r="A73" s="53" t="s">
        <v>24</v>
      </c>
      <c r="B73" s="53" t="s">
        <v>1040</v>
      </c>
      <c r="C73" s="54" t="s">
        <v>1088</v>
      </c>
      <c r="D73" s="55" t="s">
        <v>1089</v>
      </c>
      <c r="E73" s="54" t="s">
        <v>899</v>
      </c>
      <c r="F73" s="54"/>
      <c r="G73" s="54"/>
      <c r="H73" s="54"/>
      <c r="I73" s="54"/>
      <c r="J73" s="54"/>
      <c r="K73" s="54"/>
      <c r="L73" s="54"/>
      <c r="M73" s="54"/>
      <c r="N73" s="54"/>
      <c r="O73" s="54"/>
    </row>
    <row r="74" spans="1:15" ht="15.75" x14ac:dyDescent="0.2">
      <c r="A74" s="53" t="s">
        <v>24</v>
      </c>
      <c r="B74" s="53" t="s">
        <v>21</v>
      </c>
      <c r="C74" s="54" t="s">
        <v>1090</v>
      </c>
      <c r="D74" s="55" t="s">
        <v>1091</v>
      </c>
      <c r="E74" s="54" t="s">
        <v>1057</v>
      </c>
      <c r="F74" s="54"/>
      <c r="G74" s="54"/>
      <c r="H74" s="54"/>
      <c r="I74" s="54"/>
      <c r="J74" s="54"/>
      <c r="K74" s="54"/>
      <c r="L74" s="54"/>
      <c r="M74" s="54"/>
      <c r="N74" s="54"/>
      <c r="O74" s="54" t="s">
        <v>1092</v>
      </c>
    </row>
    <row r="75" spans="1:15" ht="15.75" x14ac:dyDescent="0.2">
      <c r="A75" s="53" t="s">
        <v>24</v>
      </c>
      <c r="B75" s="53" t="s">
        <v>21</v>
      </c>
      <c r="C75" s="54" t="s">
        <v>1093</v>
      </c>
      <c r="D75" s="55" t="s">
        <v>1094</v>
      </c>
      <c r="E75" s="54" t="s">
        <v>1057</v>
      </c>
      <c r="F75" s="54"/>
      <c r="G75" s="54"/>
      <c r="H75" s="54"/>
      <c r="I75" s="54"/>
      <c r="J75" s="54"/>
      <c r="K75" s="54"/>
      <c r="L75" s="54"/>
      <c r="M75" s="54"/>
      <c r="N75" s="54"/>
      <c r="O75" s="54"/>
    </row>
    <row r="76" spans="1:15" ht="30" x14ac:dyDescent="0.2">
      <c r="A76" s="53" t="s">
        <v>18</v>
      </c>
      <c r="B76" s="53" t="s">
        <v>1040</v>
      </c>
      <c r="C76" s="54" t="s">
        <v>1095</v>
      </c>
      <c r="D76" s="55" t="s">
        <v>1096</v>
      </c>
      <c r="E76" s="54" t="s">
        <v>1097</v>
      </c>
      <c r="F76" s="54"/>
      <c r="G76" s="54"/>
      <c r="H76" s="54"/>
      <c r="I76" s="54"/>
      <c r="J76" s="54"/>
      <c r="K76" s="54"/>
      <c r="L76" s="54"/>
      <c r="M76" s="54"/>
      <c r="N76" s="54"/>
      <c r="O76" s="54"/>
    </row>
    <row r="77" spans="1:15" ht="15.75" x14ac:dyDescent="0.2">
      <c r="A77" s="53" t="s">
        <v>18</v>
      </c>
      <c r="B77" s="53" t="s">
        <v>1040</v>
      </c>
      <c r="C77" s="54" t="s">
        <v>1098</v>
      </c>
      <c r="D77" s="55" t="s">
        <v>1099</v>
      </c>
      <c r="E77" s="54" t="s">
        <v>1100</v>
      </c>
      <c r="F77" s="54"/>
      <c r="G77" s="54"/>
      <c r="H77" s="54"/>
      <c r="I77" s="54"/>
      <c r="J77" s="54"/>
      <c r="K77" s="54"/>
      <c r="L77" s="54"/>
      <c r="M77" s="54"/>
      <c r="N77" s="54"/>
      <c r="O77" s="54"/>
    </row>
    <row r="78" spans="1:15" ht="15.75" x14ac:dyDescent="0.2">
      <c r="A78" s="53" t="s">
        <v>18</v>
      </c>
      <c r="B78" s="53" t="s">
        <v>19</v>
      </c>
      <c r="C78" s="54" t="s">
        <v>1101</v>
      </c>
      <c r="D78" s="55" t="s">
        <v>1102</v>
      </c>
      <c r="E78" s="54" t="s">
        <v>899</v>
      </c>
      <c r="F78" s="54"/>
      <c r="G78" s="54"/>
      <c r="H78" s="54"/>
      <c r="I78" s="54"/>
      <c r="J78" s="54"/>
      <c r="K78" s="54"/>
      <c r="L78" s="54"/>
      <c r="M78" s="54"/>
      <c r="N78" s="54"/>
      <c r="O78" s="54"/>
    </row>
    <row r="79" spans="1:15" ht="45" x14ac:dyDescent="0.2">
      <c r="A79" s="53" t="s">
        <v>18</v>
      </c>
      <c r="B79" s="53" t="s">
        <v>1040</v>
      </c>
      <c r="C79" s="54" t="s">
        <v>1103</v>
      </c>
      <c r="D79" s="55" t="s">
        <v>1104</v>
      </c>
      <c r="E79" s="54" t="s">
        <v>1057</v>
      </c>
      <c r="F79" s="54"/>
      <c r="G79" s="54"/>
      <c r="H79" s="54"/>
      <c r="I79" s="54"/>
      <c r="J79" s="54"/>
      <c r="K79" s="54"/>
      <c r="L79" s="54"/>
      <c r="M79" s="54"/>
      <c r="N79" s="54"/>
      <c r="O79" s="54"/>
    </row>
    <row r="80" spans="1:15" ht="15.75" x14ac:dyDescent="0.2">
      <c r="A80" s="53" t="s">
        <v>18</v>
      </c>
      <c r="B80" s="53" t="s">
        <v>1040</v>
      </c>
      <c r="C80" s="54" t="s">
        <v>1105</v>
      </c>
      <c r="D80" s="55" t="s">
        <v>1106</v>
      </c>
      <c r="E80" s="54" t="s">
        <v>1100</v>
      </c>
      <c r="F80" s="54"/>
      <c r="G80" s="54"/>
      <c r="H80" s="54"/>
      <c r="I80" s="54"/>
      <c r="J80" s="54"/>
      <c r="K80" s="54"/>
      <c r="L80" s="54"/>
      <c r="M80" s="54"/>
      <c r="N80" s="54"/>
      <c r="O80" s="54"/>
    </row>
    <row r="81" spans="1:15" ht="15.75" x14ac:dyDescent="0.2">
      <c r="A81" s="53" t="s">
        <v>24</v>
      </c>
      <c r="B81" s="53" t="s">
        <v>1040</v>
      </c>
      <c r="C81" s="54" t="s">
        <v>1107</v>
      </c>
      <c r="D81" s="55" t="s">
        <v>1108</v>
      </c>
      <c r="E81" s="54" t="s">
        <v>899</v>
      </c>
      <c r="F81" s="54"/>
      <c r="G81" s="54"/>
      <c r="H81" s="54"/>
      <c r="I81" s="54"/>
      <c r="J81" s="54"/>
      <c r="K81" s="54"/>
      <c r="L81" s="54"/>
      <c r="M81" s="54"/>
      <c r="N81" s="54"/>
      <c r="O81" s="54"/>
    </row>
    <row r="82" spans="1:15" ht="15.75" x14ac:dyDescent="0.2">
      <c r="A82" s="53" t="s">
        <v>24</v>
      </c>
      <c r="B82" s="53" t="s">
        <v>1040</v>
      </c>
      <c r="C82" s="54" t="s">
        <v>1109</v>
      </c>
      <c r="D82" s="55" t="s">
        <v>1110</v>
      </c>
      <c r="E82" s="54" t="s">
        <v>899</v>
      </c>
      <c r="F82" s="54"/>
      <c r="G82" s="54"/>
      <c r="H82" s="54"/>
      <c r="I82" s="54"/>
      <c r="J82" s="54"/>
      <c r="K82" s="54"/>
      <c r="L82" s="54"/>
      <c r="M82" s="54"/>
      <c r="N82" s="54"/>
      <c r="O82" s="54"/>
    </row>
    <row r="83" spans="1:15" ht="30" x14ac:dyDescent="0.2">
      <c r="A83" s="53" t="s">
        <v>24</v>
      </c>
      <c r="B83" s="53" t="s">
        <v>19</v>
      </c>
      <c r="C83" s="54" t="s">
        <v>1111</v>
      </c>
      <c r="D83" s="55" t="s">
        <v>1112</v>
      </c>
      <c r="E83" s="54" t="s">
        <v>1057</v>
      </c>
      <c r="F83" s="54"/>
      <c r="G83" s="54"/>
      <c r="H83" s="54"/>
      <c r="I83" s="54"/>
      <c r="J83" s="54"/>
      <c r="K83" s="54"/>
      <c r="L83" s="54"/>
      <c r="M83" s="54"/>
      <c r="N83" s="54"/>
      <c r="O83" s="54"/>
    </row>
    <row r="84" spans="1:15" ht="15.75" x14ac:dyDescent="0.2">
      <c r="A84" s="53" t="s">
        <v>18</v>
      </c>
      <c r="B84" s="53" t="s">
        <v>1040</v>
      </c>
      <c r="C84" s="54" t="s">
        <v>1113</v>
      </c>
      <c r="D84" s="55" t="s">
        <v>1114</v>
      </c>
      <c r="E84" s="54" t="s">
        <v>1100</v>
      </c>
      <c r="F84" s="54"/>
      <c r="G84" s="54"/>
      <c r="H84" s="54"/>
      <c r="I84" s="54"/>
      <c r="J84" s="54"/>
      <c r="K84" s="54"/>
      <c r="L84" s="54"/>
      <c r="M84" s="54"/>
      <c r="N84" s="54"/>
      <c r="O84" s="54"/>
    </row>
    <row r="85" spans="1:15" ht="30" x14ac:dyDescent="0.2">
      <c r="A85" s="53" t="s">
        <v>18</v>
      </c>
      <c r="B85" s="53" t="s">
        <v>1040</v>
      </c>
      <c r="C85" s="54" t="s">
        <v>1115</v>
      </c>
      <c r="D85" s="55" t="s">
        <v>1116</v>
      </c>
      <c r="E85" s="54" t="s">
        <v>1057</v>
      </c>
      <c r="F85" s="54"/>
      <c r="G85" s="54"/>
      <c r="H85" s="54"/>
      <c r="I85" s="54"/>
      <c r="J85" s="54"/>
      <c r="K85" s="54"/>
      <c r="L85" s="54"/>
      <c r="M85" s="54"/>
      <c r="N85" s="54"/>
      <c r="O85" s="54" t="s">
        <v>1117</v>
      </c>
    </row>
    <row r="86" spans="1:15" ht="30" x14ac:dyDescent="0.2">
      <c r="A86" s="53" t="s">
        <v>18</v>
      </c>
      <c r="B86" s="53" t="s">
        <v>1040</v>
      </c>
      <c r="C86" s="54" t="s">
        <v>1118</v>
      </c>
      <c r="D86" s="55" t="s">
        <v>1119</v>
      </c>
      <c r="E86" s="54" t="s">
        <v>1100</v>
      </c>
      <c r="F86" s="54"/>
      <c r="G86" s="54"/>
      <c r="H86" s="54"/>
      <c r="I86" s="54"/>
      <c r="J86" s="54"/>
      <c r="K86" s="54"/>
      <c r="L86" s="54"/>
      <c r="M86" s="54"/>
      <c r="N86" s="54"/>
      <c r="O86" s="54"/>
    </row>
    <row r="87" spans="1:15" ht="30" x14ac:dyDescent="0.2">
      <c r="A87" s="53" t="s">
        <v>18</v>
      </c>
      <c r="B87" s="53" t="s">
        <v>1040</v>
      </c>
      <c r="C87" s="54" t="s">
        <v>1120</v>
      </c>
      <c r="D87" s="55" t="s">
        <v>1121</v>
      </c>
      <c r="E87" s="54" t="s">
        <v>1057</v>
      </c>
      <c r="F87" s="54"/>
      <c r="G87" s="54"/>
      <c r="H87" s="54"/>
      <c r="I87" s="54"/>
      <c r="J87" s="54"/>
      <c r="K87" s="54"/>
      <c r="L87" s="54"/>
      <c r="M87" s="54"/>
      <c r="N87" s="54"/>
      <c r="O87" s="54"/>
    </row>
    <row r="88" spans="1:15" ht="45" x14ac:dyDescent="0.2">
      <c r="A88" s="53" t="s">
        <v>18</v>
      </c>
      <c r="B88" s="53" t="s">
        <v>1040</v>
      </c>
      <c r="C88" s="54" t="s">
        <v>1122</v>
      </c>
      <c r="D88" s="55" t="s">
        <v>1123</v>
      </c>
      <c r="E88" s="54" t="s">
        <v>1100</v>
      </c>
      <c r="F88" s="54"/>
      <c r="G88" s="54"/>
      <c r="H88" s="54"/>
      <c r="I88" s="54"/>
      <c r="J88" s="54"/>
      <c r="K88" s="54"/>
      <c r="L88" s="54"/>
      <c r="M88" s="54"/>
      <c r="N88" s="54"/>
      <c r="O88" s="54"/>
    </row>
    <row r="89" spans="1:15" ht="30" x14ac:dyDescent="0.2">
      <c r="A89" s="53" t="s">
        <v>24</v>
      </c>
      <c r="B89" s="53" t="s">
        <v>1040</v>
      </c>
      <c r="C89" s="54" t="s">
        <v>1124</v>
      </c>
      <c r="D89" s="55" t="s">
        <v>1125</v>
      </c>
      <c r="E89" s="54" t="s">
        <v>899</v>
      </c>
      <c r="F89" s="54"/>
      <c r="G89" s="54"/>
      <c r="H89" s="54"/>
      <c r="I89" s="54"/>
      <c r="J89" s="54"/>
      <c r="K89" s="54"/>
      <c r="L89" s="54"/>
      <c r="M89" s="54"/>
      <c r="N89" s="54"/>
      <c r="O89" s="54"/>
    </row>
    <row r="90" spans="1:15" ht="30" x14ac:dyDescent="0.2">
      <c r="A90" s="53" t="s">
        <v>24</v>
      </c>
      <c r="B90" s="53" t="s">
        <v>21</v>
      </c>
      <c r="C90" s="54" t="s">
        <v>1126</v>
      </c>
      <c r="D90" s="55" t="s">
        <v>1127</v>
      </c>
      <c r="E90" s="54" t="s">
        <v>899</v>
      </c>
      <c r="F90" s="54"/>
      <c r="G90" s="54"/>
      <c r="H90" s="54"/>
      <c r="I90" s="54"/>
      <c r="J90" s="54"/>
      <c r="K90" s="54"/>
      <c r="L90" s="54"/>
      <c r="M90" s="54"/>
      <c r="N90" s="54"/>
      <c r="O90" s="54"/>
    </row>
    <row r="91" spans="1:15" ht="30" x14ac:dyDescent="0.2">
      <c r="A91" s="53" t="s">
        <v>18</v>
      </c>
      <c r="B91" s="53" t="s">
        <v>19</v>
      </c>
      <c r="C91" s="54" t="s">
        <v>1128</v>
      </c>
      <c r="D91" s="55" t="s">
        <v>1129</v>
      </c>
      <c r="E91" s="54" t="s">
        <v>920</v>
      </c>
      <c r="F91" s="54"/>
      <c r="G91" s="54"/>
      <c r="H91" s="54"/>
      <c r="I91" s="54"/>
      <c r="J91" s="54"/>
      <c r="K91" s="54"/>
      <c r="L91" s="54"/>
      <c r="M91" s="54"/>
      <c r="N91" s="54"/>
      <c r="O91" s="54"/>
    </row>
    <row r="92" spans="1:15" ht="60" x14ac:dyDescent="0.2">
      <c r="A92" s="53" t="s">
        <v>18</v>
      </c>
      <c r="B92" s="53" t="s">
        <v>15</v>
      </c>
      <c r="C92" s="54" t="s">
        <v>1130</v>
      </c>
      <c r="D92" s="55" t="s">
        <v>1131</v>
      </c>
      <c r="E92" s="54" t="s">
        <v>920</v>
      </c>
      <c r="F92" s="54"/>
      <c r="G92" s="54"/>
      <c r="H92" s="54"/>
      <c r="I92" s="54"/>
      <c r="J92" s="54"/>
      <c r="K92" s="54"/>
      <c r="L92" s="54"/>
      <c r="M92" s="54"/>
      <c r="N92" s="54"/>
      <c r="O92" s="54" t="s">
        <v>1132</v>
      </c>
    </row>
    <row r="93" spans="1:15" ht="30" x14ac:dyDescent="0.2">
      <c r="A93" s="53" t="s">
        <v>18</v>
      </c>
      <c r="B93" s="53" t="s">
        <v>20</v>
      </c>
      <c r="C93" s="54" t="s">
        <v>1133</v>
      </c>
      <c r="D93" s="55" t="s">
        <v>1134</v>
      </c>
      <c r="E93" s="54" t="s">
        <v>1087</v>
      </c>
      <c r="F93" s="54"/>
      <c r="G93" s="54"/>
      <c r="H93" s="54"/>
      <c r="I93" s="54"/>
      <c r="J93" s="54"/>
      <c r="K93" s="54"/>
      <c r="L93" s="54"/>
      <c r="M93" s="54"/>
      <c r="N93" s="54"/>
      <c r="O93" s="54"/>
    </row>
    <row r="94" spans="1:15" ht="30" x14ac:dyDescent="0.2">
      <c r="A94" s="53" t="s">
        <v>18</v>
      </c>
      <c r="B94" s="53" t="s">
        <v>15</v>
      </c>
      <c r="C94" s="54" t="s">
        <v>1135</v>
      </c>
      <c r="D94" s="55" t="s">
        <v>1136</v>
      </c>
      <c r="E94" s="54" t="s">
        <v>920</v>
      </c>
      <c r="F94" s="54"/>
      <c r="G94" s="54"/>
      <c r="H94" s="54"/>
      <c r="I94" s="54"/>
      <c r="J94" s="54"/>
      <c r="K94" s="54"/>
      <c r="L94" s="54"/>
      <c r="M94" s="54"/>
      <c r="N94" s="54"/>
      <c r="O94" s="54"/>
    </row>
    <row r="95" spans="1:15" ht="30" x14ac:dyDescent="0.2">
      <c r="A95" s="53" t="s">
        <v>24</v>
      </c>
      <c r="B95" s="53" t="s">
        <v>19</v>
      </c>
      <c r="C95" s="54" t="s">
        <v>1137</v>
      </c>
      <c r="D95" s="55" t="s">
        <v>1138</v>
      </c>
      <c r="E95" s="54" t="s">
        <v>920</v>
      </c>
      <c r="F95" s="54"/>
      <c r="G95" s="54"/>
      <c r="H95" s="54"/>
      <c r="I95" s="54"/>
      <c r="J95" s="54"/>
      <c r="K95" s="54"/>
      <c r="L95" s="54"/>
      <c r="M95" s="54"/>
      <c r="N95" s="54"/>
      <c r="O95" s="54"/>
    </row>
    <row r="96" spans="1:15" ht="45" x14ac:dyDescent="0.2">
      <c r="A96" s="53" t="s">
        <v>18</v>
      </c>
      <c r="B96" s="53" t="s">
        <v>19</v>
      </c>
      <c r="C96" s="54" t="s">
        <v>1139</v>
      </c>
      <c r="D96" s="55" t="s">
        <v>1140</v>
      </c>
      <c r="E96" s="54" t="s">
        <v>920</v>
      </c>
      <c r="F96" s="54"/>
      <c r="G96" s="54"/>
      <c r="H96" s="54"/>
      <c r="I96" s="54"/>
      <c r="J96" s="54"/>
      <c r="K96" s="54"/>
      <c r="L96" s="54"/>
      <c r="M96" s="54"/>
      <c r="N96" s="54"/>
      <c r="O96" s="54"/>
    </row>
    <row r="97" spans="1:15" ht="30" x14ac:dyDescent="0.2">
      <c r="A97" s="53" t="s">
        <v>18</v>
      </c>
      <c r="B97" s="53" t="s">
        <v>22</v>
      </c>
      <c r="C97" s="54" t="s">
        <v>1141</v>
      </c>
      <c r="D97" s="55" t="s">
        <v>1142</v>
      </c>
      <c r="E97" s="54" t="s">
        <v>1087</v>
      </c>
      <c r="F97" s="54"/>
      <c r="G97" s="54"/>
      <c r="H97" s="54"/>
      <c r="I97" s="54"/>
      <c r="J97" s="54"/>
      <c r="K97" s="54"/>
      <c r="L97" s="54"/>
      <c r="M97" s="54"/>
      <c r="N97" s="54"/>
      <c r="O97" s="54"/>
    </row>
    <row r="98" spans="1:15" ht="30" x14ac:dyDescent="0.2">
      <c r="A98" s="53" t="s">
        <v>24</v>
      </c>
      <c r="B98" s="53" t="s">
        <v>1040</v>
      </c>
      <c r="C98" s="54" t="s">
        <v>1143</v>
      </c>
      <c r="D98" s="55" t="s">
        <v>1144</v>
      </c>
      <c r="E98" s="54" t="s">
        <v>899</v>
      </c>
      <c r="F98" s="54" t="s">
        <v>1003</v>
      </c>
      <c r="G98" s="54"/>
      <c r="H98" s="54"/>
      <c r="I98" s="54"/>
      <c r="J98" s="54"/>
      <c r="K98" s="54"/>
      <c r="L98" s="54">
        <v>1</v>
      </c>
      <c r="M98" s="54"/>
      <c r="N98" s="54"/>
      <c r="O98" s="54" t="s">
        <v>1145</v>
      </c>
    </row>
    <row r="99" spans="1:15" ht="30" x14ac:dyDescent="0.2">
      <c r="A99" s="53" t="s">
        <v>18</v>
      </c>
      <c r="B99" s="53" t="s">
        <v>15</v>
      </c>
      <c r="C99" s="54" t="s">
        <v>1146</v>
      </c>
      <c r="D99" s="55" t="s">
        <v>1147</v>
      </c>
      <c r="E99" s="54" t="s">
        <v>899</v>
      </c>
      <c r="F99" s="54"/>
      <c r="G99" s="54"/>
      <c r="H99" s="54"/>
      <c r="I99" s="54"/>
      <c r="J99" s="54"/>
      <c r="K99" s="54"/>
      <c r="L99" s="54"/>
      <c r="M99" s="54"/>
      <c r="N99" s="54"/>
      <c r="O99" s="54"/>
    </row>
    <row r="100" spans="1:15" ht="45" x14ac:dyDescent="0.2">
      <c r="A100" s="53" t="s">
        <v>18</v>
      </c>
      <c r="B100" s="53" t="s">
        <v>1040</v>
      </c>
      <c r="C100" s="54" t="s">
        <v>1148</v>
      </c>
      <c r="D100" s="55" t="s">
        <v>1149</v>
      </c>
      <c r="E100" s="54" t="s">
        <v>1057</v>
      </c>
      <c r="F100" s="54"/>
      <c r="G100" s="54"/>
      <c r="H100" s="54"/>
      <c r="I100" s="54"/>
      <c r="J100" s="54"/>
      <c r="K100" s="54"/>
      <c r="L100" s="54"/>
      <c r="M100" s="54"/>
      <c r="N100" s="54"/>
      <c r="O100" s="54"/>
    </row>
    <row r="101" spans="1:15" ht="45" x14ac:dyDescent="0.2">
      <c r="A101" s="53" t="s">
        <v>18</v>
      </c>
      <c r="B101" s="53" t="s">
        <v>15</v>
      </c>
      <c r="C101" s="54" t="s">
        <v>1150</v>
      </c>
      <c r="D101" s="55" t="s">
        <v>1151</v>
      </c>
      <c r="E101" s="54" t="s">
        <v>899</v>
      </c>
      <c r="F101" s="54"/>
      <c r="G101" s="54"/>
      <c r="H101" s="54"/>
      <c r="I101" s="54"/>
      <c r="J101" s="54"/>
      <c r="K101" s="54"/>
      <c r="L101" s="54"/>
      <c r="M101" s="54"/>
      <c r="N101" s="54"/>
      <c r="O101" s="54" t="s">
        <v>1056</v>
      </c>
    </row>
    <row r="102" spans="1:15" ht="30" x14ac:dyDescent="0.2">
      <c r="A102" s="53" t="s">
        <v>24</v>
      </c>
      <c r="B102" s="53" t="s">
        <v>1040</v>
      </c>
      <c r="C102" s="54" t="s">
        <v>1152</v>
      </c>
      <c r="D102" s="55" t="s">
        <v>1153</v>
      </c>
      <c r="E102" s="54" t="s">
        <v>899</v>
      </c>
      <c r="F102" s="54"/>
      <c r="G102" s="54"/>
      <c r="H102" s="54"/>
      <c r="I102" s="54"/>
      <c r="J102" s="54"/>
      <c r="K102" s="54"/>
      <c r="L102" s="54"/>
      <c r="M102" s="54"/>
      <c r="N102" s="54"/>
      <c r="O102" s="54"/>
    </row>
    <row r="103" spans="1:15" ht="30" x14ac:dyDescent="0.2">
      <c r="A103" s="53" t="s">
        <v>18</v>
      </c>
      <c r="B103" s="53" t="s">
        <v>1040</v>
      </c>
      <c r="C103" s="54" t="s">
        <v>1154</v>
      </c>
      <c r="D103" s="55" t="s">
        <v>1155</v>
      </c>
      <c r="E103" s="54" t="s">
        <v>1057</v>
      </c>
      <c r="F103" s="54"/>
      <c r="G103" s="54"/>
      <c r="H103" s="54"/>
      <c r="I103" s="54"/>
      <c r="J103" s="54"/>
      <c r="K103" s="54"/>
      <c r="L103" s="54"/>
      <c r="M103" s="54"/>
      <c r="N103" s="54"/>
      <c r="O103" s="54"/>
    </row>
    <row r="104" spans="1:15" ht="30" x14ac:dyDescent="0.2">
      <c r="A104" s="53" t="s">
        <v>18</v>
      </c>
      <c r="B104" s="53" t="s">
        <v>1040</v>
      </c>
      <c r="C104" s="54" t="s">
        <v>1156</v>
      </c>
      <c r="D104" s="55" t="s">
        <v>1157</v>
      </c>
      <c r="E104" s="54" t="s">
        <v>1057</v>
      </c>
      <c r="F104" s="54"/>
      <c r="G104" s="54"/>
      <c r="H104" s="54"/>
      <c r="I104" s="54"/>
      <c r="J104" s="54"/>
      <c r="K104" s="54"/>
      <c r="L104" s="54"/>
      <c r="M104" s="54"/>
      <c r="N104" s="54"/>
      <c r="O104" s="54"/>
    </row>
    <row r="105" spans="1:15" ht="15.75" x14ac:dyDescent="0.2">
      <c r="A105" s="53" t="s">
        <v>18</v>
      </c>
      <c r="B105" s="53" t="s">
        <v>1040</v>
      </c>
      <c r="C105" s="54" t="s">
        <v>1158</v>
      </c>
      <c r="D105" s="55" t="s">
        <v>1159</v>
      </c>
      <c r="E105" s="54" t="s">
        <v>1097</v>
      </c>
      <c r="F105" s="54"/>
      <c r="G105" s="54"/>
      <c r="H105" s="54"/>
      <c r="I105" s="54"/>
      <c r="J105" s="54"/>
      <c r="K105" s="54"/>
      <c r="L105" s="54"/>
      <c r="M105" s="54"/>
      <c r="N105" s="54"/>
      <c r="O105" s="54"/>
    </row>
    <row r="106" spans="1:15" ht="15.75" x14ac:dyDescent="0.2">
      <c r="A106" s="53" t="s">
        <v>24</v>
      </c>
      <c r="B106" s="53" t="s">
        <v>1040</v>
      </c>
      <c r="C106" s="54" t="s">
        <v>1160</v>
      </c>
      <c r="D106" s="55" t="s">
        <v>1161</v>
      </c>
      <c r="E106" s="54" t="s">
        <v>899</v>
      </c>
      <c r="F106" s="54"/>
      <c r="G106" s="54"/>
      <c r="H106" s="54"/>
      <c r="I106" s="54"/>
      <c r="J106" s="54"/>
      <c r="K106" s="54"/>
      <c r="L106" s="54"/>
      <c r="M106" s="54"/>
      <c r="N106" s="54"/>
      <c r="O106" s="54"/>
    </row>
    <row r="107" spans="1:15" ht="15.75" x14ac:dyDescent="0.2">
      <c r="A107" s="53" t="s">
        <v>24</v>
      </c>
      <c r="B107" s="53" t="s">
        <v>21</v>
      </c>
      <c r="C107" s="54" t="s">
        <v>1162</v>
      </c>
      <c r="D107" s="55" t="s">
        <v>1163</v>
      </c>
      <c r="E107" s="54" t="s">
        <v>899</v>
      </c>
      <c r="F107" s="54"/>
      <c r="G107" s="54"/>
      <c r="H107" s="54"/>
      <c r="I107" s="54"/>
      <c r="J107" s="54"/>
      <c r="K107" s="54"/>
      <c r="L107" s="54"/>
      <c r="M107" s="54"/>
      <c r="N107" s="54"/>
      <c r="O107" s="54"/>
    </row>
    <row r="108" spans="1:15" ht="30" x14ac:dyDescent="0.2">
      <c r="A108" s="53" t="s">
        <v>18</v>
      </c>
      <c r="B108" s="53" t="s">
        <v>1040</v>
      </c>
      <c r="C108" s="54" t="s">
        <v>1164</v>
      </c>
      <c r="D108" s="55" t="s">
        <v>1165</v>
      </c>
      <c r="E108" s="54" t="s">
        <v>1057</v>
      </c>
      <c r="F108" s="54"/>
      <c r="G108" s="54"/>
      <c r="H108" s="54"/>
      <c r="I108" s="54"/>
      <c r="J108" s="54"/>
      <c r="K108" s="54"/>
      <c r="L108" s="54"/>
      <c r="M108" s="54"/>
      <c r="N108" s="54"/>
      <c r="O108" s="54"/>
    </row>
    <row r="109" spans="1:15" ht="30" x14ac:dyDescent="0.2">
      <c r="A109" s="53" t="s">
        <v>18</v>
      </c>
      <c r="B109" s="53" t="s">
        <v>1040</v>
      </c>
      <c r="C109" s="54" t="s">
        <v>1166</v>
      </c>
      <c r="D109" s="55" t="s">
        <v>1167</v>
      </c>
      <c r="E109" s="54" t="s">
        <v>1057</v>
      </c>
      <c r="F109" s="54"/>
      <c r="G109" s="54"/>
      <c r="H109" s="54"/>
      <c r="I109" s="54"/>
      <c r="J109" s="54"/>
      <c r="K109" s="54"/>
      <c r="L109" s="54"/>
      <c r="M109" s="54"/>
      <c r="N109" s="54"/>
      <c r="O109" s="54"/>
    </row>
    <row r="110" spans="1:15" ht="15.75" x14ac:dyDescent="0.2">
      <c r="A110" s="53" t="s">
        <v>24</v>
      </c>
      <c r="B110" s="53" t="s">
        <v>21</v>
      </c>
      <c r="C110" s="54" t="s">
        <v>1168</v>
      </c>
      <c r="D110" s="55" t="s">
        <v>1169</v>
      </c>
      <c r="E110" s="54" t="s">
        <v>899</v>
      </c>
      <c r="F110" s="54"/>
      <c r="G110" s="54"/>
      <c r="H110" s="54"/>
      <c r="I110" s="54"/>
      <c r="J110" s="54"/>
      <c r="K110" s="54"/>
      <c r="L110" s="54"/>
      <c r="M110" s="54"/>
      <c r="N110" s="54"/>
      <c r="O110" s="54"/>
    </row>
    <row r="111" spans="1:15" ht="30" x14ac:dyDescent="0.2">
      <c r="A111" s="53" t="s">
        <v>18</v>
      </c>
      <c r="B111" s="53" t="s">
        <v>15</v>
      </c>
      <c r="C111" s="54" t="s">
        <v>1170</v>
      </c>
      <c r="D111" s="55" t="s">
        <v>1171</v>
      </c>
      <c r="E111" s="54" t="s">
        <v>899</v>
      </c>
      <c r="F111" s="54"/>
      <c r="G111" s="54"/>
      <c r="H111" s="54"/>
      <c r="I111" s="54"/>
      <c r="J111" s="54"/>
      <c r="K111" s="54"/>
      <c r="L111" s="54"/>
      <c r="M111" s="54"/>
      <c r="N111" s="54"/>
      <c r="O111" s="54"/>
    </row>
    <row r="112" spans="1:15" ht="30" x14ac:dyDescent="0.2">
      <c r="A112" s="53" t="s">
        <v>18</v>
      </c>
      <c r="B112" s="53" t="s">
        <v>1040</v>
      </c>
      <c r="C112" s="54" t="s">
        <v>1172</v>
      </c>
      <c r="D112" s="55" t="s">
        <v>1173</v>
      </c>
      <c r="E112" s="54" t="s">
        <v>1097</v>
      </c>
      <c r="F112" s="54"/>
      <c r="G112" s="54"/>
      <c r="H112" s="54"/>
      <c r="I112" s="54"/>
      <c r="J112" s="54"/>
      <c r="K112" s="54"/>
      <c r="L112" s="54"/>
      <c r="M112" s="54"/>
      <c r="N112" s="54"/>
      <c r="O112" s="54"/>
    </row>
    <row r="113" spans="1:15" ht="15.75" x14ac:dyDescent="0.2">
      <c r="A113" s="53" t="s">
        <v>18</v>
      </c>
      <c r="B113" s="53" t="s">
        <v>1040</v>
      </c>
      <c r="C113" s="54" t="s">
        <v>1174</v>
      </c>
      <c r="D113" s="55" t="s">
        <v>1175</v>
      </c>
      <c r="E113" s="54" t="s">
        <v>1100</v>
      </c>
      <c r="F113" s="54"/>
      <c r="G113" s="54"/>
      <c r="H113" s="54"/>
      <c r="I113" s="54"/>
      <c r="J113" s="54"/>
      <c r="K113" s="54"/>
      <c r="L113" s="54"/>
      <c r="M113" s="54"/>
      <c r="N113" s="54"/>
      <c r="O113" s="54" t="s">
        <v>1176</v>
      </c>
    </row>
    <row r="114" spans="1:15" ht="30" x14ac:dyDescent="0.2">
      <c r="A114" s="53" t="s">
        <v>24</v>
      </c>
      <c r="B114" s="53" t="s">
        <v>19</v>
      </c>
      <c r="C114" s="54" t="s">
        <v>1177</v>
      </c>
      <c r="D114" s="55" t="s">
        <v>1178</v>
      </c>
      <c r="E114" s="54" t="s">
        <v>920</v>
      </c>
      <c r="F114" s="54"/>
      <c r="G114" s="54"/>
      <c r="H114" s="54"/>
      <c r="I114" s="54"/>
      <c r="J114" s="54"/>
      <c r="K114" s="54"/>
      <c r="L114" s="54"/>
      <c r="M114" s="54"/>
      <c r="N114" s="54"/>
      <c r="O114" s="54"/>
    </row>
    <row r="115" spans="1:15" ht="45" x14ac:dyDescent="0.2">
      <c r="A115" s="53" t="s">
        <v>18</v>
      </c>
      <c r="B115" s="53" t="s">
        <v>19</v>
      </c>
      <c r="C115" s="54" t="s">
        <v>1179</v>
      </c>
      <c r="D115" s="55" t="s">
        <v>1180</v>
      </c>
      <c r="E115" s="54" t="s">
        <v>920</v>
      </c>
      <c r="F115" s="54"/>
      <c r="G115" s="54"/>
      <c r="H115" s="54"/>
      <c r="I115" s="54"/>
      <c r="J115" s="54"/>
      <c r="K115" s="54"/>
      <c r="L115" s="54"/>
      <c r="M115" s="54"/>
      <c r="N115" s="54"/>
      <c r="O115" s="54" t="s">
        <v>1181</v>
      </c>
    </row>
    <row r="116" spans="1:15" ht="30" x14ac:dyDescent="0.2">
      <c r="A116" s="53" t="s">
        <v>24</v>
      </c>
      <c r="B116" s="53" t="s">
        <v>1040</v>
      </c>
      <c r="C116" s="54" t="s">
        <v>1182</v>
      </c>
      <c r="D116" s="55" t="s">
        <v>1183</v>
      </c>
      <c r="E116" s="54" t="s">
        <v>920</v>
      </c>
      <c r="F116" s="54"/>
      <c r="G116" s="54"/>
      <c r="H116" s="54"/>
      <c r="I116" s="54"/>
      <c r="J116" s="54"/>
      <c r="K116" s="54"/>
      <c r="L116" s="54"/>
      <c r="M116" s="54"/>
      <c r="N116" s="54"/>
      <c r="O116" s="54"/>
    </row>
    <row r="117" spans="1:15" ht="30" x14ac:dyDescent="0.2">
      <c r="A117" s="53" t="s">
        <v>24</v>
      </c>
      <c r="B117" s="53" t="s">
        <v>19</v>
      </c>
      <c r="C117" s="54" t="s">
        <v>1184</v>
      </c>
      <c r="D117" s="55" t="s">
        <v>1185</v>
      </c>
      <c r="E117" s="54" t="s">
        <v>920</v>
      </c>
      <c r="F117" s="54"/>
      <c r="G117" s="54"/>
      <c r="H117" s="54"/>
      <c r="I117" s="54"/>
      <c r="J117" s="54"/>
      <c r="K117" s="54"/>
      <c r="L117" s="54"/>
      <c r="M117" s="54"/>
      <c r="N117" s="54"/>
      <c r="O117" s="54"/>
    </row>
    <row r="118" spans="1:15" ht="45" x14ac:dyDescent="0.2">
      <c r="A118" s="53" t="s">
        <v>18</v>
      </c>
      <c r="B118" s="53" t="s">
        <v>1040</v>
      </c>
      <c r="C118" s="54" t="s">
        <v>1186</v>
      </c>
      <c r="D118" s="55" t="s">
        <v>1187</v>
      </c>
      <c r="E118" s="54" t="s">
        <v>1087</v>
      </c>
      <c r="F118" s="54"/>
      <c r="G118" s="54"/>
      <c r="H118" s="54"/>
      <c r="I118" s="54"/>
      <c r="J118" s="54"/>
      <c r="K118" s="54"/>
      <c r="L118" s="54"/>
      <c r="M118" s="54"/>
      <c r="N118" s="54"/>
      <c r="O118" s="54" t="s">
        <v>1188</v>
      </c>
    </row>
    <row r="119" spans="1:15" ht="15.75" x14ac:dyDescent="0.2">
      <c r="A119" s="53" t="s">
        <v>24</v>
      </c>
      <c r="B119" s="53" t="s">
        <v>19</v>
      </c>
      <c r="C119" s="54" t="s">
        <v>1189</v>
      </c>
      <c r="D119" s="55" t="s">
        <v>1190</v>
      </c>
      <c r="E119" s="54" t="s">
        <v>920</v>
      </c>
      <c r="F119" s="54"/>
      <c r="G119" s="54"/>
      <c r="H119" s="54"/>
      <c r="I119" s="54"/>
      <c r="J119" s="54"/>
      <c r="K119" s="54"/>
      <c r="L119" s="54"/>
      <c r="M119" s="54"/>
      <c r="N119" s="54"/>
      <c r="O119" s="54"/>
    </row>
    <row r="120" spans="1:15" ht="15.75" x14ac:dyDescent="0.2">
      <c r="A120" s="53" t="s">
        <v>24</v>
      </c>
      <c r="B120" s="53" t="s">
        <v>19</v>
      </c>
      <c r="C120" s="54" t="s">
        <v>1191</v>
      </c>
      <c r="D120" s="55" t="s">
        <v>1192</v>
      </c>
      <c r="E120" s="54" t="s">
        <v>920</v>
      </c>
      <c r="F120" s="54"/>
      <c r="G120" s="54"/>
      <c r="H120" s="54"/>
      <c r="I120" s="54"/>
      <c r="J120" s="54"/>
      <c r="K120" s="54"/>
      <c r="L120" s="54"/>
      <c r="M120" s="54"/>
      <c r="N120" s="54"/>
      <c r="O120" s="54"/>
    </row>
    <row r="121" spans="1:15" ht="45" x14ac:dyDescent="0.2">
      <c r="A121" s="53" t="s">
        <v>18</v>
      </c>
      <c r="B121" s="53" t="s">
        <v>15</v>
      </c>
      <c r="C121" s="54" t="s">
        <v>1193</v>
      </c>
      <c r="D121" s="55" t="s">
        <v>1194</v>
      </c>
      <c r="E121" s="54" t="s">
        <v>920</v>
      </c>
      <c r="F121" s="54"/>
      <c r="G121" s="54"/>
      <c r="H121" s="54"/>
      <c r="I121" s="54"/>
      <c r="J121" s="54"/>
      <c r="K121" s="54"/>
      <c r="L121" s="54"/>
      <c r="M121" s="54"/>
      <c r="N121" s="54"/>
      <c r="O121" s="54" t="s">
        <v>1187</v>
      </c>
    </row>
    <row r="122" spans="1:15" ht="30" x14ac:dyDescent="0.2">
      <c r="A122" s="53" t="s">
        <v>24</v>
      </c>
      <c r="B122" s="53" t="s">
        <v>19</v>
      </c>
      <c r="C122" s="54" t="s">
        <v>1195</v>
      </c>
      <c r="D122" s="55" t="s">
        <v>1196</v>
      </c>
      <c r="E122" s="54" t="s">
        <v>920</v>
      </c>
      <c r="F122" s="54"/>
      <c r="G122" s="54"/>
      <c r="H122" s="54"/>
      <c r="I122" s="54"/>
      <c r="J122" s="54"/>
      <c r="K122" s="54"/>
      <c r="L122" s="54"/>
      <c r="M122" s="54"/>
      <c r="N122" s="54"/>
      <c r="O122" s="54"/>
    </row>
    <row r="123" spans="1:15" ht="30" x14ac:dyDescent="0.2">
      <c r="A123" s="53" t="s">
        <v>24</v>
      </c>
      <c r="B123" s="53" t="s">
        <v>20</v>
      </c>
      <c r="C123" s="54" t="s">
        <v>1197</v>
      </c>
      <c r="D123" s="55" t="s">
        <v>1198</v>
      </c>
      <c r="E123" s="54" t="s">
        <v>899</v>
      </c>
      <c r="F123" s="54"/>
      <c r="G123" s="54"/>
      <c r="H123" s="54"/>
      <c r="I123" s="54"/>
      <c r="J123" s="54"/>
      <c r="K123" s="54"/>
      <c r="L123" s="54"/>
      <c r="M123" s="54"/>
      <c r="N123" s="54"/>
      <c r="O123" s="54"/>
    </row>
    <row r="124" spans="1:15" ht="30" x14ac:dyDescent="0.2">
      <c r="A124" s="53" t="s">
        <v>24</v>
      </c>
      <c r="B124" s="53" t="s">
        <v>1040</v>
      </c>
      <c r="C124" s="54" t="s">
        <v>1199</v>
      </c>
      <c r="D124" s="55" t="s">
        <v>1200</v>
      </c>
      <c r="E124" s="54" t="s">
        <v>1201</v>
      </c>
      <c r="F124" s="54"/>
      <c r="G124" s="54"/>
      <c r="H124" s="54"/>
      <c r="I124" s="54"/>
      <c r="J124" s="54"/>
      <c r="K124" s="54"/>
      <c r="L124" s="54"/>
      <c r="M124" s="54"/>
      <c r="N124" s="54"/>
      <c r="O124" s="54"/>
    </row>
    <row r="125" spans="1:15" ht="30" x14ac:dyDescent="0.2">
      <c r="A125" s="53" t="s">
        <v>24</v>
      </c>
      <c r="B125" s="53" t="s">
        <v>19</v>
      </c>
      <c r="C125" s="54" t="s">
        <v>1202</v>
      </c>
      <c r="D125" s="55" t="s">
        <v>1203</v>
      </c>
      <c r="E125" s="54" t="s">
        <v>920</v>
      </c>
      <c r="F125" s="54"/>
      <c r="G125" s="54"/>
      <c r="H125" s="54"/>
      <c r="I125" s="54"/>
      <c r="J125" s="54"/>
      <c r="K125" s="54"/>
      <c r="L125" s="54"/>
      <c r="M125" s="54"/>
      <c r="N125" s="54"/>
      <c r="O125" s="54"/>
    </row>
    <row r="126" spans="1:15" ht="30" x14ac:dyDescent="0.2">
      <c r="A126" s="53" t="s">
        <v>24</v>
      </c>
      <c r="B126" s="53" t="s">
        <v>19</v>
      </c>
      <c r="C126" s="54" t="s">
        <v>1204</v>
      </c>
      <c r="D126" s="55" t="s">
        <v>1205</v>
      </c>
      <c r="E126" s="54" t="s">
        <v>899</v>
      </c>
      <c r="F126" s="54"/>
      <c r="G126" s="54"/>
      <c r="H126" s="54"/>
      <c r="I126" s="54"/>
      <c r="J126" s="54"/>
      <c r="K126" s="54"/>
      <c r="L126" s="54"/>
      <c r="M126" s="54"/>
      <c r="N126" s="54"/>
      <c r="O126" s="54"/>
    </row>
    <row r="127" spans="1:15" ht="30" x14ac:dyDescent="0.2">
      <c r="A127" s="53" t="s">
        <v>18</v>
      </c>
      <c r="B127" s="53" t="s">
        <v>1040</v>
      </c>
      <c r="C127" s="54" t="s">
        <v>1206</v>
      </c>
      <c r="D127" s="55" t="s">
        <v>1207</v>
      </c>
      <c r="E127" s="54" t="s">
        <v>1100</v>
      </c>
      <c r="F127" s="54"/>
      <c r="G127" s="54"/>
      <c r="H127" s="54"/>
      <c r="I127" s="54"/>
      <c r="J127" s="54"/>
      <c r="K127" s="54"/>
      <c r="L127" s="54"/>
      <c r="M127" s="54"/>
      <c r="N127" s="54"/>
      <c r="O127" s="54"/>
    </row>
    <row r="128" spans="1:15" ht="30" x14ac:dyDescent="0.2">
      <c r="A128" s="53" t="s">
        <v>24</v>
      </c>
      <c r="B128" s="53" t="s">
        <v>21</v>
      </c>
      <c r="C128" s="54" t="s">
        <v>1208</v>
      </c>
      <c r="D128" s="55" t="s">
        <v>1209</v>
      </c>
      <c r="E128" s="54" t="s">
        <v>899</v>
      </c>
      <c r="F128" s="54"/>
      <c r="G128" s="54"/>
      <c r="H128" s="54"/>
      <c r="I128" s="54"/>
      <c r="J128" s="54"/>
      <c r="K128" s="54"/>
      <c r="L128" s="54"/>
      <c r="M128" s="54"/>
      <c r="N128" s="54"/>
      <c r="O128" s="54"/>
    </row>
    <row r="129" spans="1:15" ht="30" x14ac:dyDescent="0.2">
      <c r="A129" s="53" t="s">
        <v>18</v>
      </c>
      <c r="B129" s="53" t="s">
        <v>15</v>
      </c>
      <c r="C129" s="54" t="s">
        <v>1210</v>
      </c>
      <c r="D129" s="55" t="s">
        <v>1211</v>
      </c>
      <c r="E129" s="54" t="s">
        <v>899</v>
      </c>
      <c r="F129" s="54"/>
      <c r="G129" s="54"/>
      <c r="H129" s="54"/>
      <c r="I129" s="54"/>
      <c r="J129" s="54"/>
      <c r="K129" s="54"/>
      <c r="L129" s="54"/>
      <c r="M129" s="54"/>
      <c r="N129" s="54"/>
      <c r="O129" s="54"/>
    </row>
    <row r="130" spans="1:15" ht="30" x14ac:dyDescent="0.2">
      <c r="A130" s="53" t="s">
        <v>18</v>
      </c>
      <c r="B130" s="53" t="s">
        <v>15</v>
      </c>
      <c r="C130" s="54" t="s">
        <v>1212</v>
      </c>
      <c r="D130" s="55" t="s">
        <v>1213</v>
      </c>
      <c r="E130" s="54" t="s">
        <v>899</v>
      </c>
      <c r="F130" s="54"/>
      <c r="G130" s="54"/>
      <c r="H130" s="54"/>
      <c r="I130" s="54"/>
      <c r="J130" s="54"/>
      <c r="K130" s="54"/>
      <c r="L130" s="54"/>
      <c r="M130" s="54"/>
      <c r="N130" s="54"/>
      <c r="O130" s="54"/>
    </row>
    <row r="131" spans="1:15" ht="45" x14ac:dyDescent="0.2">
      <c r="A131" s="53" t="s">
        <v>18</v>
      </c>
      <c r="B131" s="53" t="s">
        <v>15</v>
      </c>
      <c r="C131" s="54" t="s">
        <v>1214</v>
      </c>
      <c r="D131" s="55" t="s">
        <v>1215</v>
      </c>
      <c r="E131" s="54" t="s">
        <v>899</v>
      </c>
      <c r="F131" s="54"/>
      <c r="G131" s="54"/>
      <c r="H131" s="54"/>
      <c r="I131" s="54"/>
      <c r="J131" s="54"/>
      <c r="K131" s="54"/>
      <c r="L131" s="54"/>
      <c r="M131" s="54"/>
      <c r="N131" s="54"/>
      <c r="O131" s="54"/>
    </row>
    <row r="132" spans="1:15" ht="15.75" x14ac:dyDescent="0.2">
      <c r="A132" s="53" t="s">
        <v>18</v>
      </c>
      <c r="B132" s="53" t="s">
        <v>1040</v>
      </c>
      <c r="C132" s="54" t="s">
        <v>1216</v>
      </c>
      <c r="D132" s="55" t="s">
        <v>1217</v>
      </c>
      <c r="E132" s="54" t="s">
        <v>1100</v>
      </c>
      <c r="F132" s="54"/>
      <c r="G132" s="54"/>
      <c r="H132" s="54"/>
      <c r="I132" s="54"/>
      <c r="J132" s="54"/>
      <c r="K132" s="54"/>
      <c r="L132" s="54"/>
      <c r="M132" s="54"/>
      <c r="N132" s="54"/>
      <c r="O132" s="54"/>
    </row>
    <row r="133" spans="1:15" ht="30" x14ac:dyDescent="0.2">
      <c r="A133" s="53" t="s">
        <v>18</v>
      </c>
      <c r="B133" s="53" t="s">
        <v>1040</v>
      </c>
      <c r="C133" s="54" t="s">
        <v>1218</v>
      </c>
      <c r="D133" s="55" t="s">
        <v>1219</v>
      </c>
      <c r="E133" s="54" t="s">
        <v>1057</v>
      </c>
      <c r="F133" s="54"/>
      <c r="G133" s="54"/>
      <c r="H133" s="54"/>
      <c r="I133" s="54"/>
      <c r="J133" s="54"/>
      <c r="K133" s="54"/>
      <c r="L133" s="54"/>
      <c r="M133" s="54"/>
      <c r="N133" s="54"/>
      <c r="O133" s="54"/>
    </row>
    <row r="134" spans="1:15" ht="30" x14ac:dyDescent="0.2">
      <c r="A134" s="53" t="s">
        <v>18</v>
      </c>
      <c r="B134" s="53" t="s">
        <v>1220</v>
      </c>
      <c r="C134" s="54" t="s">
        <v>1221</v>
      </c>
      <c r="D134" s="55" t="s">
        <v>1222</v>
      </c>
      <c r="E134" s="54" t="s">
        <v>899</v>
      </c>
      <c r="F134" s="54"/>
      <c r="G134" s="54"/>
      <c r="H134" s="54"/>
      <c r="I134" s="54"/>
      <c r="J134" s="54"/>
      <c r="K134" s="54"/>
      <c r="L134" s="54"/>
      <c r="M134" s="54"/>
      <c r="N134" s="54"/>
      <c r="O134" s="54"/>
    </row>
    <row r="135" spans="1:15" ht="30" x14ac:dyDescent="0.2">
      <c r="A135" s="53" t="s">
        <v>24</v>
      </c>
      <c r="B135" s="53" t="s">
        <v>1040</v>
      </c>
      <c r="C135" s="54" t="s">
        <v>1223</v>
      </c>
      <c r="D135" s="55" t="s">
        <v>1224</v>
      </c>
      <c r="E135" s="54" t="s">
        <v>899</v>
      </c>
      <c r="F135" s="54"/>
      <c r="G135" s="54"/>
      <c r="H135" s="54"/>
      <c r="I135" s="54"/>
      <c r="J135" s="54"/>
      <c r="K135" s="54"/>
      <c r="L135" s="54"/>
      <c r="M135" s="54"/>
      <c r="N135" s="54"/>
      <c r="O135" s="54"/>
    </row>
    <row r="136" spans="1:15" ht="30" x14ac:dyDescent="0.2">
      <c r="A136" s="53" t="s">
        <v>18</v>
      </c>
      <c r="B136" s="53" t="s">
        <v>1040</v>
      </c>
      <c r="C136" s="54" t="s">
        <v>1225</v>
      </c>
      <c r="D136" s="55" t="s">
        <v>1226</v>
      </c>
      <c r="E136" s="54" t="s">
        <v>1057</v>
      </c>
      <c r="F136" s="54"/>
      <c r="G136" s="54"/>
      <c r="H136" s="54"/>
      <c r="I136" s="54"/>
      <c r="J136" s="54"/>
      <c r="K136" s="54"/>
      <c r="L136" s="54"/>
      <c r="M136" s="54"/>
      <c r="N136" s="54"/>
      <c r="O136" s="54"/>
    </row>
    <row r="137" spans="1:15" ht="75" x14ac:dyDescent="0.2">
      <c r="A137" s="53" t="s">
        <v>18</v>
      </c>
      <c r="B137" s="53" t="s">
        <v>19</v>
      </c>
      <c r="C137" s="54" t="s">
        <v>1227</v>
      </c>
      <c r="D137" s="55" t="s">
        <v>1228</v>
      </c>
      <c r="E137" s="54" t="s">
        <v>920</v>
      </c>
      <c r="F137" s="54"/>
      <c r="G137" s="54"/>
      <c r="H137" s="54"/>
      <c r="I137" s="54"/>
      <c r="J137" s="54"/>
      <c r="K137" s="54"/>
      <c r="L137" s="54"/>
      <c r="M137" s="54"/>
      <c r="N137" s="54"/>
      <c r="O137" s="54" t="s">
        <v>1229</v>
      </c>
    </row>
    <row r="138" spans="1:15" ht="30" x14ac:dyDescent="0.2">
      <c r="A138" s="53" t="s">
        <v>18</v>
      </c>
      <c r="B138" s="53" t="s">
        <v>22</v>
      </c>
      <c r="C138" s="54" t="s">
        <v>1230</v>
      </c>
      <c r="D138" s="55" t="s">
        <v>1231</v>
      </c>
      <c r="E138" s="54" t="s">
        <v>1087</v>
      </c>
      <c r="F138" s="54"/>
      <c r="G138" s="54"/>
      <c r="H138" s="54"/>
      <c r="I138" s="54"/>
      <c r="J138" s="54"/>
      <c r="K138" s="54"/>
      <c r="L138" s="54"/>
      <c r="M138" s="54"/>
      <c r="N138" s="54"/>
      <c r="O138" s="54"/>
    </row>
    <row r="139" spans="1:15" ht="45" x14ac:dyDescent="0.2">
      <c r="A139" s="53" t="s">
        <v>18</v>
      </c>
      <c r="B139" s="53" t="s">
        <v>22</v>
      </c>
      <c r="C139" s="54" t="s">
        <v>1232</v>
      </c>
      <c r="D139" s="55" t="s">
        <v>1233</v>
      </c>
      <c r="E139" s="54" t="s">
        <v>1087</v>
      </c>
      <c r="F139" s="54"/>
      <c r="G139" s="54"/>
      <c r="H139" s="54"/>
      <c r="I139" s="54"/>
      <c r="J139" s="54"/>
      <c r="K139" s="54"/>
      <c r="L139" s="54"/>
      <c r="M139" s="54"/>
      <c r="N139" s="54"/>
      <c r="O139" s="54"/>
    </row>
    <row r="140" spans="1:15" ht="45" x14ac:dyDescent="0.2">
      <c r="A140" s="53" t="s">
        <v>18</v>
      </c>
      <c r="B140" s="53" t="s">
        <v>22</v>
      </c>
      <c r="C140" s="54" t="s">
        <v>1234</v>
      </c>
      <c r="D140" s="55" t="s">
        <v>1235</v>
      </c>
      <c r="E140" s="54" t="s">
        <v>1087</v>
      </c>
      <c r="F140" s="54"/>
      <c r="G140" s="54"/>
      <c r="H140" s="54"/>
      <c r="I140" s="54"/>
      <c r="J140" s="54"/>
      <c r="K140" s="54"/>
      <c r="L140" s="54"/>
      <c r="M140" s="54"/>
      <c r="N140" s="54"/>
      <c r="O140" s="54"/>
    </row>
    <row r="141" spans="1:15" ht="30" x14ac:dyDescent="0.2">
      <c r="A141" s="53" t="s">
        <v>18</v>
      </c>
      <c r="B141" s="53" t="s">
        <v>20</v>
      </c>
      <c r="C141" s="54" t="s">
        <v>1236</v>
      </c>
      <c r="D141" s="55" t="s">
        <v>1237</v>
      </c>
      <c r="E141" s="54" t="s">
        <v>1087</v>
      </c>
      <c r="F141" s="54"/>
      <c r="G141" s="54"/>
      <c r="H141" s="54"/>
      <c r="I141" s="54"/>
      <c r="J141" s="54"/>
      <c r="K141" s="54"/>
      <c r="L141" s="54"/>
      <c r="M141" s="54"/>
      <c r="N141" s="54"/>
      <c r="O141" s="54"/>
    </row>
    <row r="142" spans="1:15" ht="45" x14ac:dyDescent="0.2">
      <c r="A142" s="53" t="s">
        <v>18</v>
      </c>
      <c r="B142" s="53" t="s">
        <v>20</v>
      </c>
      <c r="C142" s="54" t="s">
        <v>1238</v>
      </c>
      <c r="D142" s="55" t="s">
        <v>1239</v>
      </c>
      <c r="E142" s="54" t="s">
        <v>1087</v>
      </c>
      <c r="F142" s="54"/>
      <c r="G142" s="54"/>
      <c r="H142" s="54"/>
      <c r="I142" s="54"/>
      <c r="J142" s="54"/>
      <c r="K142" s="54"/>
      <c r="L142" s="54"/>
      <c r="M142" s="54"/>
      <c r="N142" s="54"/>
      <c r="O142" s="54" t="s">
        <v>1240</v>
      </c>
    </row>
    <row r="143" spans="1:15" ht="15.75" x14ac:dyDescent="0.2">
      <c r="A143" s="53" t="s">
        <v>24</v>
      </c>
      <c r="B143" s="53" t="s">
        <v>19</v>
      </c>
      <c r="C143" s="54" t="s">
        <v>1241</v>
      </c>
      <c r="D143" s="55" t="s">
        <v>1242</v>
      </c>
      <c r="E143" s="54" t="s">
        <v>899</v>
      </c>
      <c r="F143" s="54"/>
      <c r="G143" s="54"/>
      <c r="H143" s="54"/>
      <c r="I143" s="54"/>
      <c r="J143" s="54"/>
      <c r="K143" s="54"/>
      <c r="L143" s="54"/>
      <c r="M143" s="54"/>
      <c r="N143" s="54"/>
      <c r="O143" s="54"/>
    </row>
    <row r="144" spans="1:15" ht="15.75" x14ac:dyDescent="0.2">
      <c r="A144" s="53" t="s">
        <v>18</v>
      </c>
      <c r="B144" s="53" t="s">
        <v>19</v>
      </c>
      <c r="C144" s="54" t="s">
        <v>1243</v>
      </c>
      <c r="D144" s="55" t="s">
        <v>1244</v>
      </c>
      <c r="E144" s="54" t="s">
        <v>899</v>
      </c>
      <c r="F144" s="54"/>
      <c r="G144" s="54"/>
      <c r="H144" s="54"/>
      <c r="I144" s="54"/>
      <c r="J144" s="54"/>
      <c r="K144" s="54"/>
      <c r="L144" s="54"/>
      <c r="M144" s="54"/>
      <c r="N144" s="54"/>
      <c r="O144" s="54"/>
    </row>
    <row r="145" spans="1:15" ht="15.75" x14ac:dyDescent="0.2">
      <c r="A145" s="53" t="s">
        <v>24</v>
      </c>
      <c r="B145" s="53" t="s">
        <v>21</v>
      </c>
      <c r="C145" s="54" t="s">
        <v>1245</v>
      </c>
      <c r="D145" s="55" t="s">
        <v>1246</v>
      </c>
      <c r="E145" s="54" t="s">
        <v>899</v>
      </c>
      <c r="F145" s="54"/>
      <c r="G145" s="54"/>
      <c r="H145" s="54"/>
      <c r="I145" s="54"/>
      <c r="J145" s="54"/>
      <c r="K145" s="54"/>
      <c r="L145" s="54"/>
      <c r="M145" s="54"/>
      <c r="N145" s="54"/>
      <c r="O145" s="54"/>
    </row>
    <row r="146" spans="1:15" ht="15.75" x14ac:dyDescent="0.2">
      <c r="A146" s="53" t="s">
        <v>24</v>
      </c>
      <c r="B146" s="53" t="s">
        <v>21</v>
      </c>
      <c r="C146" s="54" t="s">
        <v>1247</v>
      </c>
      <c r="D146" s="55" t="s">
        <v>1248</v>
      </c>
      <c r="E146" s="54" t="s">
        <v>899</v>
      </c>
      <c r="F146" s="54"/>
      <c r="G146" s="54"/>
      <c r="H146" s="54"/>
      <c r="I146" s="54"/>
      <c r="J146" s="54"/>
      <c r="K146" s="54"/>
      <c r="L146" s="54"/>
      <c r="M146" s="54"/>
      <c r="N146" s="54"/>
      <c r="O146" s="54"/>
    </row>
    <row r="147" spans="1:15" ht="15.75" x14ac:dyDescent="0.2">
      <c r="A147" s="53" t="s">
        <v>24</v>
      </c>
      <c r="B147" s="53" t="s">
        <v>21</v>
      </c>
      <c r="C147" s="54" t="s">
        <v>1249</v>
      </c>
      <c r="D147" s="55" t="s">
        <v>1250</v>
      </c>
      <c r="E147" s="54" t="s">
        <v>899</v>
      </c>
      <c r="F147" s="54"/>
      <c r="G147" s="54"/>
      <c r="H147" s="54"/>
      <c r="I147" s="54"/>
      <c r="J147" s="54"/>
      <c r="K147" s="54"/>
      <c r="L147" s="54"/>
      <c r="M147" s="54"/>
      <c r="N147" s="54"/>
      <c r="O147" s="54"/>
    </row>
    <row r="148" spans="1:15" ht="45" x14ac:dyDescent="0.2">
      <c r="A148" s="53" t="s">
        <v>24</v>
      </c>
      <c r="B148" s="53" t="s">
        <v>20</v>
      </c>
      <c r="C148" s="54" t="s">
        <v>1251</v>
      </c>
      <c r="D148" s="55" t="s">
        <v>1252</v>
      </c>
      <c r="E148" s="54" t="s">
        <v>1253</v>
      </c>
      <c r="F148" s="54"/>
      <c r="G148" s="54"/>
      <c r="H148" s="54"/>
      <c r="I148" s="54"/>
      <c r="J148" s="54"/>
      <c r="K148" s="54"/>
      <c r="L148" s="54"/>
      <c r="M148" s="54"/>
      <c r="N148" s="54"/>
      <c r="O148" s="54" t="s">
        <v>1254</v>
      </c>
    </row>
    <row r="149" spans="1:15" ht="75" x14ac:dyDescent="0.2">
      <c r="A149" s="53" t="s">
        <v>24</v>
      </c>
      <c r="B149" s="53" t="s">
        <v>19</v>
      </c>
      <c r="C149" s="54" t="s">
        <v>1255</v>
      </c>
      <c r="D149" s="55" t="s">
        <v>1256</v>
      </c>
      <c r="E149" s="54" t="s">
        <v>920</v>
      </c>
      <c r="F149" s="54"/>
      <c r="G149" s="54"/>
      <c r="H149" s="54"/>
      <c r="I149" s="54"/>
      <c r="J149" s="54"/>
      <c r="K149" s="54"/>
      <c r="L149" s="54"/>
      <c r="M149" s="54"/>
      <c r="N149" s="54"/>
      <c r="O149" s="54" t="s">
        <v>1257</v>
      </c>
    </row>
    <row r="150" spans="1:15" ht="30" x14ac:dyDescent="0.2">
      <c r="A150" s="53" t="s">
        <v>18</v>
      </c>
      <c r="B150" s="53" t="s">
        <v>19</v>
      </c>
      <c r="C150" s="54" t="s">
        <v>1258</v>
      </c>
      <c r="D150" s="55" t="s">
        <v>1259</v>
      </c>
      <c r="E150" s="54" t="s">
        <v>920</v>
      </c>
      <c r="F150" s="54"/>
      <c r="G150" s="54"/>
      <c r="H150" s="54"/>
      <c r="I150" s="54"/>
      <c r="J150" s="54"/>
      <c r="K150" s="54"/>
      <c r="L150" s="54"/>
      <c r="M150" s="54"/>
      <c r="N150" s="54"/>
      <c r="O150" s="54" t="s">
        <v>1260</v>
      </c>
    </row>
    <row r="151" spans="1:15" ht="30" x14ac:dyDescent="0.2">
      <c r="A151" s="53" t="s">
        <v>18</v>
      </c>
      <c r="B151" s="53" t="s">
        <v>23</v>
      </c>
      <c r="C151" s="54" t="s">
        <v>1261</v>
      </c>
      <c r="D151" s="55" t="s">
        <v>1262</v>
      </c>
      <c r="E151" s="54" t="s">
        <v>920</v>
      </c>
      <c r="F151" s="54"/>
      <c r="G151" s="54"/>
      <c r="H151" s="54"/>
      <c r="I151" s="54"/>
      <c r="J151" s="54"/>
      <c r="K151" s="54"/>
      <c r="L151" s="54"/>
      <c r="M151" s="54"/>
      <c r="N151" s="54"/>
      <c r="O151" s="54" t="s">
        <v>1263</v>
      </c>
    </row>
    <row r="152" spans="1:15" ht="60" x14ac:dyDescent="0.2">
      <c r="A152" s="53" t="s">
        <v>18</v>
      </c>
      <c r="B152" s="53" t="s">
        <v>19</v>
      </c>
      <c r="C152" s="54" t="s">
        <v>1264</v>
      </c>
      <c r="D152" s="55" t="s">
        <v>1265</v>
      </c>
      <c r="E152" s="54" t="s">
        <v>920</v>
      </c>
      <c r="F152" s="54"/>
      <c r="G152" s="54"/>
      <c r="H152" s="54"/>
      <c r="I152" s="54"/>
      <c r="J152" s="54"/>
      <c r="K152" s="54"/>
      <c r="L152" s="54"/>
      <c r="M152" s="54"/>
      <c r="N152" s="54"/>
      <c r="O152" s="54"/>
    </row>
    <row r="153" spans="1:15" ht="30" x14ac:dyDescent="0.2">
      <c r="A153" s="53" t="s">
        <v>18</v>
      </c>
      <c r="B153" s="53" t="s">
        <v>15</v>
      </c>
      <c r="C153" s="54" t="s">
        <v>1266</v>
      </c>
      <c r="D153" s="55" t="s">
        <v>1267</v>
      </c>
      <c r="E153" s="54" t="s">
        <v>920</v>
      </c>
      <c r="F153" s="54"/>
      <c r="G153" s="54"/>
      <c r="H153" s="54"/>
      <c r="I153" s="54"/>
      <c r="J153" s="54"/>
      <c r="K153" s="54"/>
      <c r="L153" s="54"/>
      <c r="M153" s="54"/>
      <c r="N153" s="54"/>
      <c r="O153" s="54"/>
    </row>
    <row r="154" spans="1:15" ht="30" x14ac:dyDescent="0.2">
      <c r="A154" s="53" t="s">
        <v>18</v>
      </c>
      <c r="B154" s="53" t="s">
        <v>20</v>
      </c>
      <c r="C154" s="54" t="s">
        <v>1268</v>
      </c>
      <c r="D154" s="55" t="s">
        <v>1269</v>
      </c>
      <c r="E154" s="54" t="s">
        <v>1087</v>
      </c>
      <c r="F154" s="54"/>
      <c r="G154" s="54"/>
      <c r="H154" s="54"/>
      <c r="I154" s="54"/>
      <c r="J154" s="54"/>
      <c r="K154" s="54"/>
      <c r="L154" s="54"/>
      <c r="M154" s="54"/>
      <c r="N154" s="54"/>
      <c r="O154" s="54"/>
    </row>
    <row r="155" spans="1:15" ht="30" x14ac:dyDescent="0.2">
      <c r="A155" s="53" t="s">
        <v>18</v>
      </c>
      <c r="B155" s="53" t="s">
        <v>19</v>
      </c>
      <c r="C155" s="54" t="s">
        <v>1270</v>
      </c>
      <c r="D155" s="55" t="s">
        <v>1271</v>
      </c>
      <c r="E155" s="54" t="s">
        <v>920</v>
      </c>
      <c r="F155" s="54"/>
      <c r="G155" s="54"/>
      <c r="H155" s="54"/>
      <c r="I155" s="54"/>
      <c r="J155" s="54"/>
      <c r="K155" s="54"/>
      <c r="L155" s="54"/>
      <c r="M155" s="54"/>
      <c r="N155" s="54"/>
      <c r="O155" s="54"/>
    </row>
    <row r="156" spans="1:15" ht="15.75" x14ac:dyDescent="0.2">
      <c r="A156" s="53" t="s">
        <v>18</v>
      </c>
      <c r="B156" s="53" t="s">
        <v>19</v>
      </c>
      <c r="C156" s="54" t="s">
        <v>1272</v>
      </c>
      <c r="D156" s="55" t="s">
        <v>1273</v>
      </c>
      <c r="E156" s="54" t="s">
        <v>920</v>
      </c>
      <c r="F156" s="54"/>
      <c r="G156" s="54"/>
      <c r="H156" s="54"/>
      <c r="I156" s="54"/>
      <c r="J156" s="54"/>
      <c r="K156" s="54"/>
      <c r="L156" s="54"/>
      <c r="M156" s="54"/>
      <c r="N156" s="54"/>
      <c r="O156" s="54"/>
    </row>
    <row r="157" spans="1:15" ht="30" x14ac:dyDescent="0.2">
      <c r="A157" s="53" t="s">
        <v>18</v>
      </c>
      <c r="B157" s="53" t="s">
        <v>19</v>
      </c>
      <c r="C157" s="54" t="s">
        <v>1274</v>
      </c>
      <c r="D157" s="55" t="s">
        <v>1275</v>
      </c>
      <c r="E157" s="54" t="s">
        <v>920</v>
      </c>
      <c r="F157" s="54"/>
      <c r="G157" s="54"/>
      <c r="H157" s="54"/>
      <c r="I157" s="54"/>
      <c r="J157" s="54"/>
      <c r="K157" s="54"/>
      <c r="L157" s="54"/>
      <c r="M157" s="54"/>
      <c r="N157" s="54"/>
      <c r="O157" s="54"/>
    </row>
    <row r="158" spans="1:15" ht="15.75" x14ac:dyDescent="0.2">
      <c r="A158" s="53" t="s">
        <v>18</v>
      </c>
      <c r="B158" s="53" t="s">
        <v>19</v>
      </c>
      <c r="C158" s="54" t="s">
        <v>1276</v>
      </c>
      <c r="D158" s="55" t="s">
        <v>1277</v>
      </c>
      <c r="E158" s="54" t="s">
        <v>920</v>
      </c>
      <c r="F158" s="54"/>
      <c r="G158" s="54"/>
      <c r="H158" s="54"/>
      <c r="I158" s="54"/>
      <c r="J158" s="54"/>
      <c r="K158" s="54"/>
      <c r="L158" s="54"/>
      <c r="M158" s="54"/>
      <c r="N158" s="54"/>
      <c r="O158" s="54"/>
    </row>
    <row r="159" spans="1:15" ht="60" x14ac:dyDescent="0.2">
      <c r="A159" s="53" t="s">
        <v>18</v>
      </c>
      <c r="B159" s="53" t="s">
        <v>19</v>
      </c>
      <c r="C159" s="54" t="s">
        <v>1278</v>
      </c>
      <c r="D159" s="55" t="s">
        <v>1279</v>
      </c>
      <c r="E159" s="54" t="s">
        <v>920</v>
      </c>
      <c r="F159" s="54"/>
      <c r="G159" s="54"/>
      <c r="H159" s="54"/>
      <c r="I159" s="54"/>
      <c r="J159" s="54"/>
      <c r="K159" s="54"/>
      <c r="L159" s="54"/>
      <c r="M159" s="54"/>
      <c r="N159" s="54"/>
      <c r="O159" s="54"/>
    </row>
    <row r="160" spans="1:15" ht="30" x14ac:dyDescent="0.2">
      <c r="A160" s="53" t="s">
        <v>18</v>
      </c>
      <c r="B160" s="53" t="s">
        <v>19</v>
      </c>
      <c r="C160" s="54" t="s">
        <v>1280</v>
      </c>
      <c r="D160" s="55" t="s">
        <v>1281</v>
      </c>
      <c r="E160" s="54" t="s">
        <v>920</v>
      </c>
      <c r="F160" s="54"/>
      <c r="G160" s="54"/>
      <c r="H160" s="54"/>
      <c r="I160" s="54"/>
      <c r="J160" s="54"/>
      <c r="K160" s="54"/>
      <c r="L160" s="54"/>
      <c r="M160" s="54"/>
      <c r="N160" s="54"/>
      <c r="O160" s="54"/>
    </row>
    <row r="161" spans="1:15" ht="60" x14ac:dyDescent="0.2">
      <c r="A161" s="53" t="s">
        <v>18</v>
      </c>
      <c r="B161" s="53" t="s">
        <v>15</v>
      </c>
      <c r="C161" s="54" t="s">
        <v>1282</v>
      </c>
      <c r="D161" s="55" t="s">
        <v>1283</v>
      </c>
      <c r="E161" s="54" t="s">
        <v>920</v>
      </c>
      <c r="F161" s="54"/>
      <c r="G161" s="54"/>
      <c r="H161" s="54"/>
      <c r="I161" s="54"/>
      <c r="J161" s="54"/>
      <c r="K161" s="54"/>
      <c r="L161" s="54"/>
      <c r="M161" s="54"/>
      <c r="N161" s="54"/>
      <c r="O161" s="54" t="s">
        <v>1284</v>
      </c>
    </row>
    <row r="162" spans="1:15" ht="15.75" x14ac:dyDescent="0.2">
      <c r="A162" s="53" t="s">
        <v>18</v>
      </c>
      <c r="B162" s="53" t="s">
        <v>19</v>
      </c>
      <c r="C162" s="54" t="s">
        <v>1285</v>
      </c>
      <c r="D162" s="55" t="s">
        <v>1286</v>
      </c>
      <c r="E162" s="54" t="s">
        <v>920</v>
      </c>
      <c r="F162" s="54"/>
      <c r="G162" s="54"/>
      <c r="H162" s="54"/>
      <c r="I162" s="54"/>
      <c r="J162" s="54"/>
      <c r="K162" s="54"/>
      <c r="L162" s="54"/>
      <c r="M162" s="54"/>
      <c r="N162" s="54"/>
      <c r="O162" s="54"/>
    </row>
    <row r="163" spans="1:15" ht="30" x14ac:dyDescent="0.2">
      <c r="A163" s="53" t="s">
        <v>18</v>
      </c>
      <c r="B163" s="53" t="s">
        <v>22</v>
      </c>
      <c r="C163" s="54" t="s">
        <v>1287</v>
      </c>
      <c r="D163" s="55" t="s">
        <v>1288</v>
      </c>
      <c r="E163" s="54" t="s">
        <v>1087</v>
      </c>
      <c r="F163" s="54"/>
      <c r="G163" s="54"/>
      <c r="H163" s="54"/>
      <c r="I163" s="54"/>
      <c r="J163" s="54"/>
      <c r="K163" s="54"/>
      <c r="L163" s="54"/>
      <c r="M163" s="54"/>
      <c r="N163" s="54"/>
      <c r="O163" s="54"/>
    </row>
    <row r="164" spans="1:15" ht="45" x14ac:dyDescent="0.2">
      <c r="A164" s="53" t="s">
        <v>24</v>
      </c>
      <c r="B164" s="53" t="s">
        <v>19</v>
      </c>
      <c r="C164" s="54" t="s">
        <v>1289</v>
      </c>
      <c r="D164" s="55" t="s">
        <v>1290</v>
      </c>
      <c r="E164" s="54" t="s">
        <v>920</v>
      </c>
      <c r="F164" s="54"/>
      <c r="G164" s="54"/>
      <c r="H164" s="54"/>
      <c r="I164" s="54"/>
      <c r="J164" s="54"/>
      <c r="K164" s="54"/>
      <c r="L164" s="54"/>
      <c r="M164" s="54"/>
      <c r="N164" s="54"/>
      <c r="O164" s="54" t="s">
        <v>1291</v>
      </c>
    </row>
    <row r="165" spans="1:15" ht="15.75" x14ac:dyDescent="0.2">
      <c r="A165" s="53" t="s">
        <v>18</v>
      </c>
      <c r="B165" s="53" t="s">
        <v>19</v>
      </c>
      <c r="C165" s="54" t="s">
        <v>1292</v>
      </c>
      <c r="D165" s="55" t="s">
        <v>1293</v>
      </c>
      <c r="E165" s="54" t="s">
        <v>899</v>
      </c>
      <c r="F165" s="54"/>
      <c r="G165" s="54"/>
      <c r="H165" s="54"/>
      <c r="I165" s="54"/>
      <c r="J165" s="54"/>
      <c r="K165" s="54"/>
      <c r="L165" s="54"/>
      <c r="M165" s="54"/>
      <c r="N165" s="54"/>
      <c r="O165" s="54"/>
    </row>
    <row r="166" spans="1:15" ht="30" x14ac:dyDescent="0.2">
      <c r="A166" s="53" t="s">
        <v>18</v>
      </c>
      <c r="B166" s="53" t="s">
        <v>1220</v>
      </c>
      <c r="C166" s="54" t="s">
        <v>1179</v>
      </c>
      <c r="D166" s="55" t="s">
        <v>1294</v>
      </c>
      <c r="E166" s="54" t="s">
        <v>920</v>
      </c>
      <c r="F166" s="54"/>
      <c r="G166" s="54"/>
      <c r="H166" s="54"/>
      <c r="I166" s="54"/>
      <c r="J166" s="54"/>
      <c r="K166" s="54"/>
      <c r="L166" s="54"/>
      <c r="M166" s="54"/>
      <c r="N166" s="54"/>
      <c r="O166" s="54"/>
    </row>
    <row r="167" spans="1:15" ht="225" x14ac:dyDescent="0.2">
      <c r="A167" s="53" t="s">
        <v>18</v>
      </c>
      <c r="B167" s="53" t="s">
        <v>20</v>
      </c>
      <c r="C167" s="54" t="s">
        <v>1295</v>
      </c>
      <c r="D167" s="55" t="s">
        <v>1296</v>
      </c>
      <c r="E167" s="54" t="s">
        <v>1253</v>
      </c>
      <c r="F167" s="54"/>
      <c r="G167" s="54"/>
      <c r="H167" s="54"/>
      <c r="I167" s="54"/>
      <c r="J167" s="54"/>
      <c r="K167" s="54"/>
      <c r="L167" s="54"/>
      <c r="M167" s="54"/>
      <c r="N167" s="54"/>
      <c r="O167" s="54" t="s">
        <v>1297</v>
      </c>
    </row>
    <row r="168" spans="1:15" ht="45" x14ac:dyDescent="0.2">
      <c r="A168" s="53" t="s">
        <v>24</v>
      </c>
      <c r="B168" s="53" t="s">
        <v>20</v>
      </c>
      <c r="C168" s="54" t="s">
        <v>1298</v>
      </c>
      <c r="D168" s="55" t="s">
        <v>1299</v>
      </c>
      <c r="E168" s="54" t="s">
        <v>1253</v>
      </c>
      <c r="F168" s="54"/>
      <c r="G168" s="54"/>
      <c r="H168" s="54"/>
      <c r="I168" s="54"/>
      <c r="J168" s="54"/>
      <c r="K168" s="54"/>
      <c r="L168" s="54"/>
      <c r="M168" s="54"/>
      <c r="N168" s="54"/>
      <c r="O168" s="54" t="s">
        <v>1300</v>
      </c>
    </row>
    <row r="169" spans="1:15" ht="45" x14ac:dyDescent="0.2">
      <c r="A169" s="53" t="s">
        <v>18</v>
      </c>
      <c r="B169" s="53" t="s">
        <v>15</v>
      </c>
      <c r="C169" s="54" t="s">
        <v>1301</v>
      </c>
      <c r="D169" s="55" t="s">
        <v>1302</v>
      </c>
      <c r="E169" s="54" t="s">
        <v>920</v>
      </c>
      <c r="F169" s="54"/>
      <c r="G169" s="54"/>
      <c r="H169" s="54"/>
      <c r="I169" s="54"/>
      <c r="J169" s="54"/>
      <c r="K169" s="54"/>
      <c r="L169" s="54"/>
      <c r="M169" s="54"/>
      <c r="N169" s="54"/>
      <c r="O169" s="54" t="s">
        <v>1303</v>
      </c>
    </row>
    <row r="170" spans="1:15" ht="45" x14ac:dyDescent="0.2">
      <c r="A170" s="53" t="s">
        <v>18</v>
      </c>
      <c r="B170" s="53" t="s">
        <v>22</v>
      </c>
      <c r="C170" s="54" t="s">
        <v>1304</v>
      </c>
      <c r="D170" s="55" t="s">
        <v>1305</v>
      </c>
      <c r="E170" s="54" t="s">
        <v>1087</v>
      </c>
      <c r="F170" s="54"/>
      <c r="G170" s="54"/>
      <c r="H170" s="54"/>
      <c r="I170" s="54"/>
      <c r="J170" s="54"/>
      <c r="K170" s="54"/>
      <c r="L170" s="54"/>
      <c r="M170" s="54"/>
      <c r="N170" s="54"/>
      <c r="O170" s="54" t="s">
        <v>1306</v>
      </c>
    </row>
    <row r="171" spans="1:15" ht="30" x14ac:dyDescent="0.2">
      <c r="A171" s="53" t="s">
        <v>18</v>
      </c>
      <c r="B171" s="53" t="s">
        <v>23</v>
      </c>
      <c r="C171" s="54" t="s">
        <v>1307</v>
      </c>
      <c r="D171" s="55" t="s">
        <v>1308</v>
      </c>
      <c r="E171" s="54" t="s">
        <v>920</v>
      </c>
      <c r="F171" s="54"/>
      <c r="G171" s="54"/>
      <c r="H171" s="54"/>
      <c r="I171" s="54"/>
      <c r="J171" s="54"/>
      <c r="K171" s="54"/>
      <c r="L171" s="54"/>
      <c r="M171" s="54"/>
      <c r="N171" s="54"/>
      <c r="O171" s="54"/>
    </row>
    <row r="172" spans="1:15" ht="135" x14ac:dyDescent="0.2">
      <c r="A172" s="53" t="s">
        <v>18</v>
      </c>
      <c r="B172" s="53" t="s">
        <v>20</v>
      </c>
      <c r="C172" s="54" t="s">
        <v>1309</v>
      </c>
      <c r="D172" s="55" t="s">
        <v>1310</v>
      </c>
      <c r="E172" s="54" t="s">
        <v>1311</v>
      </c>
      <c r="F172" s="54"/>
      <c r="G172" s="54"/>
      <c r="H172" s="54"/>
      <c r="I172" s="54"/>
      <c r="J172" s="54"/>
      <c r="K172" s="54"/>
      <c r="L172" s="54"/>
      <c r="M172" s="54"/>
      <c r="N172" s="54"/>
      <c r="O172" s="54" t="s">
        <v>1312</v>
      </c>
    </row>
    <row r="173" spans="1:15" ht="150" x14ac:dyDescent="0.2">
      <c r="A173" s="53" t="s">
        <v>18</v>
      </c>
      <c r="B173" s="53" t="s">
        <v>20</v>
      </c>
      <c r="C173" s="54" t="s">
        <v>1313</v>
      </c>
      <c r="D173" s="55" t="s">
        <v>1314</v>
      </c>
      <c r="E173" s="54" t="s">
        <v>1311</v>
      </c>
      <c r="F173" s="54"/>
      <c r="G173" s="54"/>
      <c r="H173" s="54"/>
      <c r="I173" s="54"/>
      <c r="J173" s="54"/>
      <c r="K173" s="54"/>
      <c r="L173" s="54"/>
      <c r="M173" s="54"/>
      <c r="N173" s="54"/>
      <c r="O173" s="54" t="s">
        <v>1315</v>
      </c>
    </row>
    <row r="174" spans="1:15" ht="120" x14ac:dyDescent="0.2">
      <c r="A174" s="53" t="s">
        <v>18</v>
      </c>
      <c r="B174" s="53" t="s">
        <v>20</v>
      </c>
      <c r="C174" s="54" t="s">
        <v>1316</v>
      </c>
      <c r="D174" s="55" t="s">
        <v>1317</v>
      </c>
      <c r="E174" s="54" t="s">
        <v>1311</v>
      </c>
      <c r="F174" s="54"/>
      <c r="G174" s="54"/>
      <c r="H174" s="54"/>
      <c r="I174" s="54"/>
      <c r="J174" s="54"/>
      <c r="K174" s="54"/>
      <c r="L174" s="54"/>
      <c r="M174" s="54"/>
      <c r="N174" s="54"/>
      <c r="O174" s="54" t="s">
        <v>1318</v>
      </c>
    </row>
    <row r="175" spans="1:15" ht="15.75" x14ac:dyDescent="0.2">
      <c r="A175" s="53" t="s">
        <v>18</v>
      </c>
      <c r="B175" s="53" t="s">
        <v>21</v>
      </c>
      <c r="C175" s="54" t="s">
        <v>1319</v>
      </c>
      <c r="D175" s="55" t="s">
        <v>1320</v>
      </c>
      <c r="E175" s="54" t="s">
        <v>899</v>
      </c>
      <c r="F175" s="54" t="s">
        <v>1013</v>
      </c>
      <c r="G175" s="54"/>
      <c r="H175" s="54"/>
      <c r="I175" s="54"/>
      <c r="J175" s="54"/>
      <c r="K175" s="54"/>
      <c r="L175" s="54">
        <v>1</v>
      </c>
      <c r="M175" s="54"/>
      <c r="N175" s="54"/>
      <c r="O175" s="54" t="s">
        <v>1321</v>
      </c>
    </row>
    <row r="176" spans="1:15" ht="30" x14ac:dyDescent="0.2">
      <c r="A176" s="53" t="s">
        <v>18</v>
      </c>
      <c r="B176" s="53" t="s">
        <v>1220</v>
      </c>
      <c r="C176" s="54" t="s">
        <v>1322</v>
      </c>
      <c r="D176" s="55" t="s">
        <v>1323</v>
      </c>
      <c r="E176" s="54" t="s">
        <v>899</v>
      </c>
      <c r="F176" s="54" t="s">
        <v>1324</v>
      </c>
      <c r="G176" s="54">
        <v>8</v>
      </c>
      <c r="H176" s="54"/>
      <c r="I176" s="54"/>
      <c r="J176" s="54"/>
      <c r="K176" s="54"/>
      <c r="L176" s="54"/>
      <c r="M176" s="54"/>
      <c r="N176" s="54"/>
      <c r="O176" s="54"/>
    </row>
    <row r="177" spans="1:15" ht="30" x14ac:dyDescent="0.2">
      <c r="A177" s="53" t="s">
        <v>18</v>
      </c>
      <c r="B177" s="53" t="s">
        <v>25</v>
      </c>
      <c r="C177" s="54" t="s">
        <v>1325</v>
      </c>
      <c r="D177" s="55" t="s">
        <v>1326</v>
      </c>
      <c r="E177" s="54" t="s">
        <v>899</v>
      </c>
      <c r="F177" s="54" t="s">
        <v>1327</v>
      </c>
      <c r="G177" s="54"/>
      <c r="H177" s="54"/>
      <c r="I177" s="54"/>
      <c r="J177" s="54"/>
      <c r="K177" s="54"/>
      <c r="L177" s="54"/>
      <c r="M177" s="54"/>
      <c r="N177" s="54"/>
      <c r="O177" s="54" t="s">
        <v>1328</v>
      </c>
    </row>
    <row r="178" spans="1:15" ht="30" x14ac:dyDescent="0.2">
      <c r="A178" s="53" t="s">
        <v>18</v>
      </c>
      <c r="B178" s="53" t="s">
        <v>19</v>
      </c>
      <c r="C178" s="54" t="s">
        <v>1329</v>
      </c>
      <c r="D178" s="55" t="s">
        <v>1330</v>
      </c>
      <c r="E178" s="54" t="s">
        <v>1057</v>
      </c>
      <c r="F178" s="54" t="s">
        <v>1003</v>
      </c>
      <c r="G178" s="54"/>
      <c r="H178" s="54"/>
      <c r="I178" s="54"/>
      <c r="J178" s="54"/>
      <c r="K178" s="54"/>
      <c r="L178" s="54"/>
      <c r="M178" s="54"/>
      <c r="N178" s="54"/>
      <c r="O178" s="54" t="s">
        <v>1331</v>
      </c>
    </row>
    <row r="179" spans="1:15" ht="90" x14ac:dyDescent="0.2">
      <c r="A179" s="53" t="s">
        <v>18</v>
      </c>
      <c r="B179" s="53" t="s">
        <v>19</v>
      </c>
      <c r="C179" s="54" t="s">
        <v>1332</v>
      </c>
      <c r="D179" s="55" t="s">
        <v>1333</v>
      </c>
      <c r="E179" s="54" t="s">
        <v>1057</v>
      </c>
      <c r="F179" s="54" t="s">
        <v>1003</v>
      </c>
      <c r="G179" s="54"/>
      <c r="H179" s="54"/>
      <c r="I179" s="54"/>
      <c r="J179" s="54"/>
      <c r="K179" s="54"/>
      <c r="L179" s="54"/>
      <c r="M179" s="54"/>
      <c r="N179" s="54"/>
      <c r="O179" s="54" t="s">
        <v>1334</v>
      </c>
    </row>
    <row r="180" spans="1:15" ht="60" x14ac:dyDescent="0.2">
      <c r="A180" s="53" t="s">
        <v>24</v>
      </c>
      <c r="B180" s="53" t="s">
        <v>19</v>
      </c>
      <c r="C180" s="54" t="s">
        <v>1335</v>
      </c>
      <c r="D180" s="55" t="s">
        <v>1336</v>
      </c>
      <c r="E180" s="54" t="s">
        <v>899</v>
      </c>
      <c r="F180" s="54" t="s">
        <v>1003</v>
      </c>
      <c r="G180" s="54">
        <v>8</v>
      </c>
      <c r="H180" s="54"/>
      <c r="I180" s="54"/>
      <c r="J180" s="54"/>
      <c r="K180" s="54"/>
      <c r="L180" s="54"/>
      <c r="M180" s="54"/>
      <c r="N180" s="54"/>
      <c r="O180" s="54" t="s">
        <v>1337</v>
      </c>
    </row>
    <row r="181" spans="1:15" ht="30" x14ac:dyDescent="0.2">
      <c r="A181" s="53" t="s">
        <v>24</v>
      </c>
      <c r="B181" s="53" t="s">
        <v>19</v>
      </c>
      <c r="C181" s="54" t="s">
        <v>1338</v>
      </c>
      <c r="D181" s="55" t="s">
        <v>1339</v>
      </c>
      <c r="E181" s="54" t="s">
        <v>899</v>
      </c>
      <c r="F181" s="54" t="s">
        <v>1340</v>
      </c>
      <c r="G181" s="54"/>
      <c r="H181" s="54"/>
      <c r="I181" s="54"/>
      <c r="J181" s="54"/>
      <c r="K181" s="54"/>
      <c r="L181" s="54"/>
      <c r="M181" s="54"/>
      <c r="N181" s="54"/>
      <c r="O181" s="54" t="s">
        <v>1341</v>
      </c>
    </row>
    <row r="182" spans="1:15" ht="15.75" x14ac:dyDescent="0.2">
      <c r="A182" s="53" t="s">
        <v>24</v>
      </c>
      <c r="B182" s="53" t="s">
        <v>21</v>
      </c>
      <c r="C182" s="54" t="s">
        <v>1342</v>
      </c>
      <c r="D182" s="55" t="s">
        <v>1343</v>
      </c>
      <c r="E182" s="54" t="s">
        <v>899</v>
      </c>
      <c r="F182" s="54" t="s">
        <v>900</v>
      </c>
      <c r="G182" s="54">
        <v>8</v>
      </c>
      <c r="H182" s="54"/>
      <c r="I182" s="54"/>
      <c r="J182" s="54"/>
      <c r="K182" s="54"/>
      <c r="L182" s="54"/>
      <c r="M182" s="54"/>
      <c r="N182" s="54"/>
      <c r="O182" s="54" t="s">
        <v>1344</v>
      </c>
    </row>
    <row r="183" spans="1:15" ht="45" x14ac:dyDescent="0.2">
      <c r="A183" s="53" t="s">
        <v>18</v>
      </c>
      <c r="B183" s="53" t="s">
        <v>20</v>
      </c>
      <c r="C183" s="54" t="s">
        <v>1345</v>
      </c>
      <c r="D183" s="55" t="s">
        <v>1346</v>
      </c>
      <c r="E183" s="54" t="s">
        <v>1057</v>
      </c>
      <c r="F183" s="54" t="s">
        <v>1017</v>
      </c>
      <c r="G183" s="54"/>
      <c r="H183" s="54"/>
      <c r="I183" s="54"/>
      <c r="J183" s="54"/>
      <c r="K183" s="54"/>
      <c r="L183" s="54"/>
      <c r="M183" s="54"/>
      <c r="N183" s="54"/>
      <c r="O183" s="54" t="s">
        <v>1347</v>
      </c>
    </row>
    <row r="184" spans="1:15" ht="60" x14ac:dyDescent="0.2">
      <c r="A184" s="53" t="s">
        <v>18</v>
      </c>
      <c r="B184" s="53" t="s">
        <v>1040</v>
      </c>
      <c r="C184" s="54" t="s">
        <v>1348</v>
      </c>
      <c r="D184" s="55" t="s">
        <v>1349</v>
      </c>
      <c r="E184" s="54" t="s">
        <v>1057</v>
      </c>
      <c r="F184" s="54" t="s">
        <v>1017</v>
      </c>
      <c r="G184" s="54"/>
      <c r="H184" s="54"/>
      <c r="I184" s="54"/>
      <c r="J184" s="54"/>
      <c r="K184" s="54"/>
      <c r="L184" s="54"/>
      <c r="M184" s="54"/>
      <c r="N184" s="54"/>
      <c r="O184" s="54" t="s">
        <v>1350</v>
      </c>
    </row>
    <row r="185" spans="1:15" ht="120" x14ac:dyDescent="0.2">
      <c r="A185" s="53" t="s">
        <v>24</v>
      </c>
      <c r="B185" s="53" t="s">
        <v>21</v>
      </c>
      <c r="C185" s="54" t="s">
        <v>1351</v>
      </c>
      <c r="D185" s="55" t="s">
        <v>1352</v>
      </c>
      <c r="E185" s="54" t="s">
        <v>899</v>
      </c>
      <c r="F185" s="54" t="s">
        <v>1003</v>
      </c>
      <c r="G185" s="54"/>
      <c r="H185" s="54"/>
      <c r="I185" s="54"/>
      <c r="J185" s="54"/>
      <c r="K185" s="54"/>
      <c r="L185" s="54"/>
      <c r="M185" s="54"/>
      <c r="N185" s="54"/>
      <c r="O185" s="54" t="s">
        <v>1353</v>
      </c>
    </row>
    <row r="186" spans="1:15" ht="60" x14ac:dyDescent="0.2">
      <c r="A186" s="53" t="s">
        <v>24</v>
      </c>
      <c r="B186" s="53" t="s">
        <v>25</v>
      </c>
      <c r="C186" s="54" t="s">
        <v>1354</v>
      </c>
      <c r="D186" s="55" t="s">
        <v>1355</v>
      </c>
      <c r="E186" s="54" t="s">
        <v>899</v>
      </c>
      <c r="F186" s="54" t="s">
        <v>1003</v>
      </c>
      <c r="G186" s="54"/>
      <c r="H186" s="54"/>
      <c r="I186" s="54"/>
      <c r="J186" s="54"/>
      <c r="K186" s="54"/>
      <c r="L186" s="54"/>
      <c r="M186" s="54"/>
      <c r="N186" s="54"/>
      <c r="O186" s="54" t="s">
        <v>1356</v>
      </c>
    </row>
    <row r="187" spans="1:15" ht="15.75" x14ac:dyDescent="0.2">
      <c r="A187" s="53" t="s">
        <v>24</v>
      </c>
      <c r="B187" s="53" t="s">
        <v>21</v>
      </c>
      <c r="C187" s="54" t="s">
        <v>1357</v>
      </c>
      <c r="D187" s="55" t="s">
        <v>1358</v>
      </c>
      <c r="E187" s="54" t="s">
        <v>899</v>
      </c>
      <c r="F187" s="54" t="s">
        <v>1017</v>
      </c>
      <c r="G187" s="54">
        <v>8</v>
      </c>
      <c r="H187" s="54"/>
      <c r="I187" s="54"/>
      <c r="J187" s="54"/>
      <c r="K187" s="54"/>
      <c r="L187" s="54"/>
      <c r="M187" s="54"/>
      <c r="N187" s="54"/>
      <c r="O187" s="54" t="s">
        <v>1359</v>
      </c>
    </row>
    <row r="188" spans="1:15" ht="15.75" x14ac:dyDescent="0.2">
      <c r="A188" s="53" t="s">
        <v>24</v>
      </c>
      <c r="B188" s="53" t="s">
        <v>21</v>
      </c>
      <c r="C188" s="54" t="s">
        <v>1360</v>
      </c>
      <c r="D188" s="55" t="s">
        <v>1361</v>
      </c>
      <c r="E188" s="54" t="s">
        <v>899</v>
      </c>
      <c r="F188" s="54" t="s">
        <v>1013</v>
      </c>
      <c r="G188" s="54">
        <v>8</v>
      </c>
      <c r="H188" s="54"/>
      <c r="I188" s="54"/>
      <c r="J188" s="54"/>
      <c r="K188" s="54"/>
      <c r="L188" s="54"/>
      <c r="M188" s="54"/>
      <c r="N188" s="54"/>
      <c r="O188" s="54"/>
    </row>
    <row r="189" spans="1:15" ht="45" x14ac:dyDescent="0.2">
      <c r="A189" s="53" t="s">
        <v>24</v>
      </c>
      <c r="B189" s="53" t="s">
        <v>1220</v>
      </c>
      <c r="C189" s="54" t="s">
        <v>1362</v>
      </c>
      <c r="D189" s="55" t="s">
        <v>1363</v>
      </c>
      <c r="E189" s="54" t="s">
        <v>899</v>
      </c>
      <c r="F189" s="54"/>
      <c r="G189" s="54">
        <v>8</v>
      </c>
      <c r="H189" s="54"/>
      <c r="I189" s="54"/>
      <c r="J189" s="54"/>
      <c r="K189" s="54"/>
      <c r="L189" s="54"/>
      <c r="M189" s="54"/>
      <c r="N189" s="54"/>
      <c r="O189" s="54"/>
    </row>
    <row r="190" spans="1:15" ht="30" x14ac:dyDescent="0.2">
      <c r="A190" s="53" t="s">
        <v>18</v>
      </c>
      <c r="B190" s="53" t="s">
        <v>19</v>
      </c>
      <c r="C190" s="54" t="s">
        <v>1364</v>
      </c>
      <c r="D190" s="55" t="s">
        <v>1365</v>
      </c>
      <c r="E190" s="54" t="s">
        <v>899</v>
      </c>
      <c r="F190" s="54" t="s">
        <v>1003</v>
      </c>
      <c r="G190" s="54">
        <v>5</v>
      </c>
      <c r="H190" s="54"/>
      <c r="I190" s="54">
        <v>86400</v>
      </c>
      <c r="J190" s="54">
        <v>86400</v>
      </c>
      <c r="K190" s="54"/>
      <c r="L190" s="54"/>
      <c r="M190" s="54"/>
      <c r="N190" s="54"/>
      <c r="O190" s="54" t="s">
        <v>1366</v>
      </c>
    </row>
    <row r="191" spans="1:15" ht="15.75" x14ac:dyDescent="0.2">
      <c r="A191" s="53" t="s">
        <v>24</v>
      </c>
      <c r="B191" s="53" t="s">
        <v>21</v>
      </c>
      <c r="C191" s="54" t="s">
        <v>1367</v>
      </c>
      <c r="D191" s="55" t="s">
        <v>1368</v>
      </c>
      <c r="E191" s="54" t="s">
        <v>899</v>
      </c>
      <c r="F191" s="54" t="s">
        <v>1017</v>
      </c>
      <c r="G191" s="54">
        <v>8</v>
      </c>
      <c r="H191" s="54"/>
      <c r="I191" s="54"/>
      <c r="J191" s="54"/>
      <c r="K191" s="54"/>
      <c r="L191" s="54"/>
      <c r="M191" s="54"/>
      <c r="N191" s="54"/>
      <c r="O191" s="54"/>
    </row>
    <row r="192" spans="1:15" ht="30" x14ac:dyDescent="0.2">
      <c r="A192" s="53" t="s">
        <v>18</v>
      </c>
      <c r="B192" s="53" t="s">
        <v>1220</v>
      </c>
      <c r="C192" s="54" t="s">
        <v>1369</v>
      </c>
      <c r="D192" s="55" t="s">
        <v>1370</v>
      </c>
      <c r="E192" s="54" t="s">
        <v>899</v>
      </c>
      <c r="F192" s="54" t="s">
        <v>900</v>
      </c>
      <c r="G192" s="54">
        <v>8</v>
      </c>
      <c r="H192" s="54"/>
      <c r="I192" s="54"/>
      <c r="J192" s="54"/>
      <c r="K192" s="54"/>
      <c r="L192" s="54"/>
      <c r="M192" s="54"/>
      <c r="N192" s="54"/>
      <c r="O192" s="54" t="s">
        <v>1371</v>
      </c>
    </row>
    <row r="193" spans="1:15" ht="30" x14ac:dyDescent="0.2">
      <c r="A193" s="53" t="s">
        <v>24</v>
      </c>
      <c r="B193" s="53" t="s">
        <v>1220</v>
      </c>
      <c r="C193" s="54" t="s">
        <v>1372</v>
      </c>
      <c r="D193" s="55" t="s">
        <v>1373</v>
      </c>
      <c r="E193" s="54" t="s">
        <v>899</v>
      </c>
      <c r="F193" s="54" t="s">
        <v>1003</v>
      </c>
      <c r="G193" s="54">
        <v>8</v>
      </c>
      <c r="H193" s="54"/>
      <c r="I193" s="54"/>
      <c r="J193" s="54"/>
      <c r="K193" s="54"/>
      <c r="L193" s="54"/>
      <c r="M193" s="54"/>
      <c r="N193" s="54"/>
      <c r="O193" s="54"/>
    </row>
    <row r="194" spans="1:15" ht="60" x14ac:dyDescent="0.2">
      <c r="A194" s="53" t="s">
        <v>18</v>
      </c>
      <c r="B194" s="53" t="s">
        <v>23</v>
      </c>
      <c r="C194" s="54" t="s">
        <v>1374</v>
      </c>
      <c r="D194" s="55" t="s">
        <v>1375</v>
      </c>
      <c r="E194" s="54" t="s">
        <v>899</v>
      </c>
      <c r="F194" s="54" t="s">
        <v>1340</v>
      </c>
      <c r="G194" s="54">
        <v>8</v>
      </c>
      <c r="H194" s="54"/>
      <c r="I194" s="54">
        <v>288120</v>
      </c>
      <c r="J194" s="54">
        <v>288120</v>
      </c>
      <c r="K194" s="54"/>
      <c r="L194" s="54"/>
      <c r="M194" s="54"/>
      <c r="N194" s="54"/>
      <c r="O194" s="54" t="s">
        <v>1376</v>
      </c>
    </row>
    <row r="195" spans="1:15" ht="30" x14ac:dyDescent="0.2">
      <c r="A195" s="53" t="s">
        <v>18</v>
      </c>
      <c r="B195" s="53" t="s">
        <v>20</v>
      </c>
      <c r="C195" s="54" t="s">
        <v>1377</v>
      </c>
      <c r="D195" s="55" t="s">
        <v>1378</v>
      </c>
      <c r="E195" s="54" t="s">
        <v>899</v>
      </c>
      <c r="F195" s="54" t="s">
        <v>1340</v>
      </c>
      <c r="G195" s="54">
        <v>3</v>
      </c>
      <c r="H195" s="54"/>
      <c r="I195" s="54"/>
      <c r="J195" s="54"/>
      <c r="K195" s="54"/>
      <c r="L195" s="54"/>
      <c r="M195" s="54"/>
      <c r="N195" s="54"/>
      <c r="O195" s="54" t="s">
        <v>1379</v>
      </c>
    </row>
    <row r="196" spans="1:15" ht="15.75" x14ac:dyDescent="0.2">
      <c r="A196" s="53" t="s">
        <v>18</v>
      </c>
      <c r="B196" s="53" t="s">
        <v>20</v>
      </c>
      <c r="C196" s="54" t="s">
        <v>1380</v>
      </c>
      <c r="D196" s="55" t="s">
        <v>1381</v>
      </c>
      <c r="E196" s="54" t="s">
        <v>883</v>
      </c>
      <c r="F196" s="54" t="s">
        <v>884</v>
      </c>
      <c r="G196" s="54"/>
      <c r="H196" s="54"/>
      <c r="I196" s="54"/>
      <c r="J196" s="54"/>
      <c r="K196" s="54"/>
      <c r="L196" s="54"/>
      <c r="M196" s="54"/>
      <c r="N196" s="54"/>
      <c r="O196" s="54" t="s">
        <v>1382</v>
      </c>
    </row>
    <row r="197" spans="1:15" ht="45" x14ac:dyDescent="0.2">
      <c r="A197" s="53" t="s">
        <v>18</v>
      </c>
      <c r="B197" s="53" t="s">
        <v>20</v>
      </c>
      <c r="C197" s="54" t="s">
        <v>1383</v>
      </c>
      <c r="D197" s="55" t="s">
        <v>1384</v>
      </c>
      <c r="E197" s="54" t="s">
        <v>883</v>
      </c>
      <c r="F197" s="54" t="s">
        <v>884</v>
      </c>
      <c r="G197" s="54"/>
      <c r="H197" s="54"/>
      <c r="I197" s="54"/>
      <c r="J197" s="54"/>
      <c r="K197" s="54"/>
      <c r="L197" s="54"/>
      <c r="M197" s="54"/>
      <c r="N197" s="54"/>
      <c r="O197" s="54" t="s">
        <v>1385</v>
      </c>
    </row>
    <row r="198" spans="1:15" ht="120" x14ac:dyDescent="0.2">
      <c r="A198" s="53" t="s">
        <v>24</v>
      </c>
      <c r="B198" s="53" t="s">
        <v>25</v>
      </c>
      <c r="C198" s="54" t="s">
        <v>1386</v>
      </c>
      <c r="D198" s="55" t="s">
        <v>1387</v>
      </c>
      <c r="E198" s="54" t="s">
        <v>920</v>
      </c>
      <c r="F198" s="54" t="s">
        <v>1024</v>
      </c>
      <c r="G198" s="54"/>
      <c r="H198" s="54"/>
      <c r="I198" s="54"/>
      <c r="J198" s="54"/>
      <c r="K198" s="54"/>
      <c r="L198" s="54"/>
      <c r="M198" s="54"/>
      <c r="N198" s="54"/>
      <c r="O198" s="54" t="s">
        <v>1388</v>
      </c>
    </row>
    <row r="199" spans="1:15" ht="45" x14ac:dyDescent="0.2">
      <c r="A199" s="53" t="s">
        <v>24</v>
      </c>
      <c r="B199" s="53" t="s">
        <v>19</v>
      </c>
      <c r="C199" s="54" t="s">
        <v>1389</v>
      </c>
      <c r="D199" s="55" t="s">
        <v>1390</v>
      </c>
      <c r="E199" s="54" t="s">
        <v>1391</v>
      </c>
      <c r="F199" s="54" t="s">
        <v>884</v>
      </c>
      <c r="G199" s="54">
        <v>13</v>
      </c>
      <c r="H199" s="54"/>
      <c r="I199" s="54">
        <v>115200</v>
      </c>
      <c r="J199" s="54">
        <v>115200</v>
      </c>
      <c r="K199" s="54"/>
      <c r="L199" s="54"/>
      <c r="M199" s="54"/>
      <c r="N199" s="54"/>
      <c r="O199" s="54" t="s">
        <v>1392</v>
      </c>
    </row>
    <row r="200" spans="1:15" ht="75" x14ac:dyDescent="0.2">
      <c r="A200" s="53" t="s">
        <v>24</v>
      </c>
      <c r="B200" s="53" t="s">
        <v>19</v>
      </c>
      <c r="C200" s="54" t="s">
        <v>1393</v>
      </c>
      <c r="D200" s="55" t="s">
        <v>1394</v>
      </c>
      <c r="E200" s="54" t="s">
        <v>920</v>
      </c>
      <c r="F200" s="54" t="s">
        <v>1395</v>
      </c>
      <c r="G200" s="54"/>
      <c r="H200" s="54"/>
      <c r="I200" s="54"/>
      <c r="J200" s="54"/>
      <c r="K200" s="54"/>
      <c r="L200" s="54"/>
      <c r="M200" s="54"/>
      <c r="N200" s="54"/>
      <c r="O200" s="54" t="s">
        <v>1396</v>
      </c>
    </row>
    <row r="201" spans="1:15" ht="90" x14ac:dyDescent="0.2">
      <c r="A201" s="53" t="s">
        <v>18</v>
      </c>
      <c r="B201" s="53" t="s">
        <v>19</v>
      </c>
      <c r="C201" s="54" t="s">
        <v>1397</v>
      </c>
      <c r="D201" s="55" t="s">
        <v>1398</v>
      </c>
      <c r="E201" s="54" t="s">
        <v>1399</v>
      </c>
      <c r="F201" s="54" t="s">
        <v>884</v>
      </c>
      <c r="G201" s="54"/>
      <c r="H201" s="54"/>
      <c r="I201" s="54"/>
      <c r="J201" s="54"/>
      <c r="K201" s="54"/>
      <c r="L201" s="54"/>
      <c r="M201" s="54"/>
      <c r="N201" s="54"/>
      <c r="O201" s="54" t="s">
        <v>1400</v>
      </c>
    </row>
    <row r="202" spans="1:15" ht="30" x14ac:dyDescent="0.2">
      <c r="A202" s="53" t="s">
        <v>24</v>
      </c>
      <c r="B202" s="53" t="s">
        <v>19</v>
      </c>
      <c r="C202" s="54" t="s">
        <v>1401</v>
      </c>
      <c r="D202" s="55" t="s">
        <v>1402</v>
      </c>
      <c r="E202" s="54" t="s">
        <v>920</v>
      </c>
      <c r="F202" s="54" t="s">
        <v>1403</v>
      </c>
      <c r="G202" s="54"/>
      <c r="H202" s="54"/>
      <c r="I202" s="54"/>
      <c r="J202" s="54"/>
      <c r="K202" s="54"/>
      <c r="L202" s="54">
        <v>2</v>
      </c>
      <c r="M202" s="54"/>
      <c r="N202" s="54"/>
      <c r="O202" s="54" t="s">
        <v>1404</v>
      </c>
    </row>
    <row r="203" spans="1:15" ht="60" x14ac:dyDescent="0.2">
      <c r="A203" s="53" t="s">
        <v>24</v>
      </c>
      <c r="B203" s="53" t="s">
        <v>19</v>
      </c>
      <c r="C203" s="54" t="s">
        <v>1405</v>
      </c>
      <c r="D203" s="55" t="s">
        <v>1406</v>
      </c>
      <c r="E203" s="54" t="s">
        <v>920</v>
      </c>
      <c r="F203" s="54"/>
      <c r="G203" s="54"/>
      <c r="H203" s="54"/>
      <c r="I203" s="54"/>
      <c r="J203" s="54"/>
      <c r="K203" s="54"/>
      <c r="L203" s="54">
        <v>1</v>
      </c>
      <c r="M203" s="54"/>
      <c r="N203" s="54"/>
      <c r="O203" s="54" t="s">
        <v>1407</v>
      </c>
    </row>
    <row r="204" spans="1:15" ht="30" x14ac:dyDescent="0.2">
      <c r="A204" s="53" t="s">
        <v>18</v>
      </c>
      <c r="B204" s="53" t="s">
        <v>20</v>
      </c>
      <c r="C204" s="54" t="s">
        <v>1408</v>
      </c>
      <c r="D204" s="55" t="s">
        <v>1409</v>
      </c>
      <c r="E204" s="54" t="s">
        <v>883</v>
      </c>
      <c r="F204" s="54" t="s">
        <v>910</v>
      </c>
      <c r="G204" s="54"/>
      <c r="H204" s="54"/>
      <c r="I204" s="54"/>
      <c r="J204" s="54"/>
      <c r="K204" s="54"/>
      <c r="L204" s="54"/>
      <c r="M204" s="54"/>
      <c r="N204" s="54"/>
      <c r="O204" s="54" t="s">
        <v>1410</v>
      </c>
    </row>
    <row r="205" spans="1:15" ht="45" x14ac:dyDescent="0.2">
      <c r="A205" s="53" t="s">
        <v>18</v>
      </c>
      <c r="B205" s="53" t="s">
        <v>23</v>
      </c>
      <c r="C205" s="54" t="s">
        <v>1411</v>
      </c>
      <c r="D205" s="55" t="s">
        <v>1412</v>
      </c>
      <c r="E205" s="54" t="s">
        <v>920</v>
      </c>
      <c r="F205" s="54" t="s">
        <v>1413</v>
      </c>
      <c r="G205" s="54"/>
      <c r="H205" s="54"/>
      <c r="I205" s="54"/>
      <c r="J205" s="54"/>
      <c r="K205" s="54"/>
      <c r="L205" s="54">
        <v>1</v>
      </c>
      <c r="M205" s="54"/>
      <c r="N205" s="54"/>
      <c r="O205" s="54" t="s">
        <v>1414</v>
      </c>
    </row>
    <row r="206" spans="1:15" ht="30" x14ac:dyDescent="0.2">
      <c r="A206" s="53" t="s">
        <v>24</v>
      </c>
      <c r="B206" s="53" t="s">
        <v>20</v>
      </c>
      <c r="C206" s="54" t="s">
        <v>1415</v>
      </c>
      <c r="D206" s="55" t="s">
        <v>1416</v>
      </c>
      <c r="E206" s="54" t="s">
        <v>883</v>
      </c>
      <c r="F206" s="54" t="s">
        <v>910</v>
      </c>
      <c r="G206" s="54"/>
      <c r="H206" s="54"/>
      <c r="I206" s="54"/>
      <c r="J206" s="54"/>
      <c r="K206" s="54"/>
      <c r="L206" s="54"/>
      <c r="M206" s="54"/>
      <c r="N206" s="54"/>
      <c r="O206" s="54" t="s">
        <v>1417</v>
      </c>
    </row>
    <row r="207" spans="1:15" ht="75" x14ac:dyDescent="0.2">
      <c r="A207" s="53" t="s">
        <v>18</v>
      </c>
      <c r="B207" s="53" t="s">
        <v>1040</v>
      </c>
      <c r="C207" s="54" t="s">
        <v>1418</v>
      </c>
      <c r="D207" s="55" t="s">
        <v>1419</v>
      </c>
      <c r="E207" s="54" t="s">
        <v>899</v>
      </c>
      <c r="F207" s="54" t="s">
        <v>1420</v>
      </c>
      <c r="G207" s="54"/>
      <c r="H207" s="54"/>
      <c r="I207" s="54"/>
      <c r="J207" s="54"/>
      <c r="K207" s="54"/>
      <c r="L207" s="54">
        <v>1</v>
      </c>
      <c r="M207" s="54"/>
      <c r="N207" s="54"/>
      <c r="O207" s="54" t="s">
        <v>1421</v>
      </c>
    </row>
    <row r="208" spans="1:15" ht="90" x14ac:dyDescent="0.2">
      <c r="A208" s="53" t="s">
        <v>24</v>
      </c>
      <c r="B208" s="53" t="s">
        <v>19</v>
      </c>
      <c r="C208" s="54" t="s">
        <v>1422</v>
      </c>
      <c r="D208" s="55" t="s">
        <v>1423</v>
      </c>
      <c r="E208" s="54" t="s">
        <v>920</v>
      </c>
      <c r="F208" s="54" t="s">
        <v>1424</v>
      </c>
      <c r="G208" s="54"/>
      <c r="H208" s="54"/>
      <c r="I208" s="54"/>
      <c r="J208" s="54"/>
      <c r="K208" s="54"/>
      <c r="L208" s="54">
        <v>1</v>
      </c>
      <c r="M208" s="54"/>
      <c r="N208" s="54"/>
      <c r="O208" s="54" t="s">
        <v>1425</v>
      </c>
    </row>
    <row r="209" spans="1:15" ht="60" x14ac:dyDescent="0.2">
      <c r="A209" s="53" t="s">
        <v>18</v>
      </c>
      <c r="B209" s="53" t="s">
        <v>19</v>
      </c>
      <c r="C209" s="54" t="s">
        <v>1426</v>
      </c>
      <c r="D209" s="55" t="s">
        <v>1427</v>
      </c>
      <c r="E209" s="54" t="s">
        <v>920</v>
      </c>
      <c r="F209" s="54" t="s">
        <v>1428</v>
      </c>
      <c r="G209" s="54"/>
      <c r="H209" s="54"/>
      <c r="I209" s="54"/>
      <c r="J209" s="54"/>
      <c r="K209" s="54"/>
      <c r="L209" s="54">
        <v>1</v>
      </c>
      <c r="M209" s="54"/>
      <c r="N209" s="54"/>
      <c r="O209" s="54" t="s">
        <v>1429</v>
      </c>
    </row>
    <row r="210" spans="1:15" ht="90" x14ac:dyDescent="0.2">
      <c r="A210" s="53" t="s">
        <v>24</v>
      </c>
      <c r="B210" s="53" t="s">
        <v>19</v>
      </c>
      <c r="C210" s="54" t="s">
        <v>1430</v>
      </c>
      <c r="D210" s="55" t="s">
        <v>1431</v>
      </c>
      <c r="E210" s="54" t="s">
        <v>920</v>
      </c>
      <c r="F210" s="54" t="s">
        <v>1432</v>
      </c>
      <c r="G210" s="54"/>
      <c r="H210" s="54"/>
      <c r="I210" s="54"/>
      <c r="J210" s="54"/>
      <c r="K210" s="54"/>
      <c r="L210" s="54">
        <v>1</v>
      </c>
      <c r="M210" s="54"/>
      <c r="N210" s="54"/>
      <c r="O210" s="54" t="s">
        <v>1433</v>
      </c>
    </row>
    <row r="211" spans="1:15" ht="75" x14ac:dyDescent="0.2">
      <c r="A211" s="53" t="s">
        <v>24</v>
      </c>
      <c r="B211" s="53" t="s">
        <v>25</v>
      </c>
      <c r="C211" s="54" t="s">
        <v>1434</v>
      </c>
      <c r="D211" s="55" t="s">
        <v>1435</v>
      </c>
      <c r="E211" s="54" t="s">
        <v>920</v>
      </c>
      <c r="F211" s="54" t="s">
        <v>1436</v>
      </c>
      <c r="G211" s="54"/>
      <c r="H211" s="54"/>
      <c r="I211" s="54"/>
      <c r="J211" s="54"/>
      <c r="K211" s="54"/>
      <c r="L211" s="54"/>
      <c r="M211" s="54"/>
      <c r="N211" s="54"/>
      <c r="O211" s="54" t="s">
        <v>1437</v>
      </c>
    </row>
    <row r="212" spans="1:15" ht="45" x14ac:dyDescent="0.2">
      <c r="A212" s="53" t="s">
        <v>24</v>
      </c>
      <c r="B212" s="53" t="s">
        <v>25</v>
      </c>
      <c r="C212" s="54" t="s">
        <v>1438</v>
      </c>
      <c r="D212" s="55" t="s">
        <v>1439</v>
      </c>
      <c r="E212" s="54" t="s">
        <v>920</v>
      </c>
      <c r="F212" s="54" t="s">
        <v>1440</v>
      </c>
      <c r="G212" s="54">
        <v>8</v>
      </c>
      <c r="H212" s="54"/>
      <c r="I212" s="54"/>
      <c r="J212" s="54"/>
      <c r="K212" s="54"/>
      <c r="L212" s="54">
        <v>1</v>
      </c>
      <c r="M212" s="54"/>
      <c r="N212" s="54"/>
      <c r="O212" s="54" t="s">
        <v>1441</v>
      </c>
    </row>
    <row r="213" spans="1:15" ht="30" x14ac:dyDescent="0.2">
      <c r="A213" s="53" t="s">
        <v>18</v>
      </c>
      <c r="B213" s="53" t="s">
        <v>19</v>
      </c>
      <c r="C213" s="54" t="s">
        <v>1442</v>
      </c>
      <c r="D213" s="55" t="s">
        <v>1443</v>
      </c>
      <c r="E213" s="54" t="s">
        <v>920</v>
      </c>
      <c r="F213" s="54"/>
      <c r="G213" s="54"/>
      <c r="H213" s="54"/>
      <c r="I213" s="54"/>
      <c r="J213" s="54"/>
      <c r="K213" s="54"/>
      <c r="L213" s="54"/>
      <c r="M213" s="54"/>
      <c r="N213" s="54"/>
      <c r="O213" s="54" t="s">
        <v>1444</v>
      </c>
    </row>
    <row r="214" spans="1:15" ht="30" x14ac:dyDescent="0.2">
      <c r="A214" s="53" t="s">
        <v>18</v>
      </c>
      <c r="B214" s="53" t="s">
        <v>20</v>
      </c>
      <c r="C214" s="54" t="s">
        <v>1445</v>
      </c>
      <c r="D214" s="55" t="s">
        <v>1446</v>
      </c>
      <c r="E214" s="54" t="s">
        <v>899</v>
      </c>
      <c r="F214" s="54" t="s">
        <v>1340</v>
      </c>
      <c r="G214" s="54"/>
      <c r="H214" s="54"/>
      <c r="I214" s="54"/>
      <c r="J214" s="54"/>
      <c r="K214" s="54"/>
      <c r="L214" s="54">
        <v>1</v>
      </c>
      <c r="M214" s="54"/>
      <c r="N214" s="54"/>
      <c r="O214" s="54" t="s">
        <v>1447</v>
      </c>
    </row>
    <row r="215" spans="1:15" ht="60" x14ac:dyDescent="0.2">
      <c r="A215" s="53" t="s">
        <v>18</v>
      </c>
      <c r="B215" s="53" t="s">
        <v>19</v>
      </c>
      <c r="C215" s="54" t="s">
        <v>1448</v>
      </c>
      <c r="D215" s="55" t="s">
        <v>1449</v>
      </c>
      <c r="E215" s="54" t="s">
        <v>899</v>
      </c>
      <c r="F215" s="54" t="s">
        <v>900</v>
      </c>
      <c r="G215" s="54">
        <v>13</v>
      </c>
      <c r="H215" s="54"/>
      <c r="I215" s="54"/>
      <c r="J215" s="54"/>
      <c r="K215" s="54"/>
      <c r="L215" s="54">
        <v>1</v>
      </c>
      <c r="M215" s="54"/>
      <c r="N215" s="54"/>
      <c r="O215" s="54" t="s">
        <v>1450</v>
      </c>
    </row>
    <row r="216" spans="1:15" ht="45" x14ac:dyDescent="0.2">
      <c r="A216" s="53" t="s">
        <v>24</v>
      </c>
      <c r="B216" s="53" t="s">
        <v>22</v>
      </c>
      <c r="C216" s="54" t="s">
        <v>1451</v>
      </c>
      <c r="D216" s="55" t="s">
        <v>1452</v>
      </c>
      <c r="E216" s="54" t="s">
        <v>899</v>
      </c>
      <c r="F216" s="54" t="s">
        <v>1013</v>
      </c>
      <c r="G216" s="54"/>
      <c r="H216" s="54"/>
      <c r="I216" s="54"/>
      <c r="J216" s="54"/>
      <c r="K216" s="54"/>
      <c r="L216" s="54">
        <v>1</v>
      </c>
      <c r="M216" s="54"/>
      <c r="N216" s="54"/>
      <c r="O216" s="54" t="s">
        <v>1453</v>
      </c>
    </row>
    <row r="217" spans="1:15" ht="30" x14ac:dyDescent="0.2">
      <c r="A217" s="53" t="s">
        <v>24</v>
      </c>
      <c r="B217" s="53" t="s">
        <v>20</v>
      </c>
      <c r="C217" s="54" t="s">
        <v>1454</v>
      </c>
      <c r="D217" s="55" t="s">
        <v>1455</v>
      </c>
      <c r="E217" s="54" t="s">
        <v>1253</v>
      </c>
      <c r="F217" s="54"/>
      <c r="G217" s="54"/>
      <c r="H217" s="54"/>
      <c r="I217" s="54"/>
      <c r="J217" s="54"/>
      <c r="K217" s="54"/>
      <c r="L217" s="54"/>
      <c r="M217" s="54"/>
      <c r="N217" s="54"/>
      <c r="O217" s="54"/>
    </row>
    <row r="218" spans="1:15" ht="45" x14ac:dyDescent="0.2">
      <c r="A218" s="53" t="s">
        <v>24</v>
      </c>
      <c r="B218" s="53" t="s">
        <v>21</v>
      </c>
      <c r="C218" s="54" t="s">
        <v>1456</v>
      </c>
      <c r="D218" s="55" t="s">
        <v>1457</v>
      </c>
      <c r="E218" s="54" t="s">
        <v>899</v>
      </c>
      <c r="F218" s="54"/>
      <c r="G218" s="54"/>
      <c r="H218" s="54"/>
      <c r="I218" s="54"/>
      <c r="J218" s="54"/>
      <c r="K218" s="54"/>
      <c r="L218" s="54">
        <v>2</v>
      </c>
      <c r="M218" s="54"/>
      <c r="N218" s="54"/>
      <c r="O218" s="54" t="s">
        <v>1458</v>
      </c>
    </row>
    <row r="219" spans="1:15" ht="120" x14ac:dyDescent="0.2">
      <c r="A219" s="53" t="s">
        <v>24</v>
      </c>
      <c r="B219" s="53" t="s">
        <v>25</v>
      </c>
      <c r="C219" s="54" t="s">
        <v>1459</v>
      </c>
      <c r="D219" s="55" t="s">
        <v>1460</v>
      </c>
      <c r="E219" s="54" t="s">
        <v>920</v>
      </c>
      <c r="F219" s="54" t="s">
        <v>1461</v>
      </c>
      <c r="G219" s="54"/>
      <c r="H219" s="54"/>
      <c r="I219" s="54"/>
      <c r="J219" s="54"/>
      <c r="K219" s="54"/>
      <c r="L219" s="54"/>
      <c r="M219" s="54"/>
      <c r="N219" s="54"/>
      <c r="O219" s="54" t="s">
        <v>1462</v>
      </c>
    </row>
    <row r="220" spans="1:15" ht="30" x14ac:dyDescent="0.2">
      <c r="A220" s="53" t="s">
        <v>24</v>
      </c>
      <c r="B220" s="53" t="s">
        <v>20</v>
      </c>
      <c r="C220" s="54" t="s">
        <v>1463</v>
      </c>
      <c r="D220" s="55" t="s">
        <v>1464</v>
      </c>
      <c r="E220" s="54" t="s">
        <v>1253</v>
      </c>
      <c r="F220" s="54"/>
      <c r="G220" s="54"/>
      <c r="H220" s="54"/>
      <c r="I220" s="54"/>
      <c r="J220" s="54"/>
      <c r="K220" s="54"/>
      <c r="L220" s="54"/>
      <c r="M220" s="54"/>
      <c r="N220" s="54"/>
      <c r="O220" s="54" t="s">
        <v>1465</v>
      </c>
    </row>
    <row r="221" spans="1:15" ht="45" x14ac:dyDescent="0.2">
      <c r="A221" s="53" t="s">
        <v>24</v>
      </c>
      <c r="B221" s="53" t="s">
        <v>19</v>
      </c>
      <c r="C221" s="54" t="s">
        <v>1466</v>
      </c>
      <c r="D221" s="55" t="s">
        <v>1467</v>
      </c>
      <c r="E221" s="54" t="s">
        <v>1391</v>
      </c>
      <c r="F221" s="54" t="s">
        <v>884</v>
      </c>
      <c r="G221" s="54"/>
      <c r="H221" s="54"/>
      <c r="I221" s="54"/>
      <c r="J221" s="54"/>
      <c r="K221" s="54"/>
      <c r="L221" s="54"/>
      <c r="M221" s="54"/>
      <c r="N221" s="54"/>
      <c r="O221" s="54" t="s">
        <v>1468</v>
      </c>
    </row>
    <row r="222" spans="1:15" ht="60" x14ac:dyDescent="0.2">
      <c r="A222" s="53" t="s">
        <v>24</v>
      </c>
      <c r="B222" s="53" t="s">
        <v>19</v>
      </c>
      <c r="C222" s="54" t="s">
        <v>1469</v>
      </c>
      <c r="D222" s="55" t="s">
        <v>1470</v>
      </c>
      <c r="E222" s="54" t="s">
        <v>1399</v>
      </c>
      <c r="F222" s="54" t="s">
        <v>884</v>
      </c>
      <c r="G222" s="54"/>
      <c r="H222" s="54"/>
      <c r="I222" s="54"/>
      <c r="J222" s="54"/>
      <c r="K222" s="54"/>
      <c r="L222" s="54"/>
      <c r="M222" s="54"/>
      <c r="N222" s="54"/>
      <c r="O222" s="54" t="s">
        <v>1471</v>
      </c>
    </row>
    <row r="223" spans="1:15" ht="180" x14ac:dyDescent="0.2">
      <c r="A223" s="53" t="s">
        <v>24</v>
      </c>
      <c r="B223" s="53" t="s">
        <v>19</v>
      </c>
      <c r="C223" s="54" t="s">
        <v>1472</v>
      </c>
      <c r="D223" s="55" t="s">
        <v>1473</v>
      </c>
      <c r="E223" s="54" t="s">
        <v>883</v>
      </c>
      <c r="F223" s="54" t="s">
        <v>884</v>
      </c>
      <c r="G223" s="54"/>
      <c r="H223" s="54"/>
      <c r="I223" s="54"/>
      <c r="J223" s="54"/>
      <c r="K223" s="54"/>
      <c r="L223" s="54"/>
      <c r="M223" s="54"/>
      <c r="N223" s="54"/>
      <c r="O223" s="54" t="s">
        <v>1474</v>
      </c>
    </row>
    <row r="224" spans="1:15" ht="30" x14ac:dyDescent="0.2">
      <c r="A224" s="53" t="s">
        <v>18</v>
      </c>
      <c r="B224" s="53" t="s">
        <v>1040</v>
      </c>
      <c r="C224" s="54" t="s">
        <v>1475</v>
      </c>
      <c r="D224" s="55" t="s">
        <v>1476</v>
      </c>
      <c r="E224" s="54" t="s">
        <v>1057</v>
      </c>
      <c r="F224" s="54"/>
      <c r="G224" s="54"/>
      <c r="H224" s="54"/>
      <c r="I224" s="54"/>
      <c r="J224" s="54"/>
      <c r="K224" s="54"/>
      <c r="L224" s="54"/>
      <c r="M224" s="54"/>
      <c r="N224" s="54"/>
      <c r="O224" s="54" t="s">
        <v>1477</v>
      </c>
    </row>
    <row r="225" spans="1:15" ht="45" x14ac:dyDescent="0.2">
      <c r="A225" s="53" t="s">
        <v>18</v>
      </c>
      <c r="B225" s="53" t="s">
        <v>21</v>
      </c>
      <c r="C225" s="54" t="s">
        <v>1478</v>
      </c>
      <c r="D225" s="55" t="s">
        <v>1479</v>
      </c>
      <c r="E225" s="54" t="s">
        <v>899</v>
      </c>
      <c r="F225" s="54" t="s">
        <v>1003</v>
      </c>
      <c r="G225" s="54">
        <v>5</v>
      </c>
      <c r="H225" s="54"/>
      <c r="I225" s="54">
        <v>115320</v>
      </c>
      <c r="J225" s="54">
        <v>120</v>
      </c>
      <c r="K225" s="54"/>
      <c r="L225" s="54"/>
      <c r="M225" s="54"/>
      <c r="N225" s="54"/>
      <c r="O225" s="54" t="s">
        <v>1480</v>
      </c>
    </row>
    <row r="226" spans="1:15" ht="15.75" x14ac:dyDescent="0.2">
      <c r="A226" s="53" t="s">
        <v>18</v>
      </c>
      <c r="B226" s="53" t="s">
        <v>25</v>
      </c>
      <c r="C226" s="54" t="s">
        <v>1481</v>
      </c>
      <c r="D226" s="55" t="s">
        <v>1482</v>
      </c>
      <c r="E226" s="54" t="s">
        <v>899</v>
      </c>
      <c r="F226" s="54" t="s">
        <v>900</v>
      </c>
      <c r="G226" s="54"/>
      <c r="H226" s="54"/>
      <c r="I226" s="54"/>
      <c r="J226" s="54"/>
      <c r="K226" s="54"/>
      <c r="L226" s="54">
        <v>1</v>
      </c>
      <c r="M226" s="54"/>
      <c r="N226" s="54"/>
      <c r="O226" s="54" t="s">
        <v>1483</v>
      </c>
    </row>
    <row r="227" spans="1:15" ht="150" x14ac:dyDescent="0.2">
      <c r="A227" s="53" t="s">
        <v>24</v>
      </c>
      <c r="B227" s="53" t="s">
        <v>19</v>
      </c>
      <c r="C227" s="54" t="s">
        <v>1484</v>
      </c>
      <c r="D227" s="55" t="s">
        <v>1485</v>
      </c>
      <c r="E227" s="54" t="s">
        <v>920</v>
      </c>
      <c r="F227" s="54" t="s">
        <v>1486</v>
      </c>
      <c r="G227" s="54"/>
      <c r="H227" s="54"/>
      <c r="I227" s="54"/>
      <c r="J227" s="54"/>
      <c r="K227" s="54"/>
      <c r="L227" s="54">
        <v>1</v>
      </c>
      <c r="M227" s="54"/>
      <c r="N227" s="54"/>
      <c r="O227" s="54" t="s">
        <v>1487</v>
      </c>
    </row>
    <row r="228" spans="1:15" ht="60" x14ac:dyDescent="0.2">
      <c r="A228" s="53" t="s">
        <v>24</v>
      </c>
      <c r="B228" s="53" t="s">
        <v>19</v>
      </c>
      <c r="C228" s="54" t="s">
        <v>1488</v>
      </c>
      <c r="D228" s="55" t="s">
        <v>1489</v>
      </c>
      <c r="E228" s="54" t="s">
        <v>920</v>
      </c>
      <c r="F228" s="54" t="s">
        <v>1432</v>
      </c>
      <c r="G228" s="54"/>
      <c r="H228" s="54"/>
      <c r="I228" s="54"/>
      <c r="J228" s="54"/>
      <c r="K228" s="54"/>
      <c r="L228" s="54"/>
      <c r="M228" s="54"/>
      <c r="N228" s="54"/>
      <c r="O228" s="54" t="s">
        <v>1490</v>
      </c>
    </row>
    <row r="229" spans="1:15" ht="45" x14ac:dyDescent="0.2">
      <c r="A229" s="53" t="s">
        <v>18</v>
      </c>
      <c r="B229" s="53" t="s">
        <v>21</v>
      </c>
      <c r="C229" s="54" t="s">
        <v>1491</v>
      </c>
      <c r="D229" s="55" t="s">
        <v>1492</v>
      </c>
      <c r="E229" s="54" t="s">
        <v>899</v>
      </c>
      <c r="F229" s="54" t="s">
        <v>1017</v>
      </c>
      <c r="G229" s="54">
        <v>5</v>
      </c>
      <c r="H229" s="54"/>
      <c r="I229" s="54">
        <v>259200</v>
      </c>
      <c r="J229" s="54">
        <v>259200</v>
      </c>
      <c r="K229" s="54"/>
      <c r="L229" s="54"/>
      <c r="M229" s="54"/>
      <c r="N229" s="54"/>
      <c r="O229" s="54" t="s">
        <v>1493</v>
      </c>
    </row>
    <row r="230" spans="1:15" ht="45" x14ac:dyDescent="0.2">
      <c r="A230" s="53" t="s">
        <v>18</v>
      </c>
      <c r="B230" s="53" t="s">
        <v>21</v>
      </c>
      <c r="C230" s="54" t="s">
        <v>1494</v>
      </c>
      <c r="D230" s="55" t="s">
        <v>1495</v>
      </c>
      <c r="E230" s="54" t="s">
        <v>899</v>
      </c>
      <c r="F230" s="54" t="s">
        <v>1003</v>
      </c>
      <c r="G230" s="54">
        <v>8</v>
      </c>
      <c r="H230" s="54"/>
      <c r="I230" s="54">
        <v>86400</v>
      </c>
      <c r="J230" s="54">
        <v>86400</v>
      </c>
      <c r="K230" s="54"/>
      <c r="L230" s="54"/>
      <c r="M230" s="54"/>
      <c r="N230" s="54"/>
      <c r="O230" s="54" t="s">
        <v>1496</v>
      </c>
    </row>
    <row r="231" spans="1:15" ht="45" x14ac:dyDescent="0.2">
      <c r="A231" s="53" t="s">
        <v>24</v>
      </c>
      <c r="B231" s="53" t="s">
        <v>20</v>
      </c>
      <c r="C231" s="54" t="s">
        <v>1497</v>
      </c>
      <c r="D231" s="55" t="s">
        <v>1498</v>
      </c>
      <c r="E231" s="54" t="s">
        <v>920</v>
      </c>
      <c r="F231" s="54" t="s">
        <v>1024</v>
      </c>
      <c r="G231" s="54"/>
      <c r="H231" s="54"/>
      <c r="I231" s="54"/>
      <c r="J231" s="54"/>
      <c r="K231" s="54"/>
      <c r="L231" s="54"/>
      <c r="M231" s="54"/>
      <c r="N231" s="54"/>
      <c r="O231" s="54" t="s">
        <v>1499</v>
      </c>
    </row>
    <row r="232" spans="1:15" ht="195" x14ac:dyDescent="0.2">
      <c r="A232" s="53" t="s">
        <v>18</v>
      </c>
      <c r="B232" s="53" t="s">
        <v>20</v>
      </c>
      <c r="C232" s="54" t="s">
        <v>1500</v>
      </c>
      <c r="D232" s="55" t="s">
        <v>1501</v>
      </c>
      <c r="E232" s="54" t="s">
        <v>1253</v>
      </c>
      <c r="F232" s="54"/>
      <c r="G232" s="54"/>
      <c r="H232" s="54"/>
      <c r="I232" s="54"/>
      <c r="J232" s="54"/>
      <c r="K232" s="54"/>
      <c r="L232" s="54"/>
      <c r="M232" s="54"/>
      <c r="N232" s="54"/>
      <c r="O232" s="54" t="s">
        <v>1502</v>
      </c>
    </row>
    <row r="233" spans="1:15" ht="30" x14ac:dyDescent="0.2">
      <c r="A233" s="53" t="s">
        <v>24</v>
      </c>
      <c r="B233" s="53" t="s">
        <v>20</v>
      </c>
      <c r="C233" s="54" t="s">
        <v>1503</v>
      </c>
      <c r="D233" s="55" t="s">
        <v>1504</v>
      </c>
      <c r="E233" s="54" t="s">
        <v>1253</v>
      </c>
      <c r="F233" s="54"/>
      <c r="G233" s="54"/>
      <c r="H233" s="54"/>
      <c r="I233" s="54"/>
      <c r="J233" s="54"/>
      <c r="K233" s="54"/>
      <c r="L233" s="54"/>
      <c r="M233" s="54"/>
      <c r="N233" s="54"/>
      <c r="O233" s="54" t="s">
        <v>1505</v>
      </c>
    </row>
    <row r="234" spans="1:15" ht="30" x14ac:dyDescent="0.2">
      <c r="A234" s="53" t="s">
        <v>24</v>
      </c>
      <c r="B234" s="53" t="s">
        <v>21</v>
      </c>
      <c r="C234" s="54" t="s">
        <v>1506</v>
      </c>
      <c r="D234" s="55" t="s">
        <v>1507</v>
      </c>
      <c r="E234" s="54" t="s">
        <v>899</v>
      </c>
      <c r="F234" s="54"/>
      <c r="G234" s="54"/>
      <c r="H234" s="54"/>
      <c r="I234" s="54"/>
      <c r="J234" s="54"/>
      <c r="K234" s="54"/>
      <c r="L234" s="54"/>
      <c r="M234" s="54"/>
      <c r="N234" s="54"/>
      <c r="O234" s="54" t="s">
        <v>1508</v>
      </c>
    </row>
    <row r="235" spans="1:15" ht="105" x14ac:dyDescent="0.2">
      <c r="A235" s="53" t="s">
        <v>24</v>
      </c>
      <c r="B235" s="53" t="s">
        <v>19</v>
      </c>
      <c r="C235" s="54" t="s">
        <v>1509</v>
      </c>
      <c r="D235" s="55" t="s">
        <v>1510</v>
      </c>
      <c r="E235" s="54" t="s">
        <v>883</v>
      </c>
      <c r="F235" s="54" t="s">
        <v>884</v>
      </c>
      <c r="G235" s="54"/>
      <c r="H235" s="54"/>
      <c r="I235" s="54"/>
      <c r="J235" s="54"/>
      <c r="K235" s="54"/>
      <c r="L235" s="54"/>
      <c r="M235" s="54"/>
      <c r="N235" s="54"/>
      <c r="O235" s="54" t="s">
        <v>1511</v>
      </c>
    </row>
    <row r="236" spans="1:15" ht="30" x14ac:dyDescent="0.2">
      <c r="A236" s="53" t="s">
        <v>24</v>
      </c>
      <c r="B236" s="53" t="s">
        <v>1040</v>
      </c>
      <c r="C236" s="54" t="s">
        <v>1512</v>
      </c>
      <c r="D236" s="55" t="s">
        <v>1513</v>
      </c>
      <c r="E236" s="54" t="s">
        <v>920</v>
      </c>
      <c r="F236" s="54" t="s">
        <v>1514</v>
      </c>
      <c r="G236" s="54"/>
      <c r="H236" s="54"/>
      <c r="I236" s="54">
        <v>288000</v>
      </c>
      <c r="J236" s="54">
        <v>288000</v>
      </c>
      <c r="K236" s="54"/>
      <c r="L236" s="54"/>
      <c r="M236" s="54"/>
      <c r="N236" s="54"/>
      <c r="O236" s="54" t="s">
        <v>1515</v>
      </c>
    </row>
    <row r="237" spans="1:15" ht="75" x14ac:dyDescent="0.2">
      <c r="A237" s="53" t="s">
        <v>18</v>
      </c>
      <c r="B237" s="53" t="s">
        <v>20</v>
      </c>
      <c r="C237" s="54" t="s">
        <v>1516</v>
      </c>
      <c r="D237" s="55" t="s">
        <v>1517</v>
      </c>
      <c r="E237" s="54" t="s">
        <v>883</v>
      </c>
      <c r="F237" s="54" t="s">
        <v>1518</v>
      </c>
      <c r="G237" s="54">
        <v>8</v>
      </c>
      <c r="H237" s="54"/>
      <c r="I237" s="54"/>
      <c r="J237" s="54"/>
      <c r="K237" s="54"/>
      <c r="L237" s="54">
        <v>5</v>
      </c>
      <c r="M237" s="54"/>
      <c r="N237" s="54">
        <v>5</v>
      </c>
      <c r="O237" s="54" t="s">
        <v>1519</v>
      </c>
    </row>
    <row r="238" spans="1:15" x14ac:dyDescent="0.2">
      <c r="A238" s="70" t="s">
        <v>1520</v>
      </c>
      <c r="B238" s="71"/>
      <c r="C238" s="71"/>
      <c r="D238" s="71"/>
      <c r="E238" s="71"/>
      <c r="F238" s="71"/>
      <c r="G238" s="71"/>
      <c r="H238" s="71"/>
      <c r="I238" s="71"/>
      <c r="J238" s="71"/>
      <c r="K238" s="71"/>
      <c r="L238" s="71"/>
      <c r="M238" s="71"/>
      <c r="N238" s="71"/>
      <c r="O238" s="72"/>
    </row>
  </sheetData>
  <mergeCells count="4">
    <mergeCell ref="A1:O1"/>
    <mergeCell ref="A2:O2"/>
    <mergeCell ref="A3:O3"/>
    <mergeCell ref="A238:O238"/>
  </mergeCells>
  <hyperlinks>
    <hyperlink ref="A2" r:id="rId1"/>
    <hyperlink ref="D5" r:id="rId2"/>
    <hyperlink ref="D6" r:id="rId3"/>
    <hyperlink ref="D7" r:id="rId4"/>
    <hyperlink ref="D8" r:id="rId5"/>
    <hyperlink ref="D9" r:id="rId6"/>
    <hyperlink ref="D10" r:id="rId7"/>
    <hyperlink ref="D11" r:id="rId8"/>
    <hyperlink ref="D12" r:id="rId9"/>
    <hyperlink ref="D13" r:id="rId10"/>
    <hyperlink ref="D14" r:id="rId11"/>
    <hyperlink ref="D15" r:id="rId12"/>
    <hyperlink ref="D16" r:id="rId13"/>
    <hyperlink ref="D17" r:id="rId14"/>
    <hyperlink ref="D18" r:id="rId15"/>
    <hyperlink ref="D19" r:id="rId16"/>
    <hyperlink ref="D20" r:id="rId17"/>
    <hyperlink ref="D21" r:id="rId18"/>
    <hyperlink ref="D22" r:id="rId19"/>
    <hyperlink ref="D23" r:id="rId20"/>
    <hyperlink ref="D24" r:id="rId21"/>
    <hyperlink ref="D25" r:id="rId22"/>
    <hyperlink ref="D26" r:id="rId23"/>
    <hyperlink ref="D27" r:id="rId24"/>
    <hyperlink ref="D28" r:id="rId25"/>
    <hyperlink ref="D29" r:id="rId26"/>
    <hyperlink ref="D30" r:id="rId27"/>
    <hyperlink ref="D31" r:id="rId28"/>
    <hyperlink ref="D32" r:id="rId29"/>
    <hyperlink ref="D33" r:id="rId30"/>
    <hyperlink ref="D34" r:id="rId31"/>
    <hyperlink ref="D35" r:id="rId32"/>
    <hyperlink ref="D36" r:id="rId33"/>
    <hyperlink ref="D37" r:id="rId34"/>
    <hyperlink ref="D38" r:id="rId35"/>
    <hyperlink ref="D39" r:id="rId36"/>
    <hyperlink ref="D40" r:id="rId37"/>
    <hyperlink ref="D41" r:id="rId38"/>
    <hyperlink ref="D42" r:id="rId39"/>
    <hyperlink ref="D43" r:id="rId40"/>
    <hyperlink ref="D44" r:id="rId41"/>
    <hyperlink ref="D45" r:id="rId42"/>
    <hyperlink ref="D46" r:id="rId43"/>
    <hyperlink ref="D47" r:id="rId44"/>
    <hyperlink ref="D48" r:id="rId45"/>
    <hyperlink ref="D49" r:id="rId46"/>
    <hyperlink ref="D50" r:id="rId47"/>
    <hyperlink ref="D51" r:id="rId48"/>
    <hyperlink ref="D52" r:id="rId49"/>
    <hyperlink ref="D53" r:id="rId50"/>
    <hyperlink ref="D54" r:id="rId51"/>
    <hyperlink ref="D55" r:id="rId52"/>
    <hyperlink ref="D56" r:id="rId53"/>
    <hyperlink ref="D57" r:id="rId54"/>
    <hyperlink ref="D58" r:id="rId55"/>
    <hyperlink ref="D59" r:id="rId56"/>
    <hyperlink ref="D60" r:id="rId57"/>
    <hyperlink ref="D61" r:id="rId58"/>
    <hyperlink ref="D62" r:id="rId59"/>
    <hyperlink ref="D63" r:id="rId60"/>
    <hyperlink ref="D64" r:id="rId61"/>
    <hyperlink ref="D65" r:id="rId62"/>
    <hyperlink ref="D66" r:id="rId63"/>
    <hyperlink ref="D67" r:id="rId64"/>
    <hyperlink ref="D68" r:id="rId65"/>
    <hyperlink ref="D69" r:id="rId66"/>
    <hyperlink ref="D70" r:id="rId67"/>
    <hyperlink ref="D71" r:id="rId68"/>
    <hyperlink ref="D72" r:id="rId69"/>
    <hyperlink ref="D73" r:id="rId70"/>
    <hyperlink ref="D74" r:id="rId71"/>
    <hyperlink ref="D75" r:id="rId72"/>
    <hyperlink ref="D76" r:id="rId73"/>
    <hyperlink ref="D77" r:id="rId74"/>
    <hyperlink ref="D78" r:id="rId75"/>
    <hyperlink ref="D79" r:id="rId76"/>
    <hyperlink ref="D80" r:id="rId77"/>
    <hyperlink ref="D81" r:id="rId78"/>
    <hyperlink ref="D82" r:id="rId79"/>
    <hyperlink ref="D83" r:id="rId80"/>
    <hyperlink ref="D84" r:id="rId81"/>
    <hyperlink ref="D85" r:id="rId82"/>
    <hyperlink ref="D86" r:id="rId83"/>
    <hyperlink ref="D87" r:id="rId84"/>
    <hyperlink ref="D88" r:id="rId85"/>
    <hyperlink ref="D89" r:id="rId86"/>
    <hyperlink ref="D90" r:id="rId87"/>
    <hyperlink ref="D91" r:id="rId88"/>
    <hyperlink ref="D92" r:id="rId89"/>
    <hyperlink ref="D93" r:id="rId90"/>
    <hyperlink ref="D94" r:id="rId91"/>
    <hyperlink ref="D95" r:id="rId92"/>
    <hyperlink ref="D96" r:id="rId93"/>
    <hyperlink ref="D97" r:id="rId94"/>
    <hyperlink ref="D98" r:id="rId95"/>
    <hyperlink ref="D99" r:id="rId96"/>
    <hyperlink ref="D100" r:id="rId97"/>
    <hyperlink ref="D101" r:id="rId98"/>
    <hyperlink ref="D102" r:id="rId99"/>
    <hyperlink ref="D103" r:id="rId100"/>
    <hyperlink ref="D104" r:id="rId101"/>
    <hyperlink ref="D105" r:id="rId102"/>
    <hyperlink ref="D106" r:id="rId103"/>
    <hyperlink ref="D107" r:id="rId104"/>
    <hyperlink ref="D108" r:id="rId105"/>
    <hyperlink ref="D109" r:id="rId106"/>
    <hyperlink ref="D110" r:id="rId107"/>
    <hyperlink ref="D111" r:id="rId108"/>
    <hyperlink ref="D112" r:id="rId109"/>
    <hyperlink ref="D113" r:id="rId110"/>
    <hyperlink ref="D114" r:id="rId111"/>
    <hyperlink ref="D115" r:id="rId112"/>
    <hyperlink ref="D116" r:id="rId113"/>
    <hyperlink ref="D117" r:id="rId114"/>
    <hyperlink ref="D118" r:id="rId115"/>
    <hyperlink ref="D119" r:id="rId116"/>
    <hyperlink ref="D120" r:id="rId117"/>
    <hyperlink ref="D121" r:id="rId118"/>
    <hyperlink ref="D122" r:id="rId119"/>
    <hyperlink ref="D123" r:id="rId120"/>
    <hyperlink ref="D124" r:id="rId121"/>
    <hyperlink ref="D125" r:id="rId122"/>
    <hyperlink ref="D126" r:id="rId123"/>
    <hyperlink ref="D127" r:id="rId124"/>
    <hyperlink ref="D128" r:id="rId125"/>
    <hyperlink ref="D129" r:id="rId126"/>
    <hyperlink ref="D130" r:id="rId127"/>
    <hyperlink ref="D131" r:id="rId128"/>
    <hyperlink ref="D132" r:id="rId129"/>
    <hyperlink ref="D133" r:id="rId130"/>
    <hyperlink ref="D134" r:id="rId131"/>
    <hyperlink ref="D135" r:id="rId132"/>
    <hyperlink ref="D136" r:id="rId133"/>
    <hyperlink ref="D137" r:id="rId134"/>
    <hyperlink ref="D138" r:id="rId135"/>
    <hyperlink ref="D139" r:id="rId136"/>
    <hyperlink ref="D140" r:id="rId137"/>
    <hyperlink ref="D141" r:id="rId138"/>
    <hyperlink ref="D142" r:id="rId139"/>
    <hyperlink ref="D143" r:id="rId140"/>
    <hyperlink ref="D144" r:id="rId141"/>
    <hyperlink ref="D145" r:id="rId142"/>
    <hyperlink ref="D146" r:id="rId143"/>
    <hyperlink ref="D147" r:id="rId144"/>
    <hyperlink ref="D148" r:id="rId145"/>
    <hyperlink ref="D149" r:id="rId146"/>
    <hyperlink ref="D150" r:id="rId147"/>
    <hyperlink ref="D151" r:id="rId148"/>
    <hyperlink ref="D152" r:id="rId149"/>
    <hyperlink ref="D153" r:id="rId150"/>
    <hyperlink ref="D154" r:id="rId151"/>
    <hyperlink ref="D155" r:id="rId152"/>
    <hyperlink ref="D156" r:id="rId153"/>
    <hyperlink ref="D157" r:id="rId154"/>
    <hyperlink ref="D158" r:id="rId155"/>
    <hyperlink ref="D159" r:id="rId156"/>
    <hyperlink ref="D160" r:id="rId157"/>
    <hyperlink ref="D161" r:id="rId158"/>
    <hyperlink ref="D162" r:id="rId159"/>
    <hyperlink ref="D163" r:id="rId160"/>
    <hyperlink ref="D164" r:id="rId161"/>
    <hyperlink ref="D165" r:id="rId162"/>
    <hyperlink ref="D166" r:id="rId163"/>
    <hyperlink ref="D167" r:id="rId164"/>
    <hyperlink ref="D168" r:id="rId165"/>
    <hyperlink ref="D169" r:id="rId166"/>
    <hyperlink ref="D170" r:id="rId167"/>
    <hyperlink ref="D171" r:id="rId168"/>
    <hyperlink ref="D172" r:id="rId169"/>
    <hyperlink ref="D173" r:id="rId170"/>
    <hyperlink ref="D174" r:id="rId171"/>
    <hyperlink ref="D175" r:id="rId172"/>
    <hyperlink ref="D176" r:id="rId173"/>
    <hyperlink ref="D177" r:id="rId174"/>
    <hyperlink ref="D178" r:id="rId175"/>
    <hyperlink ref="D179" r:id="rId176"/>
    <hyperlink ref="D180" r:id="rId177"/>
    <hyperlink ref="D181" r:id="rId178"/>
    <hyperlink ref="D182" r:id="rId179"/>
    <hyperlink ref="D183" r:id="rId180"/>
    <hyperlink ref="D184" r:id="rId181"/>
    <hyperlink ref="D185" r:id="rId182"/>
    <hyperlink ref="D186" r:id="rId183"/>
    <hyperlink ref="D187" r:id="rId184"/>
    <hyperlink ref="D188" r:id="rId185"/>
    <hyperlink ref="D189" r:id="rId186"/>
    <hyperlink ref="D190" r:id="rId187"/>
    <hyperlink ref="D191" r:id="rId188"/>
    <hyperlink ref="D192" r:id="rId189"/>
    <hyperlink ref="D193" r:id="rId190"/>
    <hyperlink ref="D194" r:id="rId191"/>
    <hyperlink ref="D195" r:id="rId192"/>
    <hyperlink ref="D196" r:id="rId193"/>
    <hyperlink ref="D197" r:id="rId194"/>
    <hyperlink ref="D198" r:id="rId195"/>
    <hyperlink ref="D199" r:id="rId196"/>
    <hyperlink ref="D200" r:id="rId197"/>
    <hyperlink ref="D201" r:id="rId198"/>
    <hyperlink ref="D202" r:id="rId199"/>
    <hyperlink ref="D203" r:id="rId200"/>
    <hyperlink ref="D204" r:id="rId201"/>
    <hyperlink ref="D205" r:id="rId202"/>
    <hyperlink ref="D206" r:id="rId203"/>
    <hyperlink ref="D207" r:id="rId204"/>
    <hyperlink ref="D208" r:id="rId205"/>
    <hyperlink ref="D209" r:id="rId206"/>
    <hyperlink ref="D210" r:id="rId207"/>
    <hyperlink ref="D211" r:id="rId208"/>
    <hyperlink ref="D212" r:id="rId209"/>
    <hyperlink ref="D213" r:id="rId210"/>
    <hyperlink ref="D214" r:id="rId211"/>
    <hyperlink ref="D215" r:id="rId212"/>
    <hyperlink ref="D216" r:id="rId213"/>
    <hyperlink ref="D217" r:id="rId214"/>
    <hyperlink ref="D218" r:id="rId215"/>
    <hyperlink ref="D219" r:id="rId216"/>
    <hyperlink ref="D220" r:id="rId217"/>
    <hyperlink ref="D221" r:id="rId218"/>
    <hyperlink ref="D222" r:id="rId219"/>
    <hyperlink ref="D223" r:id="rId220"/>
    <hyperlink ref="D224" r:id="rId221"/>
    <hyperlink ref="D225" r:id="rId222"/>
    <hyperlink ref="D226" r:id="rId223"/>
    <hyperlink ref="D227" r:id="rId224"/>
    <hyperlink ref="D228" r:id="rId225"/>
    <hyperlink ref="D229" r:id="rId226"/>
    <hyperlink ref="D230" r:id="rId227"/>
    <hyperlink ref="D231" r:id="rId228"/>
    <hyperlink ref="D232" r:id="rId229"/>
    <hyperlink ref="D233" r:id="rId230"/>
    <hyperlink ref="D234" r:id="rId231"/>
    <hyperlink ref="D235" r:id="rId232"/>
    <hyperlink ref="D236" r:id="rId233"/>
    <hyperlink ref="D237" r:id="rId234"/>
  </hyperlinks>
  <pageMargins left="0.7" right="0.7" top="0.75" bottom="0.75" header="0.3" footer="0.3"/>
  <drawing r:id="rId23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rgb="FF00B0F0"/>
  </sheetPr>
  <dimension ref="A1:O307"/>
  <sheetViews>
    <sheetView showGridLines="0" workbookViewId="0">
      <selection activeCell="E28" sqref="E28"/>
    </sheetView>
  </sheetViews>
  <sheetFormatPr defaultColWidth="10.875" defaultRowHeight="15" x14ac:dyDescent="0.2"/>
  <cols>
    <col min="1" max="1" width="11.5" style="51" bestFit="1" customWidth="1"/>
    <col min="2" max="2" width="11.375" style="51" bestFit="1" customWidth="1"/>
    <col min="3" max="3" width="43.375" style="51" bestFit="1" customWidth="1"/>
    <col min="4" max="4" width="16.625" style="51" bestFit="1" customWidth="1"/>
    <col min="5" max="6" width="43.375" style="51" bestFit="1" customWidth="1"/>
    <col min="7" max="7" width="12.875" style="51" bestFit="1" customWidth="1"/>
    <col min="8" max="8" width="9.875" style="51" customWidth="1"/>
    <col min="9" max="9" width="19.375" style="51" bestFit="1" customWidth="1"/>
    <col min="10" max="10" width="22" style="51" bestFit="1" customWidth="1"/>
    <col min="11" max="11" width="9.125" style="51" customWidth="1"/>
    <col min="12" max="12" width="15.5" style="51" bestFit="1" customWidth="1"/>
    <col min="13" max="13" width="15.875" style="51" bestFit="1" customWidth="1"/>
    <col min="14" max="14" width="15.625" style="51" bestFit="1" customWidth="1"/>
    <col min="15" max="15" width="43.375" style="51" bestFit="1" customWidth="1"/>
    <col min="16" max="16384" width="10.875" style="51"/>
  </cols>
  <sheetData>
    <row r="1" spans="1:15" ht="36" customHeight="1" x14ac:dyDescent="0.2">
      <c r="A1" s="61"/>
      <c r="B1" s="62"/>
      <c r="C1" s="62"/>
      <c r="D1" s="62"/>
      <c r="E1" s="62"/>
      <c r="F1" s="62"/>
      <c r="G1" s="62"/>
      <c r="H1" s="62"/>
      <c r="I1" s="62"/>
      <c r="J1" s="62"/>
      <c r="K1" s="62"/>
      <c r="L1" s="62"/>
      <c r="M1" s="62"/>
      <c r="N1" s="62"/>
      <c r="O1" s="63"/>
    </row>
    <row r="2" spans="1:15" ht="15.95" customHeight="1" x14ac:dyDescent="0.2">
      <c r="A2" s="64" t="s">
        <v>426</v>
      </c>
      <c r="B2" s="65"/>
      <c r="C2" s="65"/>
      <c r="D2" s="65"/>
      <c r="E2" s="65"/>
      <c r="F2" s="65"/>
      <c r="G2" s="65"/>
      <c r="H2" s="65"/>
      <c r="I2" s="65"/>
      <c r="J2" s="65"/>
      <c r="K2" s="65"/>
      <c r="L2" s="65"/>
      <c r="M2" s="65"/>
      <c r="N2" s="65"/>
      <c r="O2" s="66"/>
    </row>
    <row r="3" spans="1:15" ht="15.95" customHeight="1" x14ac:dyDescent="0.2">
      <c r="A3" s="67" t="s">
        <v>4774</v>
      </c>
      <c r="B3" s="68"/>
      <c r="C3" s="68"/>
      <c r="D3" s="68"/>
      <c r="E3" s="68"/>
      <c r="F3" s="68"/>
      <c r="G3" s="68"/>
      <c r="H3" s="68"/>
      <c r="I3" s="68"/>
      <c r="J3" s="68"/>
      <c r="K3" s="68"/>
      <c r="L3" s="68"/>
      <c r="M3" s="68"/>
      <c r="N3" s="68"/>
      <c r="O3" s="69"/>
    </row>
    <row r="4" spans="1:15" ht="31.5" x14ac:dyDescent="0.2">
      <c r="A4" s="52" t="s">
        <v>4</v>
      </c>
      <c r="B4" s="52" t="s">
        <v>5</v>
      </c>
      <c r="C4" s="52" t="s">
        <v>54</v>
      </c>
      <c r="D4" s="52" t="s">
        <v>6</v>
      </c>
      <c r="E4" s="52" t="s">
        <v>7</v>
      </c>
      <c r="F4" s="52" t="s">
        <v>53</v>
      </c>
      <c r="G4" s="52" t="s">
        <v>8</v>
      </c>
      <c r="H4" s="52" t="s">
        <v>427</v>
      </c>
      <c r="I4" s="52" t="s">
        <v>429</v>
      </c>
      <c r="J4" s="52" t="s">
        <v>428</v>
      </c>
      <c r="K4" s="52" t="s">
        <v>9</v>
      </c>
      <c r="L4" s="52" t="s">
        <v>10</v>
      </c>
      <c r="M4" s="52" t="s">
        <v>52</v>
      </c>
      <c r="N4" s="52" t="s">
        <v>51</v>
      </c>
      <c r="O4" s="52" t="s">
        <v>11</v>
      </c>
    </row>
    <row r="5" spans="1:15" ht="30" x14ac:dyDescent="0.2">
      <c r="A5" s="53" t="s">
        <v>12</v>
      </c>
      <c r="B5" s="53" t="s">
        <v>13</v>
      </c>
      <c r="C5" s="54" t="s">
        <v>1522</v>
      </c>
      <c r="D5" s="55" t="s">
        <v>1523</v>
      </c>
      <c r="E5" s="54"/>
      <c r="F5" s="54"/>
      <c r="G5" s="54">
        <v>3</v>
      </c>
      <c r="H5" s="54"/>
      <c r="I5" s="54">
        <v>28800</v>
      </c>
      <c r="J5" s="54">
        <v>28800</v>
      </c>
      <c r="K5" s="54"/>
      <c r="L5" s="54"/>
      <c r="M5" s="54">
        <v>1</v>
      </c>
      <c r="N5" s="54"/>
      <c r="O5" s="54" t="s">
        <v>1524</v>
      </c>
    </row>
    <row r="6" spans="1:15" ht="15.75" x14ac:dyDescent="0.2">
      <c r="A6" s="53" t="s">
        <v>12</v>
      </c>
      <c r="B6" s="53" t="s">
        <v>13</v>
      </c>
      <c r="C6" s="54" t="s">
        <v>1525</v>
      </c>
      <c r="D6" s="55" t="s">
        <v>1526</v>
      </c>
      <c r="E6" s="54" t="s">
        <v>883</v>
      </c>
      <c r="F6" s="54" t="s">
        <v>910</v>
      </c>
      <c r="G6" s="54">
        <v>0.5</v>
      </c>
      <c r="H6" s="54"/>
      <c r="I6" s="54"/>
      <c r="J6" s="54"/>
      <c r="K6" s="54"/>
      <c r="L6" s="54"/>
      <c r="M6" s="54"/>
      <c r="N6" s="54"/>
      <c r="O6" s="54" t="s">
        <v>1510</v>
      </c>
    </row>
    <row r="7" spans="1:15" ht="15.75" x14ac:dyDescent="0.2">
      <c r="A7" s="53" t="s">
        <v>12</v>
      </c>
      <c r="B7" s="53" t="s">
        <v>13</v>
      </c>
      <c r="C7" s="54" t="s">
        <v>1527</v>
      </c>
      <c r="D7" s="55" t="s">
        <v>1528</v>
      </c>
      <c r="E7" s="54" t="s">
        <v>883</v>
      </c>
      <c r="F7" s="54" t="s">
        <v>910</v>
      </c>
      <c r="G7" s="54">
        <v>3</v>
      </c>
      <c r="H7" s="54"/>
      <c r="I7" s="54"/>
      <c r="J7" s="54"/>
      <c r="K7" s="54"/>
      <c r="L7" s="54"/>
      <c r="M7" s="54"/>
      <c r="N7" s="54"/>
      <c r="O7" s="54" t="s">
        <v>1510</v>
      </c>
    </row>
    <row r="8" spans="1:15" ht="30" x14ac:dyDescent="0.2">
      <c r="A8" s="53" t="s">
        <v>12</v>
      </c>
      <c r="B8" s="53" t="s">
        <v>14</v>
      </c>
      <c r="C8" s="54" t="s">
        <v>1529</v>
      </c>
      <c r="D8" s="55" t="s">
        <v>1530</v>
      </c>
      <c r="E8" s="54" t="s">
        <v>899</v>
      </c>
      <c r="F8" s="54" t="s">
        <v>1013</v>
      </c>
      <c r="G8" s="54">
        <v>1</v>
      </c>
      <c r="H8" s="54"/>
      <c r="I8" s="54"/>
      <c r="J8" s="54"/>
      <c r="K8" s="54"/>
      <c r="L8" s="54"/>
      <c r="M8" s="54"/>
      <c r="N8" s="54"/>
      <c r="O8" s="54" t="s">
        <v>1531</v>
      </c>
    </row>
    <row r="9" spans="1:15" ht="30" x14ac:dyDescent="0.2">
      <c r="A9" s="53" t="s">
        <v>12</v>
      </c>
      <c r="B9" s="53" t="s">
        <v>13</v>
      </c>
      <c r="C9" s="54" t="s">
        <v>1532</v>
      </c>
      <c r="D9" s="55" t="s">
        <v>1533</v>
      </c>
      <c r="E9" s="54"/>
      <c r="F9" s="54" t="s">
        <v>1013</v>
      </c>
      <c r="G9" s="54">
        <v>5</v>
      </c>
      <c r="H9" s="54"/>
      <c r="I9" s="54"/>
      <c r="J9" s="54"/>
      <c r="K9" s="54"/>
      <c r="L9" s="54"/>
      <c r="M9" s="54"/>
      <c r="N9" s="54"/>
      <c r="O9" s="54" t="s">
        <v>1534</v>
      </c>
    </row>
    <row r="10" spans="1:15" ht="30" x14ac:dyDescent="0.2">
      <c r="A10" s="53" t="s">
        <v>12</v>
      </c>
      <c r="B10" s="53" t="s">
        <v>16</v>
      </c>
      <c r="C10" s="54" t="s">
        <v>1535</v>
      </c>
      <c r="D10" s="55" t="s">
        <v>1536</v>
      </c>
      <c r="E10" s="54"/>
      <c r="F10" s="54" t="s">
        <v>1537</v>
      </c>
      <c r="G10" s="54">
        <v>8</v>
      </c>
      <c r="H10" s="54"/>
      <c r="I10" s="54">
        <v>14400</v>
      </c>
      <c r="J10" s="54">
        <v>3000</v>
      </c>
      <c r="K10" s="54"/>
      <c r="L10" s="54"/>
      <c r="M10" s="54"/>
      <c r="N10" s="54"/>
      <c r="O10" s="54"/>
    </row>
    <row r="11" spans="1:15" ht="30" x14ac:dyDescent="0.2">
      <c r="A11" s="53" t="s">
        <v>12</v>
      </c>
      <c r="B11" s="53" t="s">
        <v>13</v>
      </c>
      <c r="C11" s="54" t="s">
        <v>1538</v>
      </c>
      <c r="D11" s="55" t="s">
        <v>1539</v>
      </c>
      <c r="E11" s="54"/>
      <c r="F11" s="54" t="s">
        <v>1540</v>
      </c>
      <c r="G11" s="54">
        <v>8</v>
      </c>
      <c r="H11" s="54"/>
      <c r="I11" s="54">
        <v>374400</v>
      </c>
      <c r="J11" s="54">
        <v>374400</v>
      </c>
      <c r="K11" s="54"/>
      <c r="L11" s="54"/>
      <c r="M11" s="54"/>
      <c r="N11" s="54"/>
      <c r="O11" s="54" t="s">
        <v>1541</v>
      </c>
    </row>
    <row r="12" spans="1:15" ht="15.75" x14ac:dyDescent="0.2">
      <c r="A12" s="53" t="s">
        <v>12</v>
      </c>
      <c r="B12" s="53" t="s">
        <v>13</v>
      </c>
      <c r="C12" s="54" t="s">
        <v>1542</v>
      </c>
      <c r="D12" s="55" t="s">
        <v>1543</v>
      </c>
      <c r="E12" s="54"/>
      <c r="F12" s="54"/>
      <c r="G12" s="54"/>
      <c r="H12" s="54"/>
      <c r="I12" s="54"/>
      <c r="J12" s="54"/>
      <c r="K12" s="54"/>
      <c r="L12" s="54"/>
      <c r="M12" s="54"/>
      <c r="N12" s="54"/>
      <c r="O12" s="54" t="s">
        <v>1544</v>
      </c>
    </row>
    <row r="13" spans="1:15" ht="15.75" x14ac:dyDescent="0.2">
      <c r="A13" s="53" t="s">
        <v>12</v>
      </c>
      <c r="B13" s="53" t="s">
        <v>13</v>
      </c>
      <c r="C13" s="54" t="s">
        <v>1545</v>
      </c>
      <c r="D13" s="55" t="s">
        <v>1546</v>
      </c>
      <c r="E13" s="54" t="s">
        <v>883</v>
      </c>
      <c r="F13" s="54" t="s">
        <v>910</v>
      </c>
      <c r="G13" s="54">
        <v>13</v>
      </c>
      <c r="H13" s="54"/>
      <c r="I13" s="54"/>
      <c r="J13" s="54"/>
      <c r="K13" s="54"/>
      <c r="L13" s="54"/>
      <c r="M13" s="54"/>
      <c r="N13" s="54"/>
      <c r="O13" s="54" t="s">
        <v>1547</v>
      </c>
    </row>
    <row r="14" spans="1:15" ht="15.75" x14ac:dyDescent="0.2">
      <c r="A14" s="53" t="s">
        <v>12</v>
      </c>
      <c r="B14" s="53" t="s">
        <v>13</v>
      </c>
      <c r="C14" s="54" t="s">
        <v>1548</v>
      </c>
      <c r="D14" s="55" t="s">
        <v>1549</v>
      </c>
      <c r="E14" s="54" t="s">
        <v>1550</v>
      </c>
      <c r="F14" s="54"/>
      <c r="G14" s="54">
        <v>3</v>
      </c>
      <c r="H14" s="54"/>
      <c r="I14" s="54"/>
      <c r="J14" s="54"/>
      <c r="K14" s="54"/>
      <c r="L14" s="54"/>
      <c r="M14" s="54"/>
      <c r="N14" s="54"/>
      <c r="O14" s="54" t="s">
        <v>1544</v>
      </c>
    </row>
    <row r="15" spans="1:15" ht="15.75" x14ac:dyDescent="0.2">
      <c r="A15" s="53" t="s">
        <v>12</v>
      </c>
      <c r="B15" s="53" t="s">
        <v>13</v>
      </c>
      <c r="C15" s="54" t="s">
        <v>1551</v>
      </c>
      <c r="D15" s="55" t="s">
        <v>1552</v>
      </c>
      <c r="E15" s="54" t="s">
        <v>1550</v>
      </c>
      <c r="F15" s="54"/>
      <c r="G15" s="54">
        <v>3</v>
      </c>
      <c r="H15" s="54"/>
      <c r="I15" s="54"/>
      <c r="J15" s="54"/>
      <c r="K15" s="54"/>
      <c r="L15" s="54"/>
      <c r="M15" s="54"/>
      <c r="N15" s="54"/>
      <c r="O15" s="54" t="s">
        <v>1544</v>
      </c>
    </row>
    <row r="16" spans="1:15" ht="30" x14ac:dyDescent="0.2">
      <c r="A16" s="53" t="s">
        <v>12</v>
      </c>
      <c r="B16" s="53" t="s">
        <v>16</v>
      </c>
      <c r="C16" s="54" t="s">
        <v>1553</v>
      </c>
      <c r="D16" s="55" t="s">
        <v>1554</v>
      </c>
      <c r="E16" s="54"/>
      <c r="F16" s="54" t="s">
        <v>1555</v>
      </c>
      <c r="G16" s="54"/>
      <c r="H16" s="54"/>
      <c r="I16" s="54">
        <v>115200</v>
      </c>
      <c r="J16" s="54">
        <v>115200</v>
      </c>
      <c r="K16" s="54"/>
      <c r="L16" s="54"/>
      <c r="M16" s="54"/>
      <c r="N16" s="54"/>
      <c r="O16" s="54"/>
    </row>
    <row r="17" spans="1:15" ht="15.75" x14ac:dyDescent="0.2">
      <c r="A17" s="53" t="s">
        <v>12</v>
      </c>
      <c r="B17" s="53" t="s">
        <v>13</v>
      </c>
      <c r="C17" s="54" t="s">
        <v>1556</v>
      </c>
      <c r="D17" s="55" t="s">
        <v>1557</v>
      </c>
      <c r="E17" s="54" t="s">
        <v>883</v>
      </c>
      <c r="F17" s="54" t="s">
        <v>910</v>
      </c>
      <c r="G17" s="54">
        <v>5</v>
      </c>
      <c r="H17" s="54"/>
      <c r="I17" s="54"/>
      <c r="J17" s="54"/>
      <c r="K17" s="54"/>
      <c r="L17" s="54"/>
      <c r="M17" s="54"/>
      <c r="N17" s="54"/>
      <c r="O17" s="54" t="s">
        <v>1547</v>
      </c>
    </row>
    <row r="18" spans="1:15" ht="30" x14ac:dyDescent="0.2">
      <c r="A18" s="53" t="s">
        <v>12</v>
      </c>
      <c r="B18" s="53" t="s">
        <v>14</v>
      </c>
      <c r="C18" s="54" t="s">
        <v>1558</v>
      </c>
      <c r="D18" s="55" t="s">
        <v>1559</v>
      </c>
      <c r="E18" s="54"/>
      <c r="F18" s="54" t="s">
        <v>1013</v>
      </c>
      <c r="G18" s="54">
        <v>2</v>
      </c>
      <c r="H18" s="54"/>
      <c r="I18" s="54">
        <v>57600</v>
      </c>
      <c r="J18" s="54">
        <v>57600</v>
      </c>
      <c r="K18" s="54"/>
      <c r="L18" s="54"/>
      <c r="M18" s="54">
        <v>1</v>
      </c>
      <c r="N18" s="54"/>
      <c r="O18" s="54"/>
    </row>
    <row r="19" spans="1:15" ht="15.75" x14ac:dyDescent="0.2">
      <c r="A19" s="53" t="s">
        <v>12</v>
      </c>
      <c r="B19" s="53" t="s">
        <v>13</v>
      </c>
      <c r="C19" s="54" t="s">
        <v>1560</v>
      </c>
      <c r="D19" s="55" t="s">
        <v>1561</v>
      </c>
      <c r="E19" s="54"/>
      <c r="F19" s="54" t="s">
        <v>1540</v>
      </c>
      <c r="G19" s="54">
        <v>1</v>
      </c>
      <c r="H19" s="54"/>
      <c r="I19" s="54">
        <v>57600</v>
      </c>
      <c r="J19" s="54">
        <v>57600</v>
      </c>
      <c r="K19" s="54"/>
      <c r="L19" s="54"/>
      <c r="M19" s="54"/>
      <c r="N19" s="54"/>
      <c r="O19" s="54" t="s">
        <v>1562</v>
      </c>
    </row>
    <row r="20" spans="1:15" ht="30" x14ac:dyDescent="0.2">
      <c r="A20" s="53" t="s">
        <v>12</v>
      </c>
      <c r="B20" s="53" t="s">
        <v>13</v>
      </c>
      <c r="C20" s="54" t="s">
        <v>1563</v>
      </c>
      <c r="D20" s="55" t="s">
        <v>1564</v>
      </c>
      <c r="E20" s="54"/>
      <c r="F20" s="54" t="s">
        <v>1555</v>
      </c>
      <c r="G20" s="54"/>
      <c r="H20" s="54"/>
      <c r="I20" s="54"/>
      <c r="J20" s="54"/>
      <c r="K20" s="54"/>
      <c r="L20" s="54"/>
      <c r="M20" s="54"/>
      <c r="N20" s="54"/>
      <c r="O20" s="54"/>
    </row>
    <row r="21" spans="1:15" ht="30" x14ac:dyDescent="0.2">
      <c r="A21" s="53" t="s">
        <v>12</v>
      </c>
      <c r="B21" s="53" t="s">
        <v>13</v>
      </c>
      <c r="C21" s="54" t="s">
        <v>1565</v>
      </c>
      <c r="D21" s="55" t="s">
        <v>1566</v>
      </c>
      <c r="E21" s="54"/>
      <c r="F21" s="54" t="s">
        <v>1555</v>
      </c>
      <c r="G21" s="54"/>
      <c r="H21" s="54"/>
      <c r="I21" s="54">
        <v>115200</v>
      </c>
      <c r="J21" s="54">
        <v>115200</v>
      </c>
      <c r="K21" s="54"/>
      <c r="L21" s="54"/>
      <c r="M21" s="54"/>
      <c r="N21" s="54"/>
      <c r="O21" s="54"/>
    </row>
    <row r="22" spans="1:15" ht="45" x14ac:dyDescent="0.2">
      <c r="A22" s="53" t="s">
        <v>12</v>
      </c>
      <c r="B22" s="53" t="s">
        <v>13</v>
      </c>
      <c r="C22" s="54" t="s">
        <v>1567</v>
      </c>
      <c r="D22" s="55" t="s">
        <v>1568</v>
      </c>
      <c r="E22" s="54" t="s">
        <v>920</v>
      </c>
      <c r="F22" s="54" t="s">
        <v>1013</v>
      </c>
      <c r="G22" s="54">
        <v>0</v>
      </c>
      <c r="H22" s="54"/>
      <c r="I22" s="54"/>
      <c r="J22" s="54"/>
      <c r="K22" s="54"/>
      <c r="L22" s="54"/>
      <c r="M22" s="54"/>
      <c r="N22" s="54"/>
      <c r="O22" s="54" t="s">
        <v>1569</v>
      </c>
    </row>
    <row r="23" spans="1:15" ht="45" x14ac:dyDescent="0.2">
      <c r="A23" s="53" t="s">
        <v>12</v>
      </c>
      <c r="B23" s="53" t="s">
        <v>13</v>
      </c>
      <c r="C23" s="54" t="s">
        <v>1570</v>
      </c>
      <c r="D23" s="55" t="s">
        <v>1571</v>
      </c>
      <c r="E23" s="54" t="s">
        <v>920</v>
      </c>
      <c r="F23" s="54" t="s">
        <v>1013</v>
      </c>
      <c r="G23" s="54">
        <v>8</v>
      </c>
      <c r="H23" s="54"/>
      <c r="I23" s="54"/>
      <c r="J23" s="54"/>
      <c r="K23" s="54"/>
      <c r="L23" s="54"/>
      <c r="M23" s="54"/>
      <c r="N23" s="54"/>
      <c r="O23" s="54" t="s">
        <v>1569</v>
      </c>
    </row>
    <row r="24" spans="1:15" ht="15.75" x14ac:dyDescent="0.2">
      <c r="A24" s="53" t="s">
        <v>12</v>
      </c>
      <c r="B24" s="53" t="s">
        <v>13</v>
      </c>
      <c r="C24" s="54" t="s">
        <v>1572</v>
      </c>
      <c r="D24" s="55" t="s">
        <v>1573</v>
      </c>
      <c r="E24" s="54"/>
      <c r="F24" s="54" t="s">
        <v>1537</v>
      </c>
      <c r="G24" s="54">
        <v>3</v>
      </c>
      <c r="H24" s="54"/>
      <c r="I24" s="54"/>
      <c r="J24" s="54"/>
      <c r="K24" s="54"/>
      <c r="L24" s="54"/>
      <c r="M24" s="54"/>
      <c r="N24" s="54"/>
      <c r="O24" s="54" t="s">
        <v>1574</v>
      </c>
    </row>
    <row r="25" spans="1:15" ht="30" x14ac:dyDescent="0.2">
      <c r="A25" s="53" t="s">
        <v>12</v>
      </c>
      <c r="B25" s="53" t="s">
        <v>16</v>
      </c>
      <c r="C25" s="54" t="s">
        <v>1575</v>
      </c>
      <c r="D25" s="55" t="s">
        <v>1576</v>
      </c>
      <c r="E25" s="54" t="s">
        <v>899</v>
      </c>
      <c r="F25" s="54"/>
      <c r="G25" s="54">
        <v>2</v>
      </c>
      <c r="H25" s="54"/>
      <c r="I25" s="54"/>
      <c r="J25" s="54">
        <v>0</v>
      </c>
      <c r="K25" s="54"/>
      <c r="L25" s="54"/>
      <c r="M25" s="54"/>
      <c r="N25" s="54"/>
      <c r="O25" s="54"/>
    </row>
    <row r="26" spans="1:15" ht="15.75" x14ac:dyDescent="0.2">
      <c r="A26" s="53" t="s">
        <v>12</v>
      </c>
      <c r="B26" s="53" t="s">
        <v>14</v>
      </c>
      <c r="C26" s="54" t="s">
        <v>1577</v>
      </c>
      <c r="D26" s="55" t="s">
        <v>1578</v>
      </c>
      <c r="E26" s="54"/>
      <c r="F26" s="54" t="s">
        <v>1537</v>
      </c>
      <c r="G26" s="54"/>
      <c r="H26" s="54"/>
      <c r="I26" s="54">
        <v>7200</v>
      </c>
      <c r="J26" s="54">
        <v>7200</v>
      </c>
      <c r="K26" s="54"/>
      <c r="L26" s="54"/>
      <c r="M26" s="54"/>
      <c r="N26" s="54"/>
      <c r="O26" s="54" t="s">
        <v>1579</v>
      </c>
    </row>
    <row r="27" spans="1:15" ht="15.75" x14ac:dyDescent="0.2">
      <c r="A27" s="53" t="s">
        <v>12</v>
      </c>
      <c r="B27" s="53" t="s">
        <v>15</v>
      </c>
      <c r="C27" s="54" t="s">
        <v>1580</v>
      </c>
      <c r="D27" s="55" t="s">
        <v>1581</v>
      </c>
      <c r="E27" s="54" t="s">
        <v>883</v>
      </c>
      <c r="F27" s="54" t="s">
        <v>884</v>
      </c>
      <c r="G27" s="54">
        <v>1</v>
      </c>
      <c r="H27" s="54">
        <v>1</v>
      </c>
      <c r="I27" s="54"/>
      <c r="J27" s="54">
        <v>0</v>
      </c>
      <c r="K27" s="54"/>
      <c r="L27" s="54"/>
      <c r="M27" s="54"/>
      <c r="N27" s="54"/>
      <c r="O27" s="54" t="s">
        <v>913</v>
      </c>
    </row>
    <row r="28" spans="1:15" ht="45" x14ac:dyDescent="0.2">
      <c r="A28" s="53" t="s">
        <v>12</v>
      </c>
      <c r="B28" s="53" t="s">
        <v>13</v>
      </c>
      <c r="C28" s="54" t="s">
        <v>1582</v>
      </c>
      <c r="D28" s="55" t="s">
        <v>1583</v>
      </c>
      <c r="E28" s="54" t="s">
        <v>1584</v>
      </c>
      <c r="F28" s="54"/>
      <c r="G28" s="54">
        <v>13</v>
      </c>
      <c r="H28" s="54"/>
      <c r="I28" s="54">
        <v>28800</v>
      </c>
      <c r="J28" s="54">
        <v>28800</v>
      </c>
      <c r="K28" s="54"/>
      <c r="L28" s="54"/>
      <c r="M28" s="54"/>
      <c r="N28" s="54"/>
      <c r="O28" s="54"/>
    </row>
    <row r="29" spans="1:15" ht="45" x14ac:dyDescent="0.2">
      <c r="A29" s="53" t="s">
        <v>12</v>
      </c>
      <c r="B29" s="53" t="s">
        <v>14</v>
      </c>
      <c r="C29" s="54" t="s">
        <v>1585</v>
      </c>
      <c r="D29" s="55" t="s">
        <v>1586</v>
      </c>
      <c r="E29" s="54" t="s">
        <v>899</v>
      </c>
      <c r="F29" s="54" t="s">
        <v>1555</v>
      </c>
      <c r="G29" s="54">
        <v>13</v>
      </c>
      <c r="H29" s="54"/>
      <c r="I29" s="54">
        <v>28800</v>
      </c>
      <c r="J29" s="54">
        <v>28800</v>
      </c>
      <c r="K29" s="54"/>
      <c r="L29" s="54"/>
      <c r="M29" s="54"/>
      <c r="N29" s="54"/>
      <c r="O29" s="54" t="s">
        <v>1457</v>
      </c>
    </row>
    <row r="30" spans="1:15" ht="30" x14ac:dyDescent="0.2">
      <c r="A30" s="53" t="s">
        <v>12</v>
      </c>
      <c r="B30" s="53" t="s">
        <v>14</v>
      </c>
      <c r="C30" s="54" t="s">
        <v>1587</v>
      </c>
      <c r="D30" s="55" t="s">
        <v>1588</v>
      </c>
      <c r="E30" s="54" t="s">
        <v>899</v>
      </c>
      <c r="F30" s="54" t="s">
        <v>1555</v>
      </c>
      <c r="G30" s="54">
        <v>8</v>
      </c>
      <c r="H30" s="54"/>
      <c r="I30" s="54">
        <v>57600</v>
      </c>
      <c r="J30" s="54">
        <v>57600</v>
      </c>
      <c r="K30" s="54"/>
      <c r="L30" s="54"/>
      <c r="M30" s="54"/>
      <c r="N30" s="54"/>
      <c r="O30" s="54" t="s">
        <v>1457</v>
      </c>
    </row>
    <row r="31" spans="1:15" ht="15.75" x14ac:dyDescent="0.2">
      <c r="A31" s="53" t="s">
        <v>12</v>
      </c>
      <c r="B31" s="53" t="s">
        <v>14</v>
      </c>
      <c r="C31" s="54" t="s">
        <v>1589</v>
      </c>
      <c r="D31" s="55" t="s">
        <v>1590</v>
      </c>
      <c r="E31" s="54"/>
      <c r="F31" s="54"/>
      <c r="G31" s="54"/>
      <c r="H31" s="54"/>
      <c r="I31" s="54"/>
      <c r="J31" s="54"/>
      <c r="K31" s="54"/>
      <c r="L31" s="54"/>
      <c r="M31" s="54"/>
      <c r="N31" s="54"/>
      <c r="O31" s="54" t="s">
        <v>1591</v>
      </c>
    </row>
    <row r="32" spans="1:15" ht="45" x14ac:dyDescent="0.2">
      <c r="A32" s="53" t="s">
        <v>12</v>
      </c>
      <c r="B32" s="53" t="s">
        <v>13</v>
      </c>
      <c r="C32" s="54" t="s">
        <v>1592</v>
      </c>
      <c r="D32" s="55" t="s">
        <v>1593</v>
      </c>
      <c r="E32" s="54" t="s">
        <v>899</v>
      </c>
      <c r="F32" s="54" t="s">
        <v>1594</v>
      </c>
      <c r="G32" s="54">
        <v>0</v>
      </c>
      <c r="H32" s="54"/>
      <c r="I32" s="54">
        <v>0</v>
      </c>
      <c r="J32" s="54">
        <v>0</v>
      </c>
      <c r="K32" s="54"/>
      <c r="L32" s="54"/>
      <c r="M32" s="54"/>
      <c r="N32" s="54"/>
      <c r="O32" s="54"/>
    </row>
    <row r="33" spans="1:15" ht="30" x14ac:dyDescent="0.2">
      <c r="A33" s="53" t="s">
        <v>12</v>
      </c>
      <c r="B33" s="53" t="s">
        <v>17</v>
      </c>
      <c r="C33" s="54" t="s">
        <v>1595</v>
      </c>
      <c r="D33" s="55" t="s">
        <v>1596</v>
      </c>
      <c r="E33" s="54" t="s">
        <v>899</v>
      </c>
      <c r="F33" s="54" t="s">
        <v>1555</v>
      </c>
      <c r="G33" s="54">
        <v>1</v>
      </c>
      <c r="H33" s="54"/>
      <c r="I33" s="54">
        <v>7200</v>
      </c>
      <c r="J33" s="54">
        <v>7200</v>
      </c>
      <c r="K33" s="54"/>
      <c r="L33" s="54"/>
      <c r="M33" s="54"/>
      <c r="N33" s="54"/>
      <c r="O33" s="54"/>
    </row>
    <row r="34" spans="1:15" ht="15.75" x14ac:dyDescent="0.2">
      <c r="A34" s="53" t="s">
        <v>12</v>
      </c>
      <c r="B34" s="53" t="s">
        <v>13</v>
      </c>
      <c r="C34" s="54" t="s">
        <v>1597</v>
      </c>
      <c r="D34" s="55" t="s">
        <v>1598</v>
      </c>
      <c r="E34" s="54" t="s">
        <v>883</v>
      </c>
      <c r="F34" s="54" t="s">
        <v>884</v>
      </c>
      <c r="G34" s="54">
        <v>8</v>
      </c>
      <c r="H34" s="54"/>
      <c r="I34" s="54">
        <v>21600</v>
      </c>
      <c r="J34" s="54">
        <v>21600</v>
      </c>
      <c r="K34" s="54"/>
      <c r="L34" s="54"/>
      <c r="M34" s="54"/>
      <c r="N34" s="54"/>
      <c r="O34" s="54" t="s">
        <v>944</v>
      </c>
    </row>
    <row r="35" spans="1:15" ht="15.75" x14ac:dyDescent="0.2">
      <c r="A35" s="53" t="s">
        <v>12</v>
      </c>
      <c r="B35" s="53" t="s">
        <v>13</v>
      </c>
      <c r="C35" s="54" t="s">
        <v>1599</v>
      </c>
      <c r="D35" s="55" t="s">
        <v>1600</v>
      </c>
      <c r="E35" s="54" t="s">
        <v>883</v>
      </c>
      <c r="F35" s="54" t="s">
        <v>884</v>
      </c>
      <c r="G35" s="54">
        <v>8</v>
      </c>
      <c r="H35" s="54"/>
      <c r="I35" s="54">
        <v>21600</v>
      </c>
      <c r="J35" s="54">
        <v>21600</v>
      </c>
      <c r="K35" s="54"/>
      <c r="L35" s="54"/>
      <c r="M35" s="54"/>
      <c r="N35" s="54"/>
      <c r="O35" s="54" t="s">
        <v>944</v>
      </c>
    </row>
    <row r="36" spans="1:15" ht="30" x14ac:dyDescent="0.2">
      <c r="A36" s="53" t="s">
        <v>12</v>
      </c>
      <c r="B36" s="53" t="s">
        <v>13</v>
      </c>
      <c r="C36" s="54" t="s">
        <v>1601</v>
      </c>
      <c r="D36" s="55" t="s">
        <v>1602</v>
      </c>
      <c r="E36" s="54" t="s">
        <v>883</v>
      </c>
      <c r="F36" s="54" t="s">
        <v>884</v>
      </c>
      <c r="G36" s="54">
        <v>2</v>
      </c>
      <c r="H36" s="54"/>
      <c r="I36" s="54">
        <v>21600</v>
      </c>
      <c r="J36" s="54">
        <v>21600</v>
      </c>
      <c r="K36" s="54"/>
      <c r="L36" s="54"/>
      <c r="M36" s="54"/>
      <c r="N36" s="54"/>
      <c r="O36" s="54" t="s">
        <v>953</v>
      </c>
    </row>
    <row r="37" spans="1:15" ht="45" x14ac:dyDescent="0.2">
      <c r="A37" s="53" t="s">
        <v>12</v>
      </c>
      <c r="B37" s="53" t="s">
        <v>13</v>
      </c>
      <c r="C37" s="54" t="s">
        <v>1603</v>
      </c>
      <c r="D37" s="55" t="s">
        <v>1604</v>
      </c>
      <c r="E37" s="54" t="s">
        <v>899</v>
      </c>
      <c r="F37" s="54" t="s">
        <v>1605</v>
      </c>
      <c r="G37" s="54">
        <v>3</v>
      </c>
      <c r="H37" s="54"/>
      <c r="I37" s="54">
        <v>0</v>
      </c>
      <c r="J37" s="54">
        <v>0</v>
      </c>
      <c r="K37" s="54"/>
      <c r="L37" s="54"/>
      <c r="M37" s="54"/>
      <c r="N37" s="54"/>
      <c r="O37" s="54" t="s">
        <v>1030</v>
      </c>
    </row>
    <row r="38" spans="1:15" ht="75" x14ac:dyDescent="0.2">
      <c r="A38" s="53" t="s">
        <v>12</v>
      </c>
      <c r="B38" s="53" t="s">
        <v>13</v>
      </c>
      <c r="C38" s="54" t="s">
        <v>1606</v>
      </c>
      <c r="D38" s="55" t="s">
        <v>1607</v>
      </c>
      <c r="E38" s="54"/>
      <c r="F38" s="54"/>
      <c r="G38" s="54">
        <v>3</v>
      </c>
      <c r="H38" s="54"/>
      <c r="I38" s="54">
        <v>0</v>
      </c>
      <c r="J38" s="54">
        <v>0</v>
      </c>
      <c r="K38" s="54"/>
      <c r="L38" s="54"/>
      <c r="M38" s="54"/>
      <c r="N38" s="54"/>
      <c r="O38" s="54" t="s">
        <v>1030</v>
      </c>
    </row>
    <row r="39" spans="1:15" ht="45" x14ac:dyDescent="0.2">
      <c r="A39" s="53" t="s">
        <v>12</v>
      </c>
      <c r="B39" s="53" t="s">
        <v>13</v>
      </c>
      <c r="C39" s="54" t="s">
        <v>1608</v>
      </c>
      <c r="D39" s="55" t="s">
        <v>1609</v>
      </c>
      <c r="E39" s="54"/>
      <c r="F39" s="54"/>
      <c r="G39" s="54">
        <v>3</v>
      </c>
      <c r="H39" s="54"/>
      <c r="I39" s="54">
        <v>57600</v>
      </c>
      <c r="J39" s="54">
        <v>57600</v>
      </c>
      <c r="K39" s="54"/>
      <c r="L39" s="54"/>
      <c r="M39" s="54"/>
      <c r="N39" s="54"/>
      <c r="O39" s="54" t="s">
        <v>1030</v>
      </c>
    </row>
    <row r="40" spans="1:15" ht="30" x14ac:dyDescent="0.2">
      <c r="A40" s="53" t="s">
        <v>12</v>
      </c>
      <c r="B40" s="53" t="s">
        <v>13</v>
      </c>
      <c r="C40" s="54" t="s">
        <v>1610</v>
      </c>
      <c r="D40" s="55" t="s">
        <v>1611</v>
      </c>
      <c r="E40" s="54" t="s">
        <v>899</v>
      </c>
      <c r="F40" s="54" t="s">
        <v>1013</v>
      </c>
      <c r="G40" s="54">
        <v>3</v>
      </c>
      <c r="H40" s="54"/>
      <c r="I40" s="54">
        <v>86400</v>
      </c>
      <c r="J40" s="54">
        <v>86400</v>
      </c>
      <c r="K40" s="54"/>
      <c r="L40" s="54"/>
      <c r="M40" s="54"/>
      <c r="N40" s="54"/>
      <c r="O40" s="54" t="s">
        <v>1333</v>
      </c>
    </row>
    <row r="41" spans="1:15" ht="30" x14ac:dyDescent="0.2">
      <c r="A41" s="53" t="s">
        <v>12</v>
      </c>
      <c r="B41" s="53" t="s">
        <v>14</v>
      </c>
      <c r="C41" s="54" t="s">
        <v>1612</v>
      </c>
      <c r="D41" s="55" t="s">
        <v>1613</v>
      </c>
      <c r="E41" s="54" t="s">
        <v>899</v>
      </c>
      <c r="F41" s="54" t="s">
        <v>1555</v>
      </c>
      <c r="G41" s="54">
        <v>3</v>
      </c>
      <c r="H41" s="54"/>
      <c r="I41" s="54">
        <v>86400</v>
      </c>
      <c r="J41" s="54">
        <v>86400</v>
      </c>
      <c r="K41" s="54"/>
      <c r="L41" s="54"/>
      <c r="M41" s="54"/>
      <c r="N41" s="54"/>
      <c r="O41" s="54" t="s">
        <v>1047</v>
      </c>
    </row>
    <row r="42" spans="1:15" ht="30" x14ac:dyDescent="0.2">
      <c r="A42" s="53" t="s">
        <v>12</v>
      </c>
      <c r="B42" s="53" t="s">
        <v>14</v>
      </c>
      <c r="C42" s="54" t="s">
        <v>1614</v>
      </c>
      <c r="D42" s="55" t="s">
        <v>1615</v>
      </c>
      <c r="E42" s="54" t="s">
        <v>883</v>
      </c>
      <c r="F42" s="54" t="s">
        <v>1616</v>
      </c>
      <c r="G42" s="54">
        <v>8</v>
      </c>
      <c r="H42" s="54"/>
      <c r="I42" s="54">
        <v>115200</v>
      </c>
      <c r="J42" s="54">
        <v>72000</v>
      </c>
      <c r="K42" s="54"/>
      <c r="L42" s="54"/>
      <c r="M42" s="54"/>
      <c r="N42" s="54"/>
      <c r="O42" s="54" t="s">
        <v>1501</v>
      </c>
    </row>
    <row r="43" spans="1:15" ht="30" x14ac:dyDescent="0.2">
      <c r="A43" s="53" t="s">
        <v>12</v>
      </c>
      <c r="B43" s="53" t="s">
        <v>14</v>
      </c>
      <c r="C43" s="54" t="s">
        <v>1617</v>
      </c>
      <c r="D43" s="55" t="s">
        <v>1618</v>
      </c>
      <c r="E43" s="54" t="s">
        <v>899</v>
      </c>
      <c r="F43" s="54" t="s">
        <v>1555</v>
      </c>
      <c r="G43" s="54">
        <v>2</v>
      </c>
      <c r="H43" s="54"/>
      <c r="I43" s="54">
        <v>201600</v>
      </c>
      <c r="J43" s="54">
        <v>122400</v>
      </c>
      <c r="K43" s="54"/>
      <c r="L43" s="54"/>
      <c r="M43" s="54"/>
      <c r="N43" s="54"/>
      <c r="O43" s="54" t="s">
        <v>1387</v>
      </c>
    </row>
    <row r="44" spans="1:15" ht="30" x14ac:dyDescent="0.2">
      <c r="A44" s="53" t="s">
        <v>12</v>
      </c>
      <c r="B44" s="53" t="s">
        <v>16</v>
      </c>
      <c r="C44" s="54" t="s">
        <v>1619</v>
      </c>
      <c r="D44" s="55" t="s">
        <v>1620</v>
      </c>
      <c r="E44" s="54"/>
      <c r="F44" s="54" t="s">
        <v>1555</v>
      </c>
      <c r="G44" s="54">
        <v>3</v>
      </c>
      <c r="H44" s="54"/>
      <c r="I44" s="54">
        <v>57600</v>
      </c>
      <c r="J44" s="54">
        <v>28800</v>
      </c>
      <c r="K44" s="54"/>
      <c r="L44" s="54"/>
      <c r="M44" s="54"/>
      <c r="N44" s="54"/>
      <c r="O44" s="54" t="s">
        <v>1427</v>
      </c>
    </row>
    <row r="45" spans="1:15" ht="30" x14ac:dyDescent="0.2">
      <c r="A45" s="53" t="s">
        <v>12</v>
      </c>
      <c r="B45" s="53" t="s">
        <v>16</v>
      </c>
      <c r="C45" s="54" t="s">
        <v>1621</v>
      </c>
      <c r="D45" s="55" t="s">
        <v>1622</v>
      </c>
      <c r="E45" s="54"/>
      <c r="F45" s="54" t="s">
        <v>1555</v>
      </c>
      <c r="G45" s="54">
        <v>3</v>
      </c>
      <c r="H45" s="54"/>
      <c r="I45" s="54">
        <v>240</v>
      </c>
      <c r="J45" s="54">
        <v>120</v>
      </c>
      <c r="K45" s="54"/>
      <c r="L45" s="54"/>
      <c r="M45" s="54"/>
      <c r="N45" s="54"/>
      <c r="O45" s="54"/>
    </row>
    <row r="46" spans="1:15" ht="30" x14ac:dyDescent="0.2">
      <c r="A46" s="53" t="s">
        <v>12</v>
      </c>
      <c r="B46" s="53" t="s">
        <v>16</v>
      </c>
      <c r="C46" s="54" t="s">
        <v>1623</v>
      </c>
      <c r="D46" s="55" t="s">
        <v>1624</v>
      </c>
      <c r="E46" s="54" t="s">
        <v>899</v>
      </c>
      <c r="F46" s="54" t="s">
        <v>1555</v>
      </c>
      <c r="G46" s="54">
        <v>3</v>
      </c>
      <c r="H46" s="54"/>
      <c r="I46" s="54">
        <v>14400</v>
      </c>
      <c r="J46" s="54">
        <v>0</v>
      </c>
      <c r="K46" s="54"/>
      <c r="L46" s="54"/>
      <c r="M46" s="54"/>
      <c r="N46" s="54"/>
      <c r="O46" s="54" t="s">
        <v>1352</v>
      </c>
    </row>
    <row r="47" spans="1:15" ht="15.75" x14ac:dyDescent="0.2">
      <c r="A47" s="53" t="s">
        <v>12</v>
      </c>
      <c r="B47" s="53" t="s">
        <v>106</v>
      </c>
      <c r="C47" s="54" t="s">
        <v>1625</v>
      </c>
      <c r="D47" s="55" t="s">
        <v>1626</v>
      </c>
      <c r="E47" s="54"/>
      <c r="F47" s="54" t="s">
        <v>212</v>
      </c>
      <c r="G47" s="54">
        <v>5</v>
      </c>
      <c r="H47" s="54"/>
      <c r="I47" s="54">
        <v>7200</v>
      </c>
      <c r="J47" s="54">
        <v>0</v>
      </c>
      <c r="K47" s="54"/>
      <c r="L47" s="54"/>
      <c r="M47" s="54"/>
      <c r="N47" s="54"/>
      <c r="O47" s="54" t="s">
        <v>1627</v>
      </c>
    </row>
    <row r="48" spans="1:15" ht="30" x14ac:dyDescent="0.2">
      <c r="A48" s="53" t="s">
        <v>12</v>
      </c>
      <c r="B48" s="53" t="s">
        <v>13</v>
      </c>
      <c r="C48" s="54" t="s">
        <v>1628</v>
      </c>
      <c r="D48" s="55" t="s">
        <v>1629</v>
      </c>
      <c r="E48" s="54"/>
      <c r="F48" s="54" t="s">
        <v>1537</v>
      </c>
      <c r="G48" s="54">
        <v>8</v>
      </c>
      <c r="H48" s="54"/>
      <c r="I48" s="54">
        <v>14400</v>
      </c>
      <c r="J48" s="54">
        <v>14400</v>
      </c>
      <c r="K48" s="54"/>
      <c r="L48" s="54"/>
      <c r="M48" s="54"/>
      <c r="N48" s="54"/>
      <c r="O48" s="54" t="s">
        <v>1630</v>
      </c>
    </row>
    <row r="49" spans="1:15" ht="30" x14ac:dyDescent="0.2">
      <c r="A49" s="53" t="s">
        <v>12</v>
      </c>
      <c r="B49" s="53" t="s">
        <v>14</v>
      </c>
      <c r="C49" s="54" t="s">
        <v>1631</v>
      </c>
      <c r="D49" s="55" t="s">
        <v>1632</v>
      </c>
      <c r="E49" s="54"/>
      <c r="F49" s="54" t="s">
        <v>1633</v>
      </c>
      <c r="G49" s="54"/>
      <c r="H49" s="54"/>
      <c r="I49" s="54">
        <v>3600</v>
      </c>
      <c r="J49" s="54">
        <v>72000</v>
      </c>
      <c r="K49" s="54"/>
      <c r="L49" s="54"/>
      <c r="M49" s="54"/>
      <c r="N49" s="54"/>
      <c r="O49" s="54"/>
    </row>
    <row r="50" spans="1:15" ht="30" x14ac:dyDescent="0.2">
      <c r="A50" s="53" t="s">
        <v>12</v>
      </c>
      <c r="B50" s="53" t="s">
        <v>14</v>
      </c>
      <c r="C50" s="54" t="s">
        <v>1634</v>
      </c>
      <c r="D50" s="55" t="s">
        <v>1635</v>
      </c>
      <c r="E50" s="54" t="s">
        <v>883</v>
      </c>
      <c r="F50" s="54" t="s">
        <v>1616</v>
      </c>
      <c r="G50" s="54">
        <v>2</v>
      </c>
      <c r="H50" s="54"/>
      <c r="I50" s="54">
        <v>57600</v>
      </c>
      <c r="J50" s="54">
        <v>41400</v>
      </c>
      <c r="K50" s="54"/>
      <c r="L50" s="54"/>
      <c r="M50" s="54"/>
      <c r="N50" s="54"/>
      <c r="O50" s="54" t="s">
        <v>1636</v>
      </c>
    </row>
    <row r="51" spans="1:15" ht="30" x14ac:dyDescent="0.2">
      <c r="A51" s="53" t="s">
        <v>12</v>
      </c>
      <c r="B51" s="53" t="s">
        <v>14</v>
      </c>
      <c r="C51" s="54" t="s">
        <v>1637</v>
      </c>
      <c r="D51" s="55" t="s">
        <v>1638</v>
      </c>
      <c r="E51" s="54"/>
      <c r="F51" s="54" t="s">
        <v>1639</v>
      </c>
      <c r="G51" s="54">
        <v>5</v>
      </c>
      <c r="H51" s="54"/>
      <c r="I51" s="54">
        <v>144000</v>
      </c>
      <c r="J51" s="54">
        <v>14400</v>
      </c>
      <c r="K51" s="54"/>
      <c r="L51" s="54"/>
      <c r="M51" s="54"/>
      <c r="N51" s="54"/>
      <c r="O51" s="54" t="s">
        <v>1640</v>
      </c>
    </row>
    <row r="52" spans="1:15" ht="45" x14ac:dyDescent="0.2">
      <c r="A52" s="53" t="s">
        <v>12</v>
      </c>
      <c r="B52" s="53" t="s">
        <v>13</v>
      </c>
      <c r="C52" s="54" t="s">
        <v>1641</v>
      </c>
      <c r="D52" s="55" t="s">
        <v>1642</v>
      </c>
      <c r="E52" s="54"/>
      <c r="F52" s="54" t="s">
        <v>1643</v>
      </c>
      <c r="G52" s="54">
        <v>2</v>
      </c>
      <c r="H52" s="54"/>
      <c r="I52" s="54"/>
      <c r="J52" s="54"/>
      <c r="K52" s="54"/>
      <c r="L52" s="54"/>
      <c r="M52" s="54"/>
      <c r="N52" s="54"/>
      <c r="O52" s="54" t="s">
        <v>1314</v>
      </c>
    </row>
    <row r="53" spans="1:15" ht="45" x14ac:dyDescent="0.2">
      <c r="A53" s="53" t="s">
        <v>12</v>
      </c>
      <c r="B53" s="53" t="s">
        <v>13</v>
      </c>
      <c r="C53" s="54" t="s">
        <v>1644</v>
      </c>
      <c r="D53" s="55" t="s">
        <v>1645</v>
      </c>
      <c r="E53" s="54"/>
      <c r="F53" s="54" t="s">
        <v>1643</v>
      </c>
      <c r="G53" s="54">
        <v>1</v>
      </c>
      <c r="H53" s="54"/>
      <c r="I53" s="54"/>
      <c r="J53" s="54"/>
      <c r="K53" s="54"/>
      <c r="L53" s="54"/>
      <c r="M53" s="54"/>
      <c r="N53" s="54"/>
      <c r="O53" s="54" t="s">
        <v>1314</v>
      </c>
    </row>
    <row r="54" spans="1:15" ht="45" x14ac:dyDescent="0.2">
      <c r="A54" s="53" t="s">
        <v>12</v>
      </c>
      <c r="B54" s="53" t="s">
        <v>13</v>
      </c>
      <c r="C54" s="54" t="s">
        <v>1646</v>
      </c>
      <c r="D54" s="55" t="s">
        <v>1647</v>
      </c>
      <c r="E54" s="54" t="s">
        <v>883</v>
      </c>
      <c r="F54" s="54" t="s">
        <v>1643</v>
      </c>
      <c r="G54" s="54">
        <v>1</v>
      </c>
      <c r="H54" s="54"/>
      <c r="I54" s="54"/>
      <c r="J54" s="54"/>
      <c r="K54" s="54"/>
      <c r="L54" s="54"/>
      <c r="M54" s="54"/>
      <c r="N54" s="54"/>
      <c r="O54" s="54" t="s">
        <v>1314</v>
      </c>
    </row>
    <row r="55" spans="1:15" ht="45" x14ac:dyDescent="0.2">
      <c r="A55" s="53" t="s">
        <v>12</v>
      </c>
      <c r="B55" s="53" t="s">
        <v>13</v>
      </c>
      <c r="C55" s="54" t="s">
        <v>1648</v>
      </c>
      <c r="D55" s="55" t="s">
        <v>1649</v>
      </c>
      <c r="E55" s="54" t="s">
        <v>883</v>
      </c>
      <c r="F55" s="54" t="s">
        <v>1643</v>
      </c>
      <c r="G55" s="54">
        <v>1</v>
      </c>
      <c r="H55" s="54"/>
      <c r="I55" s="54"/>
      <c r="J55" s="54"/>
      <c r="K55" s="54"/>
      <c r="L55" s="54"/>
      <c r="M55" s="54"/>
      <c r="N55" s="54"/>
      <c r="O55" s="54" t="s">
        <v>1314</v>
      </c>
    </row>
    <row r="56" spans="1:15" ht="45" x14ac:dyDescent="0.2">
      <c r="A56" s="53" t="s">
        <v>12</v>
      </c>
      <c r="B56" s="53" t="s">
        <v>14</v>
      </c>
      <c r="C56" s="54" t="s">
        <v>1650</v>
      </c>
      <c r="D56" s="55" t="s">
        <v>1651</v>
      </c>
      <c r="E56" s="54" t="s">
        <v>883</v>
      </c>
      <c r="F56" s="54" t="s">
        <v>1616</v>
      </c>
      <c r="G56" s="54">
        <v>1</v>
      </c>
      <c r="H56" s="54"/>
      <c r="I56" s="54">
        <v>36000</v>
      </c>
      <c r="J56" s="54">
        <v>28800</v>
      </c>
      <c r="K56" s="54"/>
      <c r="L56" s="54"/>
      <c r="M56" s="54"/>
      <c r="N56" s="54"/>
      <c r="O56" s="54" t="s">
        <v>1652</v>
      </c>
    </row>
    <row r="57" spans="1:15" ht="45" x14ac:dyDescent="0.2">
      <c r="A57" s="53" t="s">
        <v>12</v>
      </c>
      <c r="B57" s="53" t="s">
        <v>14</v>
      </c>
      <c r="C57" s="54" t="s">
        <v>1653</v>
      </c>
      <c r="D57" s="55" t="s">
        <v>1654</v>
      </c>
      <c r="E57" s="54"/>
      <c r="F57" s="54" t="s">
        <v>1616</v>
      </c>
      <c r="G57" s="54">
        <v>2</v>
      </c>
      <c r="H57" s="54"/>
      <c r="I57" s="54">
        <v>86400</v>
      </c>
      <c r="J57" s="54">
        <v>21600</v>
      </c>
      <c r="K57" s="54"/>
      <c r="L57" s="54"/>
      <c r="M57" s="54"/>
      <c r="N57" s="54"/>
      <c r="O57" s="54" t="s">
        <v>1655</v>
      </c>
    </row>
    <row r="58" spans="1:15" ht="45" x14ac:dyDescent="0.2">
      <c r="A58" s="53" t="s">
        <v>12</v>
      </c>
      <c r="B58" s="53" t="s">
        <v>14</v>
      </c>
      <c r="C58" s="54" t="s">
        <v>1656</v>
      </c>
      <c r="D58" s="55" t="s">
        <v>1657</v>
      </c>
      <c r="E58" s="54" t="s">
        <v>883</v>
      </c>
      <c r="F58" s="54" t="s">
        <v>1616</v>
      </c>
      <c r="G58" s="54">
        <v>5</v>
      </c>
      <c r="H58" s="54"/>
      <c r="I58" s="54">
        <v>61200</v>
      </c>
      <c r="J58" s="54">
        <v>28800</v>
      </c>
      <c r="K58" s="54"/>
      <c r="L58" s="54"/>
      <c r="M58" s="54"/>
      <c r="N58" s="54"/>
      <c r="O58" s="54" t="s">
        <v>1658</v>
      </c>
    </row>
    <row r="59" spans="1:15" ht="30" x14ac:dyDescent="0.2">
      <c r="A59" s="53" t="s">
        <v>12</v>
      </c>
      <c r="B59" s="53" t="s">
        <v>13</v>
      </c>
      <c r="C59" s="54" t="s">
        <v>1659</v>
      </c>
      <c r="D59" s="55" t="s">
        <v>1660</v>
      </c>
      <c r="E59" s="54"/>
      <c r="F59" s="54" t="s">
        <v>1540</v>
      </c>
      <c r="G59" s="54">
        <v>3</v>
      </c>
      <c r="H59" s="54"/>
      <c r="I59" s="54">
        <v>57600</v>
      </c>
      <c r="J59" s="54">
        <v>57600</v>
      </c>
      <c r="K59" s="54"/>
      <c r="L59" s="54"/>
      <c r="M59" s="54"/>
      <c r="N59" s="54"/>
      <c r="O59" s="54" t="s">
        <v>1310</v>
      </c>
    </row>
    <row r="60" spans="1:15" ht="15.75" x14ac:dyDescent="0.2">
      <c r="A60" s="53" t="s">
        <v>12</v>
      </c>
      <c r="B60" s="53" t="s">
        <v>13</v>
      </c>
      <c r="C60" s="54" t="s">
        <v>1661</v>
      </c>
      <c r="D60" s="55" t="s">
        <v>1662</v>
      </c>
      <c r="E60" s="54"/>
      <c r="F60" s="54" t="s">
        <v>1540</v>
      </c>
      <c r="G60" s="54">
        <v>3</v>
      </c>
      <c r="H60" s="54"/>
      <c r="I60" s="54">
        <v>57600</v>
      </c>
      <c r="J60" s="54">
        <v>28800</v>
      </c>
      <c r="K60" s="54"/>
      <c r="L60" s="54"/>
      <c r="M60" s="54"/>
      <c r="N60" s="54"/>
      <c r="O60" s="54" t="s">
        <v>1310</v>
      </c>
    </row>
    <row r="61" spans="1:15" ht="45" x14ac:dyDescent="0.2">
      <c r="A61" s="53" t="s">
        <v>12</v>
      </c>
      <c r="B61" s="53" t="s">
        <v>14</v>
      </c>
      <c r="C61" s="54" t="s">
        <v>1663</v>
      </c>
      <c r="D61" s="55" t="s">
        <v>1664</v>
      </c>
      <c r="E61" s="54" t="s">
        <v>883</v>
      </c>
      <c r="F61" s="54" t="s">
        <v>1616</v>
      </c>
      <c r="G61" s="54">
        <v>5</v>
      </c>
      <c r="H61" s="54"/>
      <c r="I61" s="54">
        <v>169200</v>
      </c>
      <c r="J61" s="54">
        <v>72000</v>
      </c>
      <c r="K61" s="54"/>
      <c r="L61" s="54"/>
      <c r="M61" s="54"/>
      <c r="N61" s="54"/>
      <c r="O61" s="54" t="s">
        <v>1665</v>
      </c>
    </row>
    <row r="62" spans="1:15" ht="30" x14ac:dyDescent="0.2">
      <c r="A62" s="53" t="s">
        <v>12</v>
      </c>
      <c r="B62" s="53" t="s">
        <v>16</v>
      </c>
      <c r="C62" s="54" t="s">
        <v>1666</v>
      </c>
      <c r="D62" s="55" t="s">
        <v>1667</v>
      </c>
      <c r="E62" s="54" t="s">
        <v>883</v>
      </c>
      <c r="F62" s="54" t="s">
        <v>1616</v>
      </c>
      <c r="G62" s="54">
        <v>3</v>
      </c>
      <c r="H62" s="54"/>
      <c r="I62" s="54">
        <v>32400</v>
      </c>
      <c r="J62" s="54">
        <v>0</v>
      </c>
      <c r="K62" s="54"/>
      <c r="L62" s="54"/>
      <c r="M62" s="54"/>
      <c r="N62" s="54"/>
      <c r="O62" s="54" t="s">
        <v>1668</v>
      </c>
    </row>
    <row r="63" spans="1:15" ht="30" x14ac:dyDescent="0.2">
      <c r="A63" s="53" t="s">
        <v>12</v>
      </c>
      <c r="B63" s="53" t="s">
        <v>16</v>
      </c>
      <c r="C63" s="54" t="s">
        <v>1669</v>
      </c>
      <c r="D63" s="55" t="s">
        <v>1670</v>
      </c>
      <c r="E63" s="54" t="s">
        <v>883</v>
      </c>
      <c r="F63" s="54" t="s">
        <v>1616</v>
      </c>
      <c r="G63" s="54">
        <v>3</v>
      </c>
      <c r="H63" s="54"/>
      <c r="I63" s="54">
        <v>32400</v>
      </c>
      <c r="J63" s="54">
        <v>0</v>
      </c>
      <c r="K63" s="54"/>
      <c r="L63" s="54"/>
      <c r="M63" s="54"/>
      <c r="N63" s="54"/>
      <c r="O63" s="54" t="s">
        <v>1671</v>
      </c>
    </row>
    <row r="64" spans="1:15" ht="30" x14ac:dyDescent="0.2">
      <c r="A64" s="53" t="s">
        <v>12</v>
      </c>
      <c r="B64" s="53" t="s">
        <v>13</v>
      </c>
      <c r="C64" s="54" t="s">
        <v>1672</v>
      </c>
      <c r="D64" s="55" t="s">
        <v>1673</v>
      </c>
      <c r="E64" s="54"/>
      <c r="F64" s="54"/>
      <c r="G64" s="54"/>
      <c r="H64" s="54"/>
      <c r="I64" s="54"/>
      <c r="J64" s="54"/>
      <c r="K64" s="54"/>
      <c r="L64" s="54"/>
      <c r="M64" s="54"/>
      <c r="N64" s="54"/>
      <c r="O64" s="54" t="s">
        <v>1674</v>
      </c>
    </row>
    <row r="65" spans="1:15" ht="30" x14ac:dyDescent="0.2">
      <c r="A65" s="53" t="s">
        <v>12</v>
      </c>
      <c r="B65" s="53" t="s">
        <v>16</v>
      </c>
      <c r="C65" s="54" t="s">
        <v>1675</v>
      </c>
      <c r="D65" s="55" t="s">
        <v>1676</v>
      </c>
      <c r="E65" s="54" t="s">
        <v>899</v>
      </c>
      <c r="F65" s="54" t="s">
        <v>1633</v>
      </c>
      <c r="G65" s="54">
        <v>0</v>
      </c>
      <c r="H65" s="54"/>
      <c r="I65" s="54">
        <v>0</v>
      </c>
      <c r="J65" s="54">
        <v>0</v>
      </c>
      <c r="K65" s="54"/>
      <c r="L65" s="54"/>
      <c r="M65" s="54"/>
      <c r="N65" s="54"/>
      <c r="O65" s="54" t="s">
        <v>1352</v>
      </c>
    </row>
    <row r="66" spans="1:15" ht="30" x14ac:dyDescent="0.2">
      <c r="A66" s="53" t="s">
        <v>12</v>
      </c>
      <c r="B66" s="53" t="s">
        <v>106</v>
      </c>
      <c r="C66" s="54" t="s">
        <v>1677</v>
      </c>
      <c r="D66" s="55" t="s">
        <v>1678</v>
      </c>
      <c r="E66" s="54"/>
      <c r="F66" s="54" t="s">
        <v>1679</v>
      </c>
      <c r="G66" s="54">
        <v>13</v>
      </c>
      <c r="H66" s="54"/>
      <c r="I66" s="54">
        <v>14400</v>
      </c>
      <c r="J66" s="54">
        <v>0</v>
      </c>
      <c r="K66" s="54"/>
      <c r="L66" s="54"/>
      <c r="M66" s="54"/>
      <c r="N66" s="54"/>
      <c r="O66" s="54"/>
    </row>
    <row r="67" spans="1:15" ht="30" x14ac:dyDescent="0.2">
      <c r="A67" s="53" t="s">
        <v>12</v>
      </c>
      <c r="B67" s="53" t="s">
        <v>106</v>
      </c>
      <c r="C67" s="54" t="s">
        <v>1680</v>
      </c>
      <c r="D67" s="55" t="s">
        <v>1681</v>
      </c>
      <c r="E67" s="54"/>
      <c r="F67" s="54" t="s">
        <v>1639</v>
      </c>
      <c r="G67" s="54">
        <v>8</v>
      </c>
      <c r="H67" s="54"/>
      <c r="I67" s="54">
        <v>18000</v>
      </c>
      <c r="J67" s="54">
        <v>18000</v>
      </c>
      <c r="K67" s="54"/>
      <c r="L67" s="54"/>
      <c r="M67" s="54"/>
      <c r="N67" s="54"/>
      <c r="O67" s="54" t="s">
        <v>1630</v>
      </c>
    </row>
    <row r="68" spans="1:15" ht="15.75" x14ac:dyDescent="0.2">
      <c r="A68" s="53" t="s">
        <v>12</v>
      </c>
      <c r="B68" s="53" t="s">
        <v>15</v>
      </c>
      <c r="C68" s="54" t="s">
        <v>1682</v>
      </c>
      <c r="D68" s="55" t="s">
        <v>1683</v>
      </c>
      <c r="E68" s="54" t="s">
        <v>883</v>
      </c>
      <c r="F68" s="54" t="s">
        <v>884</v>
      </c>
      <c r="G68" s="54">
        <v>1</v>
      </c>
      <c r="H68" s="54">
        <v>1</v>
      </c>
      <c r="I68" s="54"/>
      <c r="J68" s="54">
        <v>0</v>
      </c>
      <c r="K68" s="54"/>
      <c r="L68" s="54"/>
      <c r="M68" s="54"/>
      <c r="N68" s="54"/>
      <c r="O68" s="54" t="s">
        <v>1384</v>
      </c>
    </row>
    <row r="69" spans="1:15" ht="30" x14ac:dyDescent="0.2">
      <c r="A69" s="53" t="s">
        <v>12</v>
      </c>
      <c r="B69" s="53" t="s">
        <v>16</v>
      </c>
      <c r="C69" s="54" t="s">
        <v>1684</v>
      </c>
      <c r="D69" s="55" t="s">
        <v>1685</v>
      </c>
      <c r="E69" s="54" t="s">
        <v>899</v>
      </c>
      <c r="F69" s="54" t="s">
        <v>1633</v>
      </c>
      <c r="G69" s="54">
        <v>3</v>
      </c>
      <c r="H69" s="54"/>
      <c r="I69" s="54"/>
      <c r="J69" s="54">
        <v>0</v>
      </c>
      <c r="K69" s="54"/>
      <c r="L69" s="54"/>
      <c r="M69" s="54">
        <v>1</v>
      </c>
      <c r="N69" s="54"/>
      <c r="O69" s="54" t="s">
        <v>1047</v>
      </c>
    </row>
    <row r="70" spans="1:15" ht="30" x14ac:dyDescent="0.2">
      <c r="A70" s="53" t="s">
        <v>12</v>
      </c>
      <c r="B70" s="53" t="s">
        <v>13</v>
      </c>
      <c r="C70" s="54" t="s">
        <v>1686</v>
      </c>
      <c r="D70" s="55" t="s">
        <v>1687</v>
      </c>
      <c r="E70" s="54"/>
      <c r="F70" s="54"/>
      <c r="G70" s="54">
        <v>13</v>
      </c>
      <c r="H70" s="54"/>
      <c r="I70" s="54"/>
      <c r="J70" s="54"/>
      <c r="K70" s="54"/>
      <c r="L70" s="54"/>
      <c r="M70" s="54"/>
      <c r="N70" s="54"/>
      <c r="O70" s="54" t="s">
        <v>1674</v>
      </c>
    </row>
    <row r="71" spans="1:15" ht="30" x14ac:dyDescent="0.2">
      <c r="A71" s="53" t="s">
        <v>12</v>
      </c>
      <c r="B71" s="53" t="s">
        <v>13</v>
      </c>
      <c r="C71" s="54" t="s">
        <v>1688</v>
      </c>
      <c r="D71" s="55" t="s">
        <v>1689</v>
      </c>
      <c r="E71" s="54"/>
      <c r="F71" s="54" t="s">
        <v>1537</v>
      </c>
      <c r="G71" s="54">
        <v>13</v>
      </c>
      <c r="H71" s="54"/>
      <c r="I71" s="54"/>
      <c r="J71" s="54"/>
      <c r="K71" s="54"/>
      <c r="L71" s="54"/>
      <c r="M71" s="54"/>
      <c r="N71" s="54"/>
      <c r="O71" s="54" t="s">
        <v>1690</v>
      </c>
    </row>
    <row r="72" spans="1:15" ht="15.75" x14ac:dyDescent="0.2">
      <c r="A72" s="53" t="s">
        <v>12</v>
      </c>
      <c r="B72" s="53" t="s">
        <v>15</v>
      </c>
      <c r="C72" s="54" t="s">
        <v>1691</v>
      </c>
      <c r="D72" s="55" t="s">
        <v>1692</v>
      </c>
      <c r="E72" s="54" t="s">
        <v>883</v>
      </c>
      <c r="F72" s="54" t="s">
        <v>884</v>
      </c>
      <c r="G72" s="54">
        <v>3</v>
      </c>
      <c r="H72" s="54">
        <v>3</v>
      </c>
      <c r="I72" s="54"/>
      <c r="J72" s="54">
        <v>0</v>
      </c>
      <c r="K72" s="54"/>
      <c r="L72" s="54"/>
      <c r="M72" s="54"/>
      <c r="N72" s="54"/>
      <c r="O72" s="54" t="s">
        <v>913</v>
      </c>
    </row>
    <row r="73" spans="1:15" ht="30" x14ac:dyDescent="0.2">
      <c r="A73" s="53" t="s">
        <v>12</v>
      </c>
      <c r="B73" s="53" t="s">
        <v>13</v>
      </c>
      <c r="C73" s="54" t="s">
        <v>1693</v>
      </c>
      <c r="D73" s="55" t="s">
        <v>1694</v>
      </c>
      <c r="E73" s="54"/>
      <c r="F73" s="54"/>
      <c r="G73" s="54"/>
      <c r="H73" s="54"/>
      <c r="I73" s="54"/>
      <c r="J73" s="54"/>
      <c r="K73" s="54"/>
      <c r="L73" s="54"/>
      <c r="M73" s="54"/>
      <c r="N73" s="54"/>
      <c r="O73" s="54" t="s">
        <v>1695</v>
      </c>
    </row>
    <row r="74" spans="1:15" ht="45" x14ac:dyDescent="0.2">
      <c r="A74" s="53" t="s">
        <v>12</v>
      </c>
      <c r="B74" s="53" t="s">
        <v>16</v>
      </c>
      <c r="C74" s="54" t="s">
        <v>1696</v>
      </c>
      <c r="D74" s="55" t="s">
        <v>1697</v>
      </c>
      <c r="E74" s="54" t="s">
        <v>899</v>
      </c>
      <c r="F74" s="54" t="s">
        <v>1698</v>
      </c>
      <c r="G74" s="54">
        <v>5</v>
      </c>
      <c r="H74" s="54"/>
      <c r="I74" s="54"/>
      <c r="J74" s="54">
        <v>0</v>
      </c>
      <c r="K74" s="54"/>
      <c r="L74" s="54"/>
      <c r="M74" s="54"/>
      <c r="N74" s="54"/>
      <c r="O74" s="54" t="s">
        <v>1489</v>
      </c>
    </row>
    <row r="75" spans="1:15" ht="75" x14ac:dyDescent="0.2">
      <c r="A75" s="53" t="s">
        <v>12</v>
      </c>
      <c r="B75" s="53" t="s">
        <v>15</v>
      </c>
      <c r="C75" s="54" t="s">
        <v>1699</v>
      </c>
      <c r="D75" s="55" t="s">
        <v>1700</v>
      </c>
      <c r="E75" s="54" t="s">
        <v>899</v>
      </c>
      <c r="F75" s="54" t="s">
        <v>1701</v>
      </c>
      <c r="G75" s="54">
        <v>5</v>
      </c>
      <c r="H75" s="54">
        <v>5</v>
      </c>
      <c r="I75" s="54"/>
      <c r="J75" s="54"/>
      <c r="K75" s="54"/>
      <c r="L75" s="54"/>
      <c r="M75" s="54"/>
      <c r="N75" s="54"/>
      <c r="O75" s="54"/>
    </row>
    <row r="76" spans="1:15" ht="15.75" x14ac:dyDescent="0.2">
      <c r="A76" s="53" t="s">
        <v>12</v>
      </c>
      <c r="B76" s="53" t="s">
        <v>14</v>
      </c>
      <c r="C76" s="54" t="s">
        <v>1702</v>
      </c>
      <c r="D76" s="55" t="s">
        <v>1703</v>
      </c>
      <c r="E76" s="54"/>
      <c r="F76" s="54" t="s">
        <v>1537</v>
      </c>
      <c r="G76" s="54">
        <v>13</v>
      </c>
      <c r="H76" s="54"/>
      <c r="I76" s="54">
        <v>14400</v>
      </c>
      <c r="J76" s="54">
        <v>13500</v>
      </c>
      <c r="K76" s="54"/>
      <c r="L76" s="54"/>
      <c r="M76" s="54"/>
      <c r="N76" s="54"/>
      <c r="O76" s="54" t="s">
        <v>1704</v>
      </c>
    </row>
    <row r="77" spans="1:15" ht="30" x14ac:dyDescent="0.2">
      <c r="A77" s="53" t="s">
        <v>12</v>
      </c>
      <c r="B77" s="53" t="s">
        <v>106</v>
      </c>
      <c r="C77" s="54" t="s">
        <v>1705</v>
      </c>
      <c r="D77" s="55" t="s">
        <v>1706</v>
      </c>
      <c r="E77" s="54"/>
      <c r="F77" s="54" t="s">
        <v>1707</v>
      </c>
      <c r="G77" s="54">
        <v>3</v>
      </c>
      <c r="H77" s="54"/>
      <c r="I77" s="54">
        <v>7200</v>
      </c>
      <c r="J77" s="54">
        <v>1800</v>
      </c>
      <c r="K77" s="54"/>
      <c r="L77" s="54"/>
      <c r="M77" s="54"/>
      <c r="N77" s="54"/>
      <c r="O77" s="54"/>
    </row>
    <row r="78" spans="1:15" ht="60" x14ac:dyDescent="0.2">
      <c r="A78" s="53" t="s">
        <v>12</v>
      </c>
      <c r="B78" s="53" t="s">
        <v>15</v>
      </c>
      <c r="C78" s="54" t="s">
        <v>1708</v>
      </c>
      <c r="D78" s="55" t="s">
        <v>1709</v>
      </c>
      <c r="E78" s="54" t="s">
        <v>70</v>
      </c>
      <c r="F78" s="54" t="s">
        <v>1710</v>
      </c>
      <c r="G78" s="54">
        <v>8</v>
      </c>
      <c r="H78" s="54">
        <v>8</v>
      </c>
      <c r="I78" s="54"/>
      <c r="J78" s="54"/>
      <c r="K78" s="54"/>
      <c r="L78" s="54"/>
      <c r="M78" s="54"/>
      <c r="N78" s="54"/>
      <c r="O78" s="54" t="s">
        <v>1711</v>
      </c>
    </row>
    <row r="79" spans="1:15" ht="30" x14ac:dyDescent="0.2">
      <c r="A79" s="53" t="s">
        <v>12</v>
      </c>
      <c r="B79" s="53" t="s">
        <v>15</v>
      </c>
      <c r="C79" s="54" t="s">
        <v>1712</v>
      </c>
      <c r="D79" s="55" t="s">
        <v>1713</v>
      </c>
      <c r="E79" s="54" t="s">
        <v>899</v>
      </c>
      <c r="F79" s="54" t="s">
        <v>1701</v>
      </c>
      <c r="G79" s="54">
        <v>3</v>
      </c>
      <c r="H79" s="54">
        <v>13</v>
      </c>
      <c r="I79" s="54"/>
      <c r="J79" s="54"/>
      <c r="K79" s="54"/>
      <c r="L79" s="54"/>
      <c r="M79" s="54"/>
      <c r="N79" s="54"/>
      <c r="O79" s="54"/>
    </row>
    <row r="80" spans="1:15" ht="30" x14ac:dyDescent="0.2">
      <c r="A80" s="53" t="s">
        <v>12</v>
      </c>
      <c r="B80" s="53" t="s">
        <v>14</v>
      </c>
      <c r="C80" s="54" t="s">
        <v>1714</v>
      </c>
      <c r="D80" s="55" t="s">
        <v>1715</v>
      </c>
      <c r="E80" s="54" t="s">
        <v>899</v>
      </c>
      <c r="F80" s="54" t="s">
        <v>1633</v>
      </c>
      <c r="G80" s="54">
        <v>0</v>
      </c>
      <c r="H80" s="54"/>
      <c r="I80" s="54">
        <v>403200</v>
      </c>
      <c r="J80" s="54">
        <v>274500</v>
      </c>
      <c r="K80" s="54"/>
      <c r="L80" s="54"/>
      <c r="M80" s="54"/>
      <c r="N80" s="54"/>
      <c r="O80" s="54" t="s">
        <v>1495</v>
      </c>
    </row>
    <row r="81" spans="1:15" ht="30" x14ac:dyDescent="0.2">
      <c r="A81" s="53" t="s">
        <v>12</v>
      </c>
      <c r="B81" s="53" t="s">
        <v>13</v>
      </c>
      <c r="C81" s="54" t="s">
        <v>1716</v>
      </c>
      <c r="D81" s="55" t="s">
        <v>1717</v>
      </c>
      <c r="E81" s="54"/>
      <c r="F81" s="54" t="s">
        <v>1537</v>
      </c>
      <c r="G81" s="54">
        <v>13</v>
      </c>
      <c r="H81" s="54"/>
      <c r="I81" s="54"/>
      <c r="J81" s="54"/>
      <c r="K81" s="54"/>
      <c r="L81" s="54"/>
      <c r="M81" s="54"/>
      <c r="N81" s="54"/>
      <c r="O81" s="54" t="s">
        <v>1630</v>
      </c>
    </row>
    <row r="82" spans="1:15" ht="15.75" x14ac:dyDescent="0.2">
      <c r="A82" s="53" t="s">
        <v>12</v>
      </c>
      <c r="B82" s="53" t="s">
        <v>13</v>
      </c>
      <c r="C82" s="54" t="s">
        <v>1718</v>
      </c>
      <c r="D82" s="55" t="s">
        <v>1719</v>
      </c>
      <c r="E82" s="54"/>
      <c r="F82" s="54"/>
      <c r="G82" s="54"/>
      <c r="H82" s="54"/>
      <c r="I82" s="54">
        <v>115200</v>
      </c>
      <c r="J82" s="54">
        <v>115200</v>
      </c>
      <c r="K82" s="54"/>
      <c r="L82" s="54"/>
      <c r="M82" s="54"/>
      <c r="N82" s="54"/>
      <c r="O82" s="54" t="s">
        <v>1720</v>
      </c>
    </row>
    <row r="83" spans="1:15" ht="30" x14ac:dyDescent="0.2">
      <c r="A83" s="53" t="s">
        <v>12</v>
      </c>
      <c r="B83" s="53" t="s">
        <v>16</v>
      </c>
      <c r="C83" s="54" t="s">
        <v>1721</v>
      </c>
      <c r="D83" s="55" t="s">
        <v>1722</v>
      </c>
      <c r="E83" s="54" t="s">
        <v>899</v>
      </c>
      <c r="F83" s="54" t="s">
        <v>1633</v>
      </c>
      <c r="G83" s="54">
        <v>1</v>
      </c>
      <c r="H83" s="54"/>
      <c r="I83" s="54"/>
      <c r="J83" s="54"/>
      <c r="K83" s="54"/>
      <c r="L83" s="54"/>
      <c r="M83" s="54">
        <v>1</v>
      </c>
      <c r="N83" s="54"/>
      <c r="O83" s="54" t="s">
        <v>1723</v>
      </c>
    </row>
    <row r="84" spans="1:15" ht="30" x14ac:dyDescent="0.2">
      <c r="A84" s="53" t="s">
        <v>12</v>
      </c>
      <c r="B84" s="53" t="s">
        <v>13</v>
      </c>
      <c r="C84" s="54" t="s">
        <v>1724</v>
      </c>
      <c r="D84" s="55" t="s">
        <v>1725</v>
      </c>
      <c r="E84" s="54" t="s">
        <v>1726</v>
      </c>
      <c r="F84" s="54" t="s">
        <v>884</v>
      </c>
      <c r="G84" s="54">
        <v>5</v>
      </c>
      <c r="H84" s="54"/>
      <c r="I84" s="54">
        <v>54000</v>
      </c>
      <c r="J84" s="54">
        <v>54000</v>
      </c>
      <c r="K84" s="54"/>
      <c r="L84" s="54"/>
      <c r="M84" s="54"/>
      <c r="N84" s="54"/>
      <c r="O84" s="54" t="s">
        <v>1727</v>
      </c>
    </row>
    <row r="85" spans="1:15" ht="30" x14ac:dyDescent="0.2">
      <c r="A85" s="53" t="s">
        <v>12</v>
      </c>
      <c r="B85" s="53" t="s">
        <v>106</v>
      </c>
      <c r="C85" s="54" t="s">
        <v>1728</v>
      </c>
      <c r="D85" s="55" t="s">
        <v>1729</v>
      </c>
      <c r="E85" s="54" t="s">
        <v>1726</v>
      </c>
      <c r="F85" s="54" t="s">
        <v>884</v>
      </c>
      <c r="G85" s="54">
        <v>2</v>
      </c>
      <c r="H85" s="54"/>
      <c r="I85" s="54">
        <v>43200</v>
      </c>
      <c r="J85" s="54">
        <v>0</v>
      </c>
      <c r="K85" s="54"/>
      <c r="L85" s="54"/>
      <c r="M85" s="54"/>
      <c r="N85" s="54"/>
      <c r="O85" s="54" t="s">
        <v>953</v>
      </c>
    </row>
    <row r="86" spans="1:15" ht="15.75" x14ac:dyDescent="0.2">
      <c r="A86" s="53" t="s">
        <v>12</v>
      </c>
      <c r="B86" s="53" t="s">
        <v>106</v>
      </c>
      <c r="C86" s="54" t="s">
        <v>1730</v>
      </c>
      <c r="D86" s="55" t="s">
        <v>1731</v>
      </c>
      <c r="E86" s="54" t="s">
        <v>1726</v>
      </c>
      <c r="F86" s="54" t="s">
        <v>884</v>
      </c>
      <c r="G86" s="54">
        <v>2</v>
      </c>
      <c r="H86" s="54"/>
      <c r="I86" s="54">
        <v>21600</v>
      </c>
      <c r="J86" s="54">
        <v>0</v>
      </c>
      <c r="K86" s="54"/>
      <c r="L86" s="54"/>
      <c r="M86" s="54"/>
      <c r="N86" s="54"/>
      <c r="O86" s="54" t="s">
        <v>953</v>
      </c>
    </row>
    <row r="87" spans="1:15" ht="15.75" x14ac:dyDescent="0.2">
      <c r="A87" s="53" t="s">
        <v>12</v>
      </c>
      <c r="B87" s="53" t="s">
        <v>14</v>
      </c>
      <c r="C87" s="54" t="s">
        <v>1732</v>
      </c>
      <c r="D87" s="55" t="s">
        <v>1733</v>
      </c>
      <c r="E87" s="54" t="s">
        <v>883</v>
      </c>
      <c r="F87" s="54" t="s">
        <v>884</v>
      </c>
      <c r="G87" s="54">
        <v>8</v>
      </c>
      <c r="H87" s="54"/>
      <c r="I87" s="54">
        <v>64800</v>
      </c>
      <c r="J87" s="54">
        <v>86400</v>
      </c>
      <c r="K87" s="54"/>
      <c r="L87" s="54"/>
      <c r="M87" s="54"/>
      <c r="N87" s="54"/>
      <c r="O87" s="54" t="s">
        <v>944</v>
      </c>
    </row>
    <row r="88" spans="1:15" ht="15.75" x14ac:dyDescent="0.2">
      <c r="A88" s="53" t="s">
        <v>12</v>
      </c>
      <c r="B88" s="53" t="s">
        <v>16</v>
      </c>
      <c r="C88" s="54" t="s">
        <v>1734</v>
      </c>
      <c r="D88" s="55" t="s">
        <v>1735</v>
      </c>
      <c r="E88" s="54" t="s">
        <v>883</v>
      </c>
      <c r="F88" s="54" t="s">
        <v>884</v>
      </c>
      <c r="G88" s="54">
        <v>8</v>
      </c>
      <c r="H88" s="54"/>
      <c r="I88" s="54">
        <v>43200</v>
      </c>
      <c r="J88" s="54">
        <v>14400</v>
      </c>
      <c r="K88" s="54"/>
      <c r="L88" s="54"/>
      <c r="M88" s="54"/>
      <c r="N88" s="54"/>
      <c r="O88" s="54" t="s">
        <v>1736</v>
      </c>
    </row>
    <row r="89" spans="1:15" ht="15.75" x14ac:dyDescent="0.2">
      <c r="A89" s="53" t="s">
        <v>12</v>
      </c>
      <c r="B89" s="53" t="s">
        <v>16</v>
      </c>
      <c r="C89" s="54" t="s">
        <v>1737</v>
      </c>
      <c r="D89" s="55" t="s">
        <v>1738</v>
      </c>
      <c r="E89" s="54" t="s">
        <v>883</v>
      </c>
      <c r="F89" s="54" t="s">
        <v>884</v>
      </c>
      <c r="G89" s="54">
        <v>8</v>
      </c>
      <c r="H89" s="54"/>
      <c r="I89" s="54">
        <v>43200</v>
      </c>
      <c r="J89" s="54">
        <v>14400</v>
      </c>
      <c r="K89" s="54"/>
      <c r="L89" s="54"/>
      <c r="M89" s="54"/>
      <c r="N89" s="54"/>
      <c r="O89" s="54" t="s">
        <v>944</v>
      </c>
    </row>
    <row r="90" spans="1:15" ht="15.75" x14ac:dyDescent="0.2">
      <c r="A90" s="53" t="s">
        <v>12</v>
      </c>
      <c r="B90" s="53" t="s">
        <v>16</v>
      </c>
      <c r="C90" s="54" t="s">
        <v>1739</v>
      </c>
      <c r="D90" s="55" t="s">
        <v>1740</v>
      </c>
      <c r="E90" s="54" t="s">
        <v>883</v>
      </c>
      <c r="F90" s="54" t="s">
        <v>884</v>
      </c>
      <c r="G90" s="54">
        <v>8</v>
      </c>
      <c r="H90" s="54"/>
      <c r="I90" s="54">
        <v>43200</v>
      </c>
      <c r="J90" s="54">
        <v>7200</v>
      </c>
      <c r="K90" s="54"/>
      <c r="L90" s="54"/>
      <c r="M90" s="54"/>
      <c r="N90" s="54"/>
      <c r="O90" s="54" t="s">
        <v>1741</v>
      </c>
    </row>
    <row r="91" spans="1:15" ht="15.75" x14ac:dyDescent="0.2">
      <c r="A91" s="53" t="s">
        <v>12</v>
      </c>
      <c r="B91" s="53" t="s">
        <v>14</v>
      </c>
      <c r="C91" s="54" t="s">
        <v>1742</v>
      </c>
      <c r="D91" s="55" t="s">
        <v>1743</v>
      </c>
      <c r="E91" s="54" t="s">
        <v>883</v>
      </c>
      <c r="F91" s="54" t="s">
        <v>884</v>
      </c>
      <c r="G91" s="54">
        <v>8</v>
      </c>
      <c r="H91" s="54"/>
      <c r="I91" s="54">
        <v>43200</v>
      </c>
      <c r="J91" s="54">
        <v>28800</v>
      </c>
      <c r="K91" s="54"/>
      <c r="L91" s="54"/>
      <c r="M91" s="54"/>
      <c r="N91" s="54"/>
      <c r="O91" s="54" t="s">
        <v>944</v>
      </c>
    </row>
    <row r="92" spans="1:15" ht="15.75" x14ac:dyDescent="0.2">
      <c r="A92" s="53" t="s">
        <v>12</v>
      </c>
      <c r="B92" s="53" t="s">
        <v>13</v>
      </c>
      <c r="C92" s="54" t="s">
        <v>1744</v>
      </c>
      <c r="D92" s="55" t="s">
        <v>1745</v>
      </c>
      <c r="E92" s="54" t="s">
        <v>899</v>
      </c>
      <c r="F92" s="54" t="s">
        <v>1701</v>
      </c>
      <c r="G92" s="54">
        <v>5</v>
      </c>
      <c r="H92" s="54"/>
      <c r="I92" s="54"/>
      <c r="J92" s="54"/>
      <c r="K92" s="54"/>
      <c r="L92" s="54"/>
      <c r="M92" s="54"/>
      <c r="N92" s="54"/>
      <c r="O92" s="54" t="s">
        <v>1746</v>
      </c>
    </row>
    <row r="93" spans="1:15" ht="15.75" x14ac:dyDescent="0.2">
      <c r="A93" s="53" t="s">
        <v>12</v>
      </c>
      <c r="B93" s="53" t="s">
        <v>13</v>
      </c>
      <c r="C93" s="54" t="s">
        <v>1747</v>
      </c>
      <c r="D93" s="55" t="s">
        <v>1746</v>
      </c>
      <c r="E93" s="54" t="s">
        <v>899</v>
      </c>
      <c r="F93" s="54" t="s">
        <v>1701</v>
      </c>
      <c r="G93" s="54">
        <v>5</v>
      </c>
      <c r="H93" s="54"/>
      <c r="I93" s="54"/>
      <c r="J93" s="54"/>
      <c r="K93" s="54"/>
      <c r="L93" s="54"/>
      <c r="M93" s="54"/>
      <c r="N93" s="54"/>
      <c r="O93" s="54" t="s">
        <v>1745</v>
      </c>
    </row>
    <row r="94" spans="1:15" ht="15.75" x14ac:dyDescent="0.2">
      <c r="A94" s="53" t="s">
        <v>12</v>
      </c>
      <c r="B94" s="53" t="s">
        <v>15</v>
      </c>
      <c r="C94" s="54" t="s">
        <v>1748</v>
      </c>
      <c r="D94" s="55" t="s">
        <v>1749</v>
      </c>
      <c r="E94" s="54" t="s">
        <v>899</v>
      </c>
      <c r="F94" s="54" t="s">
        <v>1701</v>
      </c>
      <c r="G94" s="54">
        <v>13</v>
      </c>
      <c r="H94" s="54">
        <v>13</v>
      </c>
      <c r="I94" s="54"/>
      <c r="J94" s="54"/>
      <c r="K94" s="54"/>
      <c r="L94" s="54"/>
      <c r="M94" s="54"/>
      <c r="N94" s="54"/>
      <c r="O94" s="54"/>
    </row>
    <row r="95" spans="1:15" ht="15.75" x14ac:dyDescent="0.2">
      <c r="A95" s="53" t="s">
        <v>12</v>
      </c>
      <c r="B95" s="53" t="s">
        <v>15</v>
      </c>
      <c r="C95" s="54" t="s">
        <v>1750</v>
      </c>
      <c r="D95" s="55" t="s">
        <v>1751</v>
      </c>
      <c r="E95" s="54" t="s">
        <v>899</v>
      </c>
      <c r="F95" s="54" t="s">
        <v>1752</v>
      </c>
      <c r="G95" s="54">
        <v>13</v>
      </c>
      <c r="H95" s="54">
        <v>13</v>
      </c>
      <c r="I95" s="54"/>
      <c r="J95" s="54"/>
      <c r="K95" s="54"/>
      <c r="L95" s="54"/>
      <c r="M95" s="54"/>
      <c r="N95" s="54"/>
      <c r="O95" s="54" t="s">
        <v>1753</v>
      </c>
    </row>
    <row r="96" spans="1:15" ht="60" x14ac:dyDescent="0.2">
      <c r="A96" s="53" t="s">
        <v>12</v>
      </c>
      <c r="B96" s="53" t="s">
        <v>13</v>
      </c>
      <c r="C96" s="54" t="s">
        <v>1754</v>
      </c>
      <c r="D96" s="55" t="s">
        <v>1755</v>
      </c>
      <c r="E96" s="54" t="s">
        <v>899</v>
      </c>
      <c r="F96" s="54" t="s">
        <v>1555</v>
      </c>
      <c r="G96" s="54">
        <v>5</v>
      </c>
      <c r="H96" s="54"/>
      <c r="I96" s="54">
        <v>151200</v>
      </c>
      <c r="J96" s="54">
        <v>111600</v>
      </c>
      <c r="K96" s="54"/>
      <c r="L96" s="54"/>
      <c r="M96" s="54"/>
      <c r="N96" s="54"/>
      <c r="O96" s="54" t="s">
        <v>1476</v>
      </c>
    </row>
    <row r="97" spans="1:15" ht="30" x14ac:dyDescent="0.2">
      <c r="A97" s="53" t="s">
        <v>12</v>
      </c>
      <c r="B97" s="53" t="s">
        <v>17</v>
      </c>
      <c r="C97" s="54" t="s">
        <v>1756</v>
      </c>
      <c r="D97" s="55" t="s">
        <v>1757</v>
      </c>
      <c r="E97" s="54"/>
      <c r="F97" s="54" t="s">
        <v>1758</v>
      </c>
      <c r="G97" s="54"/>
      <c r="H97" s="54"/>
      <c r="I97" s="54"/>
      <c r="J97" s="54"/>
      <c r="K97" s="54"/>
      <c r="L97" s="54"/>
      <c r="M97" s="54"/>
      <c r="N97" s="54"/>
      <c r="O97" s="54" t="s">
        <v>1759</v>
      </c>
    </row>
    <row r="98" spans="1:15" ht="15.75" x14ac:dyDescent="0.2">
      <c r="A98" s="53" t="s">
        <v>12</v>
      </c>
      <c r="B98" s="53" t="s">
        <v>106</v>
      </c>
      <c r="C98" s="54" t="s">
        <v>1760</v>
      </c>
      <c r="D98" s="55" t="s">
        <v>1761</v>
      </c>
      <c r="E98" s="54" t="s">
        <v>1762</v>
      </c>
      <c r="F98" s="54" t="s">
        <v>212</v>
      </c>
      <c r="G98" s="54">
        <v>13</v>
      </c>
      <c r="H98" s="54"/>
      <c r="I98" s="54">
        <v>43200</v>
      </c>
      <c r="J98" s="54">
        <v>25200</v>
      </c>
      <c r="K98" s="54"/>
      <c r="L98" s="54"/>
      <c r="M98" s="54"/>
      <c r="N98" s="54"/>
      <c r="O98" s="54" t="s">
        <v>1763</v>
      </c>
    </row>
    <row r="99" spans="1:15" ht="30" x14ac:dyDescent="0.2">
      <c r="A99" s="53" t="s">
        <v>12</v>
      </c>
      <c r="B99" s="53" t="s">
        <v>13</v>
      </c>
      <c r="C99" s="54" t="s">
        <v>1764</v>
      </c>
      <c r="D99" s="55" t="s">
        <v>1765</v>
      </c>
      <c r="E99" s="54"/>
      <c r="F99" s="54" t="s">
        <v>1013</v>
      </c>
      <c r="G99" s="54">
        <v>8</v>
      </c>
      <c r="H99" s="54"/>
      <c r="I99" s="54">
        <v>259200</v>
      </c>
      <c r="J99" s="54">
        <v>212400</v>
      </c>
      <c r="K99" s="54"/>
      <c r="L99" s="54"/>
      <c r="M99" s="54"/>
      <c r="N99" s="54"/>
      <c r="O99" s="54"/>
    </row>
    <row r="100" spans="1:15" ht="45" x14ac:dyDescent="0.2">
      <c r="A100" s="53" t="s">
        <v>12</v>
      </c>
      <c r="B100" s="53" t="s">
        <v>13</v>
      </c>
      <c r="C100" s="54" t="s">
        <v>1766</v>
      </c>
      <c r="D100" s="55" t="s">
        <v>1767</v>
      </c>
      <c r="E100" s="54"/>
      <c r="F100" s="54"/>
      <c r="G100" s="54"/>
      <c r="H100" s="54"/>
      <c r="I100" s="54"/>
      <c r="J100" s="54"/>
      <c r="K100" s="54"/>
      <c r="L100" s="54"/>
      <c r="M100" s="54"/>
      <c r="N100" s="54"/>
      <c r="O100" s="54" t="s">
        <v>1768</v>
      </c>
    </row>
    <row r="101" spans="1:15" ht="60" x14ac:dyDescent="0.2">
      <c r="A101" s="53" t="s">
        <v>12</v>
      </c>
      <c r="B101" s="53" t="s">
        <v>15</v>
      </c>
      <c r="C101" s="54" t="s">
        <v>1769</v>
      </c>
      <c r="D101" s="55" t="s">
        <v>1770</v>
      </c>
      <c r="E101" s="54" t="s">
        <v>899</v>
      </c>
      <c r="F101" s="54" t="s">
        <v>1771</v>
      </c>
      <c r="G101" s="54">
        <v>3</v>
      </c>
      <c r="H101" s="54">
        <v>3</v>
      </c>
      <c r="I101" s="54">
        <v>0</v>
      </c>
      <c r="J101" s="54">
        <v>0</v>
      </c>
      <c r="K101" s="54"/>
      <c r="L101" s="54"/>
      <c r="M101" s="54"/>
      <c r="N101" s="54"/>
      <c r="O101" s="54" t="s">
        <v>1772</v>
      </c>
    </row>
    <row r="102" spans="1:15" ht="30" x14ac:dyDescent="0.2">
      <c r="A102" s="53" t="s">
        <v>12</v>
      </c>
      <c r="B102" s="53" t="s">
        <v>15</v>
      </c>
      <c r="C102" s="54" t="s">
        <v>1773</v>
      </c>
      <c r="D102" s="55" t="s">
        <v>1774</v>
      </c>
      <c r="E102" s="54" t="s">
        <v>883</v>
      </c>
      <c r="F102" s="54" t="s">
        <v>888</v>
      </c>
      <c r="G102" s="54">
        <v>3</v>
      </c>
      <c r="H102" s="54">
        <v>3</v>
      </c>
      <c r="I102" s="54"/>
      <c r="J102" s="54">
        <v>0</v>
      </c>
      <c r="K102" s="54"/>
      <c r="L102" s="54"/>
      <c r="M102" s="54"/>
      <c r="N102" s="54"/>
      <c r="O102" s="54" t="s">
        <v>1547</v>
      </c>
    </row>
    <row r="103" spans="1:15" ht="45" x14ac:dyDescent="0.2">
      <c r="A103" s="53" t="s">
        <v>12</v>
      </c>
      <c r="B103" s="53" t="s">
        <v>13</v>
      </c>
      <c r="C103" s="54" t="s">
        <v>1775</v>
      </c>
      <c r="D103" s="55" t="s">
        <v>1776</v>
      </c>
      <c r="E103" s="54"/>
      <c r="F103" s="54"/>
      <c r="G103" s="54"/>
      <c r="H103" s="54"/>
      <c r="I103" s="54"/>
      <c r="J103" s="54"/>
      <c r="K103" s="54"/>
      <c r="L103" s="54"/>
      <c r="M103" s="54"/>
      <c r="N103" s="54"/>
      <c r="O103" s="54" t="s">
        <v>1777</v>
      </c>
    </row>
    <row r="104" spans="1:15" ht="30" x14ac:dyDescent="0.2">
      <c r="A104" s="53" t="s">
        <v>12</v>
      </c>
      <c r="B104" s="53" t="s">
        <v>13</v>
      </c>
      <c r="C104" s="54" t="s">
        <v>1778</v>
      </c>
      <c r="D104" s="55" t="s">
        <v>1779</v>
      </c>
      <c r="E104" s="54"/>
      <c r="F104" s="54"/>
      <c r="G104" s="54"/>
      <c r="H104" s="54"/>
      <c r="I104" s="54"/>
      <c r="J104" s="54"/>
      <c r="K104" s="54"/>
      <c r="L104" s="54"/>
      <c r="M104" s="54"/>
      <c r="N104" s="54"/>
      <c r="O104" s="54" t="s">
        <v>1780</v>
      </c>
    </row>
    <row r="105" spans="1:15" ht="45" x14ac:dyDescent="0.2">
      <c r="A105" s="53" t="s">
        <v>12</v>
      </c>
      <c r="B105" s="53" t="s">
        <v>17</v>
      </c>
      <c r="C105" s="54" t="s">
        <v>1781</v>
      </c>
      <c r="D105" s="55" t="s">
        <v>1782</v>
      </c>
      <c r="E105" s="54"/>
      <c r="F105" s="54"/>
      <c r="G105" s="54"/>
      <c r="H105" s="54"/>
      <c r="I105" s="54"/>
      <c r="J105" s="54"/>
      <c r="K105" s="54"/>
      <c r="L105" s="54"/>
      <c r="M105" s="54"/>
      <c r="N105" s="54"/>
      <c r="O105" s="54" t="s">
        <v>1783</v>
      </c>
    </row>
    <row r="106" spans="1:15" ht="30" x14ac:dyDescent="0.2">
      <c r="A106" s="53" t="s">
        <v>12</v>
      </c>
      <c r="B106" s="53" t="s">
        <v>17</v>
      </c>
      <c r="C106" s="54" t="s">
        <v>1784</v>
      </c>
      <c r="D106" s="55" t="s">
        <v>1785</v>
      </c>
      <c r="E106" s="54"/>
      <c r="F106" s="54"/>
      <c r="G106" s="54"/>
      <c r="H106" s="54"/>
      <c r="I106" s="54">
        <v>28800</v>
      </c>
      <c r="J106" s="54">
        <v>28800</v>
      </c>
      <c r="K106" s="54"/>
      <c r="L106" s="54"/>
      <c r="M106" s="54"/>
      <c r="N106" s="54"/>
      <c r="O106" s="54" t="s">
        <v>1786</v>
      </c>
    </row>
    <row r="107" spans="1:15" ht="45" x14ac:dyDescent="0.2">
      <c r="A107" s="53" t="s">
        <v>12</v>
      </c>
      <c r="B107" s="53" t="s">
        <v>13</v>
      </c>
      <c r="C107" s="54" t="s">
        <v>1787</v>
      </c>
      <c r="D107" s="55" t="s">
        <v>1786</v>
      </c>
      <c r="E107" s="54"/>
      <c r="F107" s="54"/>
      <c r="G107" s="54"/>
      <c r="H107" s="54"/>
      <c r="I107" s="54">
        <v>28800</v>
      </c>
      <c r="J107" s="54">
        <v>28800</v>
      </c>
      <c r="K107" s="54"/>
      <c r="L107" s="54"/>
      <c r="M107" s="54"/>
      <c r="N107" s="54"/>
      <c r="O107" s="54" t="s">
        <v>1788</v>
      </c>
    </row>
    <row r="108" spans="1:15" ht="45" x14ac:dyDescent="0.2">
      <c r="A108" s="53" t="s">
        <v>12</v>
      </c>
      <c r="B108" s="53" t="s">
        <v>13</v>
      </c>
      <c r="C108" s="54" t="s">
        <v>1789</v>
      </c>
      <c r="D108" s="55" t="s">
        <v>1790</v>
      </c>
      <c r="E108" s="54"/>
      <c r="F108" s="54"/>
      <c r="G108" s="54"/>
      <c r="H108" s="54"/>
      <c r="I108" s="54">
        <v>86400</v>
      </c>
      <c r="J108" s="54">
        <v>86400</v>
      </c>
      <c r="K108" s="54"/>
      <c r="L108" s="54"/>
      <c r="M108" s="54"/>
      <c r="N108" s="54"/>
      <c r="O108" s="54" t="s">
        <v>1791</v>
      </c>
    </row>
    <row r="109" spans="1:15" ht="30" x14ac:dyDescent="0.2">
      <c r="A109" s="53" t="s">
        <v>12</v>
      </c>
      <c r="B109" s="53" t="s">
        <v>17</v>
      </c>
      <c r="C109" s="54" t="s">
        <v>1792</v>
      </c>
      <c r="D109" s="55" t="s">
        <v>1793</v>
      </c>
      <c r="E109" s="54"/>
      <c r="F109" s="54"/>
      <c r="G109" s="54"/>
      <c r="H109" s="54"/>
      <c r="I109" s="54">
        <v>115200</v>
      </c>
      <c r="J109" s="54">
        <v>115200</v>
      </c>
      <c r="K109" s="54"/>
      <c r="L109" s="54"/>
      <c r="M109" s="54"/>
      <c r="N109" s="54"/>
      <c r="O109" s="54" t="s">
        <v>1794</v>
      </c>
    </row>
    <row r="110" spans="1:15" ht="30" x14ac:dyDescent="0.2">
      <c r="A110" s="53" t="s">
        <v>12</v>
      </c>
      <c r="B110" s="53" t="s">
        <v>17</v>
      </c>
      <c r="C110" s="54" t="s">
        <v>1795</v>
      </c>
      <c r="D110" s="55" t="s">
        <v>1796</v>
      </c>
      <c r="E110" s="54"/>
      <c r="F110" s="54"/>
      <c r="G110" s="54"/>
      <c r="H110" s="54"/>
      <c r="I110" s="54"/>
      <c r="J110" s="54"/>
      <c r="K110" s="54"/>
      <c r="L110" s="54"/>
      <c r="M110" s="54"/>
      <c r="N110" s="54"/>
      <c r="O110" s="54" t="s">
        <v>1797</v>
      </c>
    </row>
    <row r="111" spans="1:15" ht="30" x14ac:dyDescent="0.2">
      <c r="A111" s="53" t="s">
        <v>12</v>
      </c>
      <c r="B111" s="53" t="s">
        <v>17</v>
      </c>
      <c r="C111" s="54" t="s">
        <v>1798</v>
      </c>
      <c r="D111" s="55" t="s">
        <v>1799</v>
      </c>
      <c r="E111" s="54"/>
      <c r="F111" s="54"/>
      <c r="G111" s="54"/>
      <c r="H111" s="54"/>
      <c r="I111" s="54">
        <v>144000</v>
      </c>
      <c r="J111" s="54">
        <v>144000</v>
      </c>
      <c r="K111" s="54"/>
      <c r="L111" s="54"/>
      <c r="M111" s="54"/>
      <c r="N111" s="54"/>
      <c r="O111" s="54" t="s">
        <v>1782</v>
      </c>
    </row>
    <row r="112" spans="1:15" ht="45" x14ac:dyDescent="0.2">
      <c r="A112" s="53" t="s">
        <v>12</v>
      </c>
      <c r="B112" s="53" t="s">
        <v>13</v>
      </c>
      <c r="C112" s="54" t="s">
        <v>1800</v>
      </c>
      <c r="D112" s="55" t="s">
        <v>1801</v>
      </c>
      <c r="E112" s="54"/>
      <c r="F112" s="54"/>
      <c r="G112" s="54">
        <v>5</v>
      </c>
      <c r="H112" s="54"/>
      <c r="I112" s="54"/>
      <c r="J112" s="54"/>
      <c r="K112" s="54"/>
      <c r="L112" s="54"/>
      <c r="M112" s="54"/>
      <c r="N112" s="54"/>
      <c r="O112" s="54" t="s">
        <v>1802</v>
      </c>
    </row>
    <row r="113" spans="1:15" ht="45" x14ac:dyDescent="0.2">
      <c r="A113" s="53" t="s">
        <v>12</v>
      </c>
      <c r="B113" s="53" t="s">
        <v>16</v>
      </c>
      <c r="C113" s="54" t="s">
        <v>1803</v>
      </c>
      <c r="D113" s="55" t="s">
        <v>1804</v>
      </c>
      <c r="E113" s="54"/>
      <c r="F113" s="54" t="s">
        <v>1555</v>
      </c>
      <c r="G113" s="54">
        <v>5</v>
      </c>
      <c r="H113" s="54"/>
      <c r="I113" s="54"/>
      <c r="J113" s="54">
        <v>0</v>
      </c>
      <c r="K113" s="54"/>
      <c r="L113" s="54"/>
      <c r="M113" s="54"/>
      <c r="N113" s="54"/>
      <c r="O113" s="54" t="s">
        <v>1805</v>
      </c>
    </row>
    <row r="114" spans="1:15" ht="15.75" x14ac:dyDescent="0.2">
      <c r="A114" s="53" t="s">
        <v>12</v>
      </c>
      <c r="B114" s="53" t="s">
        <v>13</v>
      </c>
      <c r="C114" s="54" t="s">
        <v>1806</v>
      </c>
      <c r="D114" s="55" t="s">
        <v>1807</v>
      </c>
      <c r="E114" s="54"/>
      <c r="F114" s="54"/>
      <c r="G114" s="54"/>
      <c r="H114" s="54"/>
      <c r="I114" s="54">
        <v>3600</v>
      </c>
      <c r="J114" s="54">
        <v>3600</v>
      </c>
      <c r="K114" s="54"/>
      <c r="L114" s="54"/>
      <c r="M114" s="54"/>
      <c r="N114" s="54"/>
      <c r="O114" s="54" t="s">
        <v>1808</v>
      </c>
    </row>
    <row r="115" spans="1:15" ht="45" x14ac:dyDescent="0.2">
      <c r="A115" s="53" t="s">
        <v>12</v>
      </c>
      <c r="B115" s="53" t="s">
        <v>13</v>
      </c>
      <c r="C115" s="54" t="s">
        <v>1809</v>
      </c>
      <c r="D115" s="55" t="s">
        <v>1810</v>
      </c>
      <c r="E115" s="54" t="s">
        <v>899</v>
      </c>
      <c r="F115" s="54" t="s">
        <v>1555</v>
      </c>
      <c r="G115" s="54"/>
      <c r="H115" s="54"/>
      <c r="I115" s="54"/>
      <c r="J115" s="54"/>
      <c r="K115" s="54"/>
      <c r="L115" s="54"/>
      <c r="M115" s="54"/>
      <c r="N115" s="54"/>
      <c r="O115" s="54" t="s">
        <v>1476</v>
      </c>
    </row>
    <row r="116" spans="1:15" ht="30" x14ac:dyDescent="0.2">
      <c r="A116" s="53" t="s">
        <v>12</v>
      </c>
      <c r="B116" s="53" t="s">
        <v>16</v>
      </c>
      <c r="C116" s="54" t="s">
        <v>1811</v>
      </c>
      <c r="D116" s="55" t="s">
        <v>1812</v>
      </c>
      <c r="E116" s="54" t="s">
        <v>899</v>
      </c>
      <c r="F116" s="54" t="s">
        <v>1633</v>
      </c>
      <c r="G116" s="54"/>
      <c r="H116" s="54"/>
      <c r="I116" s="54">
        <v>43200</v>
      </c>
      <c r="J116" s="54">
        <v>43200</v>
      </c>
      <c r="K116" s="54"/>
      <c r="L116" s="54"/>
      <c r="M116" s="54"/>
      <c r="N116" s="54"/>
      <c r="O116" s="54" t="s">
        <v>1050</v>
      </c>
    </row>
    <row r="117" spans="1:15" ht="30" x14ac:dyDescent="0.2">
      <c r="A117" s="53" t="s">
        <v>12</v>
      </c>
      <c r="B117" s="53" t="s">
        <v>16</v>
      </c>
      <c r="C117" s="54" t="s">
        <v>1813</v>
      </c>
      <c r="D117" s="55" t="s">
        <v>1054</v>
      </c>
      <c r="E117" s="54" t="s">
        <v>899</v>
      </c>
      <c r="F117" s="54" t="s">
        <v>1633</v>
      </c>
      <c r="G117" s="54"/>
      <c r="H117" s="54"/>
      <c r="I117" s="54">
        <v>28800</v>
      </c>
      <c r="J117" s="54">
        <v>23400</v>
      </c>
      <c r="K117" s="54"/>
      <c r="L117" s="54"/>
      <c r="M117" s="54"/>
      <c r="N117" s="54"/>
      <c r="O117" s="54" t="s">
        <v>1053</v>
      </c>
    </row>
    <row r="118" spans="1:15" ht="30" x14ac:dyDescent="0.2">
      <c r="A118" s="53" t="s">
        <v>12</v>
      </c>
      <c r="B118" s="53" t="s">
        <v>15</v>
      </c>
      <c r="C118" s="54" t="s">
        <v>1814</v>
      </c>
      <c r="D118" s="55" t="s">
        <v>1815</v>
      </c>
      <c r="E118" s="54" t="s">
        <v>883</v>
      </c>
      <c r="F118" s="54" t="s">
        <v>1816</v>
      </c>
      <c r="G118" s="54">
        <v>1</v>
      </c>
      <c r="H118" s="54">
        <v>1</v>
      </c>
      <c r="I118" s="54">
        <v>7200</v>
      </c>
      <c r="J118" s="54">
        <v>0</v>
      </c>
      <c r="K118" s="54"/>
      <c r="L118" s="54"/>
      <c r="M118" s="54"/>
      <c r="N118" s="54"/>
      <c r="O118" s="54" t="s">
        <v>1510</v>
      </c>
    </row>
    <row r="119" spans="1:15" ht="30" x14ac:dyDescent="0.2">
      <c r="A119" s="53" t="s">
        <v>12</v>
      </c>
      <c r="B119" s="53" t="s">
        <v>15</v>
      </c>
      <c r="C119" s="54" t="s">
        <v>1592</v>
      </c>
      <c r="D119" s="55" t="s">
        <v>1817</v>
      </c>
      <c r="E119" s="54" t="s">
        <v>899</v>
      </c>
      <c r="F119" s="54" t="s">
        <v>1818</v>
      </c>
      <c r="G119" s="54">
        <v>0</v>
      </c>
      <c r="H119" s="54">
        <v>0</v>
      </c>
      <c r="I119" s="54">
        <v>0</v>
      </c>
      <c r="J119" s="54">
        <v>0</v>
      </c>
      <c r="K119" s="54"/>
      <c r="L119" s="54"/>
      <c r="M119" s="54"/>
      <c r="N119" s="54"/>
      <c r="O119" s="54" t="s">
        <v>1352</v>
      </c>
    </row>
    <row r="120" spans="1:15" ht="60" x14ac:dyDescent="0.2">
      <c r="A120" s="53" t="s">
        <v>12</v>
      </c>
      <c r="B120" s="53" t="s">
        <v>13</v>
      </c>
      <c r="C120" s="54" t="s">
        <v>1819</v>
      </c>
      <c r="D120" s="55" t="s">
        <v>1820</v>
      </c>
      <c r="E120" s="54" t="s">
        <v>899</v>
      </c>
      <c r="F120" s="54"/>
      <c r="G120" s="54">
        <v>13</v>
      </c>
      <c r="H120" s="54"/>
      <c r="I120" s="54"/>
      <c r="J120" s="54"/>
      <c r="K120" s="54"/>
      <c r="L120" s="54"/>
      <c r="M120" s="54"/>
      <c r="N120" s="54"/>
      <c r="O120" s="54" t="s">
        <v>1821</v>
      </c>
    </row>
    <row r="121" spans="1:15" ht="45" x14ac:dyDescent="0.2">
      <c r="A121" s="53" t="s">
        <v>12</v>
      </c>
      <c r="B121" s="53" t="s">
        <v>13</v>
      </c>
      <c r="C121" s="54" t="s">
        <v>1822</v>
      </c>
      <c r="D121" s="55" t="s">
        <v>1821</v>
      </c>
      <c r="E121" s="54" t="s">
        <v>899</v>
      </c>
      <c r="F121" s="54"/>
      <c r="G121" s="54">
        <v>13</v>
      </c>
      <c r="H121" s="54"/>
      <c r="I121" s="54"/>
      <c r="J121" s="54"/>
      <c r="K121" s="54"/>
      <c r="L121" s="54"/>
      <c r="M121" s="54"/>
      <c r="N121" s="54"/>
      <c r="O121" s="54" t="s">
        <v>1820</v>
      </c>
    </row>
    <row r="122" spans="1:15" ht="45" x14ac:dyDescent="0.2">
      <c r="A122" s="53" t="s">
        <v>12</v>
      </c>
      <c r="B122" s="53" t="s">
        <v>13</v>
      </c>
      <c r="C122" s="54" t="s">
        <v>1823</v>
      </c>
      <c r="D122" s="55" t="s">
        <v>1824</v>
      </c>
      <c r="E122" s="54" t="s">
        <v>899</v>
      </c>
      <c r="F122" s="54" t="s">
        <v>1825</v>
      </c>
      <c r="G122" s="54">
        <v>13</v>
      </c>
      <c r="H122" s="54"/>
      <c r="I122" s="54"/>
      <c r="J122" s="54"/>
      <c r="K122" s="54"/>
      <c r="L122" s="54"/>
      <c r="M122" s="54"/>
      <c r="N122" s="54"/>
      <c r="O122" s="54" t="s">
        <v>1826</v>
      </c>
    </row>
    <row r="123" spans="1:15" ht="60" x14ac:dyDescent="0.2">
      <c r="A123" s="53" t="s">
        <v>12</v>
      </c>
      <c r="B123" s="53" t="s">
        <v>15</v>
      </c>
      <c r="C123" s="54" t="s">
        <v>1827</v>
      </c>
      <c r="D123" s="55" t="s">
        <v>1826</v>
      </c>
      <c r="E123" s="54" t="s">
        <v>899</v>
      </c>
      <c r="F123" s="54" t="s">
        <v>1752</v>
      </c>
      <c r="G123" s="54">
        <v>13</v>
      </c>
      <c r="H123" s="54">
        <v>13</v>
      </c>
      <c r="I123" s="54"/>
      <c r="J123" s="54"/>
      <c r="K123" s="54"/>
      <c r="L123" s="54"/>
      <c r="M123" s="54"/>
      <c r="N123" s="54"/>
      <c r="O123" s="54" t="s">
        <v>1824</v>
      </c>
    </row>
    <row r="124" spans="1:15" ht="30" x14ac:dyDescent="0.2">
      <c r="A124" s="53" t="s">
        <v>12</v>
      </c>
      <c r="B124" s="53" t="s">
        <v>13</v>
      </c>
      <c r="C124" s="54" t="s">
        <v>1828</v>
      </c>
      <c r="D124" s="55" t="s">
        <v>1829</v>
      </c>
      <c r="E124" s="54" t="s">
        <v>899</v>
      </c>
      <c r="F124" s="54" t="s">
        <v>1825</v>
      </c>
      <c r="G124" s="54">
        <v>13</v>
      </c>
      <c r="H124" s="54"/>
      <c r="I124" s="54"/>
      <c r="J124" s="54"/>
      <c r="K124" s="54"/>
      <c r="L124" s="54"/>
      <c r="M124" s="54"/>
      <c r="N124" s="54"/>
      <c r="O124" s="54" t="s">
        <v>1830</v>
      </c>
    </row>
    <row r="125" spans="1:15" ht="75" x14ac:dyDescent="0.2">
      <c r="A125" s="53" t="s">
        <v>12</v>
      </c>
      <c r="B125" s="53" t="s">
        <v>13</v>
      </c>
      <c r="C125" s="54" t="s">
        <v>1831</v>
      </c>
      <c r="D125" s="55" t="s">
        <v>1832</v>
      </c>
      <c r="E125" s="54" t="s">
        <v>899</v>
      </c>
      <c r="F125" s="54" t="s">
        <v>1701</v>
      </c>
      <c r="G125" s="54">
        <v>13</v>
      </c>
      <c r="H125" s="54"/>
      <c r="I125" s="54"/>
      <c r="J125" s="54"/>
      <c r="K125" s="54"/>
      <c r="L125" s="54"/>
      <c r="M125" s="54"/>
      <c r="N125" s="54"/>
      <c r="O125" s="54"/>
    </row>
    <row r="126" spans="1:15" ht="75" x14ac:dyDescent="0.2">
      <c r="A126" s="53" t="s">
        <v>12</v>
      </c>
      <c r="B126" s="53" t="s">
        <v>13</v>
      </c>
      <c r="C126" s="54" t="s">
        <v>1833</v>
      </c>
      <c r="D126" s="55" t="s">
        <v>1830</v>
      </c>
      <c r="E126" s="54" t="s">
        <v>899</v>
      </c>
      <c r="F126" s="54" t="s">
        <v>1825</v>
      </c>
      <c r="G126" s="54">
        <v>13</v>
      </c>
      <c r="H126" s="54"/>
      <c r="I126" s="54"/>
      <c r="J126" s="54"/>
      <c r="K126" s="54"/>
      <c r="L126" s="54"/>
      <c r="M126" s="54"/>
      <c r="N126" s="54"/>
      <c r="O126" s="54" t="s">
        <v>1834</v>
      </c>
    </row>
    <row r="127" spans="1:15" ht="75" x14ac:dyDescent="0.2">
      <c r="A127" s="53" t="s">
        <v>12</v>
      </c>
      <c r="B127" s="53" t="s">
        <v>13</v>
      </c>
      <c r="C127" s="54" t="s">
        <v>1835</v>
      </c>
      <c r="D127" s="55" t="s">
        <v>1836</v>
      </c>
      <c r="E127" s="54" t="s">
        <v>899</v>
      </c>
      <c r="F127" s="54" t="s">
        <v>1825</v>
      </c>
      <c r="G127" s="54">
        <v>13</v>
      </c>
      <c r="H127" s="54"/>
      <c r="I127" s="54"/>
      <c r="J127" s="54"/>
      <c r="K127" s="54"/>
      <c r="L127" s="54"/>
      <c r="M127" s="54"/>
      <c r="N127" s="54"/>
      <c r="O127" s="54" t="s">
        <v>1837</v>
      </c>
    </row>
    <row r="128" spans="1:15" ht="30" x14ac:dyDescent="0.2">
      <c r="A128" s="53" t="s">
        <v>12</v>
      </c>
      <c r="B128" s="53" t="s">
        <v>14</v>
      </c>
      <c r="C128" s="54" t="s">
        <v>1838</v>
      </c>
      <c r="D128" s="55" t="s">
        <v>1837</v>
      </c>
      <c r="E128" s="54" t="s">
        <v>899</v>
      </c>
      <c r="F128" s="54" t="s">
        <v>1701</v>
      </c>
      <c r="G128" s="54">
        <v>13</v>
      </c>
      <c r="H128" s="54"/>
      <c r="I128" s="54"/>
      <c r="J128" s="54"/>
      <c r="K128" s="54"/>
      <c r="L128" s="54"/>
      <c r="M128" s="54"/>
      <c r="N128" s="54"/>
      <c r="O128" s="54" t="s">
        <v>1839</v>
      </c>
    </row>
    <row r="129" spans="1:15" ht="45" x14ac:dyDescent="0.2">
      <c r="A129" s="53" t="s">
        <v>12</v>
      </c>
      <c r="B129" s="53" t="s">
        <v>13</v>
      </c>
      <c r="C129" s="54" t="s">
        <v>1840</v>
      </c>
      <c r="D129" s="55" t="s">
        <v>1841</v>
      </c>
      <c r="E129" s="54" t="s">
        <v>899</v>
      </c>
      <c r="F129" s="54" t="s">
        <v>1701</v>
      </c>
      <c r="G129" s="54">
        <v>13</v>
      </c>
      <c r="H129" s="54"/>
      <c r="I129" s="54"/>
      <c r="J129" s="54"/>
      <c r="K129" s="54"/>
      <c r="L129" s="54"/>
      <c r="M129" s="54"/>
      <c r="N129" s="54"/>
      <c r="O129" s="54" t="s">
        <v>1842</v>
      </c>
    </row>
    <row r="130" spans="1:15" ht="45" x14ac:dyDescent="0.2">
      <c r="A130" s="53" t="s">
        <v>12</v>
      </c>
      <c r="B130" s="53" t="s">
        <v>15</v>
      </c>
      <c r="C130" s="54" t="s">
        <v>1843</v>
      </c>
      <c r="D130" s="55" t="s">
        <v>1844</v>
      </c>
      <c r="E130" s="54" t="s">
        <v>899</v>
      </c>
      <c r="F130" s="54" t="s">
        <v>1752</v>
      </c>
      <c r="G130" s="54">
        <v>13</v>
      </c>
      <c r="H130" s="54">
        <v>13</v>
      </c>
      <c r="I130" s="54"/>
      <c r="J130" s="54"/>
      <c r="K130" s="54"/>
      <c r="L130" s="54"/>
      <c r="M130" s="54"/>
      <c r="N130" s="54"/>
      <c r="O130" s="54" t="s">
        <v>1845</v>
      </c>
    </row>
    <row r="131" spans="1:15" ht="45" x14ac:dyDescent="0.2">
      <c r="A131" s="53" t="s">
        <v>12</v>
      </c>
      <c r="B131" s="53" t="s">
        <v>13</v>
      </c>
      <c r="C131" s="54" t="s">
        <v>1846</v>
      </c>
      <c r="D131" s="55" t="s">
        <v>1847</v>
      </c>
      <c r="E131" s="54" t="s">
        <v>899</v>
      </c>
      <c r="F131" s="54" t="s">
        <v>1825</v>
      </c>
      <c r="G131" s="54">
        <v>13</v>
      </c>
      <c r="H131" s="54"/>
      <c r="I131" s="54"/>
      <c r="J131" s="54"/>
      <c r="K131" s="54"/>
      <c r="L131" s="54"/>
      <c r="M131" s="54"/>
      <c r="N131" s="54"/>
      <c r="O131" s="54" t="s">
        <v>1848</v>
      </c>
    </row>
    <row r="132" spans="1:15" ht="45" x14ac:dyDescent="0.2">
      <c r="A132" s="53" t="s">
        <v>12</v>
      </c>
      <c r="B132" s="53" t="s">
        <v>13</v>
      </c>
      <c r="C132" s="54" t="s">
        <v>1849</v>
      </c>
      <c r="D132" s="55" t="s">
        <v>1850</v>
      </c>
      <c r="E132" s="54" t="s">
        <v>899</v>
      </c>
      <c r="F132" s="54" t="s">
        <v>1825</v>
      </c>
      <c r="G132" s="54">
        <v>13</v>
      </c>
      <c r="H132" s="54"/>
      <c r="I132" s="54"/>
      <c r="J132" s="54"/>
      <c r="K132" s="54"/>
      <c r="L132" s="54"/>
      <c r="M132" s="54"/>
      <c r="N132" s="54"/>
      <c r="O132" s="54" t="s">
        <v>1851</v>
      </c>
    </row>
    <row r="133" spans="1:15" ht="75" x14ac:dyDescent="0.2">
      <c r="A133" s="53" t="s">
        <v>12</v>
      </c>
      <c r="B133" s="53" t="s">
        <v>13</v>
      </c>
      <c r="C133" s="54" t="s">
        <v>1852</v>
      </c>
      <c r="D133" s="55" t="s">
        <v>1853</v>
      </c>
      <c r="E133" s="54" t="s">
        <v>899</v>
      </c>
      <c r="F133" s="54" t="s">
        <v>1701</v>
      </c>
      <c r="G133" s="54">
        <v>13</v>
      </c>
      <c r="H133" s="54"/>
      <c r="I133" s="54"/>
      <c r="J133" s="54"/>
      <c r="K133" s="54"/>
      <c r="L133" s="54"/>
      <c r="M133" s="54"/>
      <c r="N133" s="54"/>
      <c r="O133" s="54" t="s">
        <v>1854</v>
      </c>
    </row>
    <row r="134" spans="1:15" ht="30" x14ac:dyDescent="0.2">
      <c r="A134" s="53" t="s">
        <v>12</v>
      </c>
      <c r="B134" s="53" t="s">
        <v>13</v>
      </c>
      <c r="C134" s="54" t="s">
        <v>1855</v>
      </c>
      <c r="D134" s="55" t="s">
        <v>1856</v>
      </c>
      <c r="E134" s="54" t="s">
        <v>899</v>
      </c>
      <c r="F134" s="54" t="s">
        <v>1825</v>
      </c>
      <c r="G134" s="54">
        <v>13</v>
      </c>
      <c r="H134" s="54"/>
      <c r="I134" s="54"/>
      <c r="J134" s="54"/>
      <c r="K134" s="54"/>
      <c r="L134" s="54"/>
      <c r="M134" s="54"/>
      <c r="N134" s="54"/>
      <c r="O134" s="54" t="s">
        <v>1830</v>
      </c>
    </row>
    <row r="135" spans="1:15" ht="45" x14ac:dyDescent="0.2">
      <c r="A135" s="53" t="s">
        <v>12</v>
      </c>
      <c r="B135" s="53" t="s">
        <v>14</v>
      </c>
      <c r="C135" s="54" t="s">
        <v>1857</v>
      </c>
      <c r="D135" s="55" t="s">
        <v>1858</v>
      </c>
      <c r="E135" s="54" t="s">
        <v>899</v>
      </c>
      <c r="F135" s="54" t="s">
        <v>1701</v>
      </c>
      <c r="G135" s="54">
        <v>13</v>
      </c>
      <c r="H135" s="54"/>
      <c r="I135" s="54"/>
      <c r="J135" s="54"/>
      <c r="K135" s="54"/>
      <c r="L135" s="54"/>
      <c r="M135" s="54"/>
      <c r="N135" s="54"/>
      <c r="O135" s="54"/>
    </row>
    <row r="136" spans="1:15" ht="30" x14ac:dyDescent="0.2">
      <c r="A136" s="53" t="s">
        <v>12</v>
      </c>
      <c r="B136" s="53" t="s">
        <v>14</v>
      </c>
      <c r="C136" s="54" t="s">
        <v>1859</v>
      </c>
      <c r="D136" s="55" t="s">
        <v>1860</v>
      </c>
      <c r="E136" s="54" t="s">
        <v>899</v>
      </c>
      <c r="F136" s="54" t="s">
        <v>1701</v>
      </c>
      <c r="G136" s="54">
        <v>13</v>
      </c>
      <c r="H136" s="54"/>
      <c r="I136" s="54"/>
      <c r="J136" s="54"/>
      <c r="K136" s="54"/>
      <c r="L136" s="54"/>
      <c r="M136" s="54"/>
      <c r="N136" s="54"/>
      <c r="O136" s="54"/>
    </row>
    <row r="137" spans="1:15" ht="30" x14ac:dyDescent="0.2">
      <c r="A137" s="53" t="s">
        <v>12</v>
      </c>
      <c r="B137" s="53" t="s">
        <v>14</v>
      </c>
      <c r="C137" s="54" t="s">
        <v>1861</v>
      </c>
      <c r="D137" s="55" t="s">
        <v>1862</v>
      </c>
      <c r="E137" s="54" t="s">
        <v>899</v>
      </c>
      <c r="F137" s="54" t="s">
        <v>1701</v>
      </c>
      <c r="G137" s="54">
        <v>13</v>
      </c>
      <c r="H137" s="54"/>
      <c r="I137" s="54"/>
      <c r="J137" s="54"/>
      <c r="K137" s="54"/>
      <c r="L137" s="54"/>
      <c r="M137" s="54"/>
      <c r="N137" s="54"/>
      <c r="O137" s="54"/>
    </row>
    <row r="138" spans="1:15" ht="30" x14ac:dyDescent="0.2">
      <c r="A138" s="53" t="s">
        <v>12</v>
      </c>
      <c r="B138" s="53" t="s">
        <v>13</v>
      </c>
      <c r="C138" s="54" t="s">
        <v>1863</v>
      </c>
      <c r="D138" s="55" t="s">
        <v>1864</v>
      </c>
      <c r="E138" s="54" t="s">
        <v>899</v>
      </c>
      <c r="F138" s="54" t="s">
        <v>1825</v>
      </c>
      <c r="G138" s="54">
        <v>13</v>
      </c>
      <c r="H138" s="54"/>
      <c r="I138" s="54"/>
      <c r="J138" s="54"/>
      <c r="K138" s="54"/>
      <c r="L138" s="54"/>
      <c r="M138" s="54"/>
      <c r="N138" s="54"/>
      <c r="O138" s="54" t="s">
        <v>1865</v>
      </c>
    </row>
    <row r="139" spans="1:15" ht="15.75" x14ac:dyDescent="0.2">
      <c r="A139" s="53" t="s">
        <v>12</v>
      </c>
      <c r="B139" s="53" t="s">
        <v>14</v>
      </c>
      <c r="C139" s="54" t="s">
        <v>1866</v>
      </c>
      <c r="D139" s="55" t="s">
        <v>1865</v>
      </c>
      <c r="E139" s="54" t="s">
        <v>899</v>
      </c>
      <c r="F139" s="54" t="s">
        <v>1701</v>
      </c>
      <c r="G139" s="54">
        <v>13</v>
      </c>
      <c r="H139" s="54"/>
      <c r="I139" s="54"/>
      <c r="J139" s="54"/>
      <c r="K139" s="54"/>
      <c r="L139" s="54"/>
      <c r="M139" s="54"/>
      <c r="N139" s="54"/>
      <c r="O139" s="54" t="s">
        <v>1864</v>
      </c>
    </row>
    <row r="140" spans="1:15" ht="30" x14ac:dyDescent="0.2">
      <c r="A140" s="53" t="s">
        <v>12</v>
      </c>
      <c r="B140" s="53" t="s">
        <v>14</v>
      </c>
      <c r="C140" s="54" t="s">
        <v>1867</v>
      </c>
      <c r="D140" s="55" t="s">
        <v>1868</v>
      </c>
      <c r="E140" s="54" t="s">
        <v>899</v>
      </c>
      <c r="F140" s="54" t="s">
        <v>1701</v>
      </c>
      <c r="G140" s="54">
        <v>13</v>
      </c>
      <c r="H140" s="54"/>
      <c r="I140" s="54"/>
      <c r="J140" s="54"/>
      <c r="K140" s="54"/>
      <c r="L140" s="54"/>
      <c r="M140" s="54"/>
      <c r="N140" s="54"/>
      <c r="O140" s="54"/>
    </row>
    <row r="141" spans="1:15" ht="30" x14ac:dyDescent="0.2">
      <c r="A141" s="53" t="s">
        <v>12</v>
      </c>
      <c r="B141" s="53" t="s">
        <v>13</v>
      </c>
      <c r="C141" s="54" t="s">
        <v>1869</v>
      </c>
      <c r="D141" s="55" t="s">
        <v>1870</v>
      </c>
      <c r="E141" s="54" t="s">
        <v>899</v>
      </c>
      <c r="F141" s="54" t="s">
        <v>1701</v>
      </c>
      <c r="G141" s="54">
        <v>13</v>
      </c>
      <c r="H141" s="54"/>
      <c r="I141" s="54"/>
      <c r="J141" s="54"/>
      <c r="K141" s="54"/>
      <c r="L141" s="54"/>
      <c r="M141" s="54"/>
      <c r="N141" s="54"/>
      <c r="O141" s="54"/>
    </row>
    <row r="142" spans="1:15" ht="15.75" x14ac:dyDescent="0.2">
      <c r="A142" s="53" t="s">
        <v>12</v>
      </c>
      <c r="B142" s="53" t="s">
        <v>15</v>
      </c>
      <c r="C142" s="54" t="s">
        <v>1871</v>
      </c>
      <c r="D142" s="55" t="s">
        <v>1872</v>
      </c>
      <c r="E142" s="54" t="s">
        <v>899</v>
      </c>
      <c r="F142" s="54" t="s">
        <v>1752</v>
      </c>
      <c r="G142" s="54">
        <v>13</v>
      </c>
      <c r="H142" s="54">
        <v>13</v>
      </c>
      <c r="I142" s="54"/>
      <c r="J142" s="54"/>
      <c r="K142" s="54"/>
      <c r="L142" s="54"/>
      <c r="M142" s="54"/>
      <c r="N142" s="54"/>
      <c r="O142" s="54"/>
    </row>
    <row r="143" spans="1:15" ht="30" x14ac:dyDescent="0.2">
      <c r="A143" s="53" t="s">
        <v>12</v>
      </c>
      <c r="B143" s="53" t="s">
        <v>13</v>
      </c>
      <c r="C143" s="54" t="s">
        <v>1873</v>
      </c>
      <c r="D143" s="55" t="s">
        <v>1874</v>
      </c>
      <c r="E143" s="54" t="s">
        <v>899</v>
      </c>
      <c r="F143" s="54" t="s">
        <v>1701</v>
      </c>
      <c r="G143" s="54">
        <v>13</v>
      </c>
      <c r="H143" s="54"/>
      <c r="I143" s="54"/>
      <c r="J143" s="54"/>
      <c r="K143" s="54"/>
      <c r="L143" s="54"/>
      <c r="M143" s="54"/>
      <c r="N143" s="54"/>
      <c r="O143" s="54"/>
    </row>
    <row r="144" spans="1:15" ht="30" x14ac:dyDescent="0.2">
      <c r="A144" s="53" t="s">
        <v>12</v>
      </c>
      <c r="B144" s="53" t="s">
        <v>13</v>
      </c>
      <c r="C144" s="54" t="s">
        <v>1875</v>
      </c>
      <c r="D144" s="55" t="s">
        <v>1876</v>
      </c>
      <c r="E144" s="54" t="s">
        <v>899</v>
      </c>
      <c r="F144" s="54" t="s">
        <v>1701</v>
      </c>
      <c r="G144" s="54">
        <v>13</v>
      </c>
      <c r="H144" s="54"/>
      <c r="I144" s="54"/>
      <c r="J144" s="54"/>
      <c r="K144" s="54"/>
      <c r="L144" s="54"/>
      <c r="M144" s="54"/>
      <c r="N144" s="54"/>
      <c r="O144" s="54"/>
    </row>
    <row r="145" spans="1:15" ht="30" x14ac:dyDescent="0.2">
      <c r="A145" s="53" t="s">
        <v>12</v>
      </c>
      <c r="B145" s="53" t="s">
        <v>13</v>
      </c>
      <c r="C145" s="54" t="s">
        <v>1877</v>
      </c>
      <c r="D145" s="55" t="s">
        <v>1878</v>
      </c>
      <c r="E145" s="54" t="s">
        <v>899</v>
      </c>
      <c r="F145" s="54" t="s">
        <v>1701</v>
      </c>
      <c r="G145" s="54">
        <v>13</v>
      </c>
      <c r="H145" s="54"/>
      <c r="I145" s="54"/>
      <c r="J145" s="54"/>
      <c r="K145" s="54"/>
      <c r="L145" s="54"/>
      <c r="M145" s="54"/>
      <c r="N145" s="54"/>
      <c r="O145" s="54"/>
    </row>
    <row r="146" spans="1:15" ht="30" x14ac:dyDescent="0.2">
      <c r="A146" s="53" t="s">
        <v>12</v>
      </c>
      <c r="B146" s="53" t="s">
        <v>14</v>
      </c>
      <c r="C146" s="54" t="s">
        <v>1879</v>
      </c>
      <c r="D146" s="55" t="s">
        <v>1880</v>
      </c>
      <c r="E146" s="54" t="s">
        <v>899</v>
      </c>
      <c r="F146" s="54" t="s">
        <v>1701</v>
      </c>
      <c r="G146" s="54">
        <v>13</v>
      </c>
      <c r="H146" s="54"/>
      <c r="I146" s="54"/>
      <c r="J146" s="54"/>
      <c r="K146" s="54"/>
      <c r="L146" s="54"/>
      <c r="M146" s="54"/>
      <c r="N146" s="54"/>
      <c r="O146" s="54"/>
    </row>
    <row r="147" spans="1:15" ht="60" x14ac:dyDescent="0.2">
      <c r="A147" s="53" t="s">
        <v>12</v>
      </c>
      <c r="B147" s="53" t="s">
        <v>15</v>
      </c>
      <c r="C147" s="54" t="s">
        <v>1881</v>
      </c>
      <c r="D147" s="55" t="s">
        <v>1882</v>
      </c>
      <c r="E147" s="54" t="s">
        <v>920</v>
      </c>
      <c r="F147" s="54" t="s">
        <v>1752</v>
      </c>
      <c r="G147" s="54">
        <v>13</v>
      </c>
      <c r="H147" s="54">
        <v>13</v>
      </c>
      <c r="I147" s="54"/>
      <c r="J147" s="54"/>
      <c r="K147" s="54"/>
      <c r="L147" s="54"/>
      <c r="M147" s="54"/>
      <c r="N147" s="54"/>
      <c r="O147" s="54" t="s">
        <v>1753</v>
      </c>
    </row>
    <row r="148" spans="1:15" ht="45" x14ac:dyDescent="0.2">
      <c r="A148" s="53" t="s">
        <v>12</v>
      </c>
      <c r="B148" s="53" t="s">
        <v>106</v>
      </c>
      <c r="C148" s="54" t="s">
        <v>1883</v>
      </c>
      <c r="D148" s="55" t="s">
        <v>1884</v>
      </c>
      <c r="E148" s="54" t="s">
        <v>1762</v>
      </c>
      <c r="F148" s="54" t="s">
        <v>1885</v>
      </c>
      <c r="G148" s="54">
        <v>13</v>
      </c>
      <c r="H148" s="54"/>
      <c r="I148" s="54">
        <v>36000</v>
      </c>
      <c r="J148" s="54">
        <v>0</v>
      </c>
      <c r="K148" s="54"/>
      <c r="L148" s="54"/>
      <c r="M148" s="54"/>
      <c r="N148" s="54"/>
      <c r="O148" s="54" t="s">
        <v>1886</v>
      </c>
    </row>
    <row r="149" spans="1:15" ht="45" x14ac:dyDescent="0.2">
      <c r="A149" s="53" t="s">
        <v>12</v>
      </c>
      <c r="B149" s="53" t="s">
        <v>14</v>
      </c>
      <c r="C149" s="54" t="s">
        <v>1887</v>
      </c>
      <c r="D149" s="55" t="s">
        <v>1888</v>
      </c>
      <c r="E149" s="54" t="s">
        <v>899</v>
      </c>
      <c r="F149" s="54" t="s">
        <v>1701</v>
      </c>
      <c r="G149" s="54"/>
      <c r="H149" s="54"/>
      <c r="I149" s="54"/>
      <c r="J149" s="54"/>
      <c r="K149" s="54"/>
      <c r="L149" s="54"/>
      <c r="M149" s="54"/>
      <c r="N149" s="54"/>
      <c r="O149" s="54"/>
    </row>
    <row r="150" spans="1:15" ht="30" x14ac:dyDescent="0.2">
      <c r="A150" s="53" t="s">
        <v>12</v>
      </c>
      <c r="B150" s="53" t="s">
        <v>14</v>
      </c>
      <c r="C150" s="54" t="s">
        <v>1889</v>
      </c>
      <c r="D150" s="55" t="s">
        <v>1890</v>
      </c>
      <c r="E150" s="54" t="s">
        <v>899</v>
      </c>
      <c r="F150" s="54" t="s">
        <v>1825</v>
      </c>
      <c r="G150" s="54">
        <v>13</v>
      </c>
      <c r="H150" s="54"/>
      <c r="I150" s="54"/>
      <c r="J150" s="54"/>
      <c r="K150" s="54"/>
      <c r="L150" s="54"/>
      <c r="M150" s="54"/>
      <c r="N150" s="54"/>
      <c r="O150" s="54" t="s">
        <v>1891</v>
      </c>
    </row>
    <row r="151" spans="1:15" ht="15.75" x14ac:dyDescent="0.2">
      <c r="A151" s="53" t="s">
        <v>12</v>
      </c>
      <c r="B151" s="53" t="s">
        <v>14</v>
      </c>
      <c r="C151" s="54" t="s">
        <v>1892</v>
      </c>
      <c r="D151" s="55" t="s">
        <v>1891</v>
      </c>
      <c r="E151" s="54" t="s">
        <v>899</v>
      </c>
      <c r="F151" s="54" t="s">
        <v>1701</v>
      </c>
      <c r="G151" s="54">
        <v>13</v>
      </c>
      <c r="H151" s="54"/>
      <c r="I151" s="54"/>
      <c r="J151" s="54"/>
      <c r="K151" s="54"/>
      <c r="L151" s="54"/>
      <c r="M151" s="54"/>
      <c r="N151" s="54"/>
      <c r="O151" s="54" t="s">
        <v>1890</v>
      </c>
    </row>
    <row r="152" spans="1:15" ht="45" x14ac:dyDescent="0.2">
      <c r="A152" s="53" t="s">
        <v>12</v>
      </c>
      <c r="B152" s="53" t="s">
        <v>15</v>
      </c>
      <c r="C152" s="54" t="s">
        <v>1893</v>
      </c>
      <c r="D152" s="55" t="s">
        <v>1894</v>
      </c>
      <c r="E152" s="54" t="s">
        <v>899</v>
      </c>
      <c r="F152" s="54" t="s">
        <v>1701</v>
      </c>
      <c r="G152" s="54">
        <v>5</v>
      </c>
      <c r="H152" s="54">
        <v>5</v>
      </c>
      <c r="I152" s="54"/>
      <c r="J152" s="54"/>
      <c r="K152" s="54"/>
      <c r="L152" s="54"/>
      <c r="M152" s="54"/>
      <c r="N152" s="54"/>
      <c r="O152" s="54" t="s">
        <v>1895</v>
      </c>
    </row>
    <row r="153" spans="1:15" ht="30" x14ac:dyDescent="0.2">
      <c r="A153" s="53" t="s">
        <v>12</v>
      </c>
      <c r="B153" s="53" t="s">
        <v>15</v>
      </c>
      <c r="C153" s="54" t="s">
        <v>1896</v>
      </c>
      <c r="D153" s="55" t="s">
        <v>1897</v>
      </c>
      <c r="E153" s="54" t="s">
        <v>899</v>
      </c>
      <c r="F153" s="54" t="s">
        <v>1752</v>
      </c>
      <c r="G153" s="54"/>
      <c r="H153" s="54"/>
      <c r="I153" s="54"/>
      <c r="J153" s="54"/>
      <c r="K153" s="54"/>
      <c r="L153" s="54"/>
      <c r="M153" s="54"/>
      <c r="N153" s="54"/>
      <c r="O153" s="54" t="s">
        <v>1898</v>
      </c>
    </row>
    <row r="154" spans="1:15" ht="30" x14ac:dyDescent="0.2">
      <c r="A154" s="53" t="s">
        <v>12</v>
      </c>
      <c r="B154" s="53" t="s">
        <v>106</v>
      </c>
      <c r="C154" s="54" t="s">
        <v>1899</v>
      </c>
      <c r="D154" s="55" t="s">
        <v>1898</v>
      </c>
      <c r="E154" s="54" t="s">
        <v>899</v>
      </c>
      <c r="F154" s="54" t="s">
        <v>1701</v>
      </c>
      <c r="G154" s="54"/>
      <c r="H154" s="54"/>
      <c r="I154" s="54"/>
      <c r="J154" s="54"/>
      <c r="K154" s="54"/>
      <c r="L154" s="54"/>
      <c r="M154" s="54"/>
      <c r="N154" s="54"/>
      <c r="O154" s="54" t="s">
        <v>1897</v>
      </c>
    </row>
    <row r="155" spans="1:15" ht="15.75" x14ac:dyDescent="0.2">
      <c r="A155" s="53" t="s">
        <v>12</v>
      </c>
      <c r="B155" s="53" t="s">
        <v>15</v>
      </c>
      <c r="C155" s="54" t="s">
        <v>1900</v>
      </c>
      <c r="D155" s="55" t="s">
        <v>1901</v>
      </c>
      <c r="E155" s="54" t="s">
        <v>899</v>
      </c>
      <c r="F155" s="54" t="s">
        <v>1752</v>
      </c>
      <c r="G155" s="54"/>
      <c r="H155" s="54"/>
      <c r="I155" s="54"/>
      <c r="J155" s="54"/>
      <c r="K155" s="54"/>
      <c r="L155" s="54"/>
      <c r="M155" s="54"/>
      <c r="N155" s="54"/>
      <c r="O155" s="54" t="s">
        <v>1902</v>
      </c>
    </row>
    <row r="156" spans="1:15" ht="15.75" x14ac:dyDescent="0.2">
      <c r="A156" s="53" t="s">
        <v>12</v>
      </c>
      <c r="B156" s="53" t="s">
        <v>13</v>
      </c>
      <c r="C156" s="54" t="s">
        <v>1903</v>
      </c>
      <c r="D156" s="55" t="s">
        <v>1904</v>
      </c>
      <c r="E156" s="54" t="s">
        <v>899</v>
      </c>
      <c r="F156" s="54" t="s">
        <v>1701</v>
      </c>
      <c r="G156" s="54">
        <v>8</v>
      </c>
      <c r="H156" s="54"/>
      <c r="I156" s="54"/>
      <c r="J156" s="54"/>
      <c r="K156" s="54"/>
      <c r="L156" s="54"/>
      <c r="M156" s="54"/>
      <c r="N156" s="54"/>
      <c r="O156" s="54"/>
    </row>
    <row r="157" spans="1:15" ht="30" x14ac:dyDescent="0.2">
      <c r="A157" s="53" t="s">
        <v>12</v>
      </c>
      <c r="B157" s="53" t="s">
        <v>13</v>
      </c>
      <c r="C157" s="54" t="s">
        <v>1905</v>
      </c>
      <c r="D157" s="55" t="s">
        <v>1906</v>
      </c>
      <c r="E157" s="54" t="s">
        <v>899</v>
      </c>
      <c r="F157" s="54" t="s">
        <v>1701</v>
      </c>
      <c r="G157" s="54">
        <v>8</v>
      </c>
      <c r="H157" s="54"/>
      <c r="I157" s="54"/>
      <c r="J157" s="54"/>
      <c r="K157" s="54"/>
      <c r="L157" s="54"/>
      <c r="M157" s="54"/>
      <c r="N157" s="54"/>
      <c r="O157" s="54" t="s">
        <v>1907</v>
      </c>
    </row>
    <row r="158" spans="1:15" ht="15.75" x14ac:dyDescent="0.2">
      <c r="A158" s="53" t="s">
        <v>12</v>
      </c>
      <c r="B158" s="53" t="s">
        <v>14</v>
      </c>
      <c r="C158" s="54" t="s">
        <v>1908</v>
      </c>
      <c r="D158" s="55" t="s">
        <v>1907</v>
      </c>
      <c r="E158" s="54" t="s">
        <v>899</v>
      </c>
      <c r="F158" s="54" t="s">
        <v>1701</v>
      </c>
      <c r="G158" s="54">
        <v>8</v>
      </c>
      <c r="H158" s="54"/>
      <c r="I158" s="54"/>
      <c r="J158" s="54"/>
      <c r="K158" s="54"/>
      <c r="L158" s="54"/>
      <c r="M158" s="54"/>
      <c r="N158" s="54"/>
      <c r="O158" s="54" t="s">
        <v>1906</v>
      </c>
    </row>
    <row r="159" spans="1:15" ht="15.75" x14ac:dyDescent="0.2">
      <c r="A159" s="53" t="s">
        <v>12</v>
      </c>
      <c r="B159" s="53" t="s">
        <v>15</v>
      </c>
      <c r="C159" s="54" t="s">
        <v>1909</v>
      </c>
      <c r="D159" s="55" t="s">
        <v>1910</v>
      </c>
      <c r="E159" s="54" t="s">
        <v>899</v>
      </c>
      <c r="F159" s="54" t="s">
        <v>1701</v>
      </c>
      <c r="G159" s="54">
        <v>8</v>
      </c>
      <c r="H159" s="54">
        <v>8</v>
      </c>
      <c r="I159" s="54"/>
      <c r="J159" s="54"/>
      <c r="K159" s="54"/>
      <c r="L159" s="54"/>
      <c r="M159" s="54"/>
      <c r="N159" s="54"/>
      <c r="O159" s="54"/>
    </row>
    <row r="160" spans="1:15" ht="30" x14ac:dyDescent="0.2">
      <c r="A160" s="53" t="s">
        <v>12</v>
      </c>
      <c r="B160" s="53" t="s">
        <v>13</v>
      </c>
      <c r="C160" s="54" t="s">
        <v>1911</v>
      </c>
      <c r="D160" s="55" t="s">
        <v>1912</v>
      </c>
      <c r="E160" s="54" t="s">
        <v>899</v>
      </c>
      <c r="F160" s="54" t="s">
        <v>1701</v>
      </c>
      <c r="G160" s="54">
        <v>8</v>
      </c>
      <c r="H160" s="54"/>
      <c r="I160" s="54"/>
      <c r="J160" s="54"/>
      <c r="K160" s="54"/>
      <c r="L160" s="54"/>
      <c r="M160" s="54"/>
      <c r="N160" s="54"/>
      <c r="O160" s="54"/>
    </row>
    <row r="161" spans="1:15" ht="30" x14ac:dyDescent="0.2">
      <c r="A161" s="53" t="s">
        <v>12</v>
      </c>
      <c r="B161" s="53" t="s">
        <v>13</v>
      </c>
      <c r="C161" s="54" t="s">
        <v>1913</v>
      </c>
      <c r="D161" s="55" t="s">
        <v>1914</v>
      </c>
      <c r="E161" s="54" t="s">
        <v>899</v>
      </c>
      <c r="F161" s="54" t="s">
        <v>1701</v>
      </c>
      <c r="G161" s="54">
        <v>8</v>
      </c>
      <c r="H161" s="54"/>
      <c r="I161" s="54"/>
      <c r="J161" s="54"/>
      <c r="K161" s="54"/>
      <c r="L161" s="54"/>
      <c r="M161" s="54"/>
      <c r="N161" s="54"/>
      <c r="O161" s="54"/>
    </row>
    <row r="162" spans="1:15" ht="30" x14ac:dyDescent="0.2">
      <c r="A162" s="53" t="s">
        <v>12</v>
      </c>
      <c r="B162" s="53" t="s">
        <v>13</v>
      </c>
      <c r="C162" s="54" t="s">
        <v>1915</v>
      </c>
      <c r="D162" s="55" t="s">
        <v>1916</v>
      </c>
      <c r="E162" s="54" t="s">
        <v>899</v>
      </c>
      <c r="F162" s="54" t="s">
        <v>1825</v>
      </c>
      <c r="G162" s="54">
        <v>8</v>
      </c>
      <c r="H162" s="54"/>
      <c r="I162" s="54"/>
      <c r="J162" s="54"/>
      <c r="K162" s="54"/>
      <c r="L162" s="54"/>
      <c r="M162" s="54"/>
      <c r="N162" s="54"/>
      <c r="O162" s="54" t="s">
        <v>1917</v>
      </c>
    </row>
    <row r="163" spans="1:15" ht="30" x14ac:dyDescent="0.2">
      <c r="A163" s="53" t="s">
        <v>12</v>
      </c>
      <c r="B163" s="53" t="s">
        <v>14</v>
      </c>
      <c r="C163" s="54" t="s">
        <v>1918</v>
      </c>
      <c r="D163" s="55" t="s">
        <v>1917</v>
      </c>
      <c r="E163" s="54" t="s">
        <v>899</v>
      </c>
      <c r="F163" s="54" t="s">
        <v>1701</v>
      </c>
      <c r="G163" s="54">
        <v>8</v>
      </c>
      <c r="H163" s="54"/>
      <c r="I163" s="54"/>
      <c r="J163" s="54"/>
      <c r="K163" s="54"/>
      <c r="L163" s="54"/>
      <c r="M163" s="54"/>
      <c r="N163" s="54"/>
      <c r="O163" s="54" t="s">
        <v>1919</v>
      </c>
    </row>
    <row r="164" spans="1:15" ht="30" x14ac:dyDescent="0.2">
      <c r="A164" s="53" t="s">
        <v>12</v>
      </c>
      <c r="B164" s="53" t="s">
        <v>14</v>
      </c>
      <c r="C164" s="54" t="s">
        <v>1920</v>
      </c>
      <c r="D164" s="55" t="s">
        <v>1921</v>
      </c>
      <c r="E164" s="54" t="s">
        <v>899</v>
      </c>
      <c r="F164" s="54" t="s">
        <v>1701</v>
      </c>
      <c r="G164" s="54">
        <v>8</v>
      </c>
      <c r="H164" s="54">
        <v>8</v>
      </c>
      <c r="I164" s="54"/>
      <c r="J164" s="54"/>
      <c r="K164" s="54"/>
      <c r="L164" s="54"/>
      <c r="M164" s="54"/>
      <c r="N164" s="54"/>
      <c r="O164" s="54" t="s">
        <v>1917</v>
      </c>
    </row>
    <row r="165" spans="1:15" ht="30" x14ac:dyDescent="0.2">
      <c r="A165" s="53" t="s">
        <v>12</v>
      </c>
      <c r="B165" s="53" t="s">
        <v>14</v>
      </c>
      <c r="C165" s="54" t="s">
        <v>1922</v>
      </c>
      <c r="D165" s="55" t="s">
        <v>1923</v>
      </c>
      <c r="E165" s="54" t="s">
        <v>899</v>
      </c>
      <c r="F165" s="54" t="s">
        <v>1701</v>
      </c>
      <c r="G165" s="54">
        <v>13</v>
      </c>
      <c r="H165" s="54">
        <v>8</v>
      </c>
      <c r="I165" s="54"/>
      <c r="J165" s="54"/>
      <c r="K165" s="54"/>
      <c r="L165" s="54"/>
      <c r="M165" s="54"/>
      <c r="N165" s="54"/>
      <c r="O165" s="54"/>
    </row>
    <row r="166" spans="1:15" ht="30" x14ac:dyDescent="0.2">
      <c r="A166" s="53" t="s">
        <v>12</v>
      </c>
      <c r="B166" s="53" t="s">
        <v>14</v>
      </c>
      <c r="C166" s="54" t="s">
        <v>1924</v>
      </c>
      <c r="D166" s="55" t="s">
        <v>1925</v>
      </c>
      <c r="E166" s="54" t="s">
        <v>899</v>
      </c>
      <c r="F166" s="54" t="s">
        <v>1701</v>
      </c>
      <c r="G166" s="54">
        <v>8</v>
      </c>
      <c r="H166" s="54">
        <v>8</v>
      </c>
      <c r="I166" s="54"/>
      <c r="J166" s="54"/>
      <c r="K166" s="54"/>
      <c r="L166" s="54"/>
      <c r="M166" s="54"/>
      <c r="N166" s="54"/>
      <c r="O166" s="54"/>
    </row>
    <row r="167" spans="1:15" ht="30" x14ac:dyDescent="0.2">
      <c r="A167" s="53" t="s">
        <v>12</v>
      </c>
      <c r="B167" s="53" t="s">
        <v>14</v>
      </c>
      <c r="C167" s="54" t="s">
        <v>1926</v>
      </c>
      <c r="D167" s="55" t="s">
        <v>1927</v>
      </c>
      <c r="E167" s="54" t="s">
        <v>899</v>
      </c>
      <c r="F167" s="54" t="s">
        <v>1701</v>
      </c>
      <c r="G167" s="54">
        <v>8</v>
      </c>
      <c r="H167" s="54">
        <v>8</v>
      </c>
      <c r="I167" s="54"/>
      <c r="J167" s="54"/>
      <c r="K167" s="54"/>
      <c r="L167" s="54"/>
      <c r="M167" s="54"/>
      <c r="N167" s="54"/>
      <c r="O167" s="54"/>
    </row>
    <row r="168" spans="1:15" ht="45" x14ac:dyDescent="0.2">
      <c r="A168" s="53" t="s">
        <v>12</v>
      </c>
      <c r="B168" s="53" t="s">
        <v>13</v>
      </c>
      <c r="C168" s="54" t="s">
        <v>1928</v>
      </c>
      <c r="D168" s="55" t="s">
        <v>1929</v>
      </c>
      <c r="E168" s="54" t="s">
        <v>899</v>
      </c>
      <c r="F168" s="54" t="s">
        <v>1701</v>
      </c>
      <c r="G168" s="54">
        <v>8</v>
      </c>
      <c r="H168" s="54">
        <v>8</v>
      </c>
      <c r="I168" s="54"/>
      <c r="J168" s="54"/>
      <c r="K168" s="54"/>
      <c r="L168" s="54"/>
      <c r="M168" s="54"/>
      <c r="N168" s="54"/>
      <c r="O168" s="54" t="s">
        <v>1930</v>
      </c>
    </row>
    <row r="169" spans="1:15" ht="45" x14ac:dyDescent="0.2">
      <c r="A169" s="53" t="s">
        <v>12</v>
      </c>
      <c r="B169" s="53" t="s">
        <v>14</v>
      </c>
      <c r="C169" s="54" t="s">
        <v>1931</v>
      </c>
      <c r="D169" s="55" t="s">
        <v>1930</v>
      </c>
      <c r="E169" s="54" t="s">
        <v>899</v>
      </c>
      <c r="F169" s="54" t="s">
        <v>1932</v>
      </c>
      <c r="G169" s="54">
        <v>8</v>
      </c>
      <c r="H169" s="54">
        <v>8</v>
      </c>
      <c r="I169" s="54"/>
      <c r="J169" s="54"/>
      <c r="K169" s="54"/>
      <c r="L169" s="54"/>
      <c r="M169" s="54"/>
      <c r="N169" s="54"/>
      <c r="O169" s="54" t="s">
        <v>1929</v>
      </c>
    </row>
    <row r="170" spans="1:15" ht="60" x14ac:dyDescent="0.2">
      <c r="A170" s="53" t="s">
        <v>12</v>
      </c>
      <c r="B170" s="53" t="s">
        <v>13</v>
      </c>
      <c r="C170" s="54" t="s">
        <v>1933</v>
      </c>
      <c r="D170" s="55" t="s">
        <v>1934</v>
      </c>
      <c r="E170" s="54" t="s">
        <v>899</v>
      </c>
      <c r="F170" s="54" t="s">
        <v>1935</v>
      </c>
      <c r="G170" s="54"/>
      <c r="H170" s="54"/>
      <c r="I170" s="54"/>
      <c r="J170" s="54"/>
      <c r="K170" s="54"/>
      <c r="L170" s="54"/>
      <c r="M170" s="54"/>
      <c r="N170" s="54"/>
      <c r="O170" s="54" t="s">
        <v>1479</v>
      </c>
    </row>
    <row r="171" spans="1:15" ht="60" x14ac:dyDescent="0.2">
      <c r="A171" s="53" t="s">
        <v>12</v>
      </c>
      <c r="B171" s="53" t="s">
        <v>13</v>
      </c>
      <c r="C171" s="54" t="s">
        <v>1936</v>
      </c>
      <c r="D171" s="55" t="s">
        <v>1937</v>
      </c>
      <c r="E171" s="54" t="s">
        <v>899</v>
      </c>
      <c r="F171" s="54" t="s">
        <v>1935</v>
      </c>
      <c r="G171" s="54"/>
      <c r="H171" s="54"/>
      <c r="I171" s="54"/>
      <c r="J171" s="54"/>
      <c r="K171" s="54"/>
      <c r="L171" s="54"/>
      <c r="M171" s="54"/>
      <c r="N171" s="54"/>
      <c r="O171" s="54" t="s">
        <v>1938</v>
      </c>
    </row>
    <row r="172" spans="1:15" ht="15.75" x14ac:dyDescent="0.2">
      <c r="A172" s="53" t="s">
        <v>12</v>
      </c>
      <c r="B172" s="53" t="s">
        <v>15</v>
      </c>
      <c r="C172" s="54" t="s">
        <v>1939</v>
      </c>
      <c r="D172" s="55" t="s">
        <v>1940</v>
      </c>
      <c r="E172" s="54" t="s">
        <v>883</v>
      </c>
      <c r="F172" s="54" t="s">
        <v>1816</v>
      </c>
      <c r="G172" s="54">
        <v>2</v>
      </c>
      <c r="H172" s="54">
        <v>2</v>
      </c>
      <c r="I172" s="54"/>
      <c r="J172" s="54">
        <v>0</v>
      </c>
      <c r="K172" s="54"/>
      <c r="L172" s="54"/>
      <c r="M172" s="54"/>
      <c r="N172" s="54"/>
      <c r="O172" s="54" t="s">
        <v>1547</v>
      </c>
    </row>
    <row r="173" spans="1:15" ht="75" x14ac:dyDescent="0.2">
      <c r="A173" s="53" t="s">
        <v>12</v>
      </c>
      <c r="B173" s="53" t="s">
        <v>13</v>
      </c>
      <c r="C173" s="54" t="s">
        <v>1941</v>
      </c>
      <c r="D173" s="55" t="s">
        <v>1942</v>
      </c>
      <c r="E173" s="54" t="s">
        <v>899</v>
      </c>
      <c r="F173" s="54" t="s">
        <v>1701</v>
      </c>
      <c r="G173" s="54">
        <v>13</v>
      </c>
      <c r="H173" s="54">
        <v>13</v>
      </c>
      <c r="I173" s="54"/>
      <c r="J173" s="54"/>
      <c r="K173" s="54"/>
      <c r="L173" s="54"/>
      <c r="M173" s="54"/>
      <c r="N173" s="54"/>
      <c r="O173" s="54"/>
    </row>
    <row r="174" spans="1:15" ht="60" x14ac:dyDescent="0.2">
      <c r="A174" s="53" t="s">
        <v>12</v>
      </c>
      <c r="B174" s="53" t="s">
        <v>13</v>
      </c>
      <c r="C174" s="54" t="s">
        <v>1943</v>
      </c>
      <c r="D174" s="55" t="s">
        <v>1944</v>
      </c>
      <c r="E174" s="54" t="s">
        <v>899</v>
      </c>
      <c r="F174" s="54" t="s">
        <v>1701</v>
      </c>
      <c r="G174" s="54">
        <v>13</v>
      </c>
      <c r="H174" s="54">
        <v>13</v>
      </c>
      <c r="I174" s="54"/>
      <c r="J174" s="54"/>
      <c r="K174" s="54"/>
      <c r="L174" s="54"/>
      <c r="M174" s="54"/>
      <c r="N174" s="54"/>
      <c r="O174" s="54" t="s">
        <v>1854</v>
      </c>
    </row>
    <row r="175" spans="1:15" ht="60" x14ac:dyDescent="0.2">
      <c r="A175" s="53" t="s">
        <v>12</v>
      </c>
      <c r="B175" s="53" t="s">
        <v>14</v>
      </c>
      <c r="C175" s="54" t="s">
        <v>1945</v>
      </c>
      <c r="D175" s="55" t="s">
        <v>1946</v>
      </c>
      <c r="E175" s="54" t="s">
        <v>899</v>
      </c>
      <c r="F175" s="54" t="s">
        <v>1701</v>
      </c>
      <c r="G175" s="54">
        <v>13</v>
      </c>
      <c r="H175" s="54">
        <v>13</v>
      </c>
      <c r="I175" s="54"/>
      <c r="J175" s="54"/>
      <c r="K175" s="54"/>
      <c r="L175" s="54"/>
      <c r="M175" s="54"/>
      <c r="N175" s="54"/>
      <c r="O175" s="54" t="s">
        <v>1854</v>
      </c>
    </row>
    <row r="176" spans="1:15" ht="60" x14ac:dyDescent="0.2">
      <c r="A176" s="53" t="s">
        <v>12</v>
      </c>
      <c r="B176" s="53" t="s">
        <v>14</v>
      </c>
      <c r="C176" s="54" t="s">
        <v>1947</v>
      </c>
      <c r="D176" s="55" t="s">
        <v>1948</v>
      </c>
      <c r="E176" s="54" t="s">
        <v>899</v>
      </c>
      <c r="F176" s="54" t="s">
        <v>1701</v>
      </c>
      <c r="G176" s="54">
        <v>13</v>
      </c>
      <c r="H176" s="54">
        <v>13</v>
      </c>
      <c r="I176" s="54"/>
      <c r="J176" s="54"/>
      <c r="K176" s="54"/>
      <c r="L176" s="54"/>
      <c r="M176" s="54"/>
      <c r="N176" s="54"/>
      <c r="O176" s="54" t="s">
        <v>1854</v>
      </c>
    </row>
    <row r="177" spans="1:15" ht="60" x14ac:dyDescent="0.2">
      <c r="A177" s="53" t="s">
        <v>12</v>
      </c>
      <c r="B177" s="53" t="s">
        <v>14</v>
      </c>
      <c r="C177" s="54" t="s">
        <v>1949</v>
      </c>
      <c r="D177" s="55" t="s">
        <v>1950</v>
      </c>
      <c r="E177" s="54" t="s">
        <v>899</v>
      </c>
      <c r="F177" s="54" t="s">
        <v>1701</v>
      </c>
      <c r="G177" s="54">
        <v>5</v>
      </c>
      <c r="H177" s="54">
        <v>13</v>
      </c>
      <c r="I177" s="54"/>
      <c r="J177" s="54"/>
      <c r="K177" s="54"/>
      <c r="L177" s="54"/>
      <c r="M177" s="54"/>
      <c r="N177" s="54"/>
      <c r="O177" s="54" t="s">
        <v>1854</v>
      </c>
    </row>
    <row r="178" spans="1:15" ht="60" x14ac:dyDescent="0.2">
      <c r="A178" s="53" t="s">
        <v>12</v>
      </c>
      <c r="B178" s="53" t="s">
        <v>13</v>
      </c>
      <c r="C178" s="54" t="s">
        <v>1951</v>
      </c>
      <c r="D178" s="55" t="s">
        <v>1952</v>
      </c>
      <c r="E178" s="54" t="s">
        <v>899</v>
      </c>
      <c r="F178" s="54" t="s">
        <v>1701</v>
      </c>
      <c r="G178" s="54">
        <v>8</v>
      </c>
      <c r="H178" s="54">
        <v>13</v>
      </c>
      <c r="I178" s="54"/>
      <c r="J178" s="54"/>
      <c r="K178" s="54"/>
      <c r="L178" s="54"/>
      <c r="M178" s="54"/>
      <c r="N178" s="54"/>
      <c r="O178" s="54" t="s">
        <v>1953</v>
      </c>
    </row>
    <row r="179" spans="1:15" ht="60" x14ac:dyDescent="0.2">
      <c r="A179" s="53" t="s">
        <v>12</v>
      </c>
      <c r="B179" s="53" t="s">
        <v>13</v>
      </c>
      <c r="C179" s="54" t="s">
        <v>1954</v>
      </c>
      <c r="D179" s="55" t="s">
        <v>1955</v>
      </c>
      <c r="E179" s="54" t="s">
        <v>899</v>
      </c>
      <c r="F179" s="54" t="s">
        <v>1701</v>
      </c>
      <c r="G179" s="54">
        <v>8</v>
      </c>
      <c r="H179" s="54">
        <v>13</v>
      </c>
      <c r="I179" s="54"/>
      <c r="J179" s="54"/>
      <c r="K179" s="54"/>
      <c r="L179" s="54"/>
      <c r="M179" s="54"/>
      <c r="N179" s="54"/>
      <c r="O179" s="54" t="s">
        <v>1953</v>
      </c>
    </row>
    <row r="180" spans="1:15" ht="60" x14ac:dyDescent="0.2">
      <c r="A180" s="53" t="s">
        <v>12</v>
      </c>
      <c r="B180" s="53" t="s">
        <v>13</v>
      </c>
      <c r="C180" s="54" t="s">
        <v>1956</v>
      </c>
      <c r="D180" s="55" t="s">
        <v>1957</v>
      </c>
      <c r="E180" s="54" t="s">
        <v>899</v>
      </c>
      <c r="F180" s="54" t="s">
        <v>1701</v>
      </c>
      <c r="G180" s="54">
        <v>8</v>
      </c>
      <c r="H180" s="54">
        <v>13</v>
      </c>
      <c r="I180" s="54"/>
      <c r="J180" s="54"/>
      <c r="K180" s="54"/>
      <c r="L180" s="54"/>
      <c r="M180" s="54"/>
      <c r="N180" s="54"/>
      <c r="O180" s="54" t="s">
        <v>1958</v>
      </c>
    </row>
    <row r="181" spans="1:15" ht="60" x14ac:dyDescent="0.2">
      <c r="A181" s="53" t="s">
        <v>12</v>
      </c>
      <c r="B181" s="53" t="s">
        <v>13</v>
      </c>
      <c r="C181" s="54" t="s">
        <v>1959</v>
      </c>
      <c r="D181" s="55" t="s">
        <v>1960</v>
      </c>
      <c r="E181" s="54" t="s">
        <v>899</v>
      </c>
      <c r="F181" s="54" t="s">
        <v>1701</v>
      </c>
      <c r="G181" s="54">
        <v>5</v>
      </c>
      <c r="H181" s="54">
        <v>13</v>
      </c>
      <c r="I181" s="54"/>
      <c r="J181" s="54"/>
      <c r="K181" s="54"/>
      <c r="L181" s="54"/>
      <c r="M181" s="54"/>
      <c r="N181" s="54"/>
      <c r="O181" s="54" t="s">
        <v>1854</v>
      </c>
    </row>
    <row r="182" spans="1:15" ht="60" x14ac:dyDescent="0.2">
      <c r="A182" s="53" t="s">
        <v>12</v>
      </c>
      <c r="B182" s="53" t="s">
        <v>13</v>
      </c>
      <c r="C182" s="54" t="s">
        <v>1961</v>
      </c>
      <c r="D182" s="55" t="s">
        <v>1962</v>
      </c>
      <c r="E182" s="54" t="s">
        <v>920</v>
      </c>
      <c r="F182" s="54" t="s">
        <v>1701</v>
      </c>
      <c r="G182" s="54">
        <v>13</v>
      </c>
      <c r="H182" s="54">
        <v>13</v>
      </c>
      <c r="I182" s="54"/>
      <c r="J182" s="54"/>
      <c r="K182" s="54"/>
      <c r="L182" s="54"/>
      <c r="M182" s="54"/>
      <c r="N182" s="54"/>
      <c r="O182" s="54" t="s">
        <v>1963</v>
      </c>
    </row>
    <row r="183" spans="1:15" ht="60" x14ac:dyDescent="0.2">
      <c r="A183" s="53" t="s">
        <v>12</v>
      </c>
      <c r="B183" s="53" t="s">
        <v>13</v>
      </c>
      <c r="C183" s="54" t="s">
        <v>1964</v>
      </c>
      <c r="D183" s="55" t="s">
        <v>1965</v>
      </c>
      <c r="E183" s="54" t="s">
        <v>920</v>
      </c>
      <c r="F183" s="54" t="s">
        <v>1701</v>
      </c>
      <c r="G183" s="54">
        <v>5</v>
      </c>
      <c r="H183" s="54">
        <v>13</v>
      </c>
      <c r="I183" s="54"/>
      <c r="J183" s="54"/>
      <c r="K183" s="54"/>
      <c r="L183" s="54"/>
      <c r="M183" s="54"/>
      <c r="N183" s="54"/>
      <c r="O183" s="54" t="s">
        <v>1966</v>
      </c>
    </row>
    <row r="184" spans="1:15" ht="30" x14ac:dyDescent="0.2">
      <c r="A184" s="53" t="s">
        <v>12</v>
      </c>
      <c r="B184" s="53" t="s">
        <v>13</v>
      </c>
      <c r="C184" s="54" t="s">
        <v>1967</v>
      </c>
      <c r="D184" s="55" t="s">
        <v>1968</v>
      </c>
      <c r="E184" s="54" t="s">
        <v>920</v>
      </c>
      <c r="F184" s="54" t="s">
        <v>1701</v>
      </c>
      <c r="G184" s="54">
        <v>8</v>
      </c>
      <c r="H184" s="54">
        <v>13</v>
      </c>
      <c r="I184" s="54"/>
      <c r="J184" s="54"/>
      <c r="K184" s="54"/>
      <c r="L184" s="54"/>
      <c r="M184" s="54"/>
      <c r="N184" s="54"/>
      <c r="O184" s="54" t="s">
        <v>1854</v>
      </c>
    </row>
    <row r="185" spans="1:15" ht="15.75" x14ac:dyDescent="0.2">
      <c r="A185" s="53" t="s">
        <v>12</v>
      </c>
      <c r="B185" s="53" t="s">
        <v>14</v>
      </c>
      <c r="C185" s="54" t="s">
        <v>1969</v>
      </c>
      <c r="D185" s="55" t="s">
        <v>1176</v>
      </c>
      <c r="E185" s="54" t="s">
        <v>920</v>
      </c>
      <c r="F185" s="54" t="s">
        <v>1825</v>
      </c>
      <c r="G185" s="54"/>
      <c r="H185" s="54"/>
      <c r="I185" s="54"/>
      <c r="J185" s="54"/>
      <c r="K185" s="54"/>
      <c r="L185" s="54"/>
      <c r="M185" s="54"/>
      <c r="N185" s="54"/>
      <c r="O185" s="54" t="s">
        <v>1175</v>
      </c>
    </row>
    <row r="186" spans="1:15" ht="30" x14ac:dyDescent="0.2">
      <c r="A186" s="53" t="s">
        <v>12</v>
      </c>
      <c r="B186" s="53" t="s">
        <v>15</v>
      </c>
      <c r="C186" s="54" t="s">
        <v>1970</v>
      </c>
      <c r="D186" s="55" t="s">
        <v>1971</v>
      </c>
      <c r="E186" s="54" t="s">
        <v>920</v>
      </c>
      <c r="F186" s="54" t="s">
        <v>1752</v>
      </c>
      <c r="G186" s="54">
        <v>8</v>
      </c>
      <c r="H186" s="54">
        <v>8</v>
      </c>
      <c r="I186" s="54"/>
      <c r="J186" s="54"/>
      <c r="K186" s="54"/>
      <c r="L186" s="54"/>
      <c r="M186" s="54"/>
      <c r="N186" s="54"/>
      <c r="O186" s="54" t="s">
        <v>1972</v>
      </c>
    </row>
    <row r="187" spans="1:15" ht="30" x14ac:dyDescent="0.2">
      <c r="A187" s="53" t="s">
        <v>12</v>
      </c>
      <c r="B187" s="53" t="s">
        <v>15</v>
      </c>
      <c r="C187" s="54" t="s">
        <v>1973</v>
      </c>
      <c r="D187" s="55" t="s">
        <v>1974</v>
      </c>
      <c r="E187" s="54" t="s">
        <v>899</v>
      </c>
      <c r="F187" s="54" t="s">
        <v>1324</v>
      </c>
      <c r="G187" s="54"/>
      <c r="H187" s="54"/>
      <c r="I187" s="54"/>
      <c r="J187" s="54"/>
      <c r="K187" s="54"/>
      <c r="L187" s="54"/>
      <c r="M187" s="54"/>
      <c r="N187" s="54"/>
      <c r="O187" s="54" t="s">
        <v>1975</v>
      </c>
    </row>
    <row r="188" spans="1:15" ht="45" x14ac:dyDescent="0.2">
      <c r="A188" s="53" t="s">
        <v>12</v>
      </c>
      <c r="B188" s="53" t="s">
        <v>15</v>
      </c>
      <c r="C188" s="54" t="s">
        <v>1976</v>
      </c>
      <c r="D188" s="55" t="s">
        <v>1977</v>
      </c>
      <c r="E188" s="54" t="s">
        <v>899</v>
      </c>
      <c r="F188" s="54" t="s">
        <v>1324</v>
      </c>
      <c r="G188" s="54"/>
      <c r="H188" s="54"/>
      <c r="I188" s="54"/>
      <c r="J188" s="54"/>
      <c r="K188" s="54"/>
      <c r="L188" s="54"/>
      <c r="M188" s="54"/>
      <c r="N188" s="54"/>
      <c r="O188" s="54" t="s">
        <v>1978</v>
      </c>
    </row>
    <row r="189" spans="1:15" ht="15.75" x14ac:dyDescent="0.2">
      <c r="A189" s="53" t="s">
        <v>12</v>
      </c>
      <c r="B189" s="53" t="s">
        <v>15</v>
      </c>
      <c r="C189" s="54" t="s">
        <v>1979</v>
      </c>
      <c r="D189" s="55" t="s">
        <v>1980</v>
      </c>
      <c r="E189" s="54" t="s">
        <v>899</v>
      </c>
      <c r="F189" s="54" t="s">
        <v>1324</v>
      </c>
      <c r="G189" s="54">
        <v>13</v>
      </c>
      <c r="H189" s="54">
        <v>13</v>
      </c>
      <c r="I189" s="54"/>
      <c r="J189" s="54"/>
      <c r="K189" s="54"/>
      <c r="L189" s="54"/>
      <c r="M189" s="54"/>
      <c r="N189" s="54"/>
      <c r="O189" s="54"/>
    </row>
    <row r="190" spans="1:15" ht="30" x14ac:dyDescent="0.2">
      <c r="A190" s="53" t="s">
        <v>12</v>
      </c>
      <c r="B190" s="53" t="s">
        <v>15</v>
      </c>
      <c r="C190" s="54" t="s">
        <v>1981</v>
      </c>
      <c r="D190" s="55" t="s">
        <v>1982</v>
      </c>
      <c r="E190" s="54" t="s">
        <v>899</v>
      </c>
      <c r="F190" s="54" t="s">
        <v>1324</v>
      </c>
      <c r="G190" s="54"/>
      <c r="H190" s="54"/>
      <c r="I190" s="54"/>
      <c r="J190" s="54"/>
      <c r="K190" s="54"/>
      <c r="L190" s="54"/>
      <c r="M190" s="54"/>
      <c r="N190" s="54"/>
      <c r="O190" s="54" t="s">
        <v>1228</v>
      </c>
    </row>
    <row r="191" spans="1:15" ht="30" x14ac:dyDescent="0.2">
      <c r="A191" s="53" t="s">
        <v>12</v>
      </c>
      <c r="B191" s="53" t="s">
        <v>15</v>
      </c>
      <c r="C191" s="54" t="s">
        <v>1983</v>
      </c>
      <c r="D191" s="55" t="s">
        <v>1984</v>
      </c>
      <c r="E191" s="54" t="s">
        <v>899</v>
      </c>
      <c r="F191" s="54" t="s">
        <v>1324</v>
      </c>
      <c r="G191" s="54"/>
      <c r="H191" s="54"/>
      <c r="I191" s="54"/>
      <c r="J191" s="54"/>
      <c r="K191" s="54"/>
      <c r="L191" s="54"/>
      <c r="M191" s="54"/>
      <c r="N191" s="54"/>
      <c r="O191" s="54" t="s">
        <v>1228</v>
      </c>
    </row>
    <row r="192" spans="1:15" ht="30" x14ac:dyDescent="0.2">
      <c r="A192" s="53" t="s">
        <v>12</v>
      </c>
      <c r="B192" s="53" t="s">
        <v>15</v>
      </c>
      <c r="C192" s="54" t="s">
        <v>1985</v>
      </c>
      <c r="D192" s="55" t="s">
        <v>1986</v>
      </c>
      <c r="E192" s="54" t="s">
        <v>883</v>
      </c>
      <c r="F192" s="54" t="s">
        <v>1816</v>
      </c>
      <c r="G192" s="54">
        <v>2</v>
      </c>
      <c r="H192" s="54">
        <v>2</v>
      </c>
      <c r="I192" s="54"/>
      <c r="J192" s="54">
        <v>0</v>
      </c>
      <c r="K192" s="54"/>
      <c r="L192" s="54"/>
      <c r="M192" s="54"/>
      <c r="N192" s="54"/>
      <c r="O192" s="54" t="s">
        <v>903</v>
      </c>
    </row>
    <row r="193" spans="1:15" ht="30" x14ac:dyDescent="0.2">
      <c r="A193" s="53" t="s">
        <v>12</v>
      </c>
      <c r="B193" s="53" t="s">
        <v>15</v>
      </c>
      <c r="C193" s="54" t="s">
        <v>1987</v>
      </c>
      <c r="D193" s="55" t="s">
        <v>1988</v>
      </c>
      <c r="E193" s="54" t="s">
        <v>899</v>
      </c>
      <c r="F193" s="54" t="s">
        <v>1324</v>
      </c>
      <c r="G193" s="54"/>
      <c r="H193" s="54"/>
      <c r="I193" s="54"/>
      <c r="J193" s="54"/>
      <c r="K193" s="54"/>
      <c r="L193" s="54"/>
      <c r="M193" s="54"/>
      <c r="N193" s="54"/>
      <c r="O193" s="54" t="s">
        <v>1989</v>
      </c>
    </row>
    <row r="194" spans="1:15" ht="75" x14ac:dyDescent="0.2">
      <c r="A194" s="53" t="s">
        <v>12</v>
      </c>
      <c r="B194" s="53" t="s">
        <v>15</v>
      </c>
      <c r="C194" s="54" t="s">
        <v>1699</v>
      </c>
      <c r="D194" s="55" t="s">
        <v>1990</v>
      </c>
      <c r="E194" s="54" t="s">
        <v>899</v>
      </c>
      <c r="F194" s="54" t="s">
        <v>1752</v>
      </c>
      <c r="G194" s="54"/>
      <c r="H194" s="54"/>
      <c r="I194" s="54"/>
      <c r="J194" s="54"/>
      <c r="K194" s="54"/>
      <c r="L194" s="54"/>
      <c r="M194" s="54"/>
      <c r="N194" s="54"/>
      <c r="O194" s="54" t="s">
        <v>1228</v>
      </c>
    </row>
    <row r="195" spans="1:15" ht="30" x14ac:dyDescent="0.2">
      <c r="A195" s="53" t="s">
        <v>12</v>
      </c>
      <c r="B195" s="53" t="s">
        <v>106</v>
      </c>
      <c r="C195" s="54" t="s">
        <v>1991</v>
      </c>
      <c r="D195" s="55" t="s">
        <v>1992</v>
      </c>
      <c r="E195" s="54" t="s">
        <v>920</v>
      </c>
      <c r="F195" s="54" t="s">
        <v>1701</v>
      </c>
      <c r="G195" s="54">
        <v>13</v>
      </c>
      <c r="H195" s="54">
        <v>13</v>
      </c>
      <c r="I195" s="54"/>
      <c r="J195" s="54"/>
      <c r="K195" s="54"/>
      <c r="L195" s="54"/>
      <c r="M195" s="54"/>
      <c r="N195" s="54"/>
      <c r="O195" s="54" t="s">
        <v>1993</v>
      </c>
    </row>
    <row r="196" spans="1:15" ht="15.75" x14ac:dyDescent="0.2">
      <c r="A196" s="53" t="s">
        <v>12</v>
      </c>
      <c r="B196" s="53" t="s">
        <v>15</v>
      </c>
      <c r="C196" s="54" t="s">
        <v>1994</v>
      </c>
      <c r="D196" s="55" t="s">
        <v>1995</v>
      </c>
      <c r="E196" s="54" t="s">
        <v>920</v>
      </c>
      <c r="F196" s="54" t="s">
        <v>1752</v>
      </c>
      <c r="G196" s="54">
        <v>13</v>
      </c>
      <c r="H196" s="54">
        <v>13</v>
      </c>
      <c r="I196" s="54"/>
      <c r="J196" s="54"/>
      <c r="K196" s="54"/>
      <c r="L196" s="54"/>
      <c r="M196" s="54"/>
      <c r="N196" s="54"/>
      <c r="O196" s="54" t="s">
        <v>1993</v>
      </c>
    </row>
    <row r="197" spans="1:15" ht="30" x14ac:dyDescent="0.2">
      <c r="A197" s="53" t="s">
        <v>12</v>
      </c>
      <c r="B197" s="53" t="s">
        <v>15</v>
      </c>
      <c r="C197" s="54" t="s">
        <v>1996</v>
      </c>
      <c r="D197" s="55" t="s">
        <v>1997</v>
      </c>
      <c r="E197" s="54" t="s">
        <v>920</v>
      </c>
      <c r="F197" s="54" t="s">
        <v>1701</v>
      </c>
      <c r="G197" s="54">
        <v>13</v>
      </c>
      <c r="H197" s="54">
        <v>13</v>
      </c>
      <c r="I197" s="54"/>
      <c r="J197" s="54"/>
      <c r="K197" s="54"/>
      <c r="L197" s="54"/>
      <c r="M197" s="54"/>
      <c r="N197" s="54"/>
      <c r="O197" s="54" t="s">
        <v>1993</v>
      </c>
    </row>
    <row r="198" spans="1:15" ht="30" x14ac:dyDescent="0.2">
      <c r="A198" s="53" t="s">
        <v>12</v>
      </c>
      <c r="B198" s="53" t="s">
        <v>17</v>
      </c>
      <c r="C198" s="54" t="s">
        <v>1998</v>
      </c>
      <c r="D198" s="55" t="s">
        <v>1999</v>
      </c>
      <c r="E198" s="54" t="s">
        <v>920</v>
      </c>
      <c r="F198" s="54" t="s">
        <v>1752</v>
      </c>
      <c r="G198" s="54">
        <v>13</v>
      </c>
      <c r="H198" s="54">
        <v>13</v>
      </c>
      <c r="I198" s="54"/>
      <c r="J198" s="54"/>
      <c r="K198" s="54"/>
      <c r="L198" s="54"/>
      <c r="M198" s="54"/>
      <c r="N198" s="54"/>
      <c r="O198" s="54" t="s">
        <v>1993</v>
      </c>
    </row>
    <row r="199" spans="1:15" ht="15.75" x14ac:dyDescent="0.2">
      <c r="A199" s="53" t="s">
        <v>12</v>
      </c>
      <c r="B199" s="53" t="s">
        <v>14</v>
      </c>
      <c r="C199" s="54" t="s">
        <v>2000</v>
      </c>
      <c r="D199" s="55" t="s">
        <v>2001</v>
      </c>
      <c r="E199" s="54" t="s">
        <v>899</v>
      </c>
      <c r="F199" s="54" t="s">
        <v>2002</v>
      </c>
      <c r="G199" s="54">
        <v>1</v>
      </c>
      <c r="H199" s="54"/>
      <c r="I199" s="54">
        <v>10800</v>
      </c>
      <c r="J199" s="54">
        <v>7200</v>
      </c>
      <c r="K199" s="54"/>
      <c r="L199" s="54"/>
      <c r="M199" s="54"/>
      <c r="N199" s="54"/>
      <c r="O199" s="54"/>
    </row>
    <row r="200" spans="1:15" ht="30" x14ac:dyDescent="0.2">
      <c r="A200" s="53" t="s">
        <v>12</v>
      </c>
      <c r="B200" s="53" t="s">
        <v>14</v>
      </c>
      <c r="C200" s="54" t="s">
        <v>2003</v>
      </c>
      <c r="D200" s="55" t="s">
        <v>1531</v>
      </c>
      <c r="E200" s="54" t="s">
        <v>899</v>
      </c>
      <c r="F200" s="54" t="s">
        <v>1633</v>
      </c>
      <c r="G200" s="54">
        <v>1</v>
      </c>
      <c r="H200" s="54"/>
      <c r="I200" s="54"/>
      <c r="J200" s="54"/>
      <c r="K200" s="54"/>
      <c r="L200" s="54"/>
      <c r="M200" s="54"/>
      <c r="N200" s="54"/>
      <c r="O200" s="54" t="s">
        <v>2004</v>
      </c>
    </row>
    <row r="201" spans="1:15" ht="30" x14ac:dyDescent="0.2">
      <c r="A201" s="53" t="s">
        <v>12</v>
      </c>
      <c r="B201" s="53" t="s">
        <v>106</v>
      </c>
      <c r="C201" s="54" t="s">
        <v>2005</v>
      </c>
      <c r="D201" s="55" t="s">
        <v>2006</v>
      </c>
      <c r="E201" s="54" t="s">
        <v>70</v>
      </c>
      <c r="F201" s="54" t="s">
        <v>2007</v>
      </c>
      <c r="G201" s="54">
        <v>13</v>
      </c>
      <c r="H201" s="54"/>
      <c r="I201" s="54"/>
      <c r="J201" s="54">
        <v>0</v>
      </c>
      <c r="K201" s="54"/>
      <c r="L201" s="54"/>
      <c r="M201" s="54"/>
      <c r="N201" s="54"/>
      <c r="O201" s="54" t="s">
        <v>2008</v>
      </c>
    </row>
    <row r="202" spans="1:15" ht="30" x14ac:dyDescent="0.2">
      <c r="A202" s="53" t="s">
        <v>12</v>
      </c>
      <c r="B202" s="53" t="s">
        <v>13</v>
      </c>
      <c r="C202" s="54" t="s">
        <v>2009</v>
      </c>
      <c r="D202" s="55" t="s">
        <v>1534</v>
      </c>
      <c r="E202" s="54"/>
      <c r="F202" s="54" t="s">
        <v>1013</v>
      </c>
      <c r="G202" s="54">
        <v>5</v>
      </c>
      <c r="H202" s="54"/>
      <c r="I202" s="54"/>
      <c r="J202" s="54"/>
      <c r="K202" s="54"/>
      <c r="L202" s="54"/>
      <c r="M202" s="54"/>
      <c r="N202" s="54"/>
      <c r="O202" s="54" t="s">
        <v>2010</v>
      </c>
    </row>
    <row r="203" spans="1:15" ht="15.75" x14ac:dyDescent="0.2">
      <c r="A203" s="53" t="s">
        <v>12</v>
      </c>
      <c r="B203" s="53" t="s">
        <v>16</v>
      </c>
      <c r="C203" s="54" t="s">
        <v>2011</v>
      </c>
      <c r="D203" s="55" t="s">
        <v>2012</v>
      </c>
      <c r="E203" s="54" t="s">
        <v>2013</v>
      </c>
      <c r="F203" s="54" t="s">
        <v>884</v>
      </c>
      <c r="G203" s="54">
        <v>2</v>
      </c>
      <c r="H203" s="54"/>
      <c r="I203" s="54">
        <v>43200</v>
      </c>
      <c r="J203" s="54">
        <v>64800</v>
      </c>
      <c r="K203" s="54"/>
      <c r="L203" s="54"/>
      <c r="M203" s="54"/>
      <c r="N203" s="54"/>
      <c r="O203" s="54" t="s">
        <v>950</v>
      </c>
    </row>
    <row r="204" spans="1:15" ht="45" x14ac:dyDescent="0.2">
      <c r="A204" s="53" t="s">
        <v>12</v>
      </c>
      <c r="B204" s="53" t="s">
        <v>16</v>
      </c>
      <c r="C204" s="54" t="s">
        <v>2014</v>
      </c>
      <c r="D204" s="55" t="s">
        <v>2015</v>
      </c>
      <c r="E204" s="54" t="s">
        <v>899</v>
      </c>
      <c r="F204" s="54" t="s">
        <v>1594</v>
      </c>
      <c r="G204" s="54">
        <v>1</v>
      </c>
      <c r="H204" s="54"/>
      <c r="I204" s="54"/>
      <c r="J204" s="54"/>
      <c r="K204" s="54"/>
      <c r="L204" s="54"/>
      <c r="M204" s="54">
        <v>1</v>
      </c>
      <c r="N204" s="54"/>
      <c r="O204" s="54" t="s">
        <v>2016</v>
      </c>
    </row>
    <row r="205" spans="1:15" ht="45" x14ac:dyDescent="0.2">
      <c r="A205" s="53" t="s">
        <v>12</v>
      </c>
      <c r="B205" s="53" t="s">
        <v>16</v>
      </c>
      <c r="C205" s="54" t="s">
        <v>2017</v>
      </c>
      <c r="D205" s="55" t="s">
        <v>2018</v>
      </c>
      <c r="E205" s="54" t="s">
        <v>899</v>
      </c>
      <c r="F205" s="54" t="s">
        <v>1594</v>
      </c>
      <c r="G205" s="54">
        <v>2</v>
      </c>
      <c r="H205" s="54">
        <v>2</v>
      </c>
      <c r="I205" s="54">
        <v>28800</v>
      </c>
      <c r="J205" s="54">
        <v>10800</v>
      </c>
      <c r="K205" s="54"/>
      <c r="L205" s="54"/>
      <c r="M205" s="54"/>
      <c r="N205" s="54"/>
      <c r="O205" s="54" t="s">
        <v>1326</v>
      </c>
    </row>
    <row r="206" spans="1:15" ht="30" x14ac:dyDescent="0.2">
      <c r="A206" s="53" t="s">
        <v>12</v>
      </c>
      <c r="B206" s="53" t="s">
        <v>106</v>
      </c>
      <c r="C206" s="54" t="s">
        <v>2019</v>
      </c>
      <c r="D206" s="55" t="s">
        <v>2020</v>
      </c>
      <c r="E206" s="54"/>
      <c r="F206" s="54" t="s">
        <v>2021</v>
      </c>
      <c r="G206" s="54"/>
      <c r="H206" s="54"/>
      <c r="I206" s="54"/>
      <c r="J206" s="54">
        <v>0</v>
      </c>
      <c r="K206" s="54"/>
      <c r="L206" s="54"/>
      <c r="M206" s="54"/>
      <c r="N206" s="54"/>
      <c r="O206" s="54" t="s">
        <v>1630</v>
      </c>
    </row>
    <row r="207" spans="1:15" ht="45" x14ac:dyDescent="0.2">
      <c r="A207" s="53" t="s">
        <v>12</v>
      </c>
      <c r="B207" s="53" t="s">
        <v>16</v>
      </c>
      <c r="C207" s="54" t="s">
        <v>2022</v>
      </c>
      <c r="D207" s="55" t="s">
        <v>2023</v>
      </c>
      <c r="E207" s="54" t="s">
        <v>899</v>
      </c>
      <c r="F207" s="54" t="s">
        <v>1594</v>
      </c>
      <c r="G207" s="54">
        <v>2</v>
      </c>
      <c r="H207" s="54"/>
      <c r="I207" s="54">
        <v>0</v>
      </c>
      <c r="J207" s="54">
        <v>0</v>
      </c>
      <c r="K207" s="54"/>
      <c r="L207" s="54"/>
      <c r="M207" s="54"/>
      <c r="N207" s="54"/>
      <c r="O207" s="54" t="s">
        <v>1460</v>
      </c>
    </row>
    <row r="208" spans="1:15" ht="30" x14ac:dyDescent="0.2">
      <c r="A208" s="53" t="s">
        <v>12</v>
      </c>
      <c r="B208" s="53" t="s">
        <v>13</v>
      </c>
      <c r="C208" s="54" t="s">
        <v>2024</v>
      </c>
      <c r="D208" s="55" t="s">
        <v>2025</v>
      </c>
      <c r="E208" s="54" t="s">
        <v>2026</v>
      </c>
      <c r="F208" s="54" t="s">
        <v>2027</v>
      </c>
      <c r="G208" s="54">
        <v>2</v>
      </c>
      <c r="H208" s="54">
        <v>2</v>
      </c>
      <c r="I208" s="54">
        <v>144000</v>
      </c>
      <c r="J208" s="54">
        <v>0</v>
      </c>
      <c r="K208" s="54"/>
      <c r="L208" s="54"/>
      <c r="M208" s="54"/>
      <c r="N208" s="54"/>
      <c r="O208" s="54" t="s">
        <v>2028</v>
      </c>
    </row>
    <row r="209" spans="1:15" ht="90" x14ac:dyDescent="0.2">
      <c r="A209" s="53" t="s">
        <v>12</v>
      </c>
      <c r="B209" s="53" t="s">
        <v>15</v>
      </c>
      <c r="C209" s="54" t="s">
        <v>2029</v>
      </c>
      <c r="D209" s="55" t="s">
        <v>2030</v>
      </c>
      <c r="E209" s="54" t="s">
        <v>2031</v>
      </c>
      <c r="F209" s="54" t="s">
        <v>2032</v>
      </c>
      <c r="G209" s="54">
        <v>2</v>
      </c>
      <c r="H209" s="54">
        <v>2</v>
      </c>
      <c r="I209" s="54">
        <v>129600</v>
      </c>
      <c r="J209" s="54">
        <v>0</v>
      </c>
      <c r="K209" s="54"/>
      <c r="L209" s="54"/>
      <c r="M209" s="54"/>
      <c r="N209" s="54"/>
      <c r="O209" s="54" t="s">
        <v>2033</v>
      </c>
    </row>
    <row r="210" spans="1:15" ht="45" x14ac:dyDescent="0.2">
      <c r="A210" s="53" t="s">
        <v>12</v>
      </c>
      <c r="B210" s="53" t="s">
        <v>15</v>
      </c>
      <c r="C210" s="54" t="s">
        <v>2034</v>
      </c>
      <c r="D210" s="55" t="s">
        <v>2035</v>
      </c>
      <c r="E210" s="54" t="s">
        <v>2031</v>
      </c>
      <c r="F210" s="54" t="s">
        <v>2036</v>
      </c>
      <c r="G210" s="54">
        <v>1</v>
      </c>
      <c r="H210" s="54">
        <v>1</v>
      </c>
      <c r="I210" s="54">
        <v>144000</v>
      </c>
      <c r="J210" s="54">
        <v>0</v>
      </c>
      <c r="K210" s="54"/>
      <c r="L210" s="54"/>
      <c r="M210" s="54"/>
      <c r="N210" s="54"/>
      <c r="O210" s="54" t="s">
        <v>2037</v>
      </c>
    </row>
    <row r="211" spans="1:15" ht="75" x14ac:dyDescent="0.2">
      <c r="A211" s="53" t="s">
        <v>12</v>
      </c>
      <c r="B211" s="53" t="s">
        <v>15</v>
      </c>
      <c r="C211" s="54" t="s">
        <v>2038</v>
      </c>
      <c r="D211" s="55" t="s">
        <v>2039</v>
      </c>
      <c r="E211" s="54" t="s">
        <v>2031</v>
      </c>
      <c r="F211" s="54" t="s">
        <v>2040</v>
      </c>
      <c r="G211" s="54">
        <v>2</v>
      </c>
      <c r="H211" s="54">
        <v>2</v>
      </c>
      <c r="I211" s="54">
        <v>115200</v>
      </c>
      <c r="J211" s="54">
        <v>0</v>
      </c>
      <c r="K211" s="54"/>
      <c r="L211" s="54"/>
      <c r="M211" s="54"/>
      <c r="N211" s="54"/>
      <c r="O211" s="54" t="s">
        <v>2041</v>
      </c>
    </row>
    <row r="212" spans="1:15" ht="60" x14ac:dyDescent="0.2">
      <c r="A212" s="53" t="s">
        <v>12</v>
      </c>
      <c r="B212" s="53" t="s">
        <v>15</v>
      </c>
      <c r="C212" s="54" t="s">
        <v>2042</v>
      </c>
      <c r="D212" s="55" t="s">
        <v>2043</v>
      </c>
      <c r="E212" s="54" t="s">
        <v>2031</v>
      </c>
      <c r="F212" s="54" t="s">
        <v>2040</v>
      </c>
      <c r="G212" s="54">
        <v>2</v>
      </c>
      <c r="H212" s="54">
        <v>2</v>
      </c>
      <c r="I212" s="54">
        <v>100800</v>
      </c>
      <c r="J212" s="54">
        <v>0</v>
      </c>
      <c r="K212" s="54"/>
      <c r="L212" s="54"/>
      <c r="M212" s="54"/>
      <c r="N212" s="54"/>
      <c r="O212" s="54" t="s">
        <v>2044</v>
      </c>
    </row>
    <row r="213" spans="1:15" ht="30" x14ac:dyDescent="0.2">
      <c r="A213" s="53" t="s">
        <v>12</v>
      </c>
      <c r="B213" s="53" t="s">
        <v>15</v>
      </c>
      <c r="C213" s="54" t="s">
        <v>2045</v>
      </c>
      <c r="D213" s="55" t="s">
        <v>2046</v>
      </c>
      <c r="E213" s="54" t="s">
        <v>883</v>
      </c>
      <c r="F213" s="54" t="s">
        <v>2036</v>
      </c>
      <c r="G213" s="54">
        <v>3</v>
      </c>
      <c r="H213" s="54">
        <v>3</v>
      </c>
      <c r="I213" s="54">
        <v>201600</v>
      </c>
      <c r="J213" s="54">
        <v>0</v>
      </c>
      <c r="K213" s="54"/>
      <c r="L213" s="54"/>
      <c r="M213" s="54"/>
      <c r="N213" s="54"/>
      <c r="O213" s="54" t="s">
        <v>2047</v>
      </c>
    </row>
    <row r="214" spans="1:15" ht="60" x14ac:dyDescent="0.2">
      <c r="A214" s="53" t="s">
        <v>12</v>
      </c>
      <c r="B214" s="53" t="s">
        <v>13</v>
      </c>
      <c r="C214" s="54" t="s">
        <v>2048</v>
      </c>
      <c r="D214" s="55" t="s">
        <v>2049</v>
      </c>
      <c r="E214" s="54" t="s">
        <v>2050</v>
      </c>
      <c r="F214" s="54" t="s">
        <v>2051</v>
      </c>
      <c r="G214" s="54">
        <v>5</v>
      </c>
      <c r="H214" s="54">
        <v>5</v>
      </c>
      <c r="I214" s="54">
        <v>363600</v>
      </c>
      <c r="J214" s="54">
        <v>0</v>
      </c>
      <c r="K214" s="54"/>
      <c r="L214" s="54"/>
      <c r="M214" s="54"/>
      <c r="N214" s="54"/>
      <c r="O214" s="54" t="s">
        <v>2052</v>
      </c>
    </row>
    <row r="215" spans="1:15" ht="45" x14ac:dyDescent="0.2">
      <c r="A215" s="53" t="s">
        <v>12</v>
      </c>
      <c r="B215" s="53" t="s">
        <v>16</v>
      </c>
      <c r="C215" s="54" t="s">
        <v>2053</v>
      </c>
      <c r="D215" s="55" t="s">
        <v>2054</v>
      </c>
      <c r="E215" s="54" t="s">
        <v>1399</v>
      </c>
      <c r="F215" s="54" t="s">
        <v>2055</v>
      </c>
      <c r="G215" s="54">
        <v>1</v>
      </c>
      <c r="H215" s="54">
        <v>1</v>
      </c>
      <c r="I215" s="54">
        <v>0</v>
      </c>
      <c r="J215" s="54">
        <v>0</v>
      </c>
      <c r="K215" s="54"/>
      <c r="L215" s="54"/>
      <c r="M215" s="54"/>
      <c r="N215" s="54"/>
      <c r="O215" s="54" t="s">
        <v>2056</v>
      </c>
    </row>
    <row r="216" spans="1:15" ht="30" x14ac:dyDescent="0.2">
      <c r="A216" s="53" t="s">
        <v>12</v>
      </c>
      <c r="B216" s="53" t="s">
        <v>106</v>
      </c>
      <c r="C216" s="54" t="s">
        <v>2057</v>
      </c>
      <c r="D216" s="55" t="s">
        <v>2058</v>
      </c>
      <c r="E216" s="54" t="s">
        <v>2059</v>
      </c>
      <c r="F216" s="54" t="s">
        <v>2007</v>
      </c>
      <c r="G216" s="54">
        <v>13</v>
      </c>
      <c r="H216" s="54"/>
      <c r="I216" s="54"/>
      <c r="J216" s="54">
        <v>0</v>
      </c>
      <c r="K216" s="54"/>
      <c r="L216" s="54"/>
      <c r="M216" s="54"/>
      <c r="N216" s="54"/>
      <c r="O216" s="54"/>
    </row>
    <row r="217" spans="1:15" ht="30" x14ac:dyDescent="0.2">
      <c r="A217" s="53" t="s">
        <v>12</v>
      </c>
      <c r="B217" s="53" t="s">
        <v>15</v>
      </c>
      <c r="C217" s="54" t="s">
        <v>2060</v>
      </c>
      <c r="D217" s="55" t="s">
        <v>2061</v>
      </c>
      <c r="E217" s="54" t="s">
        <v>883</v>
      </c>
      <c r="F217" s="54" t="s">
        <v>2062</v>
      </c>
      <c r="G217" s="54"/>
      <c r="H217" s="54"/>
      <c r="I217" s="54">
        <v>115200</v>
      </c>
      <c r="J217" s="54">
        <v>0</v>
      </c>
      <c r="K217" s="54"/>
      <c r="L217" s="54"/>
      <c r="M217" s="54"/>
      <c r="N217" s="54"/>
      <c r="O217" s="54" t="s">
        <v>2063</v>
      </c>
    </row>
    <row r="218" spans="1:15" ht="15.75" x14ac:dyDescent="0.2">
      <c r="A218" s="53" t="s">
        <v>12</v>
      </c>
      <c r="B218" s="53" t="s">
        <v>13</v>
      </c>
      <c r="C218" s="54" t="s">
        <v>2064</v>
      </c>
      <c r="D218" s="55" t="s">
        <v>2065</v>
      </c>
      <c r="E218" s="54" t="s">
        <v>2026</v>
      </c>
      <c r="F218" s="54"/>
      <c r="G218" s="54">
        <v>2</v>
      </c>
      <c r="H218" s="54"/>
      <c r="I218" s="54"/>
      <c r="J218" s="54"/>
      <c r="K218" s="54"/>
      <c r="L218" s="54"/>
      <c r="M218" s="54"/>
      <c r="N218" s="54"/>
      <c r="O218" s="54"/>
    </row>
    <row r="219" spans="1:15" ht="15.75" x14ac:dyDescent="0.2">
      <c r="A219" s="53" t="s">
        <v>12</v>
      </c>
      <c r="B219" s="53" t="s">
        <v>13</v>
      </c>
      <c r="C219" s="54" t="s">
        <v>2066</v>
      </c>
      <c r="D219" s="55" t="s">
        <v>2067</v>
      </c>
      <c r="E219" s="54"/>
      <c r="F219" s="54"/>
      <c r="G219" s="54"/>
      <c r="H219" s="54"/>
      <c r="I219" s="54"/>
      <c r="J219" s="54"/>
      <c r="K219" s="54"/>
      <c r="L219" s="54"/>
      <c r="M219" s="54"/>
      <c r="N219" s="54"/>
      <c r="O219" s="54" t="s">
        <v>2068</v>
      </c>
    </row>
    <row r="220" spans="1:15" ht="45" x14ac:dyDescent="0.2">
      <c r="A220" s="53" t="s">
        <v>12</v>
      </c>
      <c r="B220" s="53" t="s">
        <v>14</v>
      </c>
      <c r="C220" s="54" t="s">
        <v>2069</v>
      </c>
      <c r="D220" s="55" t="s">
        <v>2070</v>
      </c>
      <c r="E220" s="54" t="s">
        <v>899</v>
      </c>
      <c r="F220" s="54" t="s">
        <v>1594</v>
      </c>
      <c r="G220" s="54">
        <v>13</v>
      </c>
      <c r="H220" s="54"/>
      <c r="I220" s="54">
        <v>489600</v>
      </c>
      <c r="J220" s="54">
        <v>284400</v>
      </c>
      <c r="K220" s="54"/>
      <c r="L220" s="54"/>
      <c r="M220" s="54"/>
      <c r="N220" s="54"/>
      <c r="O220" s="54" t="s">
        <v>1006</v>
      </c>
    </row>
    <row r="221" spans="1:15" ht="30" x14ac:dyDescent="0.2">
      <c r="A221" s="53" t="s">
        <v>12</v>
      </c>
      <c r="B221" s="53" t="s">
        <v>13</v>
      </c>
      <c r="C221" s="54" t="s">
        <v>2071</v>
      </c>
      <c r="D221" s="55" t="s">
        <v>2072</v>
      </c>
      <c r="E221" s="54"/>
      <c r="F221" s="54" t="s">
        <v>900</v>
      </c>
      <c r="G221" s="54">
        <v>5</v>
      </c>
      <c r="H221" s="54"/>
      <c r="I221" s="54">
        <v>0</v>
      </c>
      <c r="J221" s="54">
        <v>0</v>
      </c>
      <c r="K221" s="54"/>
      <c r="L221" s="54"/>
      <c r="M221" s="54"/>
      <c r="N221" s="54"/>
      <c r="O221" s="54" t="s">
        <v>1047</v>
      </c>
    </row>
    <row r="222" spans="1:15" ht="45" x14ac:dyDescent="0.2">
      <c r="A222" s="53" t="s">
        <v>12</v>
      </c>
      <c r="B222" s="53" t="s">
        <v>15</v>
      </c>
      <c r="C222" s="54" t="s">
        <v>2073</v>
      </c>
      <c r="D222" s="55" t="s">
        <v>2074</v>
      </c>
      <c r="E222" s="54" t="s">
        <v>883</v>
      </c>
      <c r="F222" s="54" t="s">
        <v>2075</v>
      </c>
      <c r="G222" s="54"/>
      <c r="H222" s="54"/>
      <c r="I222" s="54">
        <v>100800</v>
      </c>
      <c r="J222" s="54">
        <v>0</v>
      </c>
      <c r="K222" s="54"/>
      <c r="L222" s="54"/>
      <c r="M222" s="54"/>
      <c r="N222" s="54"/>
      <c r="O222" s="54" t="s">
        <v>2076</v>
      </c>
    </row>
    <row r="223" spans="1:15" ht="30" x14ac:dyDescent="0.2">
      <c r="A223" s="53" t="s">
        <v>12</v>
      </c>
      <c r="B223" s="53" t="s">
        <v>13</v>
      </c>
      <c r="C223" s="54" t="s">
        <v>2077</v>
      </c>
      <c r="D223" s="55" t="s">
        <v>2078</v>
      </c>
      <c r="E223" s="54"/>
      <c r="F223" s="54"/>
      <c r="G223" s="54"/>
      <c r="H223" s="54"/>
      <c r="I223" s="54"/>
      <c r="J223" s="54"/>
      <c r="K223" s="54"/>
      <c r="L223" s="54"/>
      <c r="M223" s="54"/>
      <c r="N223" s="54"/>
      <c r="O223" s="54" t="s">
        <v>1296</v>
      </c>
    </row>
    <row r="224" spans="1:15" ht="45" x14ac:dyDescent="0.2">
      <c r="A224" s="53" t="s">
        <v>12</v>
      </c>
      <c r="B224" s="53" t="s">
        <v>13</v>
      </c>
      <c r="C224" s="54" t="s">
        <v>2079</v>
      </c>
      <c r="D224" s="55" t="s">
        <v>2080</v>
      </c>
      <c r="E224" s="54" t="s">
        <v>899</v>
      </c>
      <c r="F224" s="54" t="s">
        <v>1633</v>
      </c>
      <c r="G224" s="54"/>
      <c r="H224" s="54"/>
      <c r="I224" s="54">
        <v>259200</v>
      </c>
      <c r="J224" s="54">
        <v>259200</v>
      </c>
      <c r="K224" s="54"/>
      <c r="L224" s="54"/>
      <c r="M224" s="54"/>
      <c r="N224" s="54"/>
      <c r="O224" s="54" t="s">
        <v>1009</v>
      </c>
    </row>
    <row r="225" spans="1:15" ht="45" x14ac:dyDescent="0.2">
      <c r="A225" s="53" t="s">
        <v>12</v>
      </c>
      <c r="B225" s="53" t="s">
        <v>16</v>
      </c>
      <c r="C225" s="54" t="s">
        <v>2081</v>
      </c>
      <c r="D225" s="55" t="s">
        <v>2082</v>
      </c>
      <c r="E225" s="54" t="s">
        <v>899</v>
      </c>
      <c r="F225" s="54" t="s">
        <v>1698</v>
      </c>
      <c r="G225" s="54">
        <v>5</v>
      </c>
      <c r="H225" s="54"/>
      <c r="I225" s="54"/>
      <c r="J225" s="54">
        <v>0</v>
      </c>
      <c r="K225" s="54"/>
      <c r="L225" s="54"/>
      <c r="M225" s="54"/>
      <c r="N225" s="54"/>
      <c r="O225" s="54" t="s">
        <v>1489</v>
      </c>
    </row>
    <row r="226" spans="1:15" ht="30" x14ac:dyDescent="0.2">
      <c r="A226" s="53" t="s">
        <v>12</v>
      </c>
      <c r="B226" s="53" t="s">
        <v>15</v>
      </c>
      <c r="C226" s="54" t="s">
        <v>2083</v>
      </c>
      <c r="D226" s="55" t="s">
        <v>2084</v>
      </c>
      <c r="E226" s="54" t="s">
        <v>1762</v>
      </c>
      <c r="F226" s="54" t="s">
        <v>2085</v>
      </c>
      <c r="G226" s="54">
        <v>0</v>
      </c>
      <c r="H226" s="54">
        <v>0</v>
      </c>
      <c r="I226" s="54"/>
      <c r="J226" s="54"/>
      <c r="K226" s="54"/>
      <c r="L226" s="54"/>
      <c r="M226" s="54"/>
      <c r="N226" s="54"/>
      <c r="O226" s="54" t="s">
        <v>2086</v>
      </c>
    </row>
    <row r="227" spans="1:15" ht="60" x14ac:dyDescent="0.2">
      <c r="A227" s="53" t="s">
        <v>12</v>
      </c>
      <c r="B227" s="53" t="s">
        <v>16</v>
      </c>
      <c r="C227" s="54" t="s">
        <v>2087</v>
      </c>
      <c r="D227" s="55" t="s">
        <v>2088</v>
      </c>
      <c r="E227" s="54" t="s">
        <v>899</v>
      </c>
      <c r="F227" s="54" t="s">
        <v>1935</v>
      </c>
      <c r="G227" s="54"/>
      <c r="H227" s="54"/>
      <c r="I227" s="54"/>
      <c r="J227" s="54"/>
      <c r="K227" s="54"/>
      <c r="L227" s="54"/>
      <c r="M227" s="54"/>
      <c r="N227" s="54"/>
      <c r="O227" s="54" t="s">
        <v>2089</v>
      </c>
    </row>
    <row r="228" spans="1:15" ht="60" x14ac:dyDescent="0.2">
      <c r="A228" s="53" t="s">
        <v>12</v>
      </c>
      <c r="B228" s="53" t="s">
        <v>14</v>
      </c>
      <c r="C228" s="54" t="s">
        <v>2090</v>
      </c>
      <c r="D228" s="55" t="s">
        <v>2091</v>
      </c>
      <c r="E228" s="54"/>
      <c r="F228" s="54" t="s">
        <v>1935</v>
      </c>
      <c r="G228" s="54"/>
      <c r="H228" s="54"/>
      <c r="I228" s="54">
        <v>0</v>
      </c>
      <c r="J228" s="54">
        <v>0</v>
      </c>
      <c r="K228" s="54"/>
      <c r="L228" s="54"/>
      <c r="M228" s="54"/>
      <c r="N228" s="54"/>
      <c r="O228" s="54" t="s">
        <v>1352</v>
      </c>
    </row>
    <row r="229" spans="1:15" ht="30" x14ac:dyDescent="0.2">
      <c r="A229" s="53" t="s">
        <v>12</v>
      </c>
      <c r="B229" s="53" t="s">
        <v>13</v>
      </c>
      <c r="C229" s="54" t="s">
        <v>2092</v>
      </c>
      <c r="D229" s="55" t="s">
        <v>2093</v>
      </c>
      <c r="E229" s="54" t="s">
        <v>2094</v>
      </c>
      <c r="F229" s="54"/>
      <c r="G229" s="54">
        <v>5</v>
      </c>
      <c r="H229" s="54"/>
      <c r="I229" s="54">
        <v>97200</v>
      </c>
      <c r="J229" s="54">
        <v>97200</v>
      </c>
      <c r="K229" s="54"/>
      <c r="L229" s="54"/>
      <c r="M229" s="54"/>
      <c r="N229" s="54"/>
      <c r="O229" s="54" t="s">
        <v>2095</v>
      </c>
    </row>
    <row r="230" spans="1:15" ht="30" x14ac:dyDescent="0.2">
      <c r="A230" s="53" t="s">
        <v>12</v>
      </c>
      <c r="B230" s="53" t="s">
        <v>13</v>
      </c>
      <c r="C230" s="54" t="s">
        <v>2096</v>
      </c>
      <c r="D230" s="55" t="s">
        <v>2097</v>
      </c>
      <c r="E230" s="54" t="s">
        <v>2098</v>
      </c>
      <c r="F230" s="54"/>
      <c r="G230" s="54">
        <v>5</v>
      </c>
      <c r="H230" s="54"/>
      <c r="I230" s="54">
        <v>97200</v>
      </c>
      <c r="J230" s="54">
        <v>97200</v>
      </c>
      <c r="K230" s="54"/>
      <c r="L230" s="54"/>
      <c r="M230" s="54"/>
      <c r="N230" s="54"/>
      <c r="O230" s="54" t="s">
        <v>2099</v>
      </c>
    </row>
    <row r="231" spans="1:15" ht="60" x14ac:dyDescent="0.2">
      <c r="A231" s="53" t="s">
        <v>12</v>
      </c>
      <c r="B231" s="53" t="s">
        <v>14</v>
      </c>
      <c r="C231" s="54" t="s">
        <v>2100</v>
      </c>
      <c r="D231" s="55" t="s">
        <v>2101</v>
      </c>
      <c r="E231" s="54"/>
      <c r="F231" s="54" t="s">
        <v>1935</v>
      </c>
      <c r="G231" s="54"/>
      <c r="H231" s="54"/>
      <c r="I231" s="54">
        <v>0</v>
      </c>
      <c r="J231" s="54">
        <v>0</v>
      </c>
      <c r="K231" s="54"/>
      <c r="L231" s="54"/>
      <c r="M231" s="54"/>
      <c r="N231" s="54"/>
      <c r="O231" s="54" t="s">
        <v>1352</v>
      </c>
    </row>
    <row r="232" spans="1:15" ht="30" x14ac:dyDescent="0.2">
      <c r="A232" s="53" t="s">
        <v>12</v>
      </c>
      <c r="B232" s="53" t="s">
        <v>13</v>
      </c>
      <c r="C232" s="54" t="s">
        <v>2102</v>
      </c>
      <c r="D232" s="55" t="s">
        <v>2103</v>
      </c>
      <c r="E232" s="54"/>
      <c r="F232" s="54"/>
      <c r="G232" s="54">
        <v>5</v>
      </c>
      <c r="H232" s="54"/>
      <c r="I232" s="54">
        <v>97200</v>
      </c>
      <c r="J232" s="54">
        <v>97200</v>
      </c>
      <c r="K232" s="54"/>
      <c r="L232" s="54"/>
      <c r="M232" s="54"/>
      <c r="N232" s="54"/>
      <c r="O232" s="54" t="s">
        <v>2104</v>
      </c>
    </row>
    <row r="233" spans="1:15" ht="30" x14ac:dyDescent="0.2">
      <c r="A233" s="53" t="s">
        <v>12</v>
      </c>
      <c r="B233" s="53" t="s">
        <v>13</v>
      </c>
      <c r="C233" s="54" t="s">
        <v>2105</v>
      </c>
      <c r="D233" s="55" t="s">
        <v>2106</v>
      </c>
      <c r="E233" s="54" t="s">
        <v>2094</v>
      </c>
      <c r="F233" s="54"/>
      <c r="G233" s="54">
        <v>5</v>
      </c>
      <c r="H233" s="54"/>
      <c r="I233" s="54">
        <v>97200</v>
      </c>
      <c r="J233" s="54">
        <v>97200</v>
      </c>
      <c r="K233" s="54"/>
      <c r="L233" s="54"/>
      <c r="M233" s="54"/>
      <c r="N233" s="54"/>
      <c r="O233" s="54" t="s">
        <v>2104</v>
      </c>
    </row>
    <row r="234" spans="1:15" ht="30" x14ac:dyDescent="0.2">
      <c r="A234" s="53" t="s">
        <v>12</v>
      </c>
      <c r="B234" s="53" t="s">
        <v>13</v>
      </c>
      <c r="C234" s="54" t="s">
        <v>2107</v>
      </c>
      <c r="D234" s="55" t="s">
        <v>2108</v>
      </c>
      <c r="E234" s="54"/>
      <c r="F234" s="54"/>
      <c r="G234" s="54">
        <v>5</v>
      </c>
      <c r="H234" s="54"/>
      <c r="I234" s="54">
        <v>93600</v>
      </c>
      <c r="J234" s="54">
        <v>93600</v>
      </c>
      <c r="K234" s="54"/>
      <c r="L234" s="54"/>
      <c r="M234" s="54"/>
      <c r="N234" s="54"/>
      <c r="O234" s="54" t="s">
        <v>2109</v>
      </c>
    </row>
    <row r="235" spans="1:15" ht="30" x14ac:dyDescent="0.2">
      <c r="A235" s="53" t="s">
        <v>12</v>
      </c>
      <c r="B235" s="53" t="s">
        <v>13</v>
      </c>
      <c r="C235" s="54" t="s">
        <v>2110</v>
      </c>
      <c r="D235" s="55" t="s">
        <v>2111</v>
      </c>
      <c r="E235" s="54" t="s">
        <v>1762</v>
      </c>
      <c r="F235" s="54"/>
      <c r="G235" s="54">
        <v>5</v>
      </c>
      <c r="H235" s="54"/>
      <c r="I235" s="54">
        <v>93600</v>
      </c>
      <c r="J235" s="54">
        <v>93600</v>
      </c>
      <c r="K235" s="54"/>
      <c r="L235" s="54"/>
      <c r="M235" s="54"/>
      <c r="N235" s="54"/>
      <c r="O235" s="54" t="s">
        <v>2109</v>
      </c>
    </row>
    <row r="236" spans="1:15" ht="30" x14ac:dyDescent="0.2">
      <c r="A236" s="53" t="s">
        <v>12</v>
      </c>
      <c r="B236" s="53" t="s">
        <v>13</v>
      </c>
      <c r="C236" s="54" t="s">
        <v>2112</v>
      </c>
      <c r="D236" s="55" t="s">
        <v>2113</v>
      </c>
      <c r="E236" s="54"/>
      <c r="F236" s="54" t="s">
        <v>1537</v>
      </c>
      <c r="G236" s="54">
        <v>5</v>
      </c>
      <c r="H236" s="54"/>
      <c r="I236" s="54">
        <v>90000</v>
      </c>
      <c r="J236" s="54">
        <v>90000</v>
      </c>
      <c r="K236" s="54"/>
      <c r="L236" s="54"/>
      <c r="M236" s="54"/>
      <c r="N236" s="54"/>
      <c r="O236" s="54" t="s">
        <v>2114</v>
      </c>
    </row>
    <row r="237" spans="1:15" ht="30" x14ac:dyDescent="0.2">
      <c r="A237" s="53" t="s">
        <v>12</v>
      </c>
      <c r="B237" s="53" t="s">
        <v>106</v>
      </c>
      <c r="C237" s="54" t="s">
        <v>2115</v>
      </c>
      <c r="D237" s="55" t="s">
        <v>2116</v>
      </c>
      <c r="E237" s="54" t="s">
        <v>1762</v>
      </c>
      <c r="F237" s="54" t="s">
        <v>1707</v>
      </c>
      <c r="G237" s="54">
        <v>5</v>
      </c>
      <c r="H237" s="54"/>
      <c r="I237" s="54">
        <v>93600</v>
      </c>
      <c r="J237" s="54">
        <v>82800</v>
      </c>
      <c r="K237" s="54"/>
      <c r="L237" s="54"/>
      <c r="M237" s="54"/>
      <c r="N237" s="54"/>
      <c r="O237" s="54" t="s">
        <v>2117</v>
      </c>
    </row>
    <row r="238" spans="1:15" ht="30" x14ac:dyDescent="0.2">
      <c r="A238" s="53" t="s">
        <v>12</v>
      </c>
      <c r="B238" s="53" t="s">
        <v>13</v>
      </c>
      <c r="C238" s="54" t="s">
        <v>2118</v>
      </c>
      <c r="D238" s="55" t="s">
        <v>2119</v>
      </c>
      <c r="E238" s="54" t="s">
        <v>1762</v>
      </c>
      <c r="F238" s="54" t="s">
        <v>1537</v>
      </c>
      <c r="G238" s="54">
        <v>5</v>
      </c>
      <c r="H238" s="54"/>
      <c r="I238" s="54">
        <v>93600</v>
      </c>
      <c r="J238" s="54">
        <v>93600</v>
      </c>
      <c r="K238" s="54"/>
      <c r="L238" s="54"/>
      <c r="M238" s="54"/>
      <c r="N238" s="54"/>
      <c r="O238" s="54" t="s">
        <v>2120</v>
      </c>
    </row>
    <row r="239" spans="1:15" ht="60" x14ac:dyDescent="0.2">
      <c r="A239" s="53" t="s">
        <v>12</v>
      </c>
      <c r="B239" s="53" t="s">
        <v>14</v>
      </c>
      <c r="C239" s="54" t="s">
        <v>2121</v>
      </c>
      <c r="D239" s="55" t="s">
        <v>2122</v>
      </c>
      <c r="E239" s="54" t="s">
        <v>899</v>
      </c>
      <c r="F239" s="54" t="s">
        <v>1935</v>
      </c>
      <c r="G239" s="54">
        <v>2</v>
      </c>
      <c r="H239" s="54"/>
      <c r="I239" s="54">
        <v>316800</v>
      </c>
      <c r="J239" s="54">
        <v>259200</v>
      </c>
      <c r="K239" s="54"/>
      <c r="L239" s="54"/>
      <c r="M239" s="54"/>
      <c r="N239" s="54"/>
      <c r="O239" s="54" t="s">
        <v>999</v>
      </c>
    </row>
    <row r="240" spans="1:15" ht="60" x14ac:dyDescent="0.2">
      <c r="A240" s="53" t="s">
        <v>12</v>
      </c>
      <c r="B240" s="53" t="s">
        <v>16</v>
      </c>
      <c r="C240" s="54" t="s">
        <v>2123</v>
      </c>
      <c r="D240" s="55" t="s">
        <v>2124</v>
      </c>
      <c r="E240" s="54" t="s">
        <v>899</v>
      </c>
      <c r="F240" s="54" t="s">
        <v>1935</v>
      </c>
      <c r="G240" s="54"/>
      <c r="H240" s="54"/>
      <c r="I240" s="54"/>
      <c r="J240" s="54"/>
      <c r="K240" s="54"/>
      <c r="L240" s="54"/>
      <c r="M240" s="54"/>
      <c r="N240" s="54"/>
      <c r="O240" s="54" t="s">
        <v>2125</v>
      </c>
    </row>
    <row r="241" spans="1:15" ht="60" x14ac:dyDescent="0.2">
      <c r="A241" s="53" t="s">
        <v>12</v>
      </c>
      <c r="B241" s="53" t="s">
        <v>13</v>
      </c>
      <c r="C241" s="54" t="s">
        <v>2126</v>
      </c>
      <c r="D241" s="55" t="s">
        <v>2127</v>
      </c>
      <c r="E241" s="54" t="s">
        <v>899</v>
      </c>
      <c r="F241" s="54" t="s">
        <v>1935</v>
      </c>
      <c r="G241" s="54"/>
      <c r="H241" s="54"/>
      <c r="I241" s="54">
        <v>240</v>
      </c>
      <c r="J241" s="54">
        <v>240</v>
      </c>
      <c r="K241" s="54"/>
      <c r="L241" s="54"/>
      <c r="M241" s="54"/>
      <c r="N241" s="54"/>
      <c r="O241" s="54" t="s">
        <v>1378</v>
      </c>
    </row>
    <row r="242" spans="1:15" ht="30" x14ac:dyDescent="0.2">
      <c r="A242" s="53" t="s">
        <v>12</v>
      </c>
      <c r="B242" s="53" t="s">
        <v>15</v>
      </c>
      <c r="C242" s="54" t="s">
        <v>2128</v>
      </c>
      <c r="D242" s="55" t="s">
        <v>2129</v>
      </c>
      <c r="E242" s="54" t="s">
        <v>1762</v>
      </c>
      <c r="F242" s="54" t="s">
        <v>1707</v>
      </c>
      <c r="G242" s="54">
        <v>5</v>
      </c>
      <c r="H242" s="54">
        <v>5</v>
      </c>
      <c r="I242" s="54">
        <v>97200</v>
      </c>
      <c r="J242" s="54">
        <v>86400</v>
      </c>
      <c r="K242" s="54"/>
      <c r="L242" s="54"/>
      <c r="M242" s="54"/>
      <c r="N242" s="54"/>
      <c r="O242" s="54" t="s">
        <v>2117</v>
      </c>
    </row>
    <row r="243" spans="1:15" ht="45" x14ac:dyDescent="0.2">
      <c r="A243" s="53" t="s">
        <v>12</v>
      </c>
      <c r="B243" s="53" t="s">
        <v>13</v>
      </c>
      <c r="C243" s="54" t="s">
        <v>2130</v>
      </c>
      <c r="D243" s="55" t="s">
        <v>2131</v>
      </c>
      <c r="E243" s="54"/>
      <c r="F243" s="54" t="s">
        <v>2132</v>
      </c>
      <c r="G243" s="54">
        <v>3</v>
      </c>
      <c r="H243" s="54"/>
      <c r="I243" s="54"/>
      <c r="J243" s="54"/>
      <c r="K243" s="54"/>
      <c r="L243" s="54"/>
      <c r="M243" s="54"/>
      <c r="N243" s="54"/>
      <c r="O243" s="54" t="s">
        <v>2133</v>
      </c>
    </row>
    <row r="244" spans="1:15" ht="30" x14ac:dyDescent="0.2">
      <c r="A244" s="53" t="s">
        <v>12</v>
      </c>
      <c r="B244" s="53" t="s">
        <v>15</v>
      </c>
      <c r="C244" s="54" t="s">
        <v>2134</v>
      </c>
      <c r="D244" s="55" t="s">
        <v>2135</v>
      </c>
      <c r="E244" s="54" t="s">
        <v>1762</v>
      </c>
      <c r="F244" s="54" t="s">
        <v>2136</v>
      </c>
      <c r="G244" s="54">
        <v>5</v>
      </c>
      <c r="H244" s="54">
        <v>5</v>
      </c>
      <c r="I244" s="54">
        <v>111600</v>
      </c>
      <c r="J244" s="54">
        <v>111600</v>
      </c>
      <c r="K244" s="54"/>
      <c r="L244" s="54"/>
      <c r="M244" s="54"/>
      <c r="N244" s="54"/>
      <c r="O244" s="54" t="s">
        <v>2137</v>
      </c>
    </row>
    <row r="245" spans="1:15" ht="30" x14ac:dyDescent="0.2">
      <c r="A245" s="53" t="s">
        <v>12</v>
      </c>
      <c r="B245" s="53" t="s">
        <v>13</v>
      </c>
      <c r="C245" s="54" t="s">
        <v>2138</v>
      </c>
      <c r="D245" s="55" t="s">
        <v>2139</v>
      </c>
      <c r="E245" s="54"/>
      <c r="F245" s="54"/>
      <c r="G245" s="54">
        <v>5</v>
      </c>
      <c r="H245" s="54"/>
      <c r="I245" s="54">
        <v>97200</v>
      </c>
      <c r="J245" s="54">
        <v>97200</v>
      </c>
      <c r="K245" s="54"/>
      <c r="L245" s="54"/>
      <c r="M245" s="54"/>
      <c r="N245" s="54"/>
      <c r="O245" s="54" t="s">
        <v>2119</v>
      </c>
    </row>
    <row r="246" spans="1:15" ht="60" x14ac:dyDescent="0.2">
      <c r="A246" s="53" t="s">
        <v>12</v>
      </c>
      <c r="B246" s="53" t="s">
        <v>16</v>
      </c>
      <c r="C246" s="54" t="s">
        <v>2140</v>
      </c>
      <c r="D246" s="55" t="s">
        <v>2141</v>
      </c>
      <c r="E246" s="54" t="s">
        <v>899</v>
      </c>
      <c r="F246" s="54" t="s">
        <v>1935</v>
      </c>
      <c r="G246" s="54">
        <v>1</v>
      </c>
      <c r="H246" s="54"/>
      <c r="I246" s="54"/>
      <c r="J246" s="54">
        <v>21600</v>
      </c>
      <c r="K246" s="54"/>
      <c r="L246" s="54"/>
      <c r="M246" s="54"/>
      <c r="N246" s="54"/>
      <c r="O246" s="54" t="s">
        <v>2142</v>
      </c>
    </row>
    <row r="247" spans="1:15" ht="165" x14ac:dyDescent="0.2">
      <c r="A247" s="53" t="s">
        <v>12</v>
      </c>
      <c r="B247" s="53" t="s">
        <v>13</v>
      </c>
      <c r="C247" s="54" t="s">
        <v>2143</v>
      </c>
      <c r="D247" s="55" t="s">
        <v>2144</v>
      </c>
      <c r="E247" s="54"/>
      <c r="F247" s="54"/>
      <c r="G247" s="54"/>
      <c r="H247" s="54"/>
      <c r="I247" s="54"/>
      <c r="J247" s="54"/>
      <c r="K247" s="54"/>
      <c r="L247" s="54"/>
      <c r="M247" s="54"/>
      <c r="N247" s="54"/>
      <c r="O247" s="54" t="s">
        <v>2145</v>
      </c>
    </row>
    <row r="248" spans="1:15" ht="30" x14ac:dyDescent="0.2">
      <c r="A248" s="53" t="s">
        <v>12</v>
      </c>
      <c r="B248" s="53" t="s">
        <v>15</v>
      </c>
      <c r="C248" s="54" t="s">
        <v>2146</v>
      </c>
      <c r="D248" s="55" t="s">
        <v>2147</v>
      </c>
      <c r="E248" s="54"/>
      <c r="F248" s="54" t="s">
        <v>2136</v>
      </c>
      <c r="G248" s="54">
        <v>3</v>
      </c>
      <c r="H248" s="54">
        <v>3</v>
      </c>
      <c r="I248" s="54">
        <v>115200</v>
      </c>
      <c r="J248" s="54">
        <v>111600</v>
      </c>
      <c r="K248" s="54"/>
      <c r="L248" s="54"/>
      <c r="M248" s="54"/>
      <c r="N248" s="54"/>
      <c r="O248" s="54" t="s">
        <v>2137</v>
      </c>
    </row>
    <row r="249" spans="1:15" ht="15.75" x14ac:dyDescent="0.2">
      <c r="A249" s="53" t="s">
        <v>12</v>
      </c>
      <c r="B249" s="53" t="s">
        <v>13</v>
      </c>
      <c r="C249" s="54" t="s">
        <v>2148</v>
      </c>
      <c r="D249" s="55" t="s">
        <v>2149</v>
      </c>
      <c r="E249" s="54"/>
      <c r="F249" s="54" t="s">
        <v>1013</v>
      </c>
      <c r="G249" s="54">
        <v>8</v>
      </c>
      <c r="H249" s="54"/>
      <c r="I249" s="54"/>
      <c r="J249" s="54"/>
      <c r="K249" s="54"/>
      <c r="L249" s="54"/>
      <c r="M249" s="54"/>
      <c r="N249" s="54"/>
      <c r="O249" s="54" t="s">
        <v>1452</v>
      </c>
    </row>
    <row r="250" spans="1:15" ht="15.75" x14ac:dyDescent="0.2">
      <c r="A250" s="53" t="s">
        <v>12</v>
      </c>
      <c r="B250" s="53" t="s">
        <v>13</v>
      </c>
      <c r="C250" s="54" t="s">
        <v>2150</v>
      </c>
      <c r="D250" s="55" t="s">
        <v>2151</v>
      </c>
      <c r="E250" s="54"/>
      <c r="F250" s="54" t="s">
        <v>1013</v>
      </c>
      <c r="G250" s="54">
        <v>8</v>
      </c>
      <c r="H250" s="54"/>
      <c r="I250" s="54"/>
      <c r="J250" s="54"/>
      <c r="K250" s="54"/>
      <c r="L250" s="54"/>
      <c r="M250" s="54"/>
      <c r="N250" s="54"/>
      <c r="O250" s="54" t="s">
        <v>1452</v>
      </c>
    </row>
    <row r="251" spans="1:15" ht="30" x14ac:dyDescent="0.2">
      <c r="A251" s="53" t="s">
        <v>12</v>
      </c>
      <c r="B251" s="53" t="s">
        <v>13</v>
      </c>
      <c r="C251" s="54" t="s">
        <v>2152</v>
      </c>
      <c r="D251" s="55" t="s">
        <v>2153</v>
      </c>
      <c r="E251" s="54"/>
      <c r="F251" s="54" t="s">
        <v>1555</v>
      </c>
      <c r="G251" s="54">
        <v>8</v>
      </c>
      <c r="H251" s="54"/>
      <c r="I251" s="54"/>
      <c r="J251" s="54"/>
      <c r="K251" s="54"/>
      <c r="L251" s="54"/>
      <c r="M251" s="54"/>
      <c r="N251" s="54"/>
      <c r="O251" s="54" t="s">
        <v>1349</v>
      </c>
    </row>
    <row r="252" spans="1:15" ht="30" x14ac:dyDescent="0.2">
      <c r="A252" s="53" t="s">
        <v>12</v>
      </c>
      <c r="B252" s="53" t="s">
        <v>13</v>
      </c>
      <c r="C252" s="54" t="s">
        <v>2154</v>
      </c>
      <c r="D252" s="55" t="s">
        <v>2155</v>
      </c>
      <c r="E252" s="54"/>
      <c r="F252" s="54" t="s">
        <v>1555</v>
      </c>
      <c r="G252" s="54">
        <v>5</v>
      </c>
      <c r="H252" s="54"/>
      <c r="I252" s="54"/>
      <c r="J252" s="54"/>
      <c r="K252" s="54"/>
      <c r="L252" s="54"/>
      <c r="M252" s="54"/>
      <c r="N252" s="54"/>
      <c r="O252" s="54" t="s">
        <v>1349</v>
      </c>
    </row>
    <row r="253" spans="1:15" ht="30" x14ac:dyDescent="0.2">
      <c r="A253" s="53" t="s">
        <v>12</v>
      </c>
      <c r="B253" s="53" t="s">
        <v>13</v>
      </c>
      <c r="C253" s="54" t="s">
        <v>2156</v>
      </c>
      <c r="D253" s="55" t="s">
        <v>2157</v>
      </c>
      <c r="E253" s="54"/>
      <c r="F253" s="54" t="s">
        <v>1555</v>
      </c>
      <c r="G253" s="54">
        <v>5</v>
      </c>
      <c r="H253" s="54"/>
      <c r="I253" s="54"/>
      <c r="J253" s="54"/>
      <c r="K253" s="54"/>
      <c r="L253" s="54"/>
      <c r="M253" s="54"/>
      <c r="N253" s="54"/>
      <c r="O253" s="54" t="s">
        <v>1349</v>
      </c>
    </row>
    <row r="254" spans="1:15" ht="30" x14ac:dyDescent="0.2">
      <c r="A254" s="53" t="s">
        <v>12</v>
      </c>
      <c r="B254" s="53" t="s">
        <v>13</v>
      </c>
      <c r="C254" s="54" t="s">
        <v>2158</v>
      </c>
      <c r="D254" s="55" t="s">
        <v>2159</v>
      </c>
      <c r="E254" s="54"/>
      <c r="F254" s="54" t="s">
        <v>1555</v>
      </c>
      <c r="G254" s="54">
        <v>5</v>
      </c>
      <c r="H254" s="54"/>
      <c r="I254" s="54"/>
      <c r="J254" s="54"/>
      <c r="K254" s="54"/>
      <c r="L254" s="54"/>
      <c r="M254" s="54"/>
      <c r="N254" s="54"/>
      <c r="O254" s="54" t="s">
        <v>1349</v>
      </c>
    </row>
    <row r="255" spans="1:15" ht="30" x14ac:dyDescent="0.2">
      <c r="A255" s="53" t="s">
        <v>12</v>
      </c>
      <c r="B255" s="53" t="s">
        <v>13</v>
      </c>
      <c r="C255" s="54" t="s">
        <v>2160</v>
      </c>
      <c r="D255" s="55" t="s">
        <v>2161</v>
      </c>
      <c r="E255" s="54"/>
      <c r="F255" s="54" t="s">
        <v>1555</v>
      </c>
      <c r="G255" s="54">
        <v>5</v>
      </c>
      <c r="H255" s="54"/>
      <c r="I255" s="54"/>
      <c r="J255" s="54"/>
      <c r="K255" s="54"/>
      <c r="L255" s="54"/>
      <c r="M255" s="54"/>
      <c r="N255" s="54"/>
      <c r="O255" s="54" t="s">
        <v>1346</v>
      </c>
    </row>
    <row r="256" spans="1:15" ht="15.75" x14ac:dyDescent="0.2">
      <c r="A256" s="53" t="s">
        <v>12</v>
      </c>
      <c r="B256" s="53" t="s">
        <v>13</v>
      </c>
      <c r="C256" s="54" t="s">
        <v>2162</v>
      </c>
      <c r="D256" s="55" t="s">
        <v>2163</v>
      </c>
      <c r="E256" s="54"/>
      <c r="F256" s="54" t="s">
        <v>1605</v>
      </c>
      <c r="G256" s="54">
        <v>5</v>
      </c>
      <c r="H256" s="54"/>
      <c r="I256" s="54"/>
      <c r="J256" s="54"/>
      <c r="K256" s="54"/>
      <c r="L256" s="54"/>
      <c r="M256" s="54"/>
      <c r="N256" s="54"/>
      <c r="O256" s="54" t="s">
        <v>1346</v>
      </c>
    </row>
    <row r="257" spans="1:15" ht="30" x14ac:dyDescent="0.2">
      <c r="A257" s="53" t="s">
        <v>12</v>
      </c>
      <c r="B257" s="53" t="s">
        <v>13</v>
      </c>
      <c r="C257" s="54" t="s">
        <v>2164</v>
      </c>
      <c r="D257" s="55" t="s">
        <v>2165</v>
      </c>
      <c r="E257" s="54"/>
      <c r="F257" s="54"/>
      <c r="G257" s="54">
        <v>5</v>
      </c>
      <c r="H257" s="54"/>
      <c r="I257" s="54">
        <v>129600</v>
      </c>
      <c r="J257" s="54">
        <v>129600</v>
      </c>
      <c r="K257" s="54"/>
      <c r="L257" s="54"/>
      <c r="M257" s="54"/>
      <c r="N257" s="54"/>
      <c r="O257" s="54"/>
    </row>
    <row r="258" spans="1:15" ht="30" x14ac:dyDescent="0.2">
      <c r="A258" s="53" t="s">
        <v>12</v>
      </c>
      <c r="B258" s="53" t="s">
        <v>16</v>
      </c>
      <c r="C258" s="54" t="s">
        <v>2166</v>
      </c>
      <c r="D258" s="55" t="s">
        <v>2167</v>
      </c>
      <c r="E258" s="54" t="s">
        <v>899</v>
      </c>
      <c r="F258" s="54" t="s">
        <v>1633</v>
      </c>
      <c r="G258" s="54">
        <v>5</v>
      </c>
      <c r="H258" s="54"/>
      <c r="I258" s="54">
        <v>68400</v>
      </c>
      <c r="J258" s="54">
        <v>28800</v>
      </c>
      <c r="K258" s="54"/>
      <c r="L258" s="54"/>
      <c r="M258" s="54"/>
      <c r="N258" s="54"/>
      <c r="O258" s="54" t="s">
        <v>1355</v>
      </c>
    </row>
    <row r="259" spans="1:15" ht="30" x14ac:dyDescent="0.2">
      <c r="A259" s="53" t="s">
        <v>12</v>
      </c>
      <c r="B259" s="53" t="s">
        <v>13</v>
      </c>
      <c r="C259" s="54" t="s">
        <v>2168</v>
      </c>
      <c r="D259" s="55" t="s">
        <v>2169</v>
      </c>
      <c r="E259" s="54"/>
      <c r="F259" s="54"/>
      <c r="G259" s="54">
        <v>5</v>
      </c>
      <c r="H259" s="54"/>
      <c r="I259" s="54">
        <v>108000</v>
      </c>
      <c r="J259" s="54">
        <v>108000</v>
      </c>
      <c r="K259" s="54"/>
      <c r="L259" s="54"/>
      <c r="M259" s="54"/>
      <c r="N259" s="54"/>
      <c r="O259" s="54"/>
    </row>
    <row r="260" spans="1:15" ht="30" x14ac:dyDescent="0.2">
      <c r="A260" s="53" t="s">
        <v>12</v>
      </c>
      <c r="B260" s="53" t="s">
        <v>14</v>
      </c>
      <c r="C260" s="54" t="s">
        <v>2170</v>
      </c>
      <c r="D260" s="55" t="s">
        <v>2171</v>
      </c>
      <c r="E260" s="54" t="s">
        <v>899</v>
      </c>
      <c r="F260" s="54" t="s">
        <v>1633</v>
      </c>
      <c r="G260" s="54">
        <v>5</v>
      </c>
      <c r="H260" s="54"/>
      <c r="I260" s="54"/>
      <c r="J260" s="54"/>
      <c r="K260" s="54"/>
      <c r="L260" s="54"/>
      <c r="M260" s="54"/>
      <c r="N260" s="54"/>
      <c r="O260" s="54" t="s">
        <v>1352</v>
      </c>
    </row>
    <row r="261" spans="1:15" ht="30" x14ac:dyDescent="0.2">
      <c r="A261" s="53" t="s">
        <v>12</v>
      </c>
      <c r="B261" s="53" t="s">
        <v>13</v>
      </c>
      <c r="C261" s="54" t="s">
        <v>2172</v>
      </c>
      <c r="D261" s="55" t="s">
        <v>2173</v>
      </c>
      <c r="E261" s="54" t="s">
        <v>899</v>
      </c>
      <c r="F261" s="54" t="s">
        <v>1633</v>
      </c>
      <c r="G261" s="54">
        <v>5</v>
      </c>
      <c r="H261" s="54"/>
      <c r="I261" s="54">
        <v>28800</v>
      </c>
      <c r="J261" s="54">
        <v>0</v>
      </c>
      <c r="K261" s="54"/>
      <c r="L261" s="54"/>
      <c r="M261" s="54"/>
      <c r="N261" s="54"/>
      <c r="O261" s="54" t="s">
        <v>1352</v>
      </c>
    </row>
    <row r="262" spans="1:15" ht="15.75" x14ac:dyDescent="0.2">
      <c r="A262" s="53" t="s">
        <v>12</v>
      </c>
      <c r="B262" s="53" t="s">
        <v>15</v>
      </c>
      <c r="C262" s="54" t="s">
        <v>2174</v>
      </c>
      <c r="D262" s="55" t="s">
        <v>2175</v>
      </c>
      <c r="E262" s="54" t="s">
        <v>2059</v>
      </c>
      <c r="F262" s="54" t="s">
        <v>2021</v>
      </c>
      <c r="G262" s="54">
        <v>5</v>
      </c>
      <c r="H262" s="54">
        <v>5</v>
      </c>
      <c r="I262" s="54"/>
      <c r="J262" s="54"/>
      <c r="K262" s="54"/>
      <c r="L262" s="54"/>
      <c r="M262" s="54"/>
      <c r="N262" s="54"/>
      <c r="O262" s="54" t="s">
        <v>1759</v>
      </c>
    </row>
    <row r="263" spans="1:15" ht="30" x14ac:dyDescent="0.2">
      <c r="A263" s="53" t="s">
        <v>12</v>
      </c>
      <c r="B263" s="53" t="s">
        <v>16</v>
      </c>
      <c r="C263" s="54" t="s">
        <v>2176</v>
      </c>
      <c r="D263" s="55" t="s">
        <v>2177</v>
      </c>
      <c r="E263" s="54"/>
      <c r="F263" s="54" t="s">
        <v>1555</v>
      </c>
      <c r="G263" s="54">
        <v>5</v>
      </c>
      <c r="H263" s="54"/>
      <c r="I263" s="54">
        <v>28800</v>
      </c>
      <c r="J263" s="54">
        <v>28800</v>
      </c>
      <c r="K263" s="54"/>
      <c r="L263" s="54"/>
      <c r="M263" s="54"/>
      <c r="N263" s="54"/>
      <c r="O263" s="54" t="s">
        <v>1144</v>
      </c>
    </row>
    <row r="264" spans="1:15" ht="30" x14ac:dyDescent="0.2">
      <c r="A264" s="53" t="s">
        <v>12</v>
      </c>
      <c r="B264" s="53" t="s">
        <v>14</v>
      </c>
      <c r="C264" s="54" t="s">
        <v>2178</v>
      </c>
      <c r="D264" s="55" t="s">
        <v>2179</v>
      </c>
      <c r="E264" s="54" t="s">
        <v>899</v>
      </c>
      <c r="F264" s="54" t="s">
        <v>1633</v>
      </c>
      <c r="G264" s="54">
        <v>13</v>
      </c>
      <c r="H264" s="54"/>
      <c r="I264" s="54">
        <v>57600</v>
      </c>
      <c r="J264" s="54">
        <v>43200</v>
      </c>
      <c r="K264" s="54"/>
      <c r="L264" s="54"/>
      <c r="M264" s="54"/>
      <c r="N264" s="54"/>
      <c r="O264" s="54" t="s">
        <v>1144</v>
      </c>
    </row>
    <row r="265" spans="1:15" ht="30" x14ac:dyDescent="0.2">
      <c r="A265" s="53" t="s">
        <v>12</v>
      </c>
      <c r="B265" s="53" t="s">
        <v>15</v>
      </c>
      <c r="C265" s="54" t="s">
        <v>2180</v>
      </c>
      <c r="D265" s="55" t="s">
        <v>2181</v>
      </c>
      <c r="E265" s="54" t="s">
        <v>2059</v>
      </c>
      <c r="F265" s="54" t="s">
        <v>2021</v>
      </c>
      <c r="G265" s="54">
        <v>3</v>
      </c>
      <c r="H265" s="54">
        <v>3</v>
      </c>
      <c r="I265" s="54"/>
      <c r="J265" s="54">
        <v>0</v>
      </c>
      <c r="K265" s="54"/>
      <c r="L265" s="54"/>
      <c r="M265" s="54"/>
      <c r="N265" s="54"/>
      <c r="O265" s="54" t="s">
        <v>1759</v>
      </c>
    </row>
    <row r="266" spans="1:15" ht="30" x14ac:dyDescent="0.2">
      <c r="A266" s="53" t="s">
        <v>12</v>
      </c>
      <c r="B266" s="53" t="s">
        <v>106</v>
      </c>
      <c r="C266" s="54" t="s">
        <v>2182</v>
      </c>
      <c r="D266" s="55" t="s">
        <v>2183</v>
      </c>
      <c r="E266" s="54" t="s">
        <v>1762</v>
      </c>
      <c r="F266" s="54" t="s">
        <v>2007</v>
      </c>
      <c r="G266" s="54">
        <v>13</v>
      </c>
      <c r="H266" s="54"/>
      <c r="I266" s="54"/>
      <c r="J266" s="54"/>
      <c r="K266" s="54"/>
      <c r="L266" s="54"/>
      <c r="M266" s="54"/>
      <c r="N266" s="54"/>
      <c r="O266" s="54" t="s">
        <v>2184</v>
      </c>
    </row>
    <row r="267" spans="1:15" ht="30" x14ac:dyDescent="0.2">
      <c r="A267" s="53" t="s">
        <v>12</v>
      </c>
      <c r="B267" s="53" t="s">
        <v>14</v>
      </c>
      <c r="C267" s="54" t="s">
        <v>2185</v>
      </c>
      <c r="D267" s="55" t="s">
        <v>2186</v>
      </c>
      <c r="E267" s="54"/>
      <c r="F267" s="54" t="s">
        <v>1639</v>
      </c>
      <c r="G267" s="54">
        <v>5</v>
      </c>
      <c r="H267" s="54"/>
      <c r="I267" s="54"/>
      <c r="J267" s="54"/>
      <c r="K267" s="54"/>
      <c r="L267" s="54"/>
      <c r="M267" s="54"/>
      <c r="N267" s="54"/>
      <c r="O267" s="54" t="s">
        <v>2187</v>
      </c>
    </row>
    <row r="268" spans="1:15" ht="30" x14ac:dyDescent="0.2">
      <c r="A268" s="53" t="s">
        <v>12</v>
      </c>
      <c r="B268" s="53" t="s">
        <v>13</v>
      </c>
      <c r="C268" s="54" t="s">
        <v>2188</v>
      </c>
      <c r="D268" s="55" t="s">
        <v>2189</v>
      </c>
      <c r="E268" s="54" t="s">
        <v>899</v>
      </c>
      <c r="F268" s="54" t="s">
        <v>1633</v>
      </c>
      <c r="G268" s="54">
        <v>8</v>
      </c>
      <c r="H268" s="54"/>
      <c r="I268" s="54">
        <v>86400</v>
      </c>
      <c r="J268" s="54">
        <v>28800</v>
      </c>
      <c r="K268" s="54"/>
      <c r="L268" s="54"/>
      <c r="M268" s="54"/>
      <c r="N268" s="54"/>
      <c r="O268" s="54" t="s">
        <v>1449</v>
      </c>
    </row>
    <row r="269" spans="1:15" ht="45" x14ac:dyDescent="0.2">
      <c r="A269" s="53" t="s">
        <v>12</v>
      </c>
      <c r="B269" s="53" t="s">
        <v>14</v>
      </c>
      <c r="C269" s="54" t="s">
        <v>2190</v>
      </c>
      <c r="D269" s="55" t="s">
        <v>2191</v>
      </c>
      <c r="E269" s="54" t="s">
        <v>899</v>
      </c>
      <c r="F269" s="54" t="s">
        <v>1594</v>
      </c>
      <c r="G269" s="54">
        <v>8</v>
      </c>
      <c r="H269" s="54"/>
      <c r="I269" s="54">
        <v>230400</v>
      </c>
      <c r="J269" s="54">
        <v>128700</v>
      </c>
      <c r="K269" s="54"/>
      <c r="L269" s="54"/>
      <c r="M269" s="54"/>
      <c r="N269" s="54"/>
      <c r="O269" s="54" t="s">
        <v>1449</v>
      </c>
    </row>
    <row r="270" spans="1:15" ht="30" x14ac:dyDescent="0.2">
      <c r="A270" s="53" t="s">
        <v>12</v>
      </c>
      <c r="B270" s="53" t="s">
        <v>13</v>
      </c>
      <c r="C270" s="54" t="s">
        <v>2192</v>
      </c>
      <c r="D270" s="55" t="s">
        <v>2193</v>
      </c>
      <c r="E270" s="54" t="s">
        <v>2194</v>
      </c>
      <c r="F270" s="54" t="s">
        <v>1537</v>
      </c>
      <c r="G270" s="54">
        <v>13</v>
      </c>
      <c r="H270" s="54"/>
      <c r="I270" s="54">
        <v>144000</v>
      </c>
      <c r="J270" s="54">
        <v>144000</v>
      </c>
      <c r="K270" s="54"/>
      <c r="L270" s="54"/>
      <c r="M270" s="54"/>
      <c r="N270" s="54"/>
      <c r="O270" s="54" t="s">
        <v>1674</v>
      </c>
    </row>
    <row r="271" spans="1:15" ht="60" x14ac:dyDescent="0.2">
      <c r="A271" s="53" t="s">
        <v>12</v>
      </c>
      <c r="B271" s="53" t="s">
        <v>16</v>
      </c>
      <c r="C271" s="54" t="s">
        <v>2195</v>
      </c>
      <c r="D271" s="55" t="s">
        <v>2196</v>
      </c>
      <c r="E271" s="54" t="s">
        <v>1311</v>
      </c>
      <c r="F271" s="54" t="s">
        <v>2197</v>
      </c>
      <c r="G271" s="54">
        <v>3</v>
      </c>
      <c r="H271" s="54"/>
      <c r="I271" s="54">
        <v>183600</v>
      </c>
      <c r="J271" s="54">
        <v>0</v>
      </c>
      <c r="K271" s="54"/>
      <c r="L271" s="54"/>
      <c r="M271" s="54"/>
      <c r="N271" s="54"/>
      <c r="O271" s="54" t="s">
        <v>2198</v>
      </c>
    </row>
    <row r="272" spans="1:15" ht="60" x14ac:dyDescent="0.2">
      <c r="A272" s="53" t="s">
        <v>12</v>
      </c>
      <c r="B272" s="53" t="s">
        <v>14</v>
      </c>
      <c r="C272" s="54" t="s">
        <v>2199</v>
      </c>
      <c r="D272" s="55" t="s">
        <v>2200</v>
      </c>
      <c r="E272" s="54" t="s">
        <v>899</v>
      </c>
      <c r="F272" s="54" t="s">
        <v>1935</v>
      </c>
      <c r="G272" s="54">
        <v>0</v>
      </c>
      <c r="H272" s="54"/>
      <c r="I272" s="54">
        <v>68400</v>
      </c>
      <c r="J272" s="54">
        <v>23400</v>
      </c>
      <c r="K272" s="54"/>
      <c r="L272" s="54"/>
      <c r="M272" s="54"/>
      <c r="N272" s="54"/>
      <c r="O272" s="54" t="s">
        <v>1352</v>
      </c>
    </row>
    <row r="273" spans="1:15" ht="15.75" x14ac:dyDescent="0.2">
      <c r="A273" s="53" t="s">
        <v>12</v>
      </c>
      <c r="B273" s="53" t="s">
        <v>13</v>
      </c>
      <c r="C273" s="54" t="s">
        <v>2201</v>
      </c>
      <c r="D273" s="55" t="s">
        <v>2202</v>
      </c>
      <c r="E273" s="54" t="s">
        <v>1399</v>
      </c>
      <c r="F273" s="54" t="s">
        <v>884</v>
      </c>
      <c r="G273" s="54">
        <v>8</v>
      </c>
      <c r="H273" s="54">
        <v>8</v>
      </c>
      <c r="I273" s="54"/>
      <c r="J273" s="54"/>
      <c r="K273" s="54"/>
      <c r="L273" s="54"/>
      <c r="M273" s="54"/>
      <c r="N273" s="54"/>
      <c r="O273" s="54" t="s">
        <v>2203</v>
      </c>
    </row>
    <row r="274" spans="1:15" ht="30" x14ac:dyDescent="0.2">
      <c r="A274" s="53" t="s">
        <v>12</v>
      </c>
      <c r="B274" s="53" t="s">
        <v>15</v>
      </c>
      <c r="C274" s="54" t="s">
        <v>2204</v>
      </c>
      <c r="D274" s="55" t="s">
        <v>2205</v>
      </c>
      <c r="E274" s="54"/>
      <c r="F274" s="54" t="s">
        <v>2206</v>
      </c>
      <c r="G274" s="54">
        <v>3</v>
      </c>
      <c r="H274" s="54">
        <v>3</v>
      </c>
      <c r="I274" s="54"/>
      <c r="J274" s="54"/>
      <c r="K274" s="54"/>
      <c r="L274" s="54"/>
      <c r="M274" s="54"/>
      <c r="N274" s="54"/>
      <c r="O274" s="54" t="s">
        <v>1339</v>
      </c>
    </row>
    <row r="275" spans="1:15" ht="60" x14ac:dyDescent="0.2">
      <c r="A275" s="53" t="s">
        <v>12</v>
      </c>
      <c r="B275" s="53" t="s">
        <v>14</v>
      </c>
      <c r="C275" s="54" t="s">
        <v>2207</v>
      </c>
      <c r="D275" s="55" t="s">
        <v>2208</v>
      </c>
      <c r="E275" s="54" t="s">
        <v>899</v>
      </c>
      <c r="F275" s="54" t="s">
        <v>1935</v>
      </c>
      <c r="G275" s="54">
        <v>5</v>
      </c>
      <c r="H275" s="54"/>
      <c r="I275" s="54">
        <v>244800</v>
      </c>
      <c r="J275" s="54">
        <v>47700</v>
      </c>
      <c r="K275" s="54"/>
      <c r="L275" s="54"/>
      <c r="M275" s="54"/>
      <c r="N275" s="54"/>
      <c r="O275" s="54" t="s">
        <v>1339</v>
      </c>
    </row>
    <row r="276" spans="1:15" ht="30" x14ac:dyDescent="0.2">
      <c r="A276" s="53" t="s">
        <v>12</v>
      </c>
      <c r="B276" s="53" t="s">
        <v>13</v>
      </c>
      <c r="C276" s="54" t="s">
        <v>2209</v>
      </c>
      <c r="D276" s="55" t="s">
        <v>2210</v>
      </c>
      <c r="E276" s="54" t="s">
        <v>899</v>
      </c>
      <c r="F276" s="54"/>
      <c r="G276" s="54">
        <v>8</v>
      </c>
      <c r="H276" s="54"/>
      <c r="I276" s="54"/>
      <c r="J276" s="54"/>
      <c r="K276" s="54"/>
      <c r="L276" s="54"/>
      <c r="M276" s="54"/>
      <c r="N276" s="54"/>
      <c r="O276" s="54" t="s">
        <v>1343</v>
      </c>
    </row>
    <row r="277" spans="1:15" ht="30" x14ac:dyDescent="0.2">
      <c r="A277" s="53" t="s">
        <v>12</v>
      </c>
      <c r="B277" s="53" t="s">
        <v>13</v>
      </c>
      <c r="C277" s="54" t="s">
        <v>2211</v>
      </c>
      <c r="D277" s="55" t="s">
        <v>2212</v>
      </c>
      <c r="E277" s="54" t="s">
        <v>2026</v>
      </c>
      <c r="F277" s="54"/>
      <c r="G277" s="54">
        <v>5</v>
      </c>
      <c r="H277" s="54"/>
      <c r="I277" s="54">
        <v>259200</v>
      </c>
      <c r="J277" s="54">
        <v>259200</v>
      </c>
      <c r="K277" s="54"/>
      <c r="L277" s="54"/>
      <c r="M277" s="54"/>
      <c r="N277" s="54"/>
      <c r="O277" s="54" t="s">
        <v>1431</v>
      </c>
    </row>
    <row r="278" spans="1:15" ht="30" x14ac:dyDescent="0.2">
      <c r="A278" s="53" t="s">
        <v>12</v>
      </c>
      <c r="B278" s="53" t="s">
        <v>15</v>
      </c>
      <c r="C278" s="54" t="s">
        <v>2213</v>
      </c>
      <c r="D278" s="55" t="s">
        <v>2214</v>
      </c>
      <c r="E278" s="54" t="s">
        <v>883</v>
      </c>
      <c r="F278" s="54" t="s">
        <v>884</v>
      </c>
      <c r="G278" s="54">
        <v>5</v>
      </c>
      <c r="H278" s="54">
        <v>5</v>
      </c>
      <c r="I278" s="54"/>
      <c r="J278" s="54"/>
      <c r="K278" s="54"/>
      <c r="L278" s="54"/>
      <c r="M278" s="54"/>
      <c r="N278" s="54"/>
      <c r="O278" s="54" t="s">
        <v>1510</v>
      </c>
    </row>
    <row r="279" spans="1:15" ht="30" x14ac:dyDescent="0.2">
      <c r="A279" s="53" t="s">
        <v>12</v>
      </c>
      <c r="B279" s="53" t="s">
        <v>13</v>
      </c>
      <c r="C279" s="54" t="s">
        <v>2215</v>
      </c>
      <c r="D279" s="55" t="s">
        <v>2216</v>
      </c>
      <c r="E279" s="54"/>
      <c r="F279" s="54" t="s">
        <v>1013</v>
      </c>
      <c r="G279" s="54">
        <v>5</v>
      </c>
      <c r="H279" s="54"/>
      <c r="I279" s="54"/>
      <c r="J279" s="54"/>
      <c r="K279" s="54"/>
      <c r="L279" s="54"/>
      <c r="M279" s="54"/>
      <c r="N279" s="54"/>
      <c r="O279" s="54" t="s">
        <v>1333</v>
      </c>
    </row>
    <row r="280" spans="1:15" ht="45" x14ac:dyDescent="0.2">
      <c r="A280" s="53" t="s">
        <v>12</v>
      </c>
      <c r="B280" s="53" t="s">
        <v>17</v>
      </c>
      <c r="C280" s="54" t="s">
        <v>2217</v>
      </c>
      <c r="D280" s="55" t="s">
        <v>2218</v>
      </c>
      <c r="E280" s="54"/>
      <c r="F280" s="54" t="s">
        <v>2219</v>
      </c>
      <c r="G280" s="54">
        <v>5</v>
      </c>
      <c r="H280" s="54"/>
      <c r="I280" s="54"/>
      <c r="J280" s="54"/>
      <c r="K280" s="54"/>
      <c r="L280" s="54"/>
      <c r="M280" s="54"/>
      <c r="N280" s="54"/>
      <c r="O280" s="54" t="s">
        <v>1333</v>
      </c>
    </row>
    <row r="281" spans="1:15" ht="30" x14ac:dyDescent="0.2">
      <c r="A281" s="53" t="s">
        <v>12</v>
      </c>
      <c r="B281" s="53" t="s">
        <v>15</v>
      </c>
      <c r="C281" s="54" t="s">
        <v>2220</v>
      </c>
      <c r="D281" s="55" t="s">
        <v>2221</v>
      </c>
      <c r="E281" s="54" t="s">
        <v>883</v>
      </c>
      <c r="F281" s="54" t="s">
        <v>884</v>
      </c>
      <c r="G281" s="54">
        <v>8</v>
      </c>
      <c r="H281" s="54">
        <v>8</v>
      </c>
      <c r="I281" s="54">
        <v>115200</v>
      </c>
      <c r="J281" s="54">
        <v>57600</v>
      </c>
      <c r="K281" s="54"/>
      <c r="L281" s="54"/>
      <c r="M281" s="54"/>
      <c r="N281" s="54"/>
      <c r="O281" s="54" t="s">
        <v>913</v>
      </c>
    </row>
    <row r="282" spans="1:15" ht="30" x14ac:dyDescent="0.2">
      <c r="A282" s="53" t="s">
        <v>12</v>
      </c>
      <c r="B282" s="53" t="s">
        <v>16</v>
      </c>
      <c r="C282" s="54" t="s">
        <v>2222</v>
      </c>
      <c r="D282" s="55" t="s">
        <v>2223</v>
      </c>
      <c r="E282" s="54" t="s">
        <v>899</v>
      </c>
      <c r="F282" s="54" t="s">
        <v>1633</v>
      </c>
      <c r="G282" s="54">
        <v>5</v>
      </c>
      <c r="H282" s="54"/>
      <c r="I282" s="54">
        <v>7200</v>
      </c>
      <c r="J282" s="54">
        <v>7200</v>
      </c>
      <c r="K282" s="54"/>
      <c r="L282" s="54"/>
      <c r="M282" s="54"/>
      <c r="N282" s="54"/>
      <c r="O282" s="54" t="s">
        <v>2224</v>
      </c>
    </row>
    <row r="283" spans="1:15" ht="60" x14ac:dyDescent="0.2">
      <c r="A283" s="53" t="s">
        <v>12</v>
      </c>
      <c r="B283" s="53" t="s">
        <v>16</v>
      </c>
      <c r="C283" s="54" t="s">
        <v>2225</v>
      </c>
      <c r="D283" s="55" t="s">
        <v>2226</v>
      </c>
      <c r="E283" s="54" t="s">
        <v>899</v>
      </c>
      <c r="F283" s="54" t="s">
        <v>2227</v>
      </c>
      <c r="G283" s="54">
        <v>5</v>
      </c>
      <c r="H283" s="54"/>
      <c r="I283" s="54">
        <v>0</v>
      </c>
      <c r="J283" s="54">
        <v>0</v>
      </c>
      <c r="K283" s="54"/>
      <c r="L283" s="54"/>
      <c r="M283" s="54"/>
      <c r="N283" s="54"/>
      <c r="O283" s="54" t="s">
        <v>1333</v>
      </c>
    </row>
    <row r="284" spans="1:15" ht="30" x14ac:dyDescent="0.2">
      <c r="A284" s="53" t="s">
        <v>12</v>
      </c>
      <c r="B284" s="53" t="s">
        <v>14</v>
      </c>
      <c r="C284" s="54" t="s">
        <v>2228</v>
      </c>
      <c r="D284" s="55" t="s">
        <v>2229</v>
      </c>
      <c r="E284" s="54" t="s">
        <v>899</v>
      </c>
      <c r="F284" s="54"/>
      <c r="G284" s="54">
        <v>1</v>
      </c>
      <c r="H284" s="54"/>
      <c r="I284" s="54">
        <v>288000</v>
      </c>
      <c r="J284" s="54">
        <v>185400</v>
      </c>
      <c r="K284" s="54"/>
      <c r="L284" s="54"/>
      <c r="M284" s="54"/>
      <c r="N284" s="54"/>
      <c r="O284" s="54" t="s">
        <v>2230</v>
      </c>
    </row>
    <row r="285" spans="1:15" ht="15.75" x14ac:dyDescent="0.2">
      <c r="A285" s="53" t="s">
        <v>12</v>
      </c>
      <c r="B285" s="53" t="s">
        <v>13</v>
      </c>
      <c r="C285" s="54" t="s">
        <v>2231</v>
      </c>
      <c r="D285" s="55" t="s">
        <v>2232</v>
      </c>
      <c r="E285" s="54"/>
      <c r="F285" s="54"/>
      <c r="G285" s="54"/>
      <c r="H285" s="54"/>
      <c r="I285" s="54"/>
      <c r="J285" s="54"/>
      <c r="K285" s="54"/>
      <c r="L285" s="54"/>
      <c r="M285" s="54"/>
      <c r="N285" s="54"/>
      <c r="O285" s="54"/>
    </row>
    <row r="286" spans="1:15" ht="15.75" x14ac:dyDescent="0.2">
      <c r="A286" s="53" t="s">
        <v>12</v>
      </c>
      <c r="B286" s="53" t="s">
        <v>13</v>
      </c>
      <c r="C286" s="54" t="s">
        <v>2233</v>
      </c>
      <c r="D286" s="55" t="s">
        <v>2234</v>
      </c>
      <c r="E286" s="54"/>
      <c r="F286" s="54"/>
      <c r="G286" s="54"/>
      <c r="H286" s="54"/>
      <c r="I286" s="54"/>
      <c r="J286" s="54"/>
      <c r="K286" s="54"/>
      <c r="L286" s="54"/>
      <c r="M286" s="54"/>
      <c r="N286" s="54"/>
      <c r="O286" s="54"/>
    </row>
    <row r="287" spans="1:15" ht="15.75" x14ac:dyDescent="0.2">
      <c r="A287" s="53" t="s">
        <v>12</v>
      </c>
      <c r="B287" s="53" t="s">
        <v>13</v>
      </c>
      <c r="C287" s="54" t="s">
        <v>2235</v>
      </c>
      <c r="D287" s="55" t="s">
        <v>2236</v>
      </c>
      <c r="E287" s="54"/>
      <c r="F287" s="54"/>
      <c r="G287" s="54"/>
      <c r="H287" s="54"/>
      <c r="I287" s="54"/>
      <c r="J287" s="54"/>
      <c r="K287" s="54"/>
      <c r="L287" s="54"/>
      <c r="M287" s="54"/>
      <c r="N287" s="54"/>
      <c r="O287" s="54"/>
    </row>
    <row r="288" spans="1:15" ht="15.75" x14ac:dyDescent="0.2">
      <c r="A288" s="53" t="s">
        <v>12</v>
      </c>
      <c r="B288" s="53" t="s">
        <v>13</v>
      </c>
      <c r="C288" s="54" t="s">
        <v>2237</v>
      </c>
      <c r="D288" s="55" t="s">
        <v>2238</v>
      </c>
      <c r="E288" s="54"/>
      <c r="F288" s="54" t="s">
        <v>2239</v>
      </c>
      <c r="G288" s="54">
        <v>3</v>
      </c>
      <c r="H288" s="54"/>
      <c r="I288" s="54"/>
      <c r="J288" s="54"/>
      <c r="K288" s="54"/>
      <c r="L288" s="54"/>
      <c r="M288" s="54"/>
      <c r="N288" s="54"/>
      <c r="O288" s="54" t="s">
        <v>2240</v>
      </c>
    </row>
    <row r="289" spans="1:15" ht="30" x14ac:dyDescent="0.2">
      <c r="A289" s="53" t="s">
        <v>12</v>
      </c>
      <c r="B289" s="53" t="s">
        <v>13</v>
      </c>
      <c r="C289" s="54" t="s">
        <v>2241</v>
      </c>
      <c r="D289" s="55" t="s">
        <v>2242</v>
      </c>
      <c r="E289" s="54"/>
      <c r="F289" s="54" t="s">
        <v>2239</v>
      </c>
      <c r="G289" s="54"/>
      <c r="H289" s="54"/>
      <c r="I289" s="54"/>
      <c r="J289" s="54"/>
      <c r="K289" s="54"/>
      <c r="L289" s="54"/>
      <c r="M289" s="54"/>
      <c r="N289" s="54"/>
      <c r="O289" s="54"/>
    </row>
    <row r="290" spans="1:15" ht="15.75" x14ac:dyDescent="0.2">
      <c r="A290" s="53" t="s">
        <v>12</v>
      </c>
      <c r="B290" s="53" t="s">
        <v>16</v>
      </c>
      <c r="C290" s="54" t="s">
        <v>2243</v>
      </c>
      <c r="D290" s="55" t="s">
        <v>2244</v>
      </c>
      <c r="E290" s="54"/>
      <c r="F290" s="54" t="s">
        <v>2245</v>
      </c>
      <c r="G290" s="54">
        <v>8</v>
      </c>
      <c r="H290" s="54"/>
      <c r="I290" s="54"/>
      <c r="J290" s="54"/>
      <c r="K290" s="54"/>
      <c r="L290" s="54"/>
      <c r="M290" s="54"/>
      <c r="N290" s="54"/>
      <c r="O290" s="54" t="s">
        <v>2246</v>
      </c>
    </row>
    <row r="291" spans="1:15" ht="15.75" x14ac:dyDescent="0.2">
      <c r="A291" s="53" t="s">
        <v>12</v>
      </c>
      <c r="B291" s="53" t="s">
        <v>13</v>
      </c>
      <c r="C291" s="54" t="s">
        <v>2247</v>
      </c>
      <c r="D291" s="55" t="s">
        <v>2248</v>
      </c>
      <c r="E291" s="54"/>
      <c r="F291" s="54" t="s">
        <v>2239</v>
      </c>
      <c r="G291" s="54">
        <v>3</v>
      </c>
      <c r="H291" s="54"/>
      <c r="I291" s="54"/>
      <c r="J291" s="54"/>
      <c r="K291" s="54"/>
      <c r="L291" s="54"/>
      <c r="M291" s="54"/>
      <c r="N291" s="54"/>
      <c r="O291" s="54"/>
    </row>
    <row r="292" spans="1:15" ht="15.75" x14ac:dyDescent="0.2">
      <c r="A292" s="53" t="s">
        <v>12</v>
      </c>
      <c r="B292" s="53" t="s">
        <v>16</v>
      </c>
      <c r="C292" s="54" t="s">
        <v>2249</v>
      </c>
      <c r="D292" s="55" t="s">
        <v>2250</v>
      </c>
      <c r="E292" s="54"/>
      <c r="F292" s="54" t="s">
        <v>2245</v>
      </c>
      <c r="G292" s="54">
        <v>5</v>
      </c>
      <c r="H292" s="54"/>
      <c r="I292" s="54"/>
      <c r="J292" s="54"/>
      <c r="K292" s="54"/>
      <c r="L292" s="54"/>
      <c r="M292" s="54"/>
      <c r="N292" s="54"/>
      <c r="O292" s="54" t="s">
        <v>2251</v>
      </c>
    </row>
    <row r="293" spans="1:15" ht="15.75" x14ac:dyDescent="0.2">
      <c r="A293" s="53" t="s">
        <v>12</v>
      </c>
      <c r="B293" s="53" t="s">
        <v>16</v>
      </c>
      <c r="C293" s="54" t="s">
        <v>2252</v>
      </c>
      <c r="D293" s="55" t="s">
        <v>2253</v>
      </c>
      <c r="E293" s="54"/>
      <c r="F293" s="54" t="s">
        <v>2245</v>
      </c>
      <c r="G293" s="54">
        <v>5</v>
      </c>
      <c r="H293" s="54"/>
      <c r="I293" s="54"/>
      <c r="J293" s="54"/>
      <c r="K293" s="54"/>
      <c r="L293" s="54"/>
      <c r="M293" s="54"/>
      <c r="N293" s="54"/>
      <c r="O293" s="54" t="s">
        <v>2254</v>
      </c>
    </row>
    <row r="294" spans="1:15" ht="15.75" x14ac:dyDescent="0.2">
      <c r="A294" s="53" t="s">
        <v>12</v>
      </c>
      <c r="B294" s="53" t="s">
        <v>13</v>
      </c>
      <c r="C294" s="54" t="s">
        <v>2255</v>
      </c>
      <c r="D294" s="55" t="s">
        <v>2256</v>
      </c>
      <c r="E294" s="54"/>
      <c r="F294" s="54" t="s">
        <v>2239</v>
      </c>
      <c r="G294" s="54">
        <v>5</v>
      </c>
      <c r="H294" s="54"/>
      <c r="I294" s="54"/>
      <c r="J294" s="54"/>
      <c r="K294" s="54"/>
      <c r="L294" s="54"/>
      <c r="M294" s="54"/>
      <c r="N294" s="54"/>
      <c r="O294" s="54" t="s">
        <v>2257</v>
      </c>
    </row>
    <row r="295" spans="1:15" ht="15.75" x14ac:dyDescent="0.2">
      <c r="A295" s="53" t="s">
        <v>12</v>
      </c>
      <c r="B295" s="53" t="s">
        <v>13</v>
      </c>
      <c r="C295" s="54" t="s">
        <v>2258</v>
      </c>
      <c r="D295" s="55" t="s">
        <v>2259</v>
      </c>
      <c r="E295" s="54"/>
      <c r="F295" s="54" t="s">
        <v>2260</v>
      </c>
      <c r="G295" s="54">
        <v>5</v>
      </c>
      <c r="H295" s="54"/>
      <c r="I295" s="54"/>
      <c r="J295" s="54"/>
      <c r="K295" s="54"/>
      <c r="L295" s="54"/>
      <c r="M295" s="54"/>
      <c r="N295" s="54"/>
      <c r="O295" s="54" t="s">
        <v>2257</v>
      </c>
    </row>
    <row r="296" spans="1:15" ht="15.75" x14ac:dyDescent="0.2">
      <c r="A296" s="53" t="s">
        <v>12</v>
      </c>
      <c r="B296" s="53" t="s">
        <v>14</v>
      </c>
      <c r="C296" s="54" t="s">
        <v>2261</v>
      </c>
      <c r="D296" s="55" t="s">
        <v>2262</v>
      </c>
      <c r="E296" s="54"/>
      <c r="F296" s="54" t="s">
        <v>2245</v>
      </c>
      <c r="G296" s="54">
        <v>5</v>
      </c>
      <c r="H296" s="54"/>
      <c r="I296" s="54"/>
      <c r="J296" s="54"/>
      <c r="K296" s="54"/>
      <c r="L296" s="54"/>
      <c r="M296" s="54"/>
      <c r="N296" s="54"/>
      <c r="O296" s="54" t="s">
        <v>2257</v>
      </c>
    </row>
    <row r="297" spans="1:15" ht="30" x14ac:dyDescent="0.2">
      <c r="A297" s="53" t="s">
        <v>12</v>
      </c>
      <c r="B297" s="53" t="s">
        <v>15</v>
      </c>
      <c r="C297" s="54" t="s">
        <v>2263</v>
      </c>
      <c r="D297" s="55" t="s">
        <v>2264</v>
      </c>
      <c r="E297" s="54"/>
      <c r="F297" s="54" t="s">
        <v>2265</v>
      </c>
      <c r="G297" s="54">
        <v>5</v>
      </c>
      <c r="H297" s="54">
        <v>5</v>
      </c>
      <c r="I297" s="54"/>
      <c r="J297" s="54"/>
      <c r="K297" s="54"/>
      <c r="L297" s="54"/>
      <c r="M297" s="54"/>
      <c r="N297" s="54"/>
      <c r="O297" s="54" t="s">
        <v>2257</v>
      </c>
    </row>
    <row r="298" spans="1:15" ht="30" x14ac:dyDescent="0.2">
      <c r="A298" s="53" t="s">
        <v>12</v>
      </c>
      <c r="B298" s="53" t="s">
        <v>16</v>
      </c>
      <c r="C298" s="54" t="s">
        <v>2266</v>
      </c>
      <c r="D298" s="55" t="s">
        <v>2267</v>
      </c>
      <c r="E298" s="54"/>
      <c r="F298" s="54" t="s">
        <v>2265</v>
      </c>
      <c r="G298" s="54">
        <v>5</v>
      </c>
      <c r="H298" s="54"/>
      <c r="I298" s="54"/>
      <c r="J298" s="54"/>
      <c r="K298" s="54"/>
      <c r="L298" s="54"/>
      <c r="M298" s="54"/>
      <c r="N298" s="54"/>
      <c r="O298" s="54" t="s">
        <v>2254</v>
      </c>
    </row>
    <row r="299" spans="1:15" ht="30" x14ac:dyDescent="0.2">
      <c r="A299" s="53" t="s">
        <v>12</v>
      </c>
      <c r="B299" s="53" t="s">
        <v>15</v>
      </c>
      <c r="C299" s="54" t="s">
        <v>2268</v>
      </c>
      <c r="D299" s="55" t="s">
        <v>2269</v>
      </c>
      <c r="E299" s="54"/>
      <c r="F299" s="54" t="s">
        <v>2270</v>
      </c>
      <c r="G299" s="54">
        <v>5</v>
      </c>
      <c r="H299" s="54">
        <v>5</v>
      </c>
      <c r="I299" s="54"/>
      <c r="J299" s="54"/>
      <c r="K299" s="54"/>
      <c r="L299" s="54"/>
      <c r="M299" s="54"/>
      <c r="N299" s="54"/>
      <c r="O299" s="54" t="s">
        <v>2257</v>
      </c>
    </row>
    <row r="300" spans="1:15" ht="15.75" x14ac:dyDescent="0.2">
      <c r="A300" s="53" t="s">
        <v>12</v>
      </c>
      <c r="B300" s="53" t="s">
        <v>15</v>
      </c>
      <c r="C300" s="54" t="s">
        <v>2271</v>
      </c>
      <c r="D300" s="55" t="s">
        <v>2272</v>
      </c>
      <c r="E300" s="54" t="s">
        <v>883</v>
      </c>
      <c r="F300" s="54" t="s">
        <v>888</v>
      </c>
      <c r="G300" s="54">
        <v>5</v>
      </c>
      <c r="H300" s="54">
        <v>5</v>
      </c>
      <c r="I300" s="54">
        <v>144000</v>
      </c>
      <c r="J300" s="54">
        <v>28800</v>
      </c>
      <c r="K300" s="54"/>
      <c r="L300" s="54"/>
      <c r="M300" s="54"/>
      <c r="N300" s="54"/>
      <c r="O300" s="54" t="s">
        <v>903</v>
      </c>
    </row>
    <row r="301" spans="1:15" ht="60" x14ac:dyDescent="0.2">
      <c r="A301" s="53" t="s">
        <v>12</v>
      </c>
      <c r="B301" s="53" t="s">
        <v>14</v>
      </c>
      <c r="C301" s="54" t="s">
        <v>2273</v>
      </c>
      <c r="D301" s="55" t="s">
        <v>2274</v>
      </c>
      <c r="E301" s="54" t="s">
        <v>899</v>
      </c>
      <c r="F301" s="54" t="s">
        <v>2275</v>
      </c>
      <c r="G301" s="54">
        <v>13</v>
      </c>
      <c r="H301" s="54"/>
      <c r="I301" s="54"/>
      <c r="J301" s="54">
        <v>0</v>
      </c>
      <c r="K301" s="54"/>
      <c r="L301" s="54"/>
      <c r="M301" s="54"/>
      <c r="N301" s="54"/>
      <c r="O301" s="54" t="s">
        <v>1333</v>
      </c>
    </row>
    <row r="302" spans="1:15" ht="15.75" x14ac:dyDescent="0.2">
      <c r="A302" s="53" t="s">
        <v>12</v>
      </c>
      <c r="B302" s="53" t="s">
        <v>13</v>
      </c>
      <c r="C302" s="54" t="s">
        <v>2276</v>
      </c>
      <c r="D302" s="55" t="s">
        <v>2277</v>
      </c>
      <c r="E302" s="54" t="s">
        <v>883</v>
      </c>
      <c r="F302" s="54" t="s">
        <v>910</v>
      </c>
      <c r="G302" s="54">
        <v>8</v>
      </c>
      <c r="H302" s="54"/>
      <c r="I302" s="54"/>
      <c r="J302" s="54"/>
      <c r="K302" s="54"/>
      <c r="L302" s="54"/>
      <c r="M302" s="54"/>
      <c r="N302" s="54"/>
      <c r="O302" s="54" t="s">
        <v>1384</v>
      </c>
    </row>
    <row r="303" spans="1:15" ht="15.75" x14ac:dyDescent="0.2">
      <c r="A303" s="53" t="s">
        <v>12</v>
      </c>
      <c r="B303" s="53" t="s">
        <v>13</v>
      </c>
      <c r="C303" s="54" t="s">
        <v>2278</v>
      </c>
      <c r="D303" s="55" t="s">
        <v>2279</v>
      </c>
      <c r="E303" s="54" t="s">
        <v>883</v>
      </c>
      <c r="F303" s="54" t="s">
        <v>910</v>
      </c>
      <c r="G303" s="54">
        <v>2</v>
      </c>
      <c r="H303" s="54"/>
      <c r="I303" s="54"/>
      <c r="J303" s="54"/>
      <c r="K303" s="54"/>
      <c r="L303" s="54"/>
      <c r="M303" s="54"/>
      <c r="N303" s="54"/>
      <c r="O303" s="54" t="s">
        <v>1384</v>
      </c>
    </row>
    <row r="304" spans="1:15" ht="45" x14ac:dyDescent="0.2">
      <c r="A304" s="53" t="s">
        <v>12</v>
      </c>
      <c r="B304" s="53" t="s">
        <v>14</v>
      </c>
      <c r="C304" s="54" t="s">
        <v>2280</v>
      </c>
      <c r="D304" s="55" t="s">
        <v>2281</v>
      </c>
      <c r="E304" s="54"/>
      <c r="F304" s="54" t="s">
        <v>2282</v>
      </c>
      <c r="G304" s="54">
        <v>13</v>
      </c>
      <c r="H304" s="54"/>
      <c r="I304" s="54"/>
      <c r="J304" s="54"/>
      <c r="K304" s="54"/>
      <c r="L304" s="54"/>
      <c r="M304" s="54"/>
      <c r="N304" s="54"/>
      <c r="O304" s="54"/>
    </row>
    <row r="305" spans="1:15" ht="15.75" x14ac:dyDescent="0.2">
      <c r="A305" s="53" t="s">
        <v>12</v>
      </c>
      <c r="B305" s="53" t="s">
        <v>15</v>
      </c>
      <c r="C305" s="54" t="s">
        <v>2283</v>
      </c>
      <c r="D305" s="55" t="s">
        <v>2284</v>
      </c>
      <c r="E305" s="54" t="s">
        <v>883</v>
      </c>
      <c r="F305" s="54" t="s">
        <v>888</v>
      </c>
      <c r="G305" s="54">
        <v>5</v>
      </c>
      <c r="H305" s="54">
        <v>5</v>
      </c>
      <c r="I305" s="54">
        <v>79200</v>
      </c>
      <c r="J305" s="54">
        <v>0</v>
      </c>
      <c r="K305" s="54"/>
      <c r="L305" s="54"/>
      <c r="M305" s="54"/>
      <c r="N305" s="54"/>
      <c r="O305" s="54" t="s">
        <v>906</v>
      </c>
    </row>
    <row r="306" spans="1:15" ht="60" x14ac:dyDescent="0.2">
      <c r="A306" s="53" t="s">
        <v>12</v>
      </c>
      <c r="B306" s="53" t="s">
        <v>16</v>
      </c>
      <c r="C306" s="54" t="s">
        <v>2285</v>
      </c>
      <c r="D306" s="55" t="s">
        <v>2286</v>
      </c>
      <c r="E306" s="54" t="s">
        <v>899</v>
      </c>
      <c r="F306" s="54" t="s">
        <v>2275</v>
      </c>
      <c r="G306" s="54">
        <v>13</v>
      </c>
      <c r="H306" s="54"/>
      <c r="I306" s="54"/>
      <c r="J306" s="54">
        <v>0</v>
      </c>
      <c r="K306" s="54"/>
      <c r="L306" s="54"/>
      <c r="M306" s="54"/>
      <c r="N306" s="54"/>
      <c r="O306" s="54" t="s">
        <v>1333</v>
      </c>
    </row>
    <row r="307" spans="1:15" x14ac:dyDescent="0.2">
      <c r="A307" s="70" t="s">
        <v>4775</v>
      </c>
      <c r="B307" s="71"/>
      <c r="C307" s="71"/>
      <c r="D307" s="71"/>
      <c r="E307" s="71"/>
      <c r="F307" s="71"/>
      <c r="G307" s="71"/>
      <c r="H307" s="71"/>
      <c r="I307" s="71"/>
      <c r="J307" s="71"/>
      <c r="K307" s="71"/>
      <c r="L307" s="71"/>
      <c r="M307" s="71"/>
      <c r="N307" s="71"/>
      <c r="O307" s="72"/>
    </row>
  </sheetData>
  <mergeCells count="4">
    <mergeCell ref="A1:O1"/>
    <mergeCell ref="A2:O2"/>
    <mergeCell ref="A3:O3"/>
    <mergeCell ref="A307:O307"/>
  </mergeCells>
  <hyperlinks>
    <hyperlink ref="A2" r:id="rId1"/>
    <hyperlink ref="D5" r:id="rId2"/>
    <hyperlink ref="D6" r:id="rId3"/>
    <hyperlink ref="D7" r:id="rId4"/>
    <hyperlink ref="D8" r:id="rId5"/>
    <hyperlink ref="D9" r:id="rId6"/>
    <hyperlink ref="D10" r:id="rId7"/>
    <hyperlink ref="D11" r:id="rId8"/>
    <hyperlink ref="D12" r:id="rId9"/>
    <hyperlink ref="D13" r:id="rId10"/>
    <hyperlink ref="D14" r:id="rId11"/>
    <hyperlink ref="D15" r:id="rId12"/>
    <hyperlink ref="D16" r:id="rId13"/>
    <hyperlink ref="D17" r:id="rId14"/>
    <hyperlink ref="D18" r:id="rId15"/>
    <hyperlink ref="D19" r:id="rId16"/>
    <hyperlink ref="D20" r:id="rId17"/>
    <hyperlink ref="D21" r:id="rId18"/>
    <hyperlink ref="D22" r:id="rId19"/>
    <hyperlink ref="D23" r:id="rId20"/>
    <hyperlink ref="D24" r:id="rId21"/>
    <hyperlink ref="D25" r:id="rId22"/>
    <hyperlink ref="D26" r:id="rId23"/>
    <hyperlink ref="D27" r:id="rId24"/>
    <hyperlink ref="D28" r:id="rId25"/>
    <hyperlink ref="D29" r:id="rId26"/>
    <hyperlink ref="D30" r:id="rId27"/>
    <hyperlink ref="D31" r:id="rId28"/>
    <hyperlink ref="D32" r:id="rId29"/>
    <hyperlink ref="D33" r:id="rId30"/>
    <hyperlink ref="D34" r:id="rId31"/>
    <hyperlink ref="D35" r:id="rId32"/>
    <hyperlink ref="D36" r:id="rId33"/>
    <hyperlink ref="D37" r:id="rId34"/>
    <hyperlink ref="D38" r:id="rId35"/>
    <hyperlink ref="D39" r:id="rId36"/>
    <hyperlink ref="D40" r:id="rId37"/>
    <hyperlink ref="D41" r:id="rId38"/>
    <hyperlink ref="D42" r:id="rId39"/>
    <hyperlink ref="D43" r:id="rId40"/>
    <hyperlink ref="D44" r:id="rId41"/>
    <hyperlink ref="D45" r:id="rId42"/>
    <hyperlink ref="D46" r:id="rId43"/>
    <hyperlink ref="D47" r:id="rId44"/>
    <hyperlink ref="D48" r:id="rId45"/>
    <hyperlink ref="D49" r:id="rId46"/>
    <hyperlink ref="D50" r:id="rId47"/>
    <hyperlink ref="D51" r:id="rId48"/>
    <hyperlink ref="D52" r:id="rId49"/>
    <hyperlink ref="D53" r:id="rId50"/>
    <hyperlink ref="D54" r:id="rId51"/>
    <hyperlink ref="D55" r:id="rId52"/>
    <hyperlink ref="D56" r:id="rId53"/>
    <hyperlink ref="D57" r:id="rId54"/>
    <hyperlink ref="D58" r:id="rId55"/>
    <hyperlink ref="D59" r:id="rId56"/>
    <hyperlink ref="D60" r:id="rId57"/>
    <hyperlink ref="D61" r:id="rId58"/>
    <hyperlink ref="D62" r:id="rId59"/>
    <hyperlink ref="D63" r:id="rId60"/>
    <hyperlink ref="D64" r:id="rId61"/>
    <hyperlink ref="D65" r:id="rId62"/>
    <hyperlink ref="D66" r:id="rId63"/>
    <hyperlink ref="D67" r:id="rId64"/>
    <hyperlink ref="D68" r:id="rId65"/>
    <hyperlink ref="D69" r:id="rId66"/>
    <hyperlink ref="D70" r:id="rId67"/>
    <hyperlink ref="D71" r:id="rId68"/>
    <hyperlink ref="D72" r:id="rId69"/>
    <hyperlink ref="D73" r:id="rId70"/>
    <hyperlink ref="D74" r:id="rId71"/>
    <hyperlink ref="D75" r:id="rId72"/>
    <hyperlink ref="D76" r:id="rId73"/>
    <hyperlink ref="D77" r:id="rId74"/>
    <hyperlink ref="D78" r:id="rId75"/>
    <hyperlink ref="D79" r:id="rId76"/>
    <hyperlink ref="D80" r:id="rId77"/>
    <hyperlink ref="D81" r:id="rId78"/>
    <hyperlink ref="D82" r:id="rId79"/>
    <hyperlink ref="D83" r:id="rId80"/>
    <hyperlink ref="D84" r:id="rId81"/>
    <hyperlink ref="D85" r:id="rId82"/>
    <hyperlink ref="D86" r:id="rId83"/>
    <hyperlink ref="D87" r:id="rId84"/>
    <hyperlink ref="D88" r:id="rId85"/>
    <hyperlink ref="D89" r:id="rId86"/>
    <hyperlink ref="D90" r:id="rId87"/>
    <hyperlink ref="D91" r:id="rId88"/>
    <hyperlink ref="D92" r:id="rId89"/>
    <hyperlink ref="D93" r:id="rId90"/>
    <hyperlink ref="D94" r:id="rId91"/>
    <hyperlink ref="D95" r:id="rId92"/>
    <hyperlink ref="D96" r:id="rId93"/>
    <hyperlink ref="D97" r:id="rId94"/>
    <hyperlink ref="D98" r:id="rId95"/>
    <hyperlink ref="D99" r:id="rId96"/>
    <hyperlink ref="D100" r:id="rId97"/>
    <hyperlink ref="D101" r:id="rId98"/>
    <hyperlink ref="D102" r:id="rId99"/>
    <hyperlink ref="D103" r:id="rId100"/>
    <hyperlink ref="D104" r:id="rId101"/>
    <hyperlink ref="D105" r:id="rId102"/>
    <hyperlink ref="D106" r:id="rId103"/>
    <hyperlink ref="D107" r:id="rId104"/>
    <hyperlink ref="D108" r:id="rId105"/>
    <hyperlink ref="D109" r:id="rId106"/>
    <hyperlink ref="D110" r:id="rId107"/>
    <hyperlink ref="D111" r:id="rId108"/>
    <hyperlink ref="D112" r:id="rId109"/>
    <hyperlink ref="D113" r:id="rId110"/>
    <hyperlink ref="D114" r:id="rId111"/>
    <hyperlink ref="D115" r:id="rId112"/>
    <hyperlink ref="D116" r:id="rId113"/>
    <hyperlink ref="D117" r:id="rId114"/>
    <hyperlink ref="D118" r:id="rId115"/>
    <hyperlink ref="D119" r:id="rId116"/>
    <hyperlink ref="D120" r:id="rId117"/>
    <hyperlink ref="D121" r:id="rId118"/>
    <hyperlink ref="D122" r:id="rId119"/>
    <hyperlink ref="D123" r:id="rId120"/>
    <hyperlink ref="D124" r:id="rId121"/>
    <hyperlink ref="D125" r:id="rId122"/>
    <hyperlink ref="D126" r:id="rId123"/>
    <hyperlink ref="D127" r:id="rId124"/>
    <hyperlink ref="D128" r:id="rId125"/>
    <hyperlink ref="D129" r:id="rId126"/>
    <hyperlink ref="D130" r:id="rId127"/>
    <hyperlink ref="D131" r:id="rId128"/>
    <hyperlink ref="D132" r:id="rId129"/>
    <hyperlink ref="D133" r:id="rId130"/>
    <hyperlink ref="D134" r:id="rId131"/>
    <hyperlink ref="D135" r:id="rId132"/>
    <hyperlink ref="D136" r:id="rId133"/>
    <hyperlink ref="D137" r:id="rId134"/>
    <hyperlink ref="D138" r:id="rId135"/>
    <hyperlink ref="D139" r:id="rId136"/>
    <hyperlink ref="D140" r:id="rId137"/>
    <hyperlink ref="D141" r:id="rId138"/>
    <hyperlink ref="D142" r:id="rId139"/>
    <hyperlink ref="D143" r:id="rId140"/>
    <hyperlink ref="D144" r:id="rId141"/>
    <hyperlink ref="D145" r:id="rId142"/>
    <hyperlink ref="D146" r:id="rId143"/>
    <hyperlink ref="D147" r:id="rId144"/>
    <hyperlink ref="D148" r:id="rId145"/>
    <hyperlink ref="D149" r:id="rId146"/>
    <hyperlink ref="D150" r:id="rId147"/>
    <hyperlink ref="D151" r:id="rId148"/>
    <hyperlink ref="D152" r:id="rId149"/>
    <hyperlink ref="D153" r:id="rId150"/>
    <hyperlink ref="D154" r:id="rId151"/>
    <hyperlink ref="D155" r:id="rId152"/>
    <hyperlink ref="D156" r:id="rId153"/>
    <hyperlink ref="D157" r:id="rId154"/>
    <hyperlink ref="D158" r:id="rId155"/>
    <hyperlink ref="D159" r:id="rId156"/>
    <hyperlink ref="D160" r:id="rId157"/>
    <hyperlink ref="D161" r:id="rId158"/>
    <hyperlink ref="D162" r:id="rId159"/>
    <hyperlink ref="D163" r:id="rId160"/>
    <hyperlink ref="D164" r:id="rId161"/>
    <hyperlink ref="D165" r:id="rId162"/>
    <hyperlink ref="D166" r:id="rId163"/>
    <hyperlink ref="D167" r:id="rId164"/>
    <hyperlink ref="D168" r:id="rId165"/>
    <hyperlink ref="D169" r:id="rId166"/>
    <hyperlink ref="D170" r:id="rId167"/>
    <hyperlink ref="D171" r:id="rId168"/>
    <hyperlink ref="D172" r:id="rId169"/>
    <hyperlink ref="D173" r:id="rId170"/>
    <hyperlink ref="D174" r:id="rId171"/>
    <hyperlink ref="D175" r:id="rId172"/>
    <hyperlink ref="D176" r:id="rId173"/>
    <hyperlink ref="D177" r:id="rId174"/>
    <hyperlink ref="D178" r:id="rId175"/>
    <hyperlink ref="D179" r:id="rId176"/>
    <hyperlink ref="D180" r:id="rId177"/>
    <hyperlink ref="D181" r:id="rId178"/>
    <hyperlink ref="D182" r:id="rId179"/>
    <hyperlink ref="D183" r:id="rId180"/>
    <hyperlink ref="D184" r:id="rId181"/>
    <hyperlink ref="D185" r:id="rId182"/>
    <hyperlink ref="D186" r:id="rId183"/>
    <hyperlink ref="D187" r:id="rId184"/>
    <hyperlink ref="D188" r:id="rId185"/>
    <hyperlink ref="D189" r:id="rId186"/>
    <hyperlink ref="D190" r:id="rId187"/>
    <hyperlink ref="D191" r:id="rId188"/>
    <hyperlink ref="D192" r:id="rId189"/>
    <hyperlink ref="D193" r:id="rId190"/>
    <hyperlink ref="D194" r:id="rId191"/>
    <hyperlink ref="D195" r:id="rId192"/>
    <hyperlink ref="D196" r:id="rId193"/>
    <hyperlink ref="D197" r:id="rId194"/>
    <hyperlink ref="D198" r:id="rId195"/>
    <hyperlink ref="D199" r:id="rId196"/>
    <hyperlink ref="D200" r:id="rId197"/>
    <hyperlink ref="D201" r:id="rId198"/>
    <hyperlink ref="D202" r:id="rId199"/>
    <hyperlink ref="D203" r:id="rId200"/>
    <hyperlink ref="D204" r:id="rId201"/>
    <hyperlink ref="D205" r:id="rId202"/>
    <hyperlink ref="D206" r:id="rId203"/>
    <hyperlink ref="D207" r:id="rId204"/>
    <hyperlink ref="D208" r:id="rId205"/>
    <hyperlink ref="D209" r:id="rId206"/>
    <hyperlink ref="D210" r:id="rId207"/>
    <hyperlink ref="D211" r:id="rId208"/>
    <hyperlink ref="D212" r:id="rId209"/>
    <hyperlink ref="D213" r:id="rId210"/>
    <hyperlink ref="D214" r:id="rId211"/>
    <hyperlink ref="D215" r:id="rId212"/>
    <hyperlink ref="D216" r:id="rId213"/>
    <hyperlink ref="D217" r:id="rId214"/>
    <hyperlink ref="D218" r:id="rId215"/>
    <hyperlink ref="D219" r:id="rId216"/>
    <hyperlink ref="D220" r:id="rId217"/>
    <hyperlink ref="D221" r:id="rId218"/>
    <hyperlink ref="D222" r:id="rId219"/>
    <hyperlink ref="D223" r:id="rId220"/>
    <hyperlink ref="D224" r:id="rId221"/>
    <hyperlink ref="D225" r:id="rId222"/>
    <hyperlink ref="D226" r:id="rId223"/>
    <hyperlink ref="D227" r:id="rId224"/>
    <hyperlink ref="D228" r:id="rId225"/>
    <hyperlink ref="D229" r:id="rId226"/>
    <hyperlink ref="D230" r:id="rId227"/>
    <hyperlink ref="D231" r:id="rId228"/>
    <hyperlink ref="D232" r:id="rId229"/>
    <hyperlink ref="D233" r:id="rId230"/>
    <hyperlink ref="D234" r:id="rId231"/>
    <hyperlink ref="D235" r:id="rId232"/>
    <hyperlink ref="D236" r:id="rId233"/>
    <hyperlink ref="D237" r:id="rId234"/>
    <hyperlink ref="D238" r:id="rId235"/>
    <hyperlink ref="D239" r:id="rId236"/>
    <hyperlink ref="D240" r:id="rId237"/>
    <hyperlink ref="D241" r:id="rId238"/>
    <hyperlink ref="D242" r:id="rId239"/>
    <hyperlink ref="D243" r:id="rId240"/>
    <hyperlink ref="D244" r:id="rId241"/>
    <hyperlink ref="D245" r:id="rId242"/>
    <hyperlink ref="D246" r:id="rId243"/>
    <hyperlink ref="D247" r:id="rId244"/>
    <hyperlink ref="D248" r:id="rId245"/>
    <hyperlink ref="D249" r:id="rId246"/>
    <hyperlink ref="D250" r:id="rId247"/>
    <hyperlink ref="D251" r:id="rId248"/>
    <hyperlink ref="D252" r:id="rId249"/>
    <hyperlink ref="D253" r:id="rId250"/>
    <hyperlink ref="D254" r:id="rId251"/>
    <hyperlink ref="D255" r:id="rId252"/>
    <hyperlink ref="D256" r:id="rId253"/>
    <hyperlink ref="D257" r:id="rId254"/>
    <hyperlink ref="D258" r:id="rId255"/>
    <hyperlink ref="D259" r:id="rId256"/>
    <hyperlink ref="D260" r:id="rId257"/>
    <hyperlink ref="D261" r:id="rId258"/>
    <hyperlink ref="D262" r:id="rId259"/>
    <hyperlink ref="D263" r:id="rId260"/>
    <hyperlink ref="D264" r:id="rId261"/>
    <hyperlink ref="D265" r:id="rId262"/>
    <hyperlink ref="D266" r:id="rId263"/>
    <hyperlink ref="D267" r:id="rId264"/>
    <hyperlink ref="D268" r:id="rId265"/>
    <hyperlink ref="D269" r:id="rId266"/>
    <hyperlink ref="D270" r:id="rId267"/>
    <hyperlink ref="D271" r:id="rId268"/>
    <hyperlink ref="D272" r:id="rId269"/>
    <hyperlink ref="D273" r:id="rId270"/>
    <hyperlink ref="D274" r:id="rId271"/>
    <hyperlink ref="D275" r:id="rId272"/>
    <hyperlink ref="D276" r:id="rId273"/>
    <hyperlink ref="D277" r:id="rId274"/>
    <hyperlink ref="D278" r:id="rId275"/>
    <hyperlink ref="D279" r:id="rId276"/>
    <hyperlink ref="D280" r:id="rId277"/>
    <hyperlink ref="D281" r:id="rId278"/>
    <hyperlink ref="D282" r:id="rId279"/>
    <hyperlink ref="D283" r:id="rId280"/>
    <hyperlink ref="D284" r:id="rId281"/>
    <hyperlink ref="D285" r:id="rId282"/>
    <hyperlink ref="D286" r:id="rId283"/>
    <hyperlink ref="D287" r:id="rId284"/>
    <hyperlink ref="D288" r:id="rId285"/>
    <hyperlink ref="D289" r:id="rId286"/>
    <hyperlink ref="D290" r:id="rId287"/>
    <hyperlink ref="D291" r:id="rId288"/>
    <hyperlink ref="D292" r:id="rId289"/>
    <hyperlink ref="D293" r:id="rId290"/>
    <hyperlink ref="D294" r:id="rId291"/>
    <hyperlink ref="D295" r:id="rId292"/>
    <hyperlink ref="D296" r:id="rId293"/>
    <hyperlink ref="D297" r:id="rId294"/>
    <hyperlink ref="D298" r:id="rId295"/>
    <hyperlink ref="D299" r:id="rId296"/>
    <hyperlink ref="D300" r:id="rId297"/>
    <hyperlink ref="D301" r:id="rId298"/>
    <hyperlink ref="D302" r:id="rId299"/>
    <hyperlink ref="D303" r:id="rId300"/>
    <hyperlink ref="D304" r:id="rId301"/>
    <hyperlink ref="D305" r:id="rId302"/>
    <hyperlink ref="D306" r:id="rId303"/>
  </hyperlinks>
  <pageMargins left="0.7" right="0.7" top="0.75" bottom="0.75" header="0.3" footer="0.3"/>
  <drawing r:id="rId30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rgb="FF00B0F0"/>
  </sheetPr>
  <dimension ref="A1:O500"/>
  <sheetViews>
    <sheetView showGridLines="0" workbookViewId="0">
      <selection activeCell="E25" sqref="E25"/>
    </sheetView>
  </sheetViews>
  <sheetFormatPr defaultColWidth="10.875" defaultRowHeight="15" x14ac:dyDescent="0.2"/>
  <cols>
    <col min="1" max="1" width="11.5" style="51" bestFit="1" customWidth="1"/>
    <col min="2" max="2" width="11.375" style="51" bestFit="1" customWidth="1"/>
    <col min="3" max="3" width="43.375" style="51" bestFit="1" customWidth="1"/>
    <col min="4" max="4" width="16.625" style="51" bestFit="1" customWidth="1"/>
    <col min="5" max="6" width="43.375" style="51" bestFit="1" customWidth="1"/>
    <col min="7" max="7" width="12.875" style="51" bestFit="1" customWidth="1"/>
    <col min="8" max="8" width="9.875" style="51" customWidth="1"/>
    <col min="9" max="9" width="19.375" style="51" bestFit="1" customWidth="1"/>
    <col min="10" max="10" width="22" style="51" bestFit="1" customWidth="1"/>
    <col min="11" max="11" width="9.125" style="51" customWidth="1"/>
    <col min="12" max="12" width="15.5" style="51" bestFit="1" customWidth="1"/>
    <col min="13" max="13" width="15.875" style="51" bestFit="1" customWidth="1"/>
    <col min="14" max="14" width="15.625" style="51" bestFit="1" customWidth="1"/>
    <col min="15" max="15" width="43.375" style="51" bestFit="1" customWidth="1"/>
    <col min="16" max="16384" width="10.875" style="51"/>
  </cols>
  <sheetData>
    <row r="1" spans="1:15" ht="36" customHeight="1" x14ac:dyDescent="0.2">
      <c r="A1" s="61"/>
      <c r="B1" s="62"/>
      <c r="C1" s="62"/>
      <c r="D1" s="62"/>
      <c r="E1" s="62"/>
      <c r="F1" s="62"/>
      <c r="G1" s="62"/>
      <c r="H1" s="62"/>
      <c r="I1" s="62"/>
      <c r="J1" s="62"/>
      <c r="K1" s="62"/>
      <c r="L1" s="62"/>
      <c r="M1" s="62"/>
      <c r="N1" s="62"/>
      <c r="O1" s="63"/>
    </row>
    <row r="2" spans="1:15" ht="15.95" customHeight="1" x14ac:dyDescent="0.2">
      <c r="A2" s="64" t="s">
        <v>426</v>
      </c>
      <c r="B2" s="65"/>
      <c r="C2" s="65"/>
      <c r="D2" s="65"/>
      <c r="E2" s="65"/>
      <c r="F2" s="65"/>
      <c r="G2" s="65"/>
      <c r="H2" s="65"/>
      <c r="I2" s="65"/>
      <c r="J2" s="65"/>
      <c r="K2" s="65"/>
      <c r="L2" s="65"/>
      <c r="M2" s="65"/>
      <c r="N2" s="65"/>
      <c r="O2" s="66"/>
    </row>
    <row r="3" spans="1:15" ht="15.95" customHeight="1" x14ac:dyDescent="0.2">
      <c r="A3" s="67" t="s">
        <v>2288</v>
      </c>
      <c r="B3" s="68"/>
      <c r="C3" s="68"/>
      <c r="D3" s="68"/>
      <c r="E3" s="68"/>
      <c r="F3" s="68"/>
      <c r="G3" s="68"/>
      <c r="H3" s="68"/>
      <c r="I3" s="68"/>
      <c r="J3" s="68"/>
      <c r="K3" s="68"/>
      <c r="L3" s="68"/>
      <c r="M3" s="68"/>
      <c r="N3" s="68"/>
      <c r="O3" s="69"/>
    </row>
    <row r="4" spans="1:15" ht="31.5" x14ac:dyDescent="0.2">
      <c r="A4" s="52" t="s">
        <v>4</v>
      </c>
      <c r="B4" s="52" t="s">
        <v>5</v>
      </c>
      <c r="C4" s="52" t="s">
        <v>54</v>
      </c>
      <c r="D4" s="52" t="s">
        <v>6</v>
      </c>
      <c r="E4" s="52" t="s">
        <v>7</v>
      </c>
      <c r="F4" s="52" t="s">
        <v>53</v>
      </c>
      <c r="G4" s="52" t="s">
        <v>8</v>
      </c>
      <c r="H4" s="52" t="s">
        <v>427</v>
      </c>
      <c r="I4" s="52" t="s">
        <v>429</v>
      </c>
      <c r="J4" s="52" t="s">
        <v>428</v>
      </c>
      <c r="K4" s="52" t="s">
        <v>9</v>
      </c>
      <c r="L4" s="52" t="s">
        <v>10</v>
      </c>
      <c r="M4" s="52" t="s">
        <v>52</v>
      </c>
      <c r="N4" s="52" t="s">
        <v>51</v>
      </c>
      <c r="O4" s="52" t="s">
        <v>11</v>
      </c>
    </row>
    <row r="5" spans="1:15" ht="15.75" x14ac:dyDescent="0.2">
      <c r="A5" s="53" t="s">
        <v>12</v>
      </c>
      <c r="B5" s="53" t="s">
        <v>15</v>
      </c>
      <c r="C5" s="54" t="s">
        <v>2289</v>
      </c>
      <c r="D5" s="55" t="s">
        <v>2290</v>
      </c>
      <c r="E5" s="54" t="s">
        <v>883</v>
      </c>
      <c r="F5" s="54" t="s">
        <v>2291</v>
      </c>
      <c r="G5" s="54">
        <v>1</v>
      </c>
      <c r="H5" s="54">
        <v>1</v>
      </c>
      <c r="I5" s="54">
        <v>14400</v>
      </c>
      <c r="J5" s="54">
        <v>0</v>
      </c>
      <c r="K5" s="54"/>
      <c r="L5" s="54"/>
      <c r="M5" s="54"/>
      <c r="N5" s="54"/>
      <c r="O5" s="54" t="s">
        <v>1310</v>
      </c>
    </row>
    <row r="6" spans="1:15" ht="30" x14ac:dyDescent="0.2">
      <c r="A6" s="53" t="s">
        <v>12</v>
      </c>
      <c r="B6" s="53" t="s">
        <v>15</v>
      </c>
      <c r="C6" s="54" t="s">
        <v>2292</v>
      </c>
      <c r="D6" s="55" t="s">
        <v>2293</v>
      </c>
      <c r="E6" s="54" t="s">
        <v>1311</v>
      </c>
      <c r="F6" s="54" t="s">
        <v>2294</v>
      </c>
      <c r="G6" s="54">
        <v>1</v>
      </c>
      <c r="H6" s="54">
        <v>1</v>
      </c>
      <c r="I6" s="54">
        <v>28800</v>
      </c>
      <c r="J6" s="54">
        <v>0</v>
      </c>
      <c r="K6" s="54"/>
      <c r="L6" s="54"/>
      <c r="M6" s="54"/>
      <c r="N6" s="54"/>
      <c r="O6" s="54" t="s">
        <v>2295</v>
      </c>
    </row>
    <row r="7" spans="1:15" ht="30" x14ac:dyDescent="0.2">
      <c r="A7" s="53" t="s">
        <v>12</v>
      </c>
      <c r="B7" s="53" t="s">
        <v>15</v>
      </c>
      <c r="C7" s="54" t="s">
        <v>2296</v>
      </c>
      <c r="D7" s="55" t="s">
        <v>2297</v>
      </c>
      <c r="E7" s="54" t="s">
        <v>1311</v>
      </c>
      <c r="F7" s="54" t="s">
        <v>2294</v>
      </c>
      <c r="G7" s="54">
        <v>1</v>
      </c>
      <c r="H7" s="54">
        <v>1</v>
      </c>
      <c r="I7" s="54">
        <v>14400</v>
      </c>
      <c r="J7" s="54">
        <v>0</v>
      </c>
      <c r="K7" s="54"/>
      <c r="L7" s="54"/>
      <c r="M7" s="54"/>
      <c r="N7" s="54"/>
      <c r="O7" s="54" t="s">
        <v>2298</v>
      </c>
    </row>
    <row r="8" spans="1:15" ht="15.75" x14ac:dyDescent="0.2">
      <c r="A8" s="53" t="s">
        <v>12</v>
      </c>
      <c r="B8" s="53" t="s">
        <v>13</v>
      </c>
      <c r="C8" s="54" t="s">
        <v>2299</v>
      </c>
      <c r="D8" s="55" t="s">
        <v>2300</v>
      </c>
      <c r="E8" s="54" t="s">
        <v>883</v>
      </c>
      <c r="F8" s="54" t="s">
        <v>884</v>
      </c>
      <c r="G8" s="54">
        <v>5</v>
      </c>
      <c r="H8" s="54"/>
      <c r="I8" s="54">
        <v>43200</v>
      </c>
      <c r="J8" s="54">
        <v>10800</v>
      </c>
      <c r="K8" s="54"/>
      <c r="L8" s="54"/>
      <c r="M8" s="54"/>
      <c r="N8" s="54"/>
      <c r="O8" s="54" t="s">
        <v>989</v>
      </c>
    </row>
    <row r="9" spans="1:15" ht="15.75" x14ac:dyDescent="0.2">
      <c r="A9" s="53" t="s">
        <v>12</v>
      </c>
      <c r="B9" s="53" t="s">
        <v>13</v>
      </c>
      <c r="C9" s="54" t="s">
        <v>2301</v>
      </c>
      <c r="D9" s="55" t="s">
        <v>2302</v>
      </c>
      <c r="E9" s="54" t="s">
        <v>883</v>
      </c>
      <c r="F9" s="54" t="s">
        <v>884</v>
      </c>
      <c r="G9" s="54">
        <v>8</v>
      </c>
      <c r="H9" s="54"/>
      <c r="I9" s="54"/>
      <c r="J9" s="54"/>
      <c r="K9" s="54"/>
      <c r="L9" s="54"/>
      <c r="M9" s="54"/>
      <c r="N9" s="54"/>
      <c r="O9" s="54" t="s">
        <v>882</v>
      </c>
    </row>
    <row r="10" spans="1:15" ht="45" x14ac:dyDescent="0.2">
      <c r="A10" s="53" t="s">
        <v>12</v>
      </c>
      <c r="B10" s="53" t="s">
        <v>15</v>
      </c>
      <c r="C10" s="54" t="s">
        <v>2303</v>
      </c>
      <c r="D10" s="55" t="s">
        <v>2304</v>
      </c>
      <c r="E10" s="54" t="s">
        <v>1311</v>
      </c>
      <c r="F10" s="54" t="s">
        <v>2305</v>
      </c>
      <c r="G10" s="54">
        <v>2</v>
      </c>
      <c r="H10" s="54">
        <v>2</v>
      </c>
      <c r="I10" s="54">
        <v>57600</v>
      </c>
      <c r="J10" s="54">
        <v>0</v>
      </c>
      <c r="K10" s="54"/>
      <c r="L10" s="54"/>
      <c r="M10" s="54"/>
      <c r="N10" s="54"/>
      <c r="O10" s="54" t="s">
        <v>2306</v>
      </c>
    </row>
    <row r="11" spans="1:15" ht="60" x14ac:dyDescent="0.2">
      <c r="A11" s="53" t="s">
        <v>12</v>
      </c>
      <c r="B11" s="53" t="s">
        <v>16</v>
      </c>
      <c r="C11" s="54" t="s">
        <v>2307</v>
      </c>
      <c r="D11" s="55" t="s">
        <v>2308</v>
      </c>
      <c r="E11" s="54" t="s">
        <v>899</v>
      </c>
      <c r="F11" s="54" t="s">
        <v>2275</v>
      </c>
      <c r="G11" s="54">
        <v>1</v>
      </c>
      <c r="H11" s="54"/>
      <c r="I11" s="54"/>
      <c r="J11" s="54">
        <v>0</v>
      </c>
      <c r="K11" s="54"/>
      <c r="L11" s="54"/>
      <c r="M11" s="54">
        <v>1</v>
      </c>
      <c r="N11" s="54"/>
      <c r="O11" s="54" t="s">
        <v>1047</v>
      </c>
    </row>
    <row r="12" spans="1:15" ht="30" x14ac:dyDescent="0.2">
      <c r="A12" s="53" t="s">
        <v>12</v>
      </c>
      <c r="B12" s="53" t="s">
        <v>16</v>
      </c>
      <c r="C12" s="54" t="s">
        <v>2309</v>
      </c>
      <c r="D12" s="55" t="s">
        <v>2310</v>
      </c>
      <c r="E12" s="54"/>
      <c r="F12" s="54"/>
      <c r="G12" s="54">
        <v>1</v>
      </c>
      <c r="H12" s="54"/>
      <c r="I12" s="54">
        <v>0</v>
      </c>
      <c r="J12" s="54">
        <v>0</v>
      </c>
      <c r="K12" s="54"/>
      <c r="L12" s="54"/>
      <c r="M12" s="54">
        <v>1</v>
      </c>
      <c r="N12" s="54"/>
      <c r="O12" s="54"/>
    </row>
    <row r="13" spans="1:15" ht="30" x14ac:dyDescent="0.2">
      <c r="A13" s="53" t="s">
        <v>12</v>
      </c>
      <c r="B13" s="53" t="s">
        <v>14</v>
      </c>
      <c r="C13" s="54" t="s">
        <v>2311</v>
      </c>
      <c r="D13" s="55" t="s">
        <v>2312</v>
      </c>
      <c r="E13" s="54" t="s">
        <v>899</v>
      </c>
      <c r="F13" s="54" t="s">
        <v>1633</v>
      </c>
      <c r="G13" s="54">
        <v>5</v>
      </c>
      <c r="H13" s="54"/>
      <c r="I13" s="54">
        <v>72000</v>
      </c>
      <c r="J13" s="54">
        <v>45000</v>
      </c>
      <c r="K13" s="54"/>
      <c r="L13" s="54"/>
      <c r="M13" s="54"/>
      <c r="N13" s="54"/>
      <c r="O13" s="54" t="s">
        <v>2313</v>
      </c>
    </row>
    <row r="14" spans="1:15" ht="15.75" x14ac:dyDescent="0.2">
      <c r="A14" s="53" t="s">
        <v>12</v>
      </c>
      <c r="B14" s="53" t="s">
        <v>15</v>
      </c>
      <c r="C14" s="54" t="s">
        <v>2314</v>
      </c>
      <c r="D14" s="55" t="s">
        <v>2315</v>
      </c>
      <c r="E14" s="54" t="s">
        <v>883</v>
      </c>
      <c r="F14" s="54" t="s">
        <v>888</v>
      </c>
      <c r="G14" s="54">
        <v>1</v>
      </c>
      <c r="H14" s="54">
        <v>1</v>
      </c>
      <c r="I14" s="54"/>
      <c r="J14" s="54">
        <v>0</v>
      </c>
      <c r="K14" s="54"/>
      <c r="L14" s="54"/>
      <c r="M14" s="54"/>
      <c r="N14" s="54"/>
      <c r="O14" s="54" t="s">
        <v>1384</v>
      </c>
    </row>
    <row r="15" spans="1:15" ht="15.75" x14ac:dyDescent="0.2">
      <c r="A15" s="53" t="s">
        <v>12</v>
      </c>
      <c r="B15" s="53" t="s">
        <v>15</v>
      </c>
      <c r="C15" s="54" t="s">
        <v>2316</v>
      </c>
      <c r="D15" s="55" t="s">
        <v>2317</v>
      </c>
      <c r="E15" s="54" t="s">
        <v>883</v>
      </c>
      <c r="F15" s="54" t="s">
        <v>884</v>
      </c>
      <c r="G15" s="54">
        <v>1</v>
      </c>
      <c r="H15" s="54">
        <v>1</v>
      </c>
      <c r="I15" s="54"/>
      <c r="J15" s="54">
        <v>0</v>
      </c>
      <c r="K15" s="54"/>
      <c r="L15" s="54"/>
      <c r="M15" s="54"/>
      <c r="N15" s="54"/>
      <c r="O15" s="54" t="s">
        <v>1384</v>
      </c>
    </row>
    <row r="16" spans="1:15" ht="15.75" x14ac:dyDescent="0.2">
      <c r="A16" s="53" t="s">
        <v>12</v>
      </c>
      <c r="B16" s="53" t="s">
        <v>15</v>
      </c>
      <c r="C16" s="54" t="s">
        <v>2318</v>
      </c>
      <c r="D16" s="55" t="s">
        <v>2319</v>
      </c>
      <c r="E16" s="54" t="s">
        <v>883</v>
      </c>
      <c r="F16" s="54" t="s">
        <v>888</v>
      </c>
      <c r="G16" s="54">
        <v>3</v>
      </c>
      <c r="H16" s="54">
        <v>3</v>
      </c>
      <c r="I16" s="54"/>
      <c r="J16" s="54">
        <v>0</v>
      </c>
      <c r="K16" s="54"/>
      <c r="L16" s="54"/>
      <c r="M16" s="54"/>
      <c r="N16" s="54"/>
      <c r="O16" s="54" t="s">
        <v>1510</v>
      </c>
    </row>
    <row r="17" spans="1:15" ht="15.75" x14ac:dyDescent="0.2">
      <c r="A17" s="53" t="s">
        <v>12</v>
      </c>
      <c r="B17" s="53" t="s">
        <v>15</v>
      </c>
      <c r="C17" s="54" t="s">
        <v>2320</v>
      </c>
      <c r="D17" s="55" t="s">
        <v>2321</v>
      </c>
      <c r="E17" s="54" t="s">
        <v>883</v>
      </c>
      <c r="F17" s="54" t="s">
        <v>884</v>
      </c>
      <c r="G17" s="54">
        <v>5</v>
      </c>
      <c r="H17" s="54">
        <v>5</v>
      </c>
      <c r="I17" s="54">
        <v>14400</v>
      </c>
      <c r="J17" s="54">
        <v>7200</v>
      </c>
      <c r="K17" s="54"/>
      <c r="L17" s="54"/>
      <c r="M17" s="54"/>
      <c r="N17" s="54"/>
      <c r="O17" s="54" t="s">
        <v>1381</v>
      </c>
    </row>
    <row r="18" spans="1:15" ht="30" x14ac:dyDescent="0.2">
      <c r="A18" s="53" t="s">
        <v>12</v>
      </c>
      <c r="B18" s="53" t="s">
        <v>15</v>
      </c>
      <c r="C18" s="54" t="s">
        <v>2322</v>
      </c>
      <c r="D18" s="55" t="s">
        <v>2323</v>
      </c>
      <c r="E18" s="54" t="s">
        <v>883</v>
      </c>
      <c r="F18" s="54" t="s">
        <v>1816</v>
      </c>
      <c r="G18" s="54">
        <v>3</v>
      </c>
      <c r="H18" s="54">
        <v>3</v>
      </c>
      <c r="I18" s="54"/>
      <c r="J18" s="54">
        <v>0</v>
      </c>
      <c r="K18" s="54"/>
      <c r="L18" s="54"/>
      <c r="M18" s="54"/>
      <c r="N18" s="54"/>
      <c r="O18" s="54" t="s">
        <v>2324</v>
      </c>
    </row>
    <row r="19" spans="1:15" ht="30" x14ac:dyDescent="0.2">
      <c r="A19" s="53" t="s">
        <v>12</v>
      </c>
      <c r="B19" s="53" t="s">
        <v>15</v>
      </c>
      <c r="C19" s="54" t="s">
        <v>2325</v>
      </c>
      <c r="D19" s="55" t="s">
        <v>2326</v>
      </c>
      <c r="E19" s="54" t="s">
        <v>883</v>
      </c>
      <c r="F19" s="54" t="s">
        <v>1816</v>
      </c>
      <c r="G19" s="54">
        <v>3</v>
      </c>
      <c r="H19" s="54">
        <v>3</v>
      </c>
      <c r="I19" s="54">
        <v>43200</v>
      </c>
      <c r="J19" s="54">
        <v>0</v>
      </c>
      <c r="K19" s="54"/>
      <c r="L19" s="54"/>
      <c r="M19" s="54"/>
      <c r="N19" s="54"/>
      <c r="O19" s="54" t="s">
        <v>906</v>
      </c>
    </row>
    <row r="20" spans="1:15" ht="15.75" x14ac:dyDescent="0.2">
      <c r="A20" s="53" t="s">
        <v>12</v>
      </c>
      <c r="B20" s="53" t="s">
        <v>15</v>
      </c>
      <c r="C20" s="54" t="s">
        <v>2327</v>
      </c>
      <c r="D20" s="55" t="s">
        <v>2328</v>
      </c>
      <c r="E20" s="54" t="s">
        <v>883</v>
      </c>
      <c r="F20" s="54" t="s">
        <v>888</v>
      </c>
      <c r="G20" s="54">
        <v>3</v>
      </c>
      <c r="H20" s="54">
        <v>3</v>
      </c>
      <c r="I20" s="54"/>
      <c r="J20" s="54">
        <v>0</v>
      </c>
      <c r="K20" s="54"/>
      <c r="L20" s="54"/>
      <c r="M20" s="54"/>
      <c r="N20" s="54"/>
      <c r="O20" s="54" t="s">
        <v>1510</v>
      </c>
    </row>
    <row r="21" spans="1:15" ht="15.75" x14ac:dyDescent="0.2">
      <c r="A21" s="53" t="s">
        <v>12</v>
      </c>
      <c r="B21" s="53" t="s">
        <v>15</v>
      </c>
      <c r="C21" s="54" t="s">
        <v>2329</v>
      </c>
      <c r="D21" s="55" t="s">
        <v>2330</v>
      </c>
      <c r="E21" s="54" t="s">
        <v>883</v>
      </c>
      <c r="F21" s="54" t="s">
        <v>884</v>
      </c>
      <c r="G21" s="54">
        <v>5</v>
      </c>
      <c r="H21" s="54">
        <v>5</v>
      </c>
      <c r="I21" s="54">
        <v>72000</v>
      </c>
      <c r="J21" s="54">
        <v>0</v>
      </c>
      <c r="K21" s="54"/>
      <c r="L21" s="54"/>
      <c r="M21" s="54"/>
      <c r="N21" s="54"/>
      <c r="O21" s="54" t="s">
        <v>913</v>
      </c>
    </row>
    <row r="22" spans="1:15" ht="15.75" x14ac:dyDescent="0.2">
      <c r="A22" s="53" t="s">
        <v>12</v>
      </c>
      <c r="B22" s="53" t="s">
        <v>15</v>
      </c>
      <c r="C22" s="54" t="s">
        <v>2331</v>
      </c>
      <c r="D22" s="55" t="s">
        <v>2332</v>
      </c>
      <c r="E22" s="54" t="s">
        <v>883</v>
      </c>
      <c r="F22" s="54" t="s">
        <v>888</v>
      </c>
      <c r="G22" s="54">
        <v>3</v>
      </c>
      <c r="H22" s="54">
        <v>3</v>
      </c>
      <c r="I22" s="54"/>
      <c r="J22" s="54">
        <v>0</v>
      </c>
      <c r="K22" s="54"/>
      <c r="L22" s="54"/>
      <c r="M22" s="54"/>
      <c r="N22" s="54"/>
      <c r="O22" s="54" t="s">
        <v>903</v>
      </c>
    </row>
    <row r="23" spans="1:15" ht="15.75" x14ac:dyDescent="0.2">
      <c r="A23" s="53" t="s">
        <v>12</v>
      </c>
      <c r="B23" s="53" t="s">
        <v>15</v>
      </c>
      <c r="C23" s="54" t="s">
        <v>2333</v>
      </c>
      <c r="D23" s="55" t="s">
        <v>2334</v>
      </c>
      <c r="E23" s="54" t="s">
        <v>883</v>
      </c>
      <c r="F23" s="54" t="s">
        <v>2335</v>
      </c>
      <c r="G23" s="54">
        <v>3</v>
      </c>
      <c r="H23" s="54">
        <v>3</v>
      </c>
      <c r="I23" s="54"/>
      <c r="J23" s="54">
        <v>0</v>
      </c>
      <c r="K23" s="54"/>
      <c r="L23" s="54"/>
      <c r="M23" s="54"/>
      <c r="N23" s="54"/>
      <c r="O23" s="54" t="s">
        <v>906</v>
      </c>
    </row>
    <row r="24" spans="1:15" ht="30" x14ac:dyDescent="0.2">
      <c r="A24" s="53" t="s">
        <v>12</v>
      </c>
      <c r="B24" s="53" t="s">
        <v>15</v>
      </c>
      <c r="C24" s="54" t="s">
        <v>2336</v>
      </c>
      <c r="D24" s="55" t="s">
        <v>2337</v>
      </c>
      <c r="E24" s="54" t="s">
        <v>899</v>
      </c>
      <c r="F24" s="54" t="s">
        <v>2338</v>
      </c>
      <c r="G24" s="54">
        <v>5</v>
      </c>
      <c r="H24" s="54">
        <v>5</v>
      </c>
      <c r="I24" s="54">
        <v>86700</v>
      </c>
      <c r="J24" s="54">
        <v>60300</v>
      </c>
      <c r="K24" s="54"/>
      <c r="L24" s="54"/>
      <c r="M24" s="54"/>
      <c r="N24" s="54"/>
      <c r="O24" s="54" t="s">
        <v>2339</v>
      </c>
    </row>
    <row r="25" spans="1:15" ht="60" x14ac:dyDescent="0.2">
      <c r="A25" s="53" t="s">
        <v>12</v>
      </c>
      <c r="B25" s="53" t="s">
        <v>16</v>
      </c>
      <c r="C25" s="54" t="s">
        <v>2340</v>
      </c>
      <c r="D25" s="55" t="s">
        <v>1524</v>
      </c>
      <c r="E25" s="54"/>
      <c r="F25" s="54" t="s">
        <v>2341</v>
      </c>
      <c r="G25" s="54">
        <v>1</v>
      </c>
      <c r="H25" s="54">
        <v>1</v>
      </c>
      <c r="I25" s="54">
        <v>28800</v>
      </c>
      <c r="J25" s="54">
        <v>28800</v>
      </c>
      <c r="K25" s="54"/>
      <c r="L25" s="54"/>
      <c r="M25" s="54">
        <v>1</v>
      </c>
      <c r="N25" s="54"/>
      <c r="O25" s="54" t="s">
        <v>1523</v>
      </c>
    </row>
    <row r="26" spans="1:15" ht="30" x14ac:dyDescent="0.2">
      <c r="A26" s="53" t="s">
        <v>12</v>
      </c>
      <c r="B26" s="53" t="s">
        <v>14</v>
      </c>
      <c r="C26" s="54" t="s">
        <v>2342</v>
      </c>
      <c r="D26" s="55" t="s">
        <v>2343</v>
      </c>
      <c r="E26" s="54"/>
      <c r="F26" s="54"/>
      <c r="G26" s="54">
        <v>8</v>
      </c>
      <c r="H26" s="54"/>
      <c r="I26" s="54">
        <v>244800</v>
      </c>
      <c r="J26" s="54">
        <v>244800</v>
      </c>
      <c r="K26" s="54"/>
      <c r="L26" s="54"/>
      <c r="M26" s="54">
        <v>1</v>
      </c>
      <c r="N26" s="54"/>
      <c r="O26" s="54"/>
    </row>
    <row r="27" spans="1:15" ht="30" x14ac:dyDescent="0.2">
      <c r="A27" s="53" t="s">
        <v>12</v>
      </c>
      <c r="B27" s="53" t="s">
        <v>15</v>
      </c>
      <c r="C27" s="54" t="s">
        <v>2344</v>
      </c>
      <c r="D27" s="55" t="s">
        <v>2345</v>
      </c>
      <c r="E27" s="54" t="s">
        <v>883</v>
      </c>
      <c r="F27" s="54" t="s">
        <v>2335</v>
      </c>
      <c r="G27" s="54">
        <v>2</v>
      </c>
      <c r="H27" s="54">
        <v>2</v>
      </c>
      <c r="I27" s="54"/>
      <c r="J27" s="54">
        <v>0</v>
      </c>
      <c r="K27" s="54"/>
      <c r="L27" s="54"/>
      <c r="M27" s="54"/>
      <c r="N27" s="54"/>
      <c r="O27" s="54" t="s">
        <v>1510</v>
      </c>
    </row>
    <row r="28" spans="1:15" ht="30" x14ac:dyDescent="0.2">
      <c r="A28" s="53" t="s">
        <v>12</v>
      </c>
      <c r="B28" s="53" t="s">
        <v>15</v>
      </c>
      <c r="C28" s="54" t="s">
        <v>2346</v>
      </c>
      <c r="D28" s="55" t="s">
        <v>2347</v>
      </c>
      <c r="E28" s="54" t="s">
        <v>883</v>
      </c>
      <c r="F28" s="54" t="s">
        <v>2335</v>
      </c>
      <c r="G28" s="54">
        <v>3</v>
      </c>
      <c r="H28" s="54">
        <v>3</v>
      </c>
      <c r="I28" s="54"/>
      <c r="J28" s="54">
        <v>0</v>
      </c>
      <c r="K28" s="54"/>
      <c r="L28" s="54"/>
      <c r="M28" s="54"/>
      <c r="N28" s="54"/>
      <c r="O28" s="54" t="s">
        <v>913</v>
      </c>
    </row>
    <row r="29" spans="1:15" ht="15.75" x14ac:dyDescent="0.2">
      <c r="A29" s="53" t="s">
        <v>12</v>
      </c>
      <c r="B29" s="53" t="s">
        <v>15</v>
      </c>
      <c r="C29" s="54" t="s">
        <v>2348</v>
      </c>
      <c r="D29" s="55" t="s">
        <v>2349</v>
      </c>
      <c r="E29" s="54" t="s">
        <v>883</v>
      </c>
      <c r="F29" s="54" t="s">
        <v>2335</v>
      </c>
      <c r="G29" s="54">
        <v>3</v>
      </c>
      <c r="H29" s="54">
        <v>3</v>
      </c>
      <c r="I29" s="54"/>
      <c r="J29" s="54">
        <v>0</v>
      </c>
      <c r="K29" s="54"/>
      <c r="L29" s="54"/>
      <c r="M29" s="54"/>
      <c r="N29" s="54"/>
      <c r="O29" s="54" t="s">
        <v>903</v>
      </c>
    </row>
    <row r="30" spans="1:15" ht="15.75" x14ac:dyDescent="0.2">
      <c r="A30" s="53" t="s">
        <v>12</v>
      </c>
      <c r="B30" s="53" t="s">
        <v>15</v>
      </c>
      <c r="C30" s="54" t="s">
        <v>2350</v>
      </c>
      <c r="D30" s="55" t="s">
        <v>2351</v>
      </c>
      <c r="E30" s="54" t="s">
        <v>883</v>
      </c>
      <c r="F30" s="54" t="s">
        <v>2335</v>
      </c>
      <c r="G30" s="54">
        <v>3</v>
      </c>
      <c r="H30" s="54">
        <v>3</v>
      </c>
      <c r="I30" s="54"/>
      <c r="J30" s="54">
        <v>0</v>
      </c>
      <c r="K30" s="54"/>
      <c r="L30" s="54"/>
      <c r="M30" s="54"/>
      <c r="N30" s="54"/>
      <c r="O30" s="54" t="s">
        <v>906</v>
      </c>
    </row>
    <row r="31" spans="1:15" ht="30" x14ac:dyDescent="0.2">
      <c r="A31" s="53" t="s">
        <v>12</v>
      </c>
      <c r="B31" s="53" t="s">
        <v>15</v>
      </c>
      <c r="C31" s="54" t="s">
        <v>2352</v>
      </c>
      <c r="D31" s="55" t="s">
        <v>2353</v>
      </c>
      <c r="E31" s="54" t="s">
        <v>1311</v>
      </c>
      <c r="F31" s="54" t="s">
        <v>2075</v>
      </c>
      <c r="G31" s="54">
        <v>5</v>
      </c>
      <c r="H31" s="54">
        <v>5</v>
      </c>
      <c r="I31" s="54">
        <v>72000</v>
      </c>
      <c r="J31" s="54">
        <v>0</v>
      </c>
      <c r="K31" s="54"/>
      <c r="L31" s="54"/>
      <c r="M31" s="54"/>
      <c r="N31" s="54"/>
      <c r="O31" s="54" t="s">
        <v>2354</v>
      </c>
    </row>
    <row r="32" spans="1:15" ht="30" x14ac:dyDescent="0.2">
      <c r="A32" s="53" t="s">
        <v>12</v>
      </c>
      <c r="B32" s="53" t="s">
        <v>16</v>
      </c>
      <c r="C32" s="54" t="s">
        <v>2355</v>
      </c>
      <c r="D32" s="55" t="s">
        <v>2356</v>
      </c>
      <c r="E32" s="54" t="s">
        <v>1311</v>
      </c>
      <c r="F32" s="54" t="s">
        <v>2357</v>
      </c>
      <c r="G32" s="54">
        <v>3</v>
      </c>
      <c r="H32" s="54"/>
      <c r="I32" s="54">
        <v>57600</v>
      </c>
      <c r="J32" s="54">
        <v>0</v>
      </c>
      <c r="K32" s="54"/>
      <c r="L32" s="54"/>
      <c r="M32" s="54"/>
      <c r="N32" s="54"/>
      <c r="O32" s="54" t="s">
        <v>2358</v>
      </c>
    </row>
    <row r="33" spans="1:15" ht="30" x14ac:dyDescent="0.2">
      <c r="A33" s="53" t="s">
        <v>12</v>
      </c>
      <c r="B33" s="53" t="s">
        <v>15</v>
      </c>
      <c r="C33" s="54" t="s">
        <v>2359</v>
      </c>
      <c r="D33" s="55" t="s">
        <v>2360</v>
      </c>
      <c r="E33" s="54" t="s">
        <v>1311</v>
      </c>
      <c r="F33" s="54" t="s">
        <v>2361</v>
      </c>
      <c r="G33" s="54">
        <v>3</v>
      </c>
      <c r="H33" s="54">
        <v>3</v>
      </c>
      <c r="I33" s="54">
        <v>129600</v>
      </c>
      <c r="J33" s="54">
        <v>0</v>
      </c>
      <c r="K33" s="54"/>
      <c r="L33" s="54"/>
      <c r="M33" s="54"/>
      <c r="N33" s="54"/>
      <c r="O33" s="54" t="s">
        <v>2362</v>
      </c>
    </row>
    <row r="34" spans="1:15" ht="30" x14ac:dyDescent="0.2">
      <c r="A34" s="53" t="s">
        <v>12</v>
      </c>
      <c r="B34" s="53" t="s">
        <v>15</v>
      </c>
      <c r="C34" s="54" t="s">
        <v>2363</v>
      </c>
      <c r="D34" s="55" t="s">
        <v>2364</v>
      </c>
      <c r="E34" s="54" t="s">
        <v>1311</v>
      </c>
      <c r="F34" s="54" t="s">
        <v>2361</v>
      </c>
      <c r="G34" s="54">
        <v>5</v>
      </c>
      <c r="H34" s="54">
        <v>5</v>
      </c>
      <c r="I34" s="54">
        <v>158400</v>
      </c>
      <c r="J34" s="54">
        <v>0</v>
      </c>
      <c r="K34" s="54"/>
      <c r="L34" s="54"/>
      <c r="M34" s="54"/>
      <c r="N34" s="54"/>
      <c r="O34" s="54" t="s">
        <v>2365</v>
      </c>
    </row>
    <row r="35" spans="1:15" ht="30" x14ac:dyDescent="0.2">
      <c r="A35" s="53" t="s">
        <v>12</v>
      </c>
      <c r="B35" s="53" t="s">
        <v>15</v>
      </c>
      <c r="C35" s="54" t="s">
        <v>2366</v>
      </c>
      <c r="D35" s="55" t="s">
        <v>2367</v>
      </c>
      <c r="E35" s="54" t="s">
        <v>1311</v>
      </c>
      <c r="F35" s="54" t="s">
        <v>2075</v>
      </c>
      <c r="G35" s="54">
        <v>1</v>
      </c>
      <c r="H35" s="54">
        <v>1</v>
      </c>
      <c r="I35" s="54">
        <v>57600</v>
      </c>
      <c r="J35" s="54">
        <v>0</v>
      </c>
      <c r="K35" s="54"/>
      <c r="L35" s="54"/>
      <c r="M35" s="54"/>
      <c r="N35" s="54"/>
      <c r="O35" s="54" t="s">
        <v>2368</v>
      </c>
    </row>
    <row r="36" spans="1:15" ht="30" x14ac:dyDescent="0.2">
      <c r="A36" s="53" t="s">
        <v>12</v>
      </c>
      <c r="B36" s="53" t="s">
        <v>15</v>
      </c>
      <c r="C36" s="54" t="s">
        <v>2369</v>
      </c>
      <c r="D36" s="55" t="s">
        <v>2370</v>
      </c>
      <c r="E36" s="54" t="s">
        <v>1311</v>
      </c>
      <c r="F36" s="54" t="s">
        <v>2291</v>
      </c>
      <c r="G36" s="54">
        <v>3</v>
      </c>
      <c r="H36" s="54">
        <v>3</v>
      </c>
      <c r="I36" s="54">
        <v>154800</v>
      </c>
      <c r="J36" s="54">
        <v>0</v>
      </c>
      <c r="K36" s="54"/>
      <c r="L36" s="54"/>
      <c r="M36" s="54"/>
      <c r="N36" s="54"/>
      <c r="O36" s="54" t="s">
        <v>2371</v>
      </c>
    </row>
    <row r="37" spans="1:15" ht="30" x14ac:dyDescent="0.2">
      <c r="A37" s="53" t="s">
        <v>12</v>
      </c>
      <c r="B37" s="53" t="s">
        <v>15</v>
      </c>
      <c r="C37" s="54" t="s">
        <v>2372</v>
      </c>
      <c r="D37" s="55" t="s">
        <v>2373</v>
      </c>
      <c r="E37" s="54" t="s">
        <v>1311</v>
      </c>
      <c r="F37" s="54" t="s">
        <v>2075</v>
      </c>
      <c r="G37" s="54">
        <v>3</v>
      </c>
      <c r="H37" s="54">
        <v>3</v>
      </c>
      <c r="I37" s="54">
        <v>28800</v>
      </c>
      <c r="J37" s="54">
        <v>0</v>
      </c>
      <c r="K37" s="54"/>
      <c r="L37" s="54"/>
      <c r="M37" s="54"/>
      <c r="N37" s="54"/>
      <c r="O37" s="54" t="s">
        <v>2374</v>
      </c>
    </row>
    <row r="38" spans="1:15" ht="30" x14ac:dyDescent="0.2">
      <c r="A38" s="53" t="s">
        <v>12</v>
      </c>
      <c r="B38" s="53" t="s">
        <v>15</v>
      </c>
      <c r="C38" s="54" t="s">
        <v>2375</v>
      </c>
      <c r="D38" s="55" t="s">
        <v>2376</v>
      </c>
      <c r="E38" s="54" t="s">
        <v>1311</v>
      </c>
      <c r="F38" s="54" t="s">
        <v>2361</v>
      </c>
      <c r="G38" s="54">
        <v>3</v>
      </c>
      <c r="H38" s="54">
        <v>3</v>
      </c>
      <c r="I38" s="54">
        <v>129600</v>
      </c>
      <c r="J38" s="54">
        <v>0</v>
      </c>
      <c r="K38" s="54"/>
      <c r="L38" s="54"/>
      <c r="M38" s="54"/>
      <c r="N38" s="54"/>
      <c r="O38" s="54" t="s">
        <v>2377</v>
      </c>
    </row>
    <row r="39" spans="1:15" ht="30" x14ac:dyDescent="0.2">
      <c r="A39" s="53" t="s">
        <v>12</v>
      </c>
      <c r="B39" s="53" t="s">
        <v>15</v>
      </c>
      <c r="C39" s="54" t="s">
        <v>2378</v>
      </c>
      <c r="D39" s="55" t="s">
        <v>2379</v>
      </c>
      <c r="E39" s="54" t="s">
        <v>1311</v>
      </c>
      <c r="F39" s="54" t="s">
        <v>2361</v>
      </c>
      <c r="G39" s="54">
        <v>5</v>
      </c>
      <c r="H39" s="54">
        <v>5</v>
      </c>
      <c r="I39" s="54">
        <v>158400</v>
      </c>
      <c r="J39" s="54">
        <v>0</v>
      </c>
      <c r="K39" s="54"/>
      <c r="L39" s="54"/>
      <c r="M39" s="54"/>
      <c r="N39" s="54"/>
      <c r="O39" s="54" t="s">
        <v>2380</v>
      </c>
    </row>
    <row r="40" spans="1:15" ht="30" x14ac:dyDescent="0.2">
      <c r="A40" s="53" t="s">
        <v>12</v>
      </c>
      <c r="B40" s="53" t="s">
        <v>15</v>
      </c>
      <c r="C40" s="54" t="s">
        <v>2381</v>
      </c>
      <c r="D40" s="55" t="s">
        <v>2382</v>
      </c>
      <c r="E40" s="54" t="s">
        <v>1311</v>
      </c>
      <c r="F40" s="54" t="s">
        <v>2294</v>
      </c>
      <c r="G40" s="54">
        <v>1</v>
      </c>
      <c r="H40" s="54">
        <v>1</v>
      </c>
      <c r="I40" s="54">
        <v>14400</v>
      </c>
      <c r="J40" s="54">
        <v>0</v>
      </c>
      <c r="K40" s="54"/>
      <c r="L40" s="54"/>
      <c r="M40" s="54"/>
      <c r="N40" s="54"/>
      <c r="O40" s="54" t="s">
        <v>2383</v>
      </c>
    </row>
    <row r="41" spans="1:15" ht="30" x14ac:dyDescent="0.2">
      <c r="A41" s="53" t="s">
        <v>12</v>
      </c>
      <c r="B41" s="53" t="s">
        <v>16</v>
      </c>
      <c r="C41" s="54" t="s">
        <v>2384</v>
      </c>
      <c r="D41" s="55" t="s">
        <v>2385</v>
      </c>
      <c r="E41" s="54" t="s">
        <v>1311</v>
      </c>
      <c r="F41" s="54" t="s">
        <v>2386</v>
      </c>
      <c r="G41" s="54">
        <v>5</v>
      </c>
      <c r="H41" s="54"/>
      <c r="I41" s="54">
        <v>201600</v>
      </c>
      <c r="J41" s="54">
        <v>28800</v>
      </c>
      <c r="K41" s="54"/>
      <c r="L41" s="54"/>
      <c r="M41" s="54"/>
      <c r="N41" s="54"/>
      <c r="O41" s="54" t="s">
        <v>2387</v>
      </c>
    </row>
    <row r="42" spans="1:15" ht="15.75" x14ac:dyDescent="0.2">
      <c r="A42" s="53" t="s">
        <v>12</v>
      </c>
      <c r="B42" s="53" t="s">
        <v>15</v>
      </c>
      <c r="C42" s="54" t="s">
        <v>2388</v>
      </c>
      <c r="D42" s="55" t="s">
        <v>2389</v>
      </c>
      <c r="E42" s="54" t="s">
        <v>1311</v>
      </c>
      <c r="F42" s="54" t="s">
        <v>2075</v>
      </c>
      <c r="G42" s="54">
        <v>3</v>
      </c>
      <c r="H42" s="54">
        <v>3</v>
      </c>
      <c r="I42" s="54">
        <v>28800</v>
      </c>
      <c r="J42" s="54">
        <v>0</v>
      </c>
      <c r="K42" s="54"/>
      <c r="L42" s="54"/>
      <c r="M42" s="54"/>
      <c r="N42" s="54"/>
      <c r="O42" s="54" t="s">
        <v>2390</v>
      </c>
    </row>
    <row r="43" spans="1:15" ht="30" x14ac:dyDescent="0.2">
      <c r="A43" s="53" t="s">
        <v>12</v>
      </c>
      <c r="B43" s="53" t="s">
        <v>15</v>
      </c>
      <c r="C43" s="54" t="s">
        <v>2391</v>
      </c>
      <c r="D43" s="55" t="s">
        <v>2392</v>
      </c>
      <c r="E43" s="54" t="s">
        <v>1311</v>
      </c>
      <c r="F43" s="54" t="s">
        <v>2361</v>
      </c>
      <c r="G43" s="54">
        <v>3</v>
      </c>
      <c r="H43" s="54">
        <v>3</v>
      </c>
      <c r="I43" s="54">
        <v>244800</v>
      </c>
      <c r="J43" s="54">
        <v>0</v>
      </c>
      <c r="K43" s="54"/>
      <c r="L43" s="54"/>
      <c r="M43" s="54"/>
      <c r="N43" s="54"/>
      <c r="O43" s="54" t="s">
        <v>2393</v>
      </c>
    </row>
    <row r="44" spans="1:15" ht="30" x14ac:dyDescent="0.2">
      <c r="A44" s="53" t="s">
        <v>12</v>
      </c>
      <c r="B44" s="53" t="s">
        <v>15</v>
      </c>
      <c r="C44" s="54" t="s">
        <v>2394</v>
      </c>
      <c r="D44" s="55" t="s">
        <v>2395</v>
      </c>
      <c r="E44" s="54" t="s">
        <v>1311</v>
      </c>
      <c r="F44" s="54" t="s">
        <v>2361</v>
      </c>
      <c r="G44" s="54">
        <v>5</v>
      </c>
      <c r="H44" s="54">
        <v>5</v>
      </c>
      <c r="I44" s="54">
        <v>216000</v>
      </c>
      <c r="J44" s="54">
        <v>0</v>
      </c>
      <c r="K44" s="54"/>
      <c r="L44" s="54"/>
      <c r="M44" s="54"/>
      <c r="N44" s="54"/>
      <c r="O44" s="54" t="s">
        <v>2396</v>
      </c>
    </row>
    <row r="45" spans="1:15" ht="30" x14ac:dyDescent="0.2">
      <c r="A45" s="53" t="s">
        <v>12</v>
      </c>
      <c r="B45" s="53" t="s">
        <v>15</v>
      </c>
      <c r="C45" s="54" t="s">
        <v>2397</v>
      </c>
      <c r="D45" s="55" t="s">
        <v>2398</v>
      </c>
      <c r="E45" s="54" t="s">
        <v>1311</v>
      </c>
      <c r="F45" s="54" t="s">
        <v>2075</v>
      </c>
      <c r="G45" s="54">
        <v>1</v>
      </c>
      <c r="H45" s="54">
        <v>1</v>
      </c>
      <c r="I45" s="54"/>
      <c r="J45" s="54"/>
      <c r="K45" s="54"/>
      <c r="L45" s="54"/>
      <c r="M45" s="54"/>
      <c r="N45" s="54"/>
      <c r="O45" s="54" t="s">
        <v>2399</v>
      </c>
    </row>
    <row r="46" spans="1:15" ht="30" x14ac:dyDescent="0.2">
      <c r="A46" s="53" t="s">
        <v>12</v>
      </c>
      <c r="B46" s="53" t="s">
        <v>16</v>
      </c>
      <c r="C46" s="54" t="s">
        <v>2400</v>
      </c>
      <c r="D46" s="55" t="s">
        <v>2401</v>
      </c>
      <c r="E46" s="54" t="s">
        <v>1311</v>
      </c>
      <c r="F46" s="54" t="s">
        <v>1616</v>
      </c>
      <c r="G46" s="54">
        <v>0.5</v>
      </c>
      <c r="H46" s="54"/>
      <c r="I46" s="54">
        <v>32400</v>
      </c>
      <c r="J46" s="54">
        <v>0</v>
      </c>
      <c r="K46" s="54"/>
      <c r="L46" s="54"/>
      <c r="M46" s="54"/>
      <c r="N46" s="54"/>
      <c r="O46" s="54" t="s">
        <v>2402</v>
      </c>
    </row>
    <row r="47" spans="1:15" ht="30" x14ac:dyDescent="0.2">
      <c r="A47" s="53" t="s">
        <v>12</v>
      </c>
      <c r="B47" s="53" t="s">
        <v>15</v>
      </c>
      <c r="C47" s="54" t="s">
        <v>2403</v>
      </c>
      <c r="D47" s="55" t="s">
        <v>2404</v>
      </c>
      <c r="E47" s="54" t="s">
        <v>1311</v>
      </c>
      <c r="F47" s="54" t="s">
        <v>2405</v>
      </c>
      <c r="G47" s="54">
        <v>3</v>
      </c>
      <c r="H47" s="54">
        <v>3</v>
      </c>
      <c r="I47" s="54">
        <v>36000</v>
      </c>
      <c r="J47" s="54">
        <v>0</v>
      </c>
      <c r="K47" s="54"/>
      <c r="L47" s="54"/>
      <c r="M47" s="54"/>
      <c r="N47" s="54"/>
      <c r="O47" s="54" t="s">
        <v>2406</v>
      </c>
    </row>
    <row r="48" spans="1:15" ht="60" x14ac:dyDescent="0.2">
      <c r="A48" s="53" t="s">
        <v>12</v>
      </c>
      <c r="B48" s="53" t="s">
        <v>16</v>
      </c>
      <c r="C48" s="54" t="s">
        <v>2407</v>
      </c>
      <c r="D48" s="55" t="s">
        <v>2408</v>
      </c>
      <c r="E48" s="54" t="s">
        <v>899</v>
      </c>
      <c r="F48" s="54" t="s">
        <v>2275</v>
      </c>
      <c r="G48" s="54">
        <v>2</v>
      </c>
      <c r="H48" s="54"/>
      <c r="I48" s="54"/>
      <c r="J48" s="54">
        <v>0</v>
      </c>
      <c r="K48" s="54"/>
      <c r="L48" s="54"/>
      <c r="M48" s="54">
        <v>1</v>
      </c>
      <c r="N48" s="54"/>
      <c r="O48" s="54" t="s">
        <v>2409</v>
      </c>
    </row>
    <row r="49" spans="1:15" ht="15.75" x14ac:dyDescent="0.2">
      <c r="A49" s="53" t="s">
        <v>12</v>
      </c>
      <c r="B49" s="53" t="s">
        <v>16</v>
      </c>
      <c r="C49" s="54" t="s">
        <v>2410</v>
      </c>
      <c r="D49" s="55" t="s">
        <v>2411</v>
      </c>
      <c r="E49" s="54" t="s">
        <v>883</v>
      </c>
      <c r="F49" s="54" t="s">
        <v>884</v>
      </c>
      <c r="G49" s="54">
        <v>2</v>
      </c>
      <c r="H49" s="54"/>
      <c r="I49" s="54">
        <v>57600</v>
      </c>
      <c r="J49" s="54">
        <v>0</v>
      </c>
      <c r="K49" s="54"/>
      <c r="L49" s="54"/>
      <c r="M49" s="54"/>
      <c r="N49" s="54"/>
      <c r="O49" s="54" t="s">
        <v>980</v>
      </c>
    </row>
    <row r="50" spans="1:15" ht="15.75" x14ac:dyDescent="0.2">
      <c r="A50" s="53" t="s">
        <v>12</v>
      </c>
      <c r="B50" s="53" t="s">
        <v>16</v>
      </c>
      <c r="C50" s="54" t="s">
        <v>2412</v>
      </c>
      <c r="D50" s="55" t="s">
        <v>2413</v>
      </c>
      <c r="E50" s="54" t="s">
        <v>883</v>
      </c>
      <c r="F50" s="54" t="s">
        <v>884</v>
      </c>
      <c r="G50" s="54">
        <v>2</v>
      </c>
      <c r="H50" s="54"/>
      <c r="I50" s="54">
        <v>14400</v>
      </c>
      <c r="J50" s="54">
        <v>14400</v>
      </c>
      <c r="K50" s="54"/>
      <c r="L50" s="54"/>
      <c r="M50" s="54"/>
      <c r="N50" s="54"/>
      <c r="O50" s="54" t="s">
        <v>980</v>
      </c>
    </row>
    <row r="51" spans="1:15" ht="30" x14ac:dyDescent="0.2">
      <c r="A51" s="53" t="s">
        <v>12</v>
      </c>
      <c r="B51" s="53" t="s">
        <v>13</v>
      </c>
      <c r="C51" s="54" t="s">
        <v>2414</v>
      </c>
      <c r="D51" s="55" t="s">
        <v>2415</v>
      </c>
      <c r="E51" s="54" t="s">
        <v>883</v>
      </c>
      <c r="F51" s="54" t="s">
        <v>884</v>
      </c>
      <c r="G51" s="54">
        <v>2</v>
      </c>
      <c r="H51" s="54"/>
      <c r="I51" s="54">
        <v>14400</v>
      </c>
      <c r="J51" s="54">
        <v>14400</v>
      </c>
      <c r="K51" s="54"/>
      <c r="L51" s="54"/>
      <c r="M51" s="54"/>
      <c r="N51" s="54"/>
      <c r="O51" s="54" t="s">
        <v>980</v>
      </c>
    </row>
    <row r="52" spans="1:15" ht="30" x14ac:dyDescent="0.2">
      <c r="A52" s="53" t="s">
        <v>12</v>
      </c>
      <c r="B52" s="53" t="s">
        <v>13</v>
      </c>
      <c r="C52" s="54" t="s">
        <v>2416</v>
      </c>
      <c r="D52" s="55" t="s">
        <v>2417</v>
      </c>
      <c r="E52" s="54" t="s">
        <v>883</v>
      </c>
      <c r="F52" s="54" t="s">
        <v>884</v>
      </c>
      <c r="G52" s="54">
        <v>2</v>
      </c>
      <c r="H52" s="54"/>
      <c r="I52" s="54">
        <v>14400</v>
      </c>
      <c r="J52" s="54">
        <v>14400</v>
      </c>
      <c r="K52" s="54"/>
      <c r="L52" s="54"/>
      <c r="M52" s="54"/>
      <c r="N52" s="54"/>
      <c r="O52" s="54" t="s">
        <v>980</v>
      </c>
    </row>
    <row r="53" spans="1:15" ht="30" x14ac:dyDescent="0.2">
      <c r="A53" s="53" t="s">
        <v>12</v>
      </c>
      <c r="B53" s="53" t="s">
        <v>13</v>
      </c>
      <c r="C53" s="54" t="s">
        <v>2418</v>
      </c>
      <c r="D53" s="55" t="s">
        <v>2419</v>
      </c>
      <c r="E53" s="54" t="s">
        <v>883</v>
      </c>
      <c r="F53" s="54" t="s">
        <v>884</v>
      </c>
      <c r="G53" s="54">
        <v>2</v>
      </c>
      <c r="H53" s="54"/>
      <c r="I53" s="54">
        <v>14400</v>
      </c>
      <c r="J53" s="54">
        <v>14400</v>
      </c>
      <c r="K53" s="54"/>
      <c r="L53" s="54"/>
      <c r="M53" s="54"/>
      <c r="N53" s="54"/>
      <c r="O53" s="54" t="s">
        <v>980</v>
      </c>
    </row>
    <row r="54" spans="1:15" ht="30" x14ac:dyDescent="0.2">
      <c r="A54" s="53" t="s">
        <v>12</v>
      </c>
      <c r="B54" s="53" t="s">
        <v>16</v>
      </c>
      <c r="C54" s="54" t="s">
        <v>2420</v>
      </c>
      <c r="D54" s="55" t="s">
        <v>2421</v>
      </c>
      <c r="E54" s="54" t="s">
        <v>883</v>
      </c>
      <c r="F54" s="54" t="s">
        <v>884</v>
      </c>
      <c r="G54" s="54">
        <v>2</v>
      </c>
      <c r="H54" s="54"/>
      <c r="I54" s="54">
        <v>14400</v>
      </c>
      <c r="J54" s="54">
        <v>14400</v>
      </c>
      <c r="K54" s="54"/>
      <c r="L54" s="54"/>
      <c r="M54" s="54"/>
      <c r="N54" s="54"/>
      <c r="O54" s="54" t="s">
        <v>980</v>
      </c>
    </row>
    <row r="55" spans="1:15" ht="15.75" x14ac:dyDescent="0.2">
      <c r="A55" s="53" t="s">
        <v>12</v>
      </c>
      <c r="B55" s="53" t="s">
        <v>16</v>
      </c>
      <c r="C55" s="54" t="s">
        <v>2422</v>
      </c>
      <c r="D55" s="55" t="s">
        <v>2423</v>
      </c>
      <c r="E55" s="54" t="s">
        <v>883</v>
      </c>
      <c r="F55" s="54" t="s">
        <v>884</v>
      </c>
      <c r="G55" s="54">
        <v>2</v>
      </c>
      <c r="H55" s="54"/>
      <c r="I55" s="54">
        <v>14400</v>
      </c>
      <c r="J55" s="54">
        <v>14400</v>
      </c>
      <c r="K55" s="54"/>
      <c r="L55" s="54"/>
      <c r="M55" s="54"/>
      <c r="N55" s="54"/>
      <c r="O55" s="54" t="s">
        <v>980</v>
      </c>
    </row>
    <row r="56" spans="1:15" ht="30" x14ac:dyDescent="0.2">
      <c r="A56" s="53" t="s">
        <v>12</v>
      </c>
      <c r="B56" s="53" t="s">
        <v>15</v>
      </c>
      <c r="C56" s="54" t="s">
        <v>2424</v>
      </c>
      <c r="D56" s="55" t="s">
        <v>2425</v>
      </c>
      <c r="E56" s="54"/>
      <c r="F56" s="54" t="s">
        <v>2426</v>
      </c>
      <c r="G56" s="54"/>
      <c r="H56" s="54"/>
      <c r="I56" s="54"/>
      <c r="J56" s="54">
        <v>0</v>
      </c>
      <c r="K56" s="54"/>
      <c r="L56" s="54"/>
      <c r="M56" s="54"/>
      <c r="N56" s="54"/>
      <c r="O56" s="54" t="s">
        <v>2427</v>
      </c>
    </row>
    <row r="57" spans="1:15" ht="30" x14ac:dyDescent="0.2">
      <c r="A57" s="53" t="s">
        <v>12</v>
      </c>
      <c r="B57" s="53" t="s">
        <v>13</v>
      </c>
      <c r="C57" s="54" t="s">
        <v>2428</v>
      </c>
      <c r="D57" s="55" t="s">
        <v>2429</v>
      </c>
      <c r="E57" s="54" t="s">
        <v>883</v>
      </c>
      <c r="F57" s="54" t="s">
        <v>910</v>
      </c>
      <c r="G57" s="54">
        <v>8</v>
      </c>
      <c r="H57" s="54"/>
      <c r="I57" s="54"/>
      <c r="J57" s="54"/>
      <c r="K57" s="54"/>
      <c r="L57" s="54"/>
      <c r="M57" s="54"/>
      <c r="N57" s="54"/>
      <c r="O57" s="54" t="s">
        <v>1517</v>
      </c>
    </row>
    <row r="58" spans="1:15" ht="15.75" x14ac:dyDescent="0.2">
      <c r="A58" s="53" t="s">
        <v>12</v>
      </c>
      <c r="B58" s="53" t="s">
        <v>13</v>
      </c>
      <c r="C58" s="54" t="s">
        <v>2430</v>
      </c>
      <c r="D58" s="55" t="s">
        <v>2431</v>
      </c>
      <c r="E58" s="54" t="s">
        <v>883</v>
      </c>
      <c r="F58" s="54" t="s">
        <v>884</v>
      </c>
      <c r="G58" s="54">
        <v>5</v>
      </c>
      <c r="H58" s="54"/>
      <c r="I58" s="54"/>
      <c r="J58" s="54"/>
      <c r="K58" s="54"/>
      <c r="L58" s="54"/>
      <c r="M58" s="54"/>
      <c r="N58" s="54"/>
      <c r="O58" s="54" t="s">
        <v>944</v>
      </c>
    </row>
    <row r="59" spans="1:15" ht="15.75" x14ac:dyDescent="0.2">
      <c r="A59" s="53" t="s">
        <v>12</v>
      </c>
      <c r="B59" s="53" t="s">
        <v>16</v>
      </c>
      <c r="C59" s="54" t="s">
        <v>2432</v>
      </c>
      <c r="D59" s="55" t="s">
        <v>2433</v>
      </c>
      <c r="E59" s="54" t="s">
        <v>883</v>
      </c>
      <c r="F59" s="54" t="s">
        <v>884</v>
      </c>
      <c r="G59" s="54">
        <v>8</v>
      </c>
      <c r="H59" s="54"/>
      <c r="I59" s="54">
        <v>43200</v>
      </c>
      <c r="J59" s="54">
        <v>7200</v>
      </c>
      <c r="K59" s="54"/>
      <c r="L59" s="54"/>
      <c r="M59" s="54"/>
      <c r="N59" s="54"/>
      <c r="O59" s="54" t="s">
        <v>2434</v>
      </c>
    </row>
    <row r="60" spans="1:15" ht="15.75" x14ac:dyDescent="0.2">
      <c r="A60" s="53" t="s">
        <v>12</v>
      </c>
      <c r="B60" s="53" t="s">
        <v>16</v>
      </c>
      <c r="C60" s="54" t="s">
        <v>2435</v>
      </c>
      <c r="D60" s="55" t="s">
        <v>2436</v>
      </c>
      <c r="E60" s="54" t="s">
        <v>883</v>
      </c>
      <c r="F60" s="54" t="s">
        <v>884</v>
      </c>
      <c r="G60" s="54">
        <v>8</v>
      </c>
      <c r="H60" s="54"/>
      <c r="I60" s="54">
        <v>64800</v>
      </c>
      <c r="J60" s="54">
        <v>21600</v>
      </c>
      <c r="K60" s="54"/>
      <c r="L60" s="54"/>
      <c r="M60" s="54"/>
      <c r="N60" s="54"/>
      <c r="O60" s="54" t="s">
        <v>2437</v>
      </c>
    </row>
    <row r="61" spans="1:15" ht="15.75" x14ac:dyDescent="0.2">
      <c r="A61" s="53" t="s">
        <v>12</v>
      </c>
      <c r="B61" s="53" t="s">
        <v>14</v>
      </c>
      <c r="C61" s="54" t="s">
        <v>2438</v>
      </c>
      <c r="D61" s="55" t="s">
        <v>2439</v>
      </c>
      <c r="E61" s="54" t="s">
        <v>883</v>
      </c>
      <c r="F61" s="54" t="s">
        <v>884</v>
      </c>
      <c r="G61" s="54">
        <v>8</v>
      </c>
      <c r="H61" s="54"/>
      <c r="I61" s="54">
        <v>43200</v>
      </c>
      <c r="J61" s="54">
        <v>21600</v>
      </c>
      <c r="K61" s="54"/>
      <c r="L61" s="54"/>
      <c r="M61" s="54"/>
      <c r="N61" s="54"/>
      <c r="O61" s="54" t="s">
        <v>944</v>
      </c>
    </row>
    <row r="62" spans="1:15" ht="15.75" x14ac:dyDescent="0.2">
      <c r="A62" s="53" t="s">
        <v>12</v>
      </c>
      <c r="B62" s="53" t="s">
        <v>14</v>
      </c>
      <c r="C62" s="54" t="s">
        <v>2440</v>
      </c>
      <c r="D62" s="55" t="s">
        <v>2441</v>
      </c>
      <c r="E62" s="54" t="s">
        <v>883</v>
      </c>
      <c r="F62" s="54" t="s">
        <v>884</v>
      </c>
      <c r="G62" s="54">
        <v>8</v>
      </c>
      <c r="H62" s="54"/>
      <c r="I62" s="54">
        <v>43200</v>
      </c>
      <c r="J62" s="54">
        <v>43200</v>
      </c>
      <c r="K62" s="54"/>
      <c r="L62" s="54"/>
      <c r="M62" s="54"/>
      <c r="N62" s="54"/>
      <c r="O62" s="54" t="s">
        <v>944</v>
      </c>
    </row>
    <row r="63" spans="1:15" ht="15.75" x14ac:dyDescent="0.2">
      <c r="A63" s="53" t="s">
        <v>12</v>
      </c>
      <c r="B63" s="53" t="s">
        <v>13</v>
      </c>
      <c r="C63" s="54" t="s">
        <v>2442</v>
      </c>
      <c r="D63" s="55" t="s">
        <v>2443</v>
      </c>
      <c r="E63" s="54" t="s">
        <v>883</v>
      </c>
      <c r="F63" s="54" t="s">
        <v>884</v>
      </c>
      <c r="G63" s="54">
        <v>8</v>
      </c>
      <c r="H63" s="54"/>
      <c r="I63" s="54">
        <v>43200</v>
      </c>
      <c r="J63" s="54">
        <v>43200</v>
      </c>
      <c r="K63" s="54"/>
      <c r="L63" s="54"/>
      <c r="M63" s="54"/>
      <c r="N63" s="54"/>
      <c r="O63" s="54" t="s">
        <v>944</v>
      </c>
    </row>
    <row r="64" spans="1:15" ht="15.75" x14ac:dyDescent="0.2">
      <c r="A64" s="53" t="s">
        <v>12</v>
      </c>
      <c r="B64" s="53" t="s">
        <v>13</v>
      </c>
      <c r="C64" s="54" t="s">
        <v>2444</v>
      </c>
      <c r="D64" s="55" t="s">
        <v>2445</v>
      </c>
      <c r="E64" s="54" t="s">
        <v>883</v>
      </c>
      <c r="F64" s="54" t="s">
        <v>884</v>
      </c>
      <c r="G64" s="54">
        <v>8</v>
      </c>
      <c r="H64" s="54"/>
      <c r="I64" s="54">
        <v>43200</v>
      </c>
      <c r="J64" s="54">
        <v>14400</v>
      </c>
      <c r="K64" s="54"/>
      <c r="L64" s="54"/>
      <c r="M64" s="54"/>
      <c r="N64" s="54"/>
      <c r="O64" s="54" t="s">
        <v>944</v>
      </c>
    </row>
    <row r="65" spans="1:15" ht="15.75" x14ac:dyDescent="0.2">
      <c r="A65" s="53" t="s">
        <v>12</v>
      </c>
      <c r="B65" s="53" t="s">
        <v>16</v>
      </c>
      <c r="C65" s="54" t="s">
        <v>2446</v>
      </c>
      <c r="D65" s="55" t="s">
        <v>2447</v>
      </c>
      <c r="E65" s="54" t="s">
        <v>1726</v>
      </c>
      <c r="F65" s="54" t="s">
        <v>884</v>
      </c>
      <c r="G65" s="54">
        <v>1</v>
      </c>
      <c r="H65" s="54"/>
      <c r="I65" s="54">
        <v>7200</v>
      </c>
      <c r="J65" s="54">
        <v>7200</v>
      </c>
      <c r="K65" s="54"/>
      <c r="L65" s="54"/>
      <c r="M65" s="54"/>
      <c r="N65" s="54"/>
      <c r="O65" s="54" t="s">
        <v>2448</v>
      </c>
    </row>
    <row r="66" spans="1:15" ht="15.75" x14ac:dyDescent="0.2">
      <c r="A66" s="53" t="s">
        <v>12</v>
      </c>
      <c r="B66" s="53" t="s">
        <v>16</v>
      </c>
      <c r="C66" s="54" t="s">
        <v>2449</v>
      </c>
      <c r="D66" s="55" t="s">
        <v>2450</v>
      </c>
      <c r="E66" s="54" t="s">
        <v>1726</v>
      </c>
      <c r="F66" s="54" t="s">
        <v>884</v>
      </c>
      <c r="G66" s="54">
        <v>2</v>
      </c>
      <c r="H66" s="54"/>
      <c r="I66" s="54">
        <v>54000</v>
      </c>
      <c r="J66" s="54">
        <v>0</v>
      </c>
      <c r="K66" s="54"/>
      <c r="L66" s="54"/>
      <c r="M66" s="54"/>
      <c r="N66" s="54"/>
      <c r="O66" s="54" t="s">
        <v>953</v>
      </c>
    </row>
    <row r="67" spans="1:15" ht="15.75" x14ac:dyDescent="0.2">
      <c r="A67" s="53" t="s">
        <v>12</v>
      </c>
      <c r="B67" s="53" t="s">
        <v>16</v>
      </c>
      <c r="C67" s="54" t="s">
        <v>2451</v>
      </c>
      <c r="D67" s="55" t="s">
        <v>2452</v>
      </c>
      <c r="E67" s="54" t="s">
        <v>2453</v>
      </c>
      <c r="F67" s="54" t="s">
        <v>884</v>
      </c>
      <c r="G67" s="54">
        <v>2</v>
      </c>
      <c r="H67" s="54"/>
      <c r="I67" s="54">
        <v>43200</v>
      </c>
      <c r="J67" s="54">
        <v>0</v>
      </c>
      <c r="K67" s="54"/>
      <c r="L67" s="54"/>
      <c r="M67" s="54"/>
      <c r="N67" s="54"/>
      <c r="O67" s="54" t="s">
        <v>953</v>
      </c>
    </row>
    <row r="68" spans="1:15" ht="30" x14ac:dyDescent="0.2">
      <c r="A68" s="53" t="s">
        <v>12</v>
      </c>
      <c r="B68" s="53" t="s">
        <v>13</v>
      </c>
      <c r="C68" s="54" t="s">
        <v>2454</v>
      </c>
      <c r="D68" s="55" t="s">
        <v>2455</v>
      </c>
      <c r="E68" s="54" t="s">
        <v>883</v>
      </c>
      <c r="F68" s="54" t="s">
        <v>884</v>
      </c>
      <c r="G68" s="54">
        <v>13</v>
      </c>
      <c r="H68" s="54"/>
      <c r="I68" s="54"/>
      <c r="J68" s="54"/>
      <c r="K68" s="54"/>
      <c r="L68" s="54"/>
      <c r="M68" s="54"/>
      <c r="N68" s="54"/>
      <c r="O68" s="54" t="s">
        <v>916</v>
      </c>
    </row>
    <row r="69" spans="1:15" ht="15.75" x14ac:dyDescent="0.2">
      <c r="A69" s="53" t="s">
        <v>12</v>
      </c>
      <c r="B69" s="53" t="s">
        <v>13</v>
      </c>
      <c r="C69" s="54" t="s">
        <v>2456</v>
      </c>
      <c r="D69" s="55" t="s">
        <v>2457</v>
      </c>
      <c r="E69" s="54" t="s">
        <v>883</v>
      </c>
      <c r="F69" s="54" t="s">
        <v>884</v>
      </c>
      <c r="G69" s="54">
        <v>5</v>
      </c>
      <c r="H69" s="54"/>
      <c r="I69" s="54">
        <v>21600</v>
      </c>
      <c r="J69" s="54">
        <v>21600</v>
      </c>
      <c r="K69" s="54"/>
      <c r="L69" s="54"/>
      <c r="M69" s="54"/>
      <c r="N69" s="54"/>
      <c r="O69" s="54" t="s">
        <v>950</v>
      </c>
    </row>
    <row r="70" spans="1:15" ht="30" x14ac:dyDescent="0.2">
      <c r="A70" s="53" t="s">
        <v>12</v>
      </c>
      <c r="B70" s="53" t="s">
        <v>16</v>
      </c>
      <c r="C70" s="54" t="s">
        <v>2458</v>
      </c>
      <c r="D70" s="55" t="s">
        <v>2459</v>
      </c>
      <c r="E70" s="54" t="s">
        <v>2460</v>
      </c>
      <c r="F70" s="54" t="s">
        <v>884</v>
      </c>
      <c r="G70" s="54">
        <v>3</v>
      </c>
      <c r="H70" s="54"/>
      <c r="I70" s="54">
        <v>21600</v>
      </c>
      <c r="J70" s="54">
        <v>7200</v>
      </c>
      <c r="K70" s="54"/>
      <c r="L70" s="54"/>
      <c r="M70" s="54"/>
      <c r="N70" s="54"/>
      <c r="O70" s="54" t="s">
        <v>950</v>
      </c>
    </row>
    <row r="71" spans="1:15" ht="30" x14ac:dyDescent="0.2">
      <c r="A71" s="53" t="s">
        <v>12</v>
      </c>
      <c r="B71" s="53" t="s">
        <v>106</v>
      </c>
      <c r="C71" s="54" t="s">
        <v>2461</v>
      </c>
      <c r="D71" s="55" t="s">
        <v>2462</v>
      </c>
      <c r="E71" s="54" t="s">
        <v>883</v>
      </c>
      <c r="F71" s="54" t="s">
        <v>884</v>
      </c>
      <c r="G71" s="54">
        <v>5</v>
      </c>
      <c r="H71" s="54"/>
      <c r="I71" s="54">
        <v>21600</v>
      </c>
      <c r="J71" s="54">
        <v>0</v>
      </c>
      <c r="K71" s="54"/>
      <c r="L71" s="54"/>
      <c r="M71" s="54"/>
      <c r="N71" s="54"/>
      <c r="O71" s="54" t="s">
        <v>937</v>
      </c>
    </row>
    <row r="72" spans="1:15" ht="15.75" x14ac:dyDescent="0.2">
      <c r="A72" s="53" t="s">
        <v>12</v>
      </c>
      <c r="B72" s="53" t="s">
        <v>16</v>
      </c>
      <c r="C72" s="54" t="s">
        <v>2463</v>
      </c>
      <c r="D72" s="55" t="s">
        <v>2464</v>
      </c>
      <c r="E72" s="54" t="s">
        <v>1726</v>
      </c>
      <c r="F72" s="54" t="s">
        <v>884</v>
      </c>
      <c r="G72" s="54">
        <v>5</v>
      </c>
      <c r="H72" s="54"/>
      <c r="I72" s="54">
        <v>64800</v>
      </c>
      <c r="J72" s="54">
        <v>0</v>
      </c>
      <c r="K72" s="54"/>
      <c r="L72" s="54"/>
      <c r="M72" s="54"/>
      <c r="N72" s="54"/>
      <c r="O72" s="54" t="s">
        <v>2465</v>
      </c>
    </row>
    <row r="73" spans="1:15" ht="15.75" x14ac:dyDescent="0.2">
      <c r="A73" s="53" t="s">
        <v>12</v>
      </c>
      <c r="B73" s="53" t="s">
        <v>16</v>
      </c>
      <c r="C73" s="54" t="s">
        <v>2466</v>
      </c>
      <c r="D73" s="55" t="s">
        <v>2467</v>
      </c>
      <c r="E73" s="54" t="s">
        <v>2453</v>
      </c>
      <c r="F73" s="54" t="s">
        <v>884</v>
      </c>
      <c r="G73" s="54">
        <v>5</v>
      </c>
      <c r="H73" s="54"/>
      <c r="I73" s="54">
        <v>43200</v>
      </c>
      <c r="J73" s="54">
        <v>14400</v>
      </c>
      <c r="K73" s="54"/>
      <c r="L73" s="54"/>
      <c r="M73" s="54"/>
      <c r="N73" s="54"/>
      <c r="O73" s="54" t="s">
        <v>962</v>
      </c>
    </row>
    <row r="74" spans="1:15" ht="15.75" x14ac:dyDescent="0.2">
      <c r="A74" s="53" t="s">
        <v>12</v>
      </c>
      <c r="B74" s="53" t="s">
        <v>16</v>
      </c>
      <c r="C74" s="54" t="s">
        <v>2468</v>
      </c>
      <c r="D74" s="55" t="s">
        <v>2469</v>
      </c>
      <c r="E74" s="54" t="s">
        <v>2470</v>
      </c>
      <c r="F74" s="54" t="s">
        <v>884</v>
      </c>
      <c r="G74" s="54">
        <v>8</v>
      </c>
      <c r="H74" s="54"/>
      <c r="I74" s="54">
        <v>64800</v>
      </c>
      <c r="J74" s="54">
        <v>64800</v>
      </c>
      <c r="K74" s="54"/>
      <c r="L74" s="54"/>
      <c r="M74" s="54"/>
      <c r="N74" s="54"/>
      <c r="O74" s="54" t="s">
        <v>2471</v>
      </c>
    </row>
    <row r="75" spans="1:15" ht="30" x14ac:dyDescent="0.2">
      <c r="A75" s="53" t="s">
        <v>12</v>
      </c>
      <c r="B75" s="53" t="s">
        <v>16</v>
      </c>
      <c r="C75" s="54" t="s">
        <v>2472</v>
      </c>
      <c r="D75" s="55" t="s">
        <v>2473</v>
      </c>
      <c r="E75" s="54" t="s">
        <v>2470</v>
      </c>
      <c r="F75" s="54" t="s">
        <v>884</v>
      </c>
      <c r="G75" s="54">
        <v>1</v>
      </c>
      <c r="H75" s="54"/>
      <c r="I75" s="54">
        <v>21600</v>
      </c>
      <c r="J75" s="54">
        <v>21600</v>
      </c>
      <c r="K75" s="54"/>
      <c r="L75" s="54"/>
      <c r="M75" s="54"/>
      <c r="N75" s="54"/>
      <c r="O75" s="54" t="s">
        <v>2474</v>
      </c>
    </row>
    <row r="76" spans="1:15" ht="15.75" x14ac:dyDescent="0.2">
      <c r="A76" s="53" t="s">
        <v>12</v>
      </c>
      <c r="B76" s="53" t="s">
        <v>16</v>
      </c>
      <c r="C76" s="54" t="s">
        <v>2475</v>
      </c>
      <c r="D76" s="55" t="s">
        <v>2476</v>
      </c>
      <c r="E76" s="54" t="s">
        <v>1726</v>
      </c>
      <c r="F76" s="54" t="s">
        <v>884</v>
      </c>
      <c r="G76" s="54">
        <v>2</v>
      </c>
      <c r="H76" s="54"/>
      <c r="I76" s="54">
        <v>7200</v>
      </c>
      <c r="J76" s="54">
        <v>3600</v>
      </c>
      <c r="K76" s="54"/>
      <c r="L76" s="54"/>
      <c r="M76" s="54"/>
      <c r="N76" s="54"/>
      <c r="O76" s="54" t="s">
        <v>989</v>
      </c>
    </row>
    <row r="77" spans="1:15" ht="15.75" x14ac:dyDescent="0.2">
      <c r="A77" s="53" t="s">
        <v>12</v>
      </c>
      <c r="B77" s="53" t="s">
        <v>16</v>
      </c>
      <c r="C77" s="54" t="s">
        <v>2477</v>
      </c>
      <c r="D77" s="55" t="s">
        <v>2478</v>
      </c>
      <c r="E77" s="54" t="s">
        <v>2453</v>
      </c>
      <c r="F77" s="54" t="s">
        <v>884</v>
      </c>
      <c r="G77" s="54">
        <v>1</v>
      </c>
      <c r="H77" s="54"/>
      <c r="I77" s="54">
        <v>10800</v>
      </c>
      <c r="J77" s="54">
        <v>10800</v>
      </c>
      <c r="K77" s="54"/>
      <c r="L77" s="54"/>
      <c r="M77" s="54"/>
      <c r="N77" s="54"/>
      <c r="O77" s="54" t="s">
        <v>989</v>
      </c>
    </row>
    <row r="78" spans="1:15" ht="15.75" x14ac:dyDescent="0.2">
      <c r="A78" s="53" t="s">
        <v>12</v>
      </c>
      <c r="B78" s="53" t="s">
        <v>16</v>
      </c>
      <c r="C78" s="54" t="s">
        <v>2479</v>
      </c>
      <c r="D78" s="55" t="s">
        <v>2480</v>
      </c>
      <c r="E78" s="54" t="s">
        <v>1726</v>
      </c>
      <c r="F78" s="54" t="s">
        <v>884</v>
      </c>
      <c r="G78" s="54">
        <v>3</v>
      </c>
      <c r="H78" s="54"/>
      <c r="I78" s="54">
        <v>21600</v>
      </c>
      <c r="J78" s="54">
        <v>21600</v>
      </c>
      <c r="K78" s="54"/>
      <c r="L78" s="54"/>
      <c r="M78" s="54"/>
      <c r="N78" s="54"/>
      <c r="O78" s="54" t="s">
        <v>989</v>
      </c>
    </row>
    <row r="79" spans="1:15" ht="15.75" x14ac:dyDescent="0.2">
      <c r="A79" s="53" t="s">
        <v>12</v>
      </c>
      <c r="B79" s="53" t="s">
        <v>16</v>
      </c>
      <c r="C79" s="54" t="s">
        <v>2481</v>
      </c>
      <c r="D79" s="55" t="s">
        <v>2482</v>
      </c>
      <c r="E79" s="54" t="s">
        <v>2453</v>
      </c>
      <c r="F79" s="54" t="s">
        <v>884</v>
      </c>
      <c r="G79" s="54">
        <v>1</v>
      </c>
      <c r="H79" s="54"/>
      <c r="I79" s="54">
        <v>7200</v>
      </c>
      <c r="J79" s="54">
        <v>7200</v>
      </c>
      <c r="K79" s="54"/>
      <c r="L79" s="54"/>
      <c r="M79" s="54"/>
      <c r="N79" s="54"/>
      <c r="O79" s="54" t="s">
        <v>989</v>
      </c>
    </row>
    <row r="80" spans="1:15" ht="15.75" x14ac:dyDescent="0.2">
      <c r="A80" s="53" t="s">
        <v>12</v>
      </c>
      <c r="B80" s="53" t="s">
        <v>13</v>
      </c>
      <c r="C80" s="54" t="s">
        <v>2483</v>
      </c>
      <c r="D80" s="55" t="s">
        <v>2484</v>
      </c>
      <c r="E80" s="54" t="s">
        <v>883</v>
      </c>
      <c r="F80" s="54" t="s">
        <v>884</v>
      </c>
      <c r="G80" s="54">
        <v>3</v>
      </c>
      <c r="H80" s="54"/>
      <c r="I80" s="54">
        <v>21600</v>
      </c>
      <c r="J80" s="54">
        <v>21600</v>
      </c>
      <c r="K80" s="54"/>
      <c r="L80" s="54"/>
      <c r="M80" s="54"/>
      <c r="N80" s="54"/>
      <c r="O80" s="54" t="s">
        <v>989</v>
      </c>
    </row>
    <row r="81" spans="1:15" ht="15.75" x14ac:dyDescent="0.2">
      <c r="A81" s="53" t="s">
        <v>12</v>
      </c>
      <c r="B81" s="53" t="s">
        <v>16</v>
      </c>
      <c r="C81" s="54" t="s">
        <v>2485</v>
      </c>
      <c r="D81" s="55" t="s">
        <v>2486</v>
      </c>
      <c r="E81" s="54" t="s">
        <v>1726</v>
      </c>
      <c r="F81" s="54" t="s">
        <v>884</v>
      </c>
      <c r="G81" s="54">
        <v>1</v>
      </c>
      <c r="H81" s="54"/>
      <c r="I81" s="54">
        <v>7200</v>
      </c>
      <c r="J81" s="54">
        <v>0</v>
      </c>
      <c r="K81" s="54"/>
      <c r="L81" s="54"/>
      <c r="M81" s="54"/>
      <c r="N81" s="54"/>
      <c r="O81" s="54" t="s">
        <v>989</v>
      </c>
    </row>
    <row r="82" spans="1:15" ht="45" x14ac:dyDescent="0.2">
      <c r="A82" s="53" t="s">
        <v>12</v>
      </c>
      <c r="B82" s="53" t="s">
        <v>16</v>
      </c>
      <c r="C82" s="54" t="s">
        <v>2487</v>
      </c>
      <c r="D82" s="55" t="s">
        <v>2488</v>
      </c>
      <c r="E82" s="54" t="s">
        <v>1726</v>
      </c>
      <c r="F82" s="54" t="s">
        <v>884</v>
      </c>
      <c r="G82" s="54">
        <v>5</v>
      </c>
      <c r="H82" s="54"/>
      <c r="I82" s="54">
        <v>21600</v>
      </c>
      <c r="J82" s="54">
        <v>21600</v>
      </c>
      <c r="K82" s="54"/>
      <c r="L82" s="54"/>
      <c r="M82" s="54"/>
      <c r="N82" s="54"/>
      <c r="O82" s="54" t="s">
        <v>989</v>
      </c>
    </row>
    <row r="83" spans="1:15" ht="15.75" x14ac:dyDescent="0.2">
      <c r="A83" s="53" t="s">
        <v>12</v>
      </c>
      <c r="B83" s="53" t="s">
        <v>16</v>
      </c>
      <c r="C83" s="54" t="s">
        <v>2489</v>
      </c>
      <c r="D83" s="55" t="s">
        <v>2490</v>
      </c>
      <c r="E83" s="54" t="s">
        <v>1726</v>
      </c>
      <c r="F83" s="54" t="s">
        <v>884</v>
      </c>
      <c r="G83" s="54">
        <v>1</v>
      </c>
      <c r="H83" s="54"/>
      <c r="I83" s="54">
        <v>7200</v>
      </c>
      <c r="J83" s="54">
        <v>0</v>
      </c>
      <c r="K83" s="54"/>
      <c r="L83" s="54"/>
      <c r="M83" s="54"/>
      <c r="N83" s="54"/>
      <c r="O83" s="54" t="s">
        <v>2491</v>
      </c>
    </row>
    <row r="84" spans="1:15" ht="15.75" x14ac:dyDescent="0.2">
      <c r="A84" s="53" t="s">
        <v>12</v>
      </c>
      <c r="B84" s="53" t="s">
        <v>16</v>
      </c>
      <c r="C84" s="54" t="s">
        <v>2492</v>
      </c>
      <c r="D84" s="55" t="s">
        <v>2493</v>
      </c>
      <c r="E84" s="54" t="s">
        <v>1726</v>
      </c>
      <c r="F84" s="54" t="s">
        <v>884</v>
      </c>
      <c r="G84" s="54">
        <v>1</v>
      </c>
      <c r="H84" s="54"/>
      <c r="I84" s="54"/>
      <c r="J84" s="54">
        <v>0</v>
      </c>
      <c r="K84" s="54"/>
      <c r="L84" s="54"/>
      <c r="M84" s="54"/>
      <c r="N84" s="54"/>
      <c r="O84" s="54" t="s">
        <v>989</v>
      </c>
    </row>
    <row r="85" spans="1:15" ht="30" x14ac:dyDescent="0.2">
      <c r="A85" s="53" t="s">
        <v>12</v>
      </c>
      <c r="B85" s="53" t="s">
        <v>16</v>
      </c>
      <c r="C85" s="54" t="s">
        <v>2494</v>
      </c>
      <c r="D85" s="55" t="s">
        <v>2495</v>
      </c>
      <c r="E85" s="54" t="s">
        <v>1726</v>
      </c>
      <c r="F85" s="54" t="s">
        <v>884</v>
      </c>
      <c r="G85" s="54">
        <v>5</v>
      </c>
      <c r="H85" s="54"/>
      <c r="I85" s="54">
        <v>21600</v>
      </c>
      <c r="J85" s="54">
        <v>21600</v>
      </c>
      <c r="K85" s="54"/>
      <c r="L85" s="54"/>
      <c r="M85" s="54"/>
      <c r="N85" s="54"/>
      <c r="O85" s="54" t="s">
        <v>989</v>
      </c>
    </row>
    <row r="86" spans="1:15" ht="15.75" x14ac:dyDescent="0.2">
      <c r="A86" s="53" t="s">
        <v>12</v>
      </c>
      <c r="B86" s="53" t="s">
        <v>16</v>
      </c>
      <c r="C86" s="54" t="s">
        <v>2496</v>
      </c>
      <c r="D86" s="55" t="s">
        <v>2497</v>
      </c>
      <c r="E86" s="54" t="s">
        <v>1726</v>
      </c>
      <c r="F86" s="54" t="s">
        <v>884</v>
      </c>
      <c r="G86" s="54">
        <v>2</v>
      </c>
      <c r="H86" s="54"/>
      <c r="I86" s="54">
        <v>21600</v>
      </c>
      <c r="J86" s="54">
        <v>21600</v>
      </c>
      <c r="K86" s="54"/>
      <c r="L86" s="54"/>
      <c r="M86" s="54"/>
      <c r="N86" s="54"/>
      <c r="O86" s="54" t="s">
        <v>986</v>
      </c>
    </row>
    <row r="87" spans="1:15" ht="15.75" x14ac:dyDescent="0.2">
      <c r="A87" s="53" t="s">
        <v>12</v>
      </c>
      <c r="B87" s="53" t="s">
        <v>16</v>
      </c>
      <c r="C87" s="54" t="s">
        <v>2498</v>
      </c>
      <c r="D87" s="55" t="s">
        <v>2499</v>
      </c>
      <c r="E87" s="54" t="s">
        <v>1726</v>
      </c>
      <c r="F87" s="54" t="s">
        <v>884</v>
      </c>
      <c r="G87" s="54">
        <v>2</v>
      </c>
      <c r="H87" s="54"/>
      <c r="I87" s="54">
        <v>21600</v>
      </c>
      <c r="J87" s="54">
        <v>21600</v>
      </c>
      <c r="K87" s="54"/>
      <c r="L87" s="54"/>
      <c r="M87" s="54"/>
      <c r="N87" s="54"/>
      <c r="O87" s="54" t="s">
        <v>986</v>
      </c>
    </row>
    <row r="88" spans="1:15" ht="15.75" x14ac:dyDescent="0.2">
      <c r="A88" s="53" t="s">
        <v>12</v>
      </c>
      <c r="B88" s="53" t="s">
        <v>16</v>
      </c>
      <c r="C88" s="54" t="s">
        <v>2500</v>
      </c>
      <c r="D88" s="55" t="s">
        <v>2501</v>
      </c>
      <c r="E88" s="54" t="s">
        <v>883</v>
      </c>
      <c r="F88" s="54" t="s">
        <v>884</v>
      </c>
      <c r="G88" s="54">
        <v>3</v>
      </c>
      <c r="H88" s="54"/>
      <c r="I88" s="54">
        <v>21600</v>
      </c>
      <c r="J88" s="54">
        <v>10800</v>
      </c>
      <c r="K88" s="54"/>
      <c r="L88" s="54"/>
      <c r="M88" s="54"/>
      <c r="N88" s="54"/>
      <c r="O88" s="54" t="s">
        <v>986</v>
      </c>
    </row>
    <row r="89" spans="1:15" ht="45" x14ac:dyDescent="0.2">
      <c r="A89" s="53" t="s">
        <v>12</v>
      </c>
      <c r="B89" s="53" t="s">
        <v>14</v>
      </c>
      <c r="C89" s="54" t="s">
        <v>2502</v>
      </c>
      <c r="D89" s="55" t="s">
        <v>2503</v>
      </c>
      <c r="E89" s="54" t="s">
        <v>899</v>
      </c>
      <c r="F89" s="54" t="s">
        <v>1594</v>
      </c>
      <c r="G89" s="54">
        <v>2</v>
      </c>
      <c r="H89" s="54"/>
      <c r="I89" s="54">
        <v>28860</v>
      </c>
      <c r="J89" s="54">
        <v>24300</v>
      </c>
      <c r="K89" s="54"/>
      <c r="L89" s="54"/>
      <c r="M89" s="54"/>
      <c r="N89" s="54"/>
      <c r="O89" s="54" t="s">
        <v>2504</v>
      </c>
    </row>
    <row r="90" spans="1:15" ht="45" x14ac:dyDescent="0.2">
      <c r="A90" s="53" t="s">
        <v>12</v>
      </c>
      <c r="B90" s="53" t="s">
        <v>14</v>
      </c>
      <c r="C90" s="54" t="s">
        <v>2505</v>
      </c>
      <c r="D90" s="55" t="s">
        <v>2506</v>
      </c>
      <c r="E90" s="54" t="s">
        <v>899</v>
      </c>
      <c r="F90" s="54" t="s">
        <v>1594</v>
      </c>
      <c r="G90" s="54">
        <v>2</v>
      </c>
      <c r="H90" s="54"/>
      <c r="I90" s="54"/>
      <c r="J90" s="54"/>
      <c r="K90" s="54"/>
      <c r="L90" s="54"/>
      <c r="M90" s="54"/>
      <c r="N90" s="54"/>
      <c r="O90" s="54" t="s">
        <v>2504</v>
      </c>
    </row>
    <row r="91" spans="1:15" ht="45" x14ac:dyDescent="0.2">
      <c r="A91" s="53" t="s">
        <v>12</v>
      </c>
      <c r="B91" s="53" t="s">
        <v>14</v>
      </c>
      <c r="C91" s="54" t="s">
        <v>2507</v>
      </c>
      <c r="D91" s="55" t="s">
        <v>2508</v>
      </c>
      <c r="E91" s="54" t="s">
        <v>899</v>
      </c>
      <c r="F91" s="54" t="s">
        <v>1594</v>
      </c>
      <c r="G91" s="54">
        <v>2</v>
      </c>
      <c r="H91" s="54"/>
      <c r="I91" s="54">
        <v>57600</v>
      </c>
      <c r="J91" s="54">
        <v>39600</v>
      </c>
      <c r="K91" s="54"/>
      <c r="L91" s="54"/>
      <c r="M91" s="54"/>
      <c r="N91" s="54"/>
      <c r="O91" s="54" t="s">
        <v>2509</v>
      </c>
    </row>
    <row r="92" spans="1:15" ht="45" x14ac:dyDescent="0.2">
      <c r="A92" s="53" t="s">
        <v>12</v>
      </c>
      <c r="B92" s="53" t="s">
        <v>14</v>
      </c>
      <c r="C92" s="54" t="s">
        <v>2510</v>
      </c>
      <c r="D92" s="55" t="s">
        <v>2511</v>
      </c>
      <c r="E92" s="54" t="s">
        <v>899</v>
      </c>
      <c r="F92" s="54" t="s">
        <v>1594</v>
      </c>
      <c r="G92" s="54">
        <v>2</v>
      </c>
      <c r="H92" s="54"/>
      <c r="I92" s="54">
        <v>28860</v>
      </c>
      <c r="J92" s="54">
        <v>25200</v>
      </c>
      <c r="K92" s="54"/>
      <c r="L92" s="54"/>
      <c r="M92" s="54"/>
      <c r="N92" s="54"/>
      <c r="O92" s="54" t="s">
        <v>2504</v>
      </c>
    </row>
    <row r="93" spans="1:15" ht="30" x14ac:dyDescent="0.2">
      <c r="A93" s="53" t="s">
        <v>12</v>
      </c>
      <c r="B93" s="53" t="s">
        <v>106</v>
      </c>
      <c r="C93" s="54" t="s">
        <v>2512</v>
      </c>
      <c r="D93" s="55" t="s">
        <v>2513</v>
      </c>
      <c r="E93" s="54"/>
      <c r="F93" s="54"/>
      <c r="G93" s="54"/>
      <c r="H93" s="54"/>
      <c r="I93" s="54">
        <v>3600</v>
      </c>
      <c r="J93" s="54">
        <v>0</v>
      </c>
      <c r="K93" s="54"/>
      <c r="L93" s="54"/>
      <c r="M93" s="54"/>
      <c r="N93" s="54"/>
      <c r="O93" s="54"/>
    </row>
    <row r="94" spans="1:15" ht="45" x14ac:dyDescent="0.2">
      <c r="A94" s="53" t="s">
        <v>12</v>
      </c>
      <c r="B94" s="53" t="s">
        <v>15</v>
      </c>
      <c r="C94" s="54" t="s">
        <v>2514</v>
      </c>
      <c r="D94" s="55" t="s">
        <v>1483</v>
      </c>
      <c r="E94" s="54" t="s">
        <v>899</v>
      </c>
      <c r="F94" s="54" t="s">
        <v>2338</v>
      </c>
      <c r="G94" s="54">
        <v>5</v>
      </c>
      <c r="H94" s="54">
        <v>5</v>
      </c>
      <c r="I94" s="54">
        <v>374400</v>
      </c>
      <c r="J94" s="54">
        <v>277200</v>
      </c>
      <c r="K94" s="54"/>
      <c r="L94" s="54"/>
      <c r="M94" s="54"/>
      <c r="N94" s="54"/>
      <c r="O94" s="54" t="s">
        <v>2515</v>
      </c>
    </row>
    <row r="95" spans="1:15" ht="45" x14ac:dyDescent="0.2">
      <c r="A95" s="53" t="s">
        <v>12</v>
      </c>
      <c r="B95" s="53" t="s">
        <v>14</v>
      </c>
      <c r="C95" s="54" t="s">
        <v>2516</v>
      </c>
      <c r="D95" s="55" t="s">
        <v>2517</v>
      </c>
      <c r="E95" s="54" t="s">
        <v>920</v>
      </c>
      <c r="F95" s="54" t="s">
        <v>2518</v>
      </c>
      <c r="G95" s="54">
        <v>8</v>
      </c>
      <c r="H95" s="54"/>
      <c r="I95" s="54">
        <v>460800</v>
      </c>
      <c r="J95" s="54">
        <v>439200</v>
      </c>
      <c r="K95" s="54"/>
      <c r="L95" s="54"/>
      <c r="M95" s="54"/>
      <c r="N95" s="54"/>
      <c r="O95" s="54" t="s">
        <v>1030</v>
      </c>
    </row>
    <row r="96" spans="1:15" ht="60" x14ac:dyDescent="0.2">
      <c r="A96" s="53" t="s">
        <v>12</v>
      </c>
      <c r="B96" s="53" t="s">
        <v>16</v>
      </c>
      <c r="C96" s="54" t="s">
        <v>2519</v>
      </c>
      <c r="D96" s="55" t="s">
        <v>2520</v>
      </c>
      <c r="E96" s="54" t="s">
        <v>899</v>
      </c>
      <c r="F96" s="54" t="s">
        <v>2275</v>
      </c>
      <c r="G96" s="54">
        <v>1</v>
      </c>
      <c r="H96" s="54"/>
      <c r="I96" s="54"/>
      <c r="J96" s="54"/>
      <c r="K96" s="54"/>
      <c r="L96" s="54"/>
      <c r="M96" s="54">
        <v>1</v>
      </c>
      <c r="N96" s="54"/>
      <c r="O96" s="54" t="s">
        <v>2521</v>
      </c>
    </row>
    <row r="97" spans="1:15" ht="30" x14ac:dyDescent="0.2">
      <c r="A97" s="53" t="s">
        <v>12</v>
      </c>
      <c r="B97" s="53" t="s">
        <v>13</v>
      </c>
      <c r="C97" s="54" t="s">
        <v>2522</v>
      </c>
      <c r="D97" s="55" t="s">
        <v>2523</v>
      </c>
      <c r="E97" s="54" t="s">
        <v>899</v>
      </c>
      <c r="F97" s="54"/>
      <c r="G97" s="54"/>
      <c r="H97" s="54"/>
      <c r="I97" s="54"/>
      <c r="J97" s="54"/>
      <c r="K97" s="54"/>
      <c r="L97" s="54"/>
      <c r="M97" s="54"/>
      <c r="N97" s="54"/>
      <c r="O97" s="54" t="s">
        <v>995</v>
      </c>
    </row>
    <row r="98" spans="1:15" ht="30" x14ac:dyDescent="0.2">
      <c r="A98" s="53" t="s">
        <v>12</v>
      </c>
      <c r="B98" s="53" t="s">
        <v>15</v>
      </c>
      <c r="C98" s="54" t="s">
        <v>2524</v>
      </c>
      <c r="D98" s="55" t="s">
        <v>2525</v>
      </c>
      <c r="E98" s="54" t="s">
        <v>899</v>
      </c>
      <c r="F98" s="54" t="s">
        <v>2338</v>
      </c>
      <c r="G98" s="54">
        <v>3</v>
      </c>
      <c r="H98" s="54">
        <v>3</v>
      </c>
      <c r="I98" s="54">
        <v>57600</v>
      </c>
      <c r="J98" s="54">
        <v>0</v>
      </c>
      <c r="K98" s="54"/>
      <c r="L98" s="54"/>
      <c r="M98" s="54"/>
      <c r="N98" s="54"/>
      <c r="O98" s="54" t="s">
        <v>995</v>
      </c>
    </row>
    <row r="99" spans="1:15" ht="45" x14ac:dyDescent="0.2">
      <c r="A99" s="53" t="s">
        <v>12</v>
      </c>
      <c r="B99" s="53" t="s">
        <v>13</v>
      </c>
      <c r="C99" s="54" t="s">
        <v>2526</v>
      </c>
      <c r="D99" s="55" t="s">
        <v>2527</v>
      </c>
      <c r="E99" s="54" t="s">
        <v>899</v>
      </c>
      <c r="F99" s="54"/>
      <c r="G99" s="54"/>
      <c r="H99" s="54"/>
      <c r="I99" s="54"/>
      <c r="J99" s="54"/>
      <c r="K99" s="54"/>
      <c r="L99" s="54"/>
      <c r="M99" s="54"/>
      <c r="N99" s="54"/>
      <c r="O99" s="54" t="s">
        <v>995</v>
      </c>
    </row>
    <row r="100" spans="1:15" ht="30" x14ac:dyDescent="0.2">
      <c r="A100" s="53" t="s">
        <v>12</v>
      </c>
      <c r="B100" s="53" t="s">
        <v>15</v>
      </c>
      <c r="C100" s="54" t="s">
        <v>2528</v>
      </c>
      <c r="D100" s="55" t="s">
        <v>2529</v>
      </c>
      <c r="E100" s="54"/>
      <c r="F100" s="54" t="s">
        <v>2530</v>
      </c>
      <c r="G100" s="54">
        <v>3</v>
      </c>
      <c r="H100" s="54">
        <v>3</v>
      </c>
      <c r="I100" s="54">
        <v>3600</v>
      </c>
      <c r="J100" s="54">
        <v>0</v>
      </c>
      <c r="K100" s="54"/>
      <c r="L100" s="54"/>
      <c r="M100" s="54"/>
      <c r="N100" s="54"/>
      <c r="O100" s="54" t="s">
        <v>2531</v>
      </c>
    </row>
    <row r="101" spans="1:15" ht="30" x14ac:dyDescent="0.2">
      <c r="A101" s="53" t="s">
        <v>12</v>
      </c>
      <c r="B101" s="53" t="s">
        <v>15</v>
      </c>
      <c r="C101" s="54" t="s">
        <v>2532</v>
      </c>
      <c r="D101" s="55" t="s">
        <v>2533</v>
      </c>
      <c r="E101" s="54"/>
      <c r="F101" s="54" t="s">
        <v>2530</v>
      </c>
      <c r="G101" s="54">
        <v>3</v>
      </c>
      <c r="H101" s="54">
        <v>3</v>
      </c>
      <c r="I101" s="54">
        <v>3600</v>
      </c>
      <c r="J101" s="54">
        <v>0</v>
      </c>
      <c r="K101" s="54"/>
      <c r="L101" s="54"/>
      <c r="M101" s="54"/>
      <c r="N101" s="54"/>
      <c r="O101" s="54" t="s">
        <v>2531</v>
      </c>
    </row>
    <row r="102" spans="1:15" ht="60" x14ac:dyDescent="0.2">
      <c r="A102" s="53" t="s">
        <v>12</v>
      </c>
      <c r="B102" s="53" t="s">
        <v>16</v>
      </c>
      <c r="C102" s="54" t="s">
        <v>2534</v>
      </c>
      <c r="D102" s="55" t="s">
        <v>2535</v>
      </c>
      <c r="E102" s="54" t="s">
        <v>899</v>
      </c>
      <c r="F102" s="54" t="s">
        <v>2536</v>
      </c>
      <c r="G102" s="54">
        <v>1</v>
      </c>
      <c r="H102" s="54"/>
      <c r="I102" s="54"/>
      <c r="J102" s="54"/>
      <c r="K102" s="54"/>
      <c r="L102" s="54"/>
      <c r="M102" s="54">
        <v>1</v>
      </c>
      <c r="N102" s="54"/>
      <c r="O102" s="54" t="s">
        <v>2537</v>
      </c>
    </row>
    <row r="103" spans="1:15" ht="15.75" x14ac:dyDescent="0.2">
      <c r="A103" s="53" t="s">
        <v>12</v>
      </c>
      <c r="B103" s="53" t="s">
        <v>15</v>
      </c>
      <c r="C103" s="54" t="s">
        <v>2538</v>
      </c>
      <c r="D103" s="55" t="s">
        <v>2539</v>
      </c>
      <c r="E103" s="54" t="s">
        <v>2059</v>
      </c>
      <c r="F103" s="54" t="s">
        <v>2540</v>
      </c>
      <c r="G103" s="54">
        <v>13</v>
      </c>
      <c r="H103" s="54">
        <v>13</v>
      </c>
      <c r="I103" s="54">
        <v>0</v>
      </c>
      <c r="J103" s="54">
        <v>0</v>
      </c>
      <c r="K103" s="54"/>
      <c r="L103" s="54"/>
      <c r="M103" s="54"/>
      <c r="N103" s="54"/>
      <c r="O103" s="54" t="s">
        <v>1591</v>
      </c>
    </row>
    <row r="104" spans="1:15" ht="30" x14ac:dyDescent="0.2">
      <c r="A104" s="53" t="s">
        <v>12</v>
      </c>
      <c r="B104" s="53" t="s">
        <v>15</v>
      </c>
      <c r="C104" s="54" t="s">
        <v>2541</v>
      </c>
      <c r="D104" s="55" t="s">
        <v>2542</v>
      </c>
      <c r="E104" s="54"/>
      <c r="F104" s="54" t="s">
        <v>2426</v>
      </c>
      <c r="G104" s="54"/>
      <c r="H104" s="54"/>
      <c r="I104" s="54">
        <v>57600</v>
      </c>
      <c r="J104" s="54">
        <v>57600</v>
      </c>
      <c r="K104" s="54"/>
      <c r="L104" s="54"/>
      <c r="M104" s="54"/>
      <c r="N104" s="54"/>
      <c r="O104" s="54"/>
    </row>
    <row r="105" spans="1:15" ht="30" x14ac:dyDescent="0.2">
      <c r="A105" s="53" t="s">
        <v>12</v>
      </c>
      <c r="B105" s="53" t="s">
        <v>15</v>
      </c>
      <c r="C105" s="54" t="s">
        <v>2543</v>
      </c>
      <c r="D105" s="55" t="s">
        <v>2544</v>
      </c>
      <c r="E105" s="54"/>
      <c r="F105" s="54"/>
      <c r="G105" s="54"/>
      <c r="H105" s="54"/>
      <c r="I105" s="54"/>
      <c r="J105" s="54">
        <v>0</v>
      </c>
      <c r="K105" s="54"/>
      <c r="L105" s="54"/>
      <c r="M105" s="54"/>
      <c r="N105" s="54"/>
      <c r="O105" s="54" t="s">
        <v>2545</v>
      </c>
    </row>
    <row r="106" spans="1:15" ht="15.75" x14ac:dyDescent="0.2">
      <c r="A106" s="53" t="s">
        <v>12</v>
      </c>
      <c r="B106" s="53" t="s">
        <v>15</v>
      </c>
      <c r="C106" s="54" t="s">
        <v>2546</v>
      </c>
      <c r="D106" s="55" t="s">
        <v>2547</v>
      </c>
      <c r="E106" s="54" t="s">
        <v>2548</v>
      </c>
      <c r="F106" s="54" t="s">
        <v>2549</v>
      </c>
      <c r="G106" s="54">
        <v>3</v>
      </c>
      <c r="H106" s="54">
        <v>3</v>
      </c>
      <c r="I106" s="54"/>
      <c r="J106" s="54"/>
      <c r="K106" s="54"/>
      <c r="L106" s="54"/>
      <c r="M106" s="54"/>
      <c r="N106" s="54"/>
      <c r="O106" s="54" t="s">
        <v>2550</v>
      </c>
    </row>
    <row r="107" spans="1:15" ht="60" x14ac:dyDescent="0.2">
      <c r="A107" s="53" t="s">
        <v>12</v>
      </c>
      <c r="B107" s="53" t="s">
        <v>16</v>
      </c>
      <c r="C107" s="54" t="s">
        <v>2551</v>
      </c>
      <c r="D107" s="55" t="s">
        <v>2552</v>
      </c>
      <c r="E107" s="54" t="s">
        <v>899</v>
      </c>
      <c r="F107" s="54" t="s">
        <v>1935</v>
      </c>
      <c r="G107" s="54">
        <v>2</v>
      </c>
      <c r="H107" s="54"/>
      <c r="I107" s="54"/>
      <c r="J107" s="54">
        <v>0</v>
      </c>
      <c r="K107" s="54"/>
      <c r="L107" s="54"/>
      <c r="M107" s="54">
        <v>1</v>
      </c>
      <c r="N107" s="54"/>
      <c r="O107" s="54" t="s">
        <v>2553</v>
      </c>
    </row>
    <row r="108" spans="1:15" ht="30" x14ac:dyDescent="0.2">
      <c r="A108" s="53" t="s">
        <v>12</v>
      </c>
      <c r="B108" s="53" t="s">
        <v>15</v>
      </c>
      <c r="C108" s="54" t="s">
        <v>2554</v>
      </c>
      <c r="D108" s="55" t="s">
        <v>2555</v>
      </c>
      <c r="E108" s="54" t="s">
        <v>2548</v>
      </c>
      <c r="F108" s="54" t="s">
        <v>2549</v>
      </c>
      <c r="G108" s="54"/>
      <c r="H108" s="54"/>
      <c r="I108" s="54">
        <v>7200</v>
      </c>
      <c r="J108" s="54">
        <v>7200</v>
      </c>
      <c r="K108" s="54"/>
      <c r="L108" s="54"/>
      <c r="M108" s="54"/>
      <c r="N108" s="54"/>
      <c r="O108" s="54" t="s">
        <v>2556</v>
      </c>
    </row>
    <row r="109" spans="1:15" ht="15.75" x14ac:dyDescent="0.2">
      <c r="A109" s="53" t="s">
        <v>12</v>
      </c>
      <c r="B109" s="53" t="s">
        <v>106</v>
      </c>
      <c r="C109" s="54" t="s">
        <v>2557</v>
      </c>
      <c r="D109" s="55" t="s">
        <v>2558</v>
      </c>
      <c r="E109" s="54" t="s">
        <v>1762</v>
      </c>
      <c r="F109" s="54" t="s">
        <v>2540</v>
      </c>
      <c r="G109" s="54">
        <v>8</v>
      </c>
      <c r="H109" s="54"/>
      <c r="I109" s="54"/>
      <c r="J109" s="54">
        <v>21600</v>
      </c>
      <c r="K109" s="54"/>
      <c r="L109" s="54"/>
      <c r="M109" s="54"/>
      <c r="N109" s="54"/>
      <c r="O109" s="54" t="s">
        <v>2559</v>
      </c>
    </row>
    <row r="110" spans="1:15" ht="60" x14ac:dyDescent="0.2">
      <c r="A110" s="53" t="s">
        <v>12</v>
      </c>
      <c r="B110" s="53" t="s">
        <v>16</v>
      </c>
      <c r="C110" s="54" t="s">
        <v>2560</v>
      </c>
      <c r="D110" s="55" t="s">
        <v>2561</v>
      </c>
      <c r="E110" s="54" t="s">
        <v>899</v>
      </c>
      <c r="F110" s="54" t="s">
        <v>2536</v>
      </c>
      <c r="G110" s="54"/>
      <c r="H110" s="54"/>
      <c r="I110" s="54">
        <v>57600</v>
      </c>
      <c r="J110" s="54">
        <v>36000</v>
      </c>
      <c r="K110" s="54"/>
      <c r="L110" s="54"/>
      <c r="M110" s="54"/>
      <c r="N110" s="54"/>
      <c r="O110" s="54" t="s">
        <v>1050</v>
      </c>
    </row>
    <row r="111" spans="1:15" ht="60" x14ac:dyDescent="0.2">
      <c r="A111" s="53" t="s">
        <v>12</v>
      </c>
      <c r="B111" s="53" t="s">
        <v>16</v>
      </c>
      <c r="C111" s="54" t="s">
        <v>2562</v>
      </c>
      <c r="D111" s="55" t="s">
        <v>2563</v>
      </c>
      <c r="E111" s="54" t="s">
        <v>899</v>
      </c>
      <c r="F111" s="54" t="s">
        <v>2536</v>
      </c>
      <c r="G111" s="54">
        <v>5</v>
      </c>
      <c r="H111" s="54"/>
      <c r="I111" s="54"/>
      <c r="J111" s="54"/>
      <c r="K111" s="54"/>
      <c r="L111" s="54"/>
      <c r="M111" s="54"/>
      <c r="N111" s="54"/>
      <c r="O111" s="54" t="s">
        <v>2564</v>
      </c>
    </row>
    <row r="112" spans="1:15" ht="60" x14ac:dyDescent="0.2">
      <c r="A112" s="53" t="s">
        <v>12</v>
      </c>
      <c r="B112" s="53" t="s">
        <v>16</v>
      </c>
      <c r="C112" s="54" t="s">
        <v>2565</v>
      </c>
      <c r="D112" s="55" t="s">
        <v>2566</v>
      </c>
      <c r="E112" s="54" t="s">
        <v>899</v>
      </c>
      <c r="F112" s="54" t="s">
        <v>2536</v>
      </c>
      <c r="G112" s="54">
        <v>3</v>
      </c>
      <c r="H112" s="54"/>
      <c r="I112" s="54">
        <v>0</v>
      </c>
      <c r="J112" s="54">
        <v>0</v>
      </c>
      <c r="K112" s="54"/>
      <c r="L112" s="54"/>
      <c r="M112" s="54"/>
      <c r="N112" s="54"/>
      <c r="O112" s="54" t="s">
        <v>2133</v>
      </c>
    </row>
    <row r="113" spans="1:15" ht="60" x14ac:dyDescent="0.2">
      <c r="A113" s="53" t="s">
        <v>12</v>
      </c>
      <c r="B113" s="53" t="s">
        <v>16</v>
      </c>
      <c r="C113" s="54" t="s">
        <v>2567</v>
      </c>
      <c r="D113" s="55" t="s">
        <v>2568</v>
      </c>
      <c r="E113" s="54"/>
      <c r="F113" s="54" t="s">
        <v>2569</v>
      </c>
      <c r="G113" s="54">
        <v>5</v>
      </c>
      <c r="H113" s="54"/>
      <c r="I113" s="54">
        <v>86400</v>
      </c>
      <c r="J113" s="54">
        <v>57600</v>
      </c>
      <c r="K113" s="54"/>
      <c r="L113" s="54"/>
      <c r="M113" s="54"/>
      <c r="N113" s="54"/>
      <c r="O113" s="54" t="s">
        <v>2570</v>
      </c>
    </row>
    <row r="114" spans="1:15" ht="60" x14ac:dyDescent="0.2">
      <c r="A114" s="53" t="s">
        <v>12</v>
      </c>
      <c r="B114" s="53" t="s">
        <v>16</v>
      </c>
      <c r="C114" s="54" t="s">
        <v>2571</v>
      </c>
      <c r="D114" s="55" t="s">
        <v>2572</v>
      </c>
      <c r="E114" s="54" t="s">
        <v>899</v>
      </c>
      <c r="F114" s="54" t="s">
        <v>2536</v>
      </c>
      <c r="G114" s="54">
        <v>5</v>
      </c>
      <c r="H114" s="54"/>
      <c r="I114" s="54"/>
      <c r="J114" s="54">
        <v>28800</v>
      </c>
      <c r="K114" s="54"/>
      <c r="L114" s="54"/>
      <c r="M114" s="54"/>
      <c r="N114" s="54"/>
      <c r="O114" s="54" t="s">
        <v>2573</v>
      </c>
    </row>
    <row r="115" spans="1:15" ht="60" x14ac:dyDescent="0.2">
      <c r="A115" s="53" t="s">
        <v>12</v>
      </c>
      <c r="B115" s="53" t="s">
        <v>16</v>
      </c>
      <c r="C115" s="54" t="s">
        <v>2574</v>
      </c>
      <c r="D115" s="55" t="s">
        <v>2575</v>
      </c>
      <c r="E115" s="54" t="s">
        <v>899</v>
      </c>
      <c r="F115" s="54" t="s">
        <v>1935</v>
      </c>
      <c r="G115" s="54">
        <v>8</v>
      </c>
      <c r="H115" s="54"/>
      <c r="I115" s="54">
        <v>57600</v>
      </c>
      <c r="J115" s="54">
        <v>37800</v>
      </c>
      <c r="K115" s="54"/>
      <c r="L115" s="54"/>
      <c r="M115" s="54"/>
      <c r="N115" s="54"/>
      <c r="O115" s="54" t="s">
        <v>2576</v>
      </c>
    </row>
    <row r="116" spans="1:15" ht="60" x14ac:dyDescent="0.2">
      <c r="A116" s="53" t="s">
        <v>12</v>
      </c>
      <c r="B116" s="53" t="s">
        <v>15</v>
      </c>
      <c r="C116" s="54" t="s">
        <v>2577</v>
      </c>
      <c r="D116" s="55" t="s">
        <v>2578</v>
      </c>
      <c r="E116" s="54" t="s">
        <v>899</v>
      </c>
      <c r="F116" s="54" t="s">
        <v>1771</v>
      </c>
      <c r="G116" s="54">
        <v>5</v>
      </c>
      <c r="H116" s="54">
        <v>5</v>
      </c>
      <c r="I116" s="54">
        <v>60</v>
      </c>
      <c r="J116" s="54">
        <v>0</v>
      </c>
      <c r="K116" s="54"/>
      <c r="L116" s="54"/>
      <c r="M116" s="54"/>
      <c r="N116" s="54"/>
      <c r="O116" s="54" t="s">
        <v>1047</v>
      </c>
    </row>
    <row r="117" spans="1:15" ht="30" x14ac:dyDescent="0.2">
      <c r="A117" s="53" t="s">
        <v>12</v>
      </c>
      <c r="B117" s="53" t="s">
        <v>13</v>
      </c>
      <c r="C117" s="54" t="s">
        <v>2579</v>
      </c>
      <c r="D117" s="55" t="s">
        <v>2580</v>
      </c>
      <c r="E117" s="54"/>
      <c r="F117" s="54"/>
      <c r="G117" s="54"/>
      <c r="H117" s="54"/>
      <c r="I117" s="54"/>
      <c r="J117" s="54"/>
      <c r="K117" s="54"/>
      <c r="L117" s="54"/>
      <c r="M117" s="54"/>
      <c r="N117" s="54"/>
      <c r="O117" s="54"/>
    </row>
    <row r="118" spans="1:15" ht="30" x14ac:dyDescent="0.2">
      <c r="A118" s="53" t="s">
        <v>12</v>
      </c>
      <c r="B118" s="53" t="s">
        <v>13</v>
      </c>
      <c r="C118" s="54" t="s">
        <v>2581</v>
      </c>
      <c r="D118" s="55" t="s">
        <v>2582</v>
      </c>
      <c r="E118" s="54"/>
      <c r="F118" s="54"/>
      <c r="G118" s="54"/>
      <c r="H118" s="54"/>
      <c r="I118" s="54"/>
      <c r="J118" s="54"/>
      <c r="K118" s="54"/>
      <c r="L118" s="54"/>
      <c r="M118" s="54"/>
      <c r="N118" s="54"/>
      <c r="O118" s="54"/>
    </row>
    <row r="119" spans="1:15" ht="75" x14ac:dyDescent="0.2">
      <c r="A119" s="53" t="s">
        <v>12</v>
      </c>
      <c r="B119" s="53" t="s">
        <v>14</v>
      </c>
      <c r="C119" s="54" t="s">
        <v>2583</v>
      </c>
      <c r="D119" s="55" t="s">
        <v>2584</v>
      </c>
      <c r="E119" s="54" t="s">
        <v>2585</v>
      </c>
      <c r="F119" s="54" t="s">
        <v>2586</v>
      </c>
      <c r="G119" s="54">
        <v>8</v>
      </c>
      <c r="H119" s="54"/>
      <c r="I119" s="54"/>
      <c r="J119" s="54"/>
      <c r="K119" s="54"/>
      <c r="L119" s="54"/>
      <c r="M119" s="54"/>
      <c r="N119" s="54"/>
      <c r="O119" s="54" t="s">
        <v>2587</v>
      </c>
    </row>
    <row r="120" spans="1:15" ht="15.75" x14ac:dyDescent="0.2">
      <c r="A120" s="53" t="s">
        <v>12</v>
      </c>
      <c r="B120" s="53" t="s">
        <v>15</v>
      </c>
      <c r="C120" s="54" t="s">
        <v>2588</v>
      </c>
      <c r="D120" s="55" t="s">
        <v>2589</v>
      </c>
      <c r="E120" s="54" t="s">
        <v>2026</v>
      </c>
      <c r="F120" s="54" t="s">
        <v>2530</v>
      </c>
      <c r="G120" s="54">
        <v>5</v>
      </c>
      <c r="H120" s="54">
        <v>5</v>
      </c>
      <c r="I120" s="54">
        <v>54000</v>
      </c>
      <c r="J120" s="54">
        <v>54000</v>
      </c>
      <c r="K120" s="54"/>
      <c r="L120" s="54"/>
      <c r="M120" s="54"/>
      <c r="N120" s="54"/>
      <c r="O120" s="54" t="s">
        <v>2590</v>
      </c>
    </row>
    <row r="121" spans="1:15" ht="30" x14ac:dyDescent="0.2">
      <c r="A121" s="53" t="s">
        <v>12</v>
      </c>
      <c r="B121" s="53" t="s">
        <v>15</v>
      </c>
      <c r="C121" s="54" t="s">
        <v>2591</v>
      </c>
      <c r="D121" s="55" t="s">
        <v>2592</v>
      </c>
      <c r="E121" s="54" t="s">
        <v>883</v>
      </c>
      <c r="F121" s="54" t="s">
        <v>2593</v>
      </c>
      <c r="G121" s="54"/>
      <c r="H121" s="54"/>
      <c r="I121" s="54">
        <v>172800</v>
      </c>
      <c r="J121" s="54">
        <v>0</v>
      </c>
      <c r="K121" s="54"/>
      <c r="L121" s="54"/>
      <c r="M121" s="54"/>
      <c r="N121" s="54"/>
      <c r="O121" s="54" t="s">
        <v>2594</v>
      </c>
    </row>
    <row r="122" spans="1:15" ht="45" x14ac:dyDescent="0.2">
      <c r="A122" s="53" t="s">
        <v>12</v>
      </c>
      <c r="B122" s="53" t="s">
        <v>16</v>
      </c>
      <c r="C122" s="54" t="s">
        <v>2595</v>
      </c>
      <c r="D122" s="55" t="s">
        <v>2596</v>
      </c>
      <c r="E122" s="54" t="s">
        <v>2597</v>
      </c>
      <c r="F122" s="54" t="s">
        <v>2598</v>
      </c>
      <c r="G122" s="54">
        <v>2</v>
      </c>
      <c r="H122" s="54"/>
      <c r="I122" s="54">
        <v>144000</v>
      </c>
      <c r="J122" s="54">
        <v>7200</v>
      </c>
      <c r="K122" s="54"/>
      <c r="L122" s="54"/>
      <c r="M122" s="54"/>
      <c r="N122" s="54"/>
      <c r="O122" s="54" t="s">
        <v>2599</v>
      </c>
    </row>
    <row r="123" spans="1:15" ht="60" x14ac:dyDescent="0.2">
      <c r="A123" s="53" t="s">
        <v>12</v>
      </c>
      <c r="B123" s="53" t="s">
        <v>16</v>
      </c>
      <c r="C123" s="54" t="s">
        <v>2600</v>
      </c>
      <c r="D123" s="55" t="s">
        <v>2601</v>
      </c>
      <c r="E123" s="54" t="s">
        <v>899</v>
      </c>
      <c r="F123" s="54" t="s">
        <v>2536</v>
      </c>
      <c r="G123" s="54">
        <v>2</v>
      </c>
      <c r="H123" s="54"/>
      <c r="I123" s="54">
        <v>0</v>
      </c>
      <c r="J123" s="54">
        <v>0</v>
      </c>
      <c r="K123" s="54"/>
      <c r="L123" s="54"/>
      <c r="M123" s="54"/>
      <c r="N123" s="54"/>
      <c r="O123" s="54" t="s">
        <v>2602</v>
      </c>
    </row>
    <row r="124" spans="1:15" ht="75" x14ac:dyDescent="0.2">
      <c r="A124" s="53" t="s">
        <v>12</v>
      </c>
      <c r="B124" s="53" t="s">
        <v>16</v>
      </c>
      <c r="C124" s="54" t="s">
        <v>2603</v>
      </c>
      <c r="D124" s="55" t="s">
        <v>2604</v>
      </c>
      <c r="E124" s="54" t="s">
        <v>899</v>
      </c>
      <c r="F124" s="54" t="s">
        <v>2536</v>
      </c>
      <c r="G124" s="54">
        <v>2</v>
      </c>
      <c r="H124" s="54"/>
      <c r="I124" s="54">
        <v>0</v>
      </c>
      <c r="J124" s="54">
        <v>0</v>
      </c>
      <c r="K124" s="54"/>
      <c r="L124" s="54"/>
      <c r="M124" s="54"/>
      <c r="N124" s="54"/>
      <c r="O124" s="54" t="s">
        <v>2605</v>
      </c>
    </row>
    <row r="125" spans="1:15" ht="60" x14ac:dyDescent="0.2">
      <c r="A125" s="53" t="s">
        <v>12</v>
      </c>
      <c r="B125" s="53" t="s">
        <v>15</v>
      </c>
      <c r="C125" s="54" t="s">
        <v>2606</v>
      </c>
      <c r="D125" s="55" t="s">
        <v>2607</v>
      </c>
      <c r="E125" s="54" t="s">
        <v>899</v>
      </c>
      <c r="F125" s="54" t="s">
        <v>1771</v>
      </c>
      <c r="G125" s="54">
        <v>2</v>
      </c>
      <c r="H125" s="54">
        <v>2</v>
      </c>
      <c r="I125" s="54">
        <v>0</v>
      </c>
      <c r="J125" s="54">
        <v>0</v>
      </c>
      <c r="K125" s="54"/>
      <c r="L125" s="54"/>
      <c r="M125" s="54"/>
      <c r="N125" s="54"/>
      <c r="O125" s="54" t="s">
        <v>2608</v>
      </c>
    </row>
    <row r="126" spans="1:15" ht="30" x14ac:dyDescent="0.2">
      <c r="A126" s="53" t="s">
        <v>12</v>
      </c>
      <c r="B126" s="53" t="s">
        <v>15</v>
      </c>
      <c r="C126" s="54" t="s">
        <v>2609</v>
      </c>
      <c r="D126" s="55" t="s">
        <v>2610</v>
      </c>
      <c r="E126" s="54"/>
      <c r="F126" s="54" t="s">
        <v>2611</v>
      </c>
      <c r="G126" s="54">
        <v>1</v>
      </c>
      <c r="H126" s="54">
        <v>1</v>
      </c>
      <c r="I126" s="54">
        <v>46800</v>
      </c>
      <c r="J126" s="54">
        <v>28800</v>
      </c>
      <c r="K126" s="54"/>
      <c r="L126" s="54"/>
      <c r="M126" s="54"/>
      <c r="N126" s="54"/>
      <c r="O126" s="54" t="s">
        <v>2612</v>
      </c>
    </row>
    <row r="127" spans="1:15" ht="60" x14ac:dyDescent="0.2">
      <c r="A127" s="53" t="s">
        <v>12</v>
      </c>
      <c r="B127" s="53" t="s">
        <v>16</v>
      </c>
      <c r="C127" s="54" t="s">
        <v>2613</v>
      </c>
      <c r="D127" s="55" t="s">
        <v>2614</v>
      </c>
      <c r="E127" s="54" t="s">
        <v>899</v>
      </c>
      <c r="F127" s="54" t="s">
        <v>2536</v>
      </c>
      <c r="G127" s="54">
        <v>2</v>
      </c>
      <c r="H127" s="54"/>
      <c r="I127" s="54">
        <v>0</v>
      </c>
      <c r="J127" s="54">
        <v>0</v>
      </c>
      <c r="K127" s="54"/>
      <c r="L127" s="54"/>
      <c r="M127" s="54"/>
      <c r="N127" s="54"/>
      <c r="O127" s="54" t="s">
        <v>1460</v>
      </c>
    </row>
    <row r="128" spans="1:15" ht="60" x14ac:dyDescent="0.2">
      <c r="A128" s="53" t="s">
        <v>12</v>
      </c>
      <c r="B128" s="53" t="s">
        <v>16</v>
      </c>
      <c r="C128" s="54" t="s">
        <v>2615</v>
      </c>
      <c r="D128" s="55" t="s">
        <v>2616</v>
      </c>
      <c r="E128" s="54" t="s">
        <v>899</v>
      </c>
      <c r="F128" s="54" t="s">
        <v>2536</v>
      </c>
      <c r="G128" s="54">
        <v>5</v>
      </c>
      <c r="H128" s="54"/>
      <c r="I128" s="54">
        <v>0</v>
      </c>
      <c r="J128" s="54">
        <v>0</v>
      </c>
      <c r="K128" s="54"/>
      <c r="L128" s="54"/>
      <c r="M128" s="54"/>
      <c r="N128" s="54"/>
      <c r="O128" s="54" t="s">
        <v>1047</v>
      </c>
    </row>
    <row r="129" spans="1:15" ht="15.75" x14ac:dyDescent="0.2">
      <c r="A129" s="53" t="s">
        <v>12</v>
      </c>
      <c r="B129" s="53" t="s">
        <v>15</v>
      </c>
      <c r="C129" s="54" t="s">
        <v>2617</v>
      </c>
      <c r="D129" s="55" t="s">
        <v>2618</v>
      </c>
      <c r="E129" s="54" t="s">
        <v>2059</v>
      </c>
      <c r="F129" s="54" t="s">
        <v>2540</v>
      </c>
      <c r="G129" s="54">
        <v>3</v>
      </c>
      <c r="H129" s="54">
        <v>3</v>
      </c>
      <c r="I129" s="54">
        <v>417600</v>
      </c>
      <c r="J129" s="54">
        <v>230400</v>
      </c>
      <c r="K129" s="54"/>
      <c r="L129" s="54"/>
      <c r="M129" s="54"/>
      <c r="N129" s="54"/>
      <c r="O129" s="54" t="s">
        <v>2619</v>
      </c>
    </row>
    <row r="130" spans="1:15" ht="30" x14ac:dyDescent="0.2">
      <c r="A130" s="53" t="s">
        <v>12</v>
      </c>
      <c r="B130" s="53" t="s">
        <v>15</v>
      </c>
      <c r="C130" s="54" t="s">
        <v>2620</v>
      </c>
      <c r="D130" s="55" t="s">
        <v>2621</v>
      </c>
      <c r="E130" s="54" t="s">
        <v>2026</v>
      </c>
      <c r="F130" s="54" t="s">
        <v>2611</v>
      </c>
      <c r="G130" s="54"/>
      <c r="H130" s="54"/>
      <c r="I130" s="54">
        <v>0</v>
      </c>
      <c r="J130" s="54">
        <v>8400</v>
      </c>
      <c r="K130" s="54"/>
      <c r="L130" s="54"/>
      <c r="M130" s="54"/>
      <c r="N130" s="54"/>
      <c r="O130" s="54" t="s">
        <v>2622</v>
      </c>
    </row>
    <row r="131" spans="1:15" ht="30" x14ac:dyDescent="0.2">
      <c r="A131" s="53" t="s">
        <v>12</v>
      </c>
      <c r="B131" s="53" t="s">
        <v>15</v>
      </c>
      <c r="C131" s="54" t="s">
        <v>2623</v>
      </c>
      <c r="D131" s="55" t="s">
        <v>2624</v>
      </c>
      <c r="E131" s="54"/>
      <c r="F131" s="54" t="s">
        <v>2007</v>
      </c>
      <c r="G131" s="54">
        <v>5</v>
      </c>
      <c r="H131" s="54">
        <v>5</v>
      </c>
      <c r="I131" s="54"/>
      <c r="J131" s="54"/>
      <c r="K131" s="54"/>
      <c r="L131" s="54"/>
      <c r="M131" s="54"/>
      <c r="N131" s="54"/>
      <c r="O131" s="54" t="s">
        <v>2625</v>
      </c>
    </row>
    <row r="132" spans="1:15" ht="15.75" x14ac:dyDescent="0.2">
      <c r="A132" s="53" t="s">
        <v>12</v>
      </c>
      <c r="B132" s="53" t="s">
        <v>13</v>
      </c>
      <c r="C132" s="54" t="s">
        <v>2626</v>
      </c>
      <c r="D132" s="55" t="s">
        <v>2627</v>
      </c>
      <c r="E132" s="54"/>
      <c r="F132" s="54"/>
      <c r="G132" s="54"/>
      <c r="H132" s="54"/>
      <c r="I132" s="54">
        <v>86400</v>
      </c>
      <c r="J132" s="54">
        <v>100800</v>
      </c>
      <c r="K132" s="54"/>
      <c r="L132" s="54"/>
      <c r="M132" s="54"/>
      <c r="N132" s="54"/>
      <c r="O132" s="54"/>
    </row>
    <row r="133" spans="1:15" ht="30" x14ac:dyDescent="0.2">
      <c r="A133" s="53" t="s">
        <v>12</v>
      </c>
      <c r="B133" s="53" t="s">
        <v>15</v>
      </c>
      <c r="C133" s="54" t="s">
        <v>2628</v>
      </c>
      <c r="D133" s="55" t="s">
        <v>2629</v>
      </c>
      <c r="E133" s="54" t="s">
        <v>899</v>
      </c>
      <c r="F133" s="54" t="s">
        <v>2630</v>
      </c>
      <c r="G133" s="54">
        <v>1</v>
      </c>
      <c r="H133" s="54">
        <v>1</v>
      </c>
      <c r="I133" s="54">
        <v>72000</v>
      </c>
      <c r="J133" s="54">
        <v>68100</v>
      </c>
      <c r="K133" s="54"/>
      <c r="L133" s="54"/>
      <c r="M133" s="54"/>
      <c r="N133" s="54"/>
      <c r="O133" s="54"/>
    </row>
    <row r="134" spans="1:15" ht="15.75" x14ac:dyDescent="0.2">
      <c r="A134" s="53" t="s">
        <v>12</v>
      </c>
      <c r="B134" s="53" t="s">
        <v>15</v>
      </c>
      <c r="C134" s="54" t="s">
        <v>2631</v>
      </c>
      <c r="D134" s="55" t="s">
        <v>2632</v>
      </c>
      <c r="E134" s="54" t="s">
        <v>2633</v>
      </c>
      <c r="F134" s="54" t="s">
        <v>2530</v>
      </c>
      <c r="G134" s="54">
        <v>5</v>
      </c>
      <c r="H134" s="54">
        <v>5</v>
      </c>
      <c r="I134" s="54">
        <v>54000</v>
      </c>
      <c r="J134" s="54">
        <v>54000</v>
      </c>
      <c r="K134" s="54"/>
      <c r="L134" s="54"/>
      <c r="M134" s="54"/>
      <c r="N134" s="54"/>
      <c r="O134" s="54" t="s">
        <v>2634</v>
      </c>
    </row>
    <row r="135" spans="1:15" ht="60" x14ac:dyDescent="0.2">
      <c r="A135" s="53" t="s">
        <v>12</v>
      </c>
      <c r="B135" s="53" t="s">
        <v>16</v>
      </c>
      <c r="C135" s="54" t="s">
        <v>2635</v>
      </c>
      <c r="D135" s="55" t="s">
        <v>2636</v>
      </c>
      <c r="E135" s="54" t="s">
        <v>899</v>
      </c>
      <c r="F135" s="54" t="s">
        <v>2536</v>
      </c>
      <c r="G135" s="54">
        <v>2</v>
      </c>
      <c r="H135" s="54"/>
      <c r="I135" s="54">
        <v>28800</v>
      </c>
      <c r="J135" s="54">
        <v>900</v>
      </c>
      <c r="K135" s="54"/>
      <c r="L135" s="54"/>
      <c r="M135" s="54"/>
      <c r="N135" s="54"/>
      <c r="O135" s="54" t="s">
        <v>2637</v>
      </c>
    </row>
    <row r="136" spans="1:15" ht="15.75" x14ac:dyDescent="0.2">
      <c r="A136" s="53" t="s">
        <v>12</v>
      </c>
      <c r="B136" s="53" t="s">
        <v>15</v>
      </c>
      <c r="C136" s="54" t="s">
        <v>2638</v>
      </c>
      <c r="D136" s="55" t="s">
        <v>2639</v>
      </c>
      <c r="E136" s="54" t="s">
        <v>2026</v>
      </c>
      <c r="F136" s="54" t="s">
        <v>2530</v>
      </c>
      <c r="G136" s="54">
        <v>8</v>
      </c>
      <c r="H136" s="54">
        <v>8</v>
      </c>
      <c r="I136" s="54">
        <v>72000</v>
      </c>
      <c r="J136" s="54">
        <v>72000</v>
      </c>
      <c r="K136" s="54"/>
      <c r="L136" s="54"/>
      <c r="M136" s="54"/>
      <c r="N136" s="54"/>
      <c r="O136" s="54" t="s">
        <v>2640</v>
      </c>
    </row>
    <row r="137" spans="1:15" ht="30" x14ac:dyDescent="0.2">
      <c r="A137" s="53" t="s">
        <v>12</v>
      </c>
      <c r="B137" s="53" t="s">
        <v>14</v>
      </c>
      <c r="C137" s="54" t="s">
        <v>2641</v>
      </c>
      <c r="D137" s="55" t="s">
        <v>2642</v>
      </c>
      <c r="E137" s="54" t="s">
        <v>899</v>
      </c>
      <c r="F137" s="54"/>
      <c r="G137" s="54">
        <v>2</v>
      </c>
      <c r="H137" s="54"/>
      <c r="I137" s="54">
        <v>115200</v>
      </c>
      <c r="J137" s="54">
        <v>54000</v>
      </c>
      <c r="K137" s="54"/>
      <c r="L137" s="54"/>
      <c r="M137" s="54">
        <v>1</v>
      </c>
      <c r="N137" s="54"/>
      <c r="O137" s="54" t="s">
        <v>2643</v>
      </c>
    </row>
    <row r="138" spans="1:15" ht="15.75" x14ac:dyDescent="0.2">
      <c r="A138" s="53" t="s">
        <v>12</v>
      </c>
      <c r="B138" s="53" t="s">
        <v>15</v>
      </c>
      <c r="C138" s="54" t="s">
        <v>2644</v>
      </c>
      <c r="D138" s="55" t="s">
        <v>2645</v>
      </c>
      <c r="E138" s="54"/>
      <c r="F138" s="54" t="s">
        <v>2646</v>
      </c>
      <c r="G138" s="54"/>
      <c r="H138" s="54"/>
      <c r="I138" s="54"/>
      <c r="J138" s="54"/>
      <c r="K138" s="54"/>
      <c r="L138" s="54"/>
      <c r="M138" s="54"/>
      <c r="N138" s="54"/>
      <c r="O138" s="54" t="s">
        <v>2647</v>
      </c>
    </row>
    <row r="139" spans="1:15" ht="60" x14ac:dyDescent="0.2">
      <c r="A139" s="53" t="s">
        <v>12</v>
      </c>
      <c r="B139" s="53" t="s">
        <v>15</v>
      </c>
      <c r="C139" s="54" t="s">
        <v>2648</v>
      </c>
      <c r="D139" s="55" t="s">
        <v>2649</v>
      </c>
      <c r="E139" s="54" t="s">
        <v>899</v>
      </c>
      <c r="F139" s="54" t="s">
        <v>1771</v>
      </c>
      <c r="G139" s="54">
        <v>2</v>
      </c>
      <c r="H139" s="54">
        <v>2</v>
      </c>
      <c r="I139" s="54"/>
      <c r="J139" s="54"/>
      <c r="K139" s="54"/>
      <c r="L139" s="54"/>
      <c r="M139" s="54"/>
      <c r="N139" s="54"/>
      <c r="O139" s="54" t="s">
        <v>2650</v>
      </c>
    </row>
    <row r="140" spans="1:15" ht="15.75" x14ac:dyDescent="0.2">
      <c r="A140" s="53" t="s">
        <v>12</v>
      </c>
      <c r="B140" s="53" t="s">
        <v>15</v>
      </c>
      <c r="C140" s="54" t="s">
        <v>2651</v>
      </c>
      <c r="D140" s="55" t="s">
        <v>2652</v>
      </c>
      <c r="E140" s="54" t="s">
        <v>2633</v>
      </c>
      <c r="F140" s="54" t="s">
        <v>2530</v>
      </c>
      <c r="G140" s="54">
        <v>5</v>
      </c>
      <c r="H140" s="54">
        <v>5</v>
      </c>
      <c r="I140" s="54">
        <v>54000</v>
      </c>
      <c r="J140" s="54">
        <v>54000</v>
      </c>
      <c r="K140" s="54"/>
      <c r="L140" s="54"/>
      <c r="M140" s="54"/>
      <c r="N140" s="54"/>
      <c r="O140" s="54" t="s">
        <v>2653</v>
      </c>
    </row>
    <row r="141" spans="1:15" ht="45" x14ac:dyDescent="0.2">
      <c r="A141" s="53" t="s">
        <v>12</v>
      </c>
      <c r="B141" s="53" t="s">
        <v>106</v>
      </c>
      <c r="C141" s="54" t="s">
        <v>2654</v>
      </c>
      <c r="D141" s="55" t="s">
        <v>2655</v>
      </c>
      <c r="E141" s="54" t="s">
        <v>1762</v>
      </c>
      <c r="F141" s="54" t="s">
        <v>2656</v>
      </c>
      <c r="G141" s="54">
        <v>8</v>
      </c>
      <c r="H141" s="54"/>
      <c r="I141" s="54"/>
      <c r="J141" s="54"/>
      <c r="K141" s="54"/>
      <c r="L141" s="54"/>
      <c r="M141" s="54"/>
      <c r="N141" s="54"/>
      <c r="O141" s="54" t="s">
        <v>2657</v>
      </c>
    </row>
    <row r="142" spans="1:15" ht="30" x14ac:dyDescent="0.2">
      <c r="A142" s="53" t="s">
        <v>12</v>
      </c>
      <c r="B142" s="53" t="s">
        <v>15</v>
      </c>
      <c r="C142" s="54" t="s">
        <v>2658</v>
      </c>
      <c r="D142" s="55" t="s">
        <v>2659</v>
      </c>
      <c r="E142" s="54"/>
      <c r="F142" s="54" t="s">
        <v>2660</v>
      </c>
      <c r="G142" s="54">
        <v>5</v>
      </c>
      <c r="H142" s="54">
        <v>5</v>
      </c>
      <c r="I142" s="54"/>
      <c r="J142" s="54"/>
      <c r="K142" s="54"/>
      <c r="L142" s="54"/>
      <c r="M142" s="54"/>
      <c r="N142" s="54"/>
      <c r="O142" s="54" t="s">
        <v>2661</v>
      </c>
    </row>
    <row r="143" spans="1:15" ht="15.75" x14ac:dyDescent="0.2">
      <c r="A143" s="53" t="s">
        <v>12</v>
      </c>
      <c r="B143" s="53" t="s">
        <v>15</v>
      </c>
      <c r="C143" s="54" t="s">
        <v>2662</v>
      </c>
      <c r="D143" s="55" t="s">
        <v>2663</v>
      </c>
      <c r="E143" s="54" t="s">
        <v>2633</v>
      </c>
      <c r="F143" s="54" t="s">
        <v>2530</v>
      </c>
      <c r="G143" s="54">
        <v>8</v>
      </c>
      <c r="H143" s="54">
        <v>8</v>
      </c>
      <c r="I143" s="54">
        <v>32400</v>
      </c>
      <c r="J143" s="54">
        <v>32400</v>
      </c>
      <c r="K143" s="54"/>
      <c r="L143" s="54"/>
      <c r="M143" s="54"/>
      <c r="N143" s="54"/>
      <c r="O143" s="54" t="s">
        <v>2664</v>
      </c>
    </row>
    <row r="144" spans="1:15" ht="30" x14ac:dyDescent="0.2">
      <c r="A144" s="53" t="s">
        <v>12</v>
      </c>
      <c r="B144" s="53" t="s">
        <v>15</v>
      </c>
      <c r="C144" s="54" t="s">
        <v>2665</v>
      </c>
      <c r="D144" s="55" t="s">
        <v>2666</v>
      </c>
      <c r="E144" s="54" t="s">
        <v>2667</v>
      </c>
      <c r="F144" s="54" t="s">
        <v>2660</v>
      </c>
      <c r="G144" s="54">
        <v>5</v>
      </c>
      <c r="H144" s="54">
        <v>5</v>
      </c>
      <c r="I144" s="54"/>
      <c r="J144" s="54"/>
      <c r="K144" s="54"/>
      <c r="L144" s="54"/>
      <c r="M144" s="54"/>
      <c r="N144" s="54"/>
      <c r="O144" s="54" t="s">
        <v>2550</v>
      </c>
    </row>
    <row r="145" spans="1:15" ht="60" x14ac:dyDescent="0.2">
      <c r="A145" s="53" t="s">
        <v>12</v>
      </c>
      <c r="B145" s="53" t="s">
        <v>16</v>
      </c>
      <c r="C145" s="54" t="s">
        <v>2668</v>
      </c>
      <c r="D145" s="55" t="s">
        <v>2669</v>
      </c>
      <c r="E145" s="54" t="s">
        <v>920</v>
      </c>
      <c r="F145" s="54" t="s">
        <v>2536</v>
      </c>
      <c r="G145" s="54">
        <v>3</v>
      </c>
      <c r="H145" s="54"/>
      <c r="I145" s="54">
        <v>0</v>
      </c>
      <c r="J145" s="54">
        <v>0</v>
      </c>
      <c r="K145" s="54"/>
      <c r="L145" s="54"/>
      <c r="M145" s="54"/>
      <c r="N145" s="54"/>
      <c r="O145" s="54" t="s">
        <v>2670</v>
      </c>
    </row>
    <row r="146" spans="1:15" ht="75" x14ac:dyDescent="0.2">
      <c r="A146" s="53" t="s">
        <v>12</v>
      </c>
      <c r="B146" s="53" t="s">
        <v>16</v>
      </c>
      <c r="C146" s="54" t="s">
        <v>2671</v>
      </c>
      <c r="D146" s="55" t="s">
        <v>2672</v>
      </c>
      <c r="E146" s="54" t="s">
        <v>899</v>
      </c>
      <c r="F146" s="54" t="s">
        <v>2673</v>
      </c>
      <c r="G146" s="54">
        <v>2</v>
      </c>
      <c r="H146" s="54"/>
      <c r="I146" s="54"/>
      <c r="J146" s="54">
        <v>0</v>
      </c>
      <c r="K146" s="54"/>
      <c r="L146" s="54"/>
      <c r="M146" s="54">
        <v>1</v>
      </c>
      <c r="N146" s="54"/>
      <c r="O146" s="54" t="s">
        <v>2674</v>
      </c>
    </row>
    <row r="147" spans="1:15" ht="45" x14ac:dyDescent="0.2">
      <c r="A147" s="53" t="s">
        <v>12</v>
      </c>
      <c r="B147" s="53" t="s">
        <v>16</v>
      </c>
      <c r="C147" s="54" t="s">
        <v>2675</v>
      </c>
      <c r="D147" s="55" t="s">
        <v>2676</v>
      </c>
      <c r="E147" s="54"/>
      <c r="F147" s="54" t="s">
        <v>1555</v>
      </c>
      <c r="G147" s="54">
        <v>3</v>
      </c>
      <c r="H147" s="54"/>
      <c r="I147" s="54">
        <v>201600</v>
      </c>
      <c r="J147" s="54">
        <v>162000</v>
      </c>
      <c r="K147" s="54"/>
      <c r="L147" s="54"/>
      <c r="M147" s="54"/>
      <c r="N147" s="54"/>
      <c r="O147" s="54" t="s">
        <v>1016</v>
      </c>
    </row>
    <row r="148" spans="1:15" ht="30" x14ac:dyDescent="0.2">
      <c r="A148" s="53" t="s">
        <v>12</v>
      </c>
      <c r="B148" s="53" t="s">
        <v>16</v>
      </c>
      <c r="C148" s="54" t="s">
        <v>2677</v>
      </c>
      <c r="D148" s="55" t="s">
        <v>2678</v>
      </c>
      <c r="E148" s="54" t="s">
        <v>2026</v>
      </c>
      <c r="F148" s="54"/>
      <c r="G148" s="54">
        <v>5</v>
      </c>
      <c r="H148" s="54"/>
      <c r="I148" s="54">
        <v>57600</v>
      </c>
      <c r="J148" s="54">
        <v>0</v>
      </c>
      <c r="K148" s="54"/>
      <c r="L148" s="54"/>
      <c r="M148" s="54"/>
      <c r="N148" s="54"/>
      <c r="O148" s="54" t="s">
        <v>2679</v>
      </c>
    </row>
    <row r="149" spans="1:15" ht="45" x14ac:dyDescent="0.2">
      <c r="A149" s="53" t="s">
        <v>12</v>
      </c>
      <c r="B149" s="53" t="s">
        <v>15</v>
      </c>
      <c r="C149" s="54" t="s">
        <v>2680</v>
      </c>
      <c r="D149" s="55" t="s">
        <v>2681</v>
      </c>
      <c r="E149" s="54" t="s">
        <v>1311</v>
      </c>
      <c r="F149" s="54" t="s">
        <v>2682</v>
      </c>
      <c r="G149" s="54">
        <v>2</v>
      </c>
      <c r="H149" s="54">
        <v>2</v>
      </c>
      <c r="I149" s="54">
        <v>115200</v>
      </c>
      <c r="J149" s="54">
        <v>0</v>
      </c>
      <c r="K149" s="54"/>
      <c r="L149" s="54"/>
      <c r="M149" s="54"/>
      <c r="N149" s="54"/>
      <c r="O149" s="54" t="s">
        <v>2683</v>
      </c>
    </row>
    <row r="150" spans="1:15" ht="30" x14ac:dyDescent="0.2">
      <c r="A150" s="53" t="s">
        <v>12</v>
      </c>
      <c r="B150" s="53" t="s">
        <v>106</v>
      </c>
      <c r="C150" s="54" t="s">
        <v>2684</v>
      </c>
      <c r="D150" s="55" t="s">
        <v>2685</v>
      </c>
      <c r="E150" s="54" t="s">
        <v>1762</v>
      </c>
      <c r="F150" s="54" t="s">
        <v>2686</v>
      </c>
      <c r="G150" s="54">
        <v>13</v>
      </c>
      <c r="H150" s="54"/>
      <c r="I150" s="54"/>
      <c r="J150" s="54"/>
      <c r="K150" s="54"/>
      <c r="L150" s="54"/>
      <c r="M150" s="54"/>
      <c r="N150" s="54"/>
      <c r="O150" s="54" t="s">
        <v>2687</v>
      </c>
    </row>
    <row r="151" spans="1:15" ht="60" x14ac:dyDescent="0.2">
      <c r="A151" s="53" t="s">
        <v>12</v>
      </c>
      <c r="B151" s="53" t="s">
        <v>16</v>
      </c>
      <c r="C151" s="54" t="s">
        <v>2688</v>
      </c>
      <c r="D151" s="55" t="s">
        <v>2689</v>
      </c>
      <c r="E151" s="54" t="s">
        <v>899</v>
      </c>
      <c r="F151" s="54" t="s">
        <v>2536</v>
      </c>
      <c r="G151" s="54">
        <v>2</v>
      </c>
      <c r="H151" s="54"/>
      <c r="I151" s="54">
        <v>0</v>
      </c>
      <c r="J151" s="54">
        <v>0</v>
      </c>
      <c r="K151" s="54"/>
      <c r="L151" s="54"/>
      <c r="M151" s="54"/>
      <c r="N151" s="54"/>
      <c r="O151" s="54" t="s">
        <v>2690</v>
      </c>
    </row>
    <row r="152" spans="1:15" ht="45" x14ac:dyDescent="0.2">
      <c r="A152" s="53" t="s">
        <v>12</v>
      </c>
      <c r="B152" s="53" t="s">
        <v>16</v>
      </c>
      <c r="C152" s="54" t="s">
        <v>2691</v>
      </c>
      <c r="D152" s="55" t="s">
        <v>2692</v>
      </c>
      <c r="E152" s="54"/>
      <c r="F152" s="54" t="s">
        <v>2693</v>
      </c>
      <c r="G152" s="54">
        <v>3</v>
      </c>
      <c r="H152" s="54"/>
      <c r="I152" s="54">
        <v>151200</v>
      </c>
      <c r="J152" s="54">
        <v>72000</v>
      </c>
      <c r="K152" s="54"/>
      <c r="L152" s="54"/>
      <c r="M152" s="54"/>
      <c r="N152" s="54"/>
      <c r="O152" s="54" t="s">
        <v>1012</v>
      </c>
    </row>
    <row r="153" spans="1:15" ht="45" x14ac:dyDescent="0.2">
      <c r="A153" s="53" t="s">
        <v>12</v>
      </c>
      <c r="B153" s="53" t="s">
        <v>15</v>
      </c>
      <c r="C153" s="54" t="s">
        <v>2694</v>
      </c>
      <c r="D153" s="55" t="s">
        <v>2695</v>
      </c>
      <c r="E153" s="54" t="s">
        <v>2548</v>
      </c>
      <c r="F153" s="54" t="s">
        <v>2660</v>
      </c>
      <c r="G153" s="54"/>
      <c r="H153" s="54"/>
      <c r="I153" s="54"/>
      <c r="J153" s="54"/>
      <c r="K153" s="54"/>
      <c r="L153" s="54"/>
      <c r="M153" s="54"/>
      <c r="N153" s="54"/>
      <c r="O153" s="54"/>
    </row>
    <row r="154" spans="1:15" ht="30" x14ac:dyDescent="0.2">
      <c r="A154" s="53" t="s">
        <v>12</v>
      </c>
      <c r="B154" s="53" t="s">
        <v>15</v>
      </c>
      <c r="C154" s="54" t="s">
        <v>2696</v>
      </c>
      <c r="D154" s="55" t="s">
        <v>2697</v>
      </c>
      <c r="E154" s="54" t="s">
        <v>2548</v>
      </c>
      <c r="F154" s="54" t="s">
        <v>2660</v>
      </c>
      <c r="G154" s="54">
        <v>20</v>
      </c>
      <c r="H154" s="54">
        <v>20</v>
      </c>
      <c r="I154" s="54"/>
      <c r="J154" s="54"/>
      <c r="K154" s="54"/>
      <c r="L154" s="54"/>
      <c r="M154" s="54"/>
      <c r="N154" s="54"/>
      <c r="O154" s="54" t="s">
        <v>2556</v>
      </c>
    </row>
    <row r="155" spans="1:15" ht="60" x14ac:dyDescent="0.2">
      <c r="A155" s="53" t="s">
        <v>12</v>
      </c>
      <c r="B155" s="53" t="s">
        <v>17</v>
      </c>
      <c r="C155" s="54" t="s">
        <v>2698</v>
      </c>
      <c r="D155" s="55" t="s">
        <v>2699</v>
      </c>
      <c r="E155" s="54" t="s">
        <v>899</v>
      </c>
      <c r="F155" s="54" t="s">
        <v>2536</v>
      </c>
      <c r="G155" s="54"/>
      <c r="H155" s="54"/>
      <c r="I155" s="54">
        <v>86400</v>
      </c>
      <c r="J155" s="54">
        <v>43200</v>
      </c>
      <c r="K155" s="54"/>
      <c r="L155" s="54"/>
      <c r="M155" s="54"/>
      <c r="N155" s="54"/>
      <c r="O155" s="54" t="s">
        <v>2133</v>
      </c>
    </row>
    <row r="156" spans="1:15" ht="45" x14ac:dyDescent="0.2">
      <c r="A156" s="53" t="s">
        <v>12</v>
      </c>
      <c r="B156" s="53" t="s">
        <v>106</v>
      </c>
      <c r="C156" s="54" t="s">
        <v>2700</v>
      </c>
      <c r="D156" s="55" t="s">
        <v>2701</v>
      </c>
      <c r="E156" s="54" t="s">
        <v>2026</v>
      </c>
      <c r="F156" s="54"/>
      <c r="G156" s="54"/>
      <c r="H156" s="54"/>
      <c r="I156" s="54">
        <v>86400</v>
      </c>
      <c r="J156" s="54">
        <v>50400</v>
      </c>
      <c r="K156" s="54"/>
      <c r="L156" s="54"/>
      <c r="M156" s="54"/>
      <c r="N156" s="54"/>
      <c r="O156" s="54" t="s">
        <v>2702</v>
      </c>
    </row>
    <row r="157" spans="1:15" ht="15.75" x14ac:dyDescent="0.2">
      <c r="A157" s="53" t="s">
        <v>12</v>
      </c>
      <c r="B157" s="53" t="s">
        <v>15</v>
      </c>
      <c r="C157" s="54" t="s">
        <v>2703</v>
      </c>
      <c r="D157" s="55" t="s">
        <v>2704</v>
      </c>
      <c r="E157" s="54" t="s">
        <v>2026</v>
      </c>
      <c r="F157" s="54" t="s">
        <v>2530</v>
      </c>
      <c r="G157" s="54">
        <v>2</v>
      </c>
      <c r="H157" s="54">
        <v>2</v>
      </c>
      <c r="I157" s="54">
        <v>28800</v>
      </c>
      <c r="J157" s="54">
        <v>28800</v>
      </c>
      <c r="K157" s="54"/>
      <c r="L157" s="54"/>
      <c r="M157" s="54"/>
      <c r="N157" s="54"/>
      <c r="O157" s="54" t="s">
        <v>2640</v>
      </c>
    </row>
    <row r="158" spans="1:15" ht="30" x14ac:dyDescent="0.2">
      <c r="A158" s="53" t="s">
        <v>12</v>
      </c>
      <c r="B158" s="53" t="s">
        <v>15</v>
      </c>
      <c r="C158" s="54" t="s">
        <v>2705</v>
      </c>
      <c r="D158" s="55" t="s">
        <v>2706</v>
      </c>
      <c r="E158" s="54" t="s">
        <v>1311</v>
      </c>
      <c r="F158" s="54" t="s">
        <v>2707</v>
      </c>
      <c r="G158" s="54">
        <v>3</v>
      </c>
      <c r="H158" s="54">
        <v>3</v>
      </c>
      <c r="I158" s="54">
        <v>180000</v>
      </c>
      <c r="J158" s="54">
        <v>0</v>
      </c>
      <c r="K158" s="54"/>
      <c r="L158" s="54"/>
      <c r="M158" s="54"/>
      <c r="N158" s="54"/>
      <c r="O158" s="54" t="s">
        <v>2708</v>
      </c>
    </row>
    <row r="159" spans="1:15" ht="15.75" x14ac:dyDescent="0.2">
      <c r="A159" s="53" t="s">
        <v>12</v>
      </c>
      <c r="B159" s="53" t="s">
        <v>15</v>
      </c>
      <c r="C159" s="54" t="s">
        <v>2709</v>
      </c>
      <c r="D159" s="55" t="s">
        <v>2710</v>
      </c>
      <c r="E159" s="54" t="s">
        <v>2711</v>
      </c>
      <c r="F159" s="54" t="s">
        <v>2549</v>
      </c>
      <c r="G159" s="54"/>
      <c r="H159" s="54"/>
      <c r="I159" s="54"/>
      <c r="J159" s="54"/>
      <c r="K159" s="54"/>
      <c r="L159" s="54"/>
      <c r="M159" s="54"/>
      <c r="N159" s="54"/>
      <c r="O159" s="54" t="s">
        <v>2687</v>
      </c>
    </row>
    <row r="160" spans="1:15" ht="60" x14ac:dyDescent="0.2">
      <c r="A160" s="53" t="s">
        <v>12</v>
      </c>
      <c r="B160" s="53" t="s">
        <v>15</v>
      </c>
      <c r="C160" s="54" t="s">
        <v>2712</v>
      </c>
      <c r="D160" s="55" t="s">
        <v>2713</v>
      </c>
      <c r="E160" s="54" t="s">
        <v>899</v>
      </c>
      <c r="F160" s="54" t="s">
        <v>2714</v>
      </c>
      <c r="G160" s="54">
        <v>5</v>
      </c>
      <c r="H160" s="54">
        <v>5</v>
      </c>
      <c r="I160" s="54"/>
      <c r="J160" s="54">
        <v>0</v>
      </c>
      <c r="K160" s="54"/>
      <c r="L160" s="54"/>
      <c r="M160" s="54">
        <v>1</v>
      </c>
      <c r="N160" s="54"/>
      <c r="O160" s="54" t="s">
        <v>2715</v>
      </c>
    </row>
    <row r="161" spans="1:15" ht="60" x14ac:dyDescent="0.2">
      <c r="A161" s="53" t="s">
        <v>12</v>
      </c>
      <c r="B161" s="53" t="s">
        <v>16</v>
      </c>
      <c r="C161" s="54" t="s">
        <v>2716</v>
      </c>
      <c r="D161" s="55" t="s">
        <v>2717</v>
      </c>
      <c r="E161" s="54" t="s">
        <v>899</v>
      </c>
      <c r="F161" s="54" t="s">
        <v>1935</v>
      </c>
      <c r="G161" s="54">
        <v>2</v>
      </c>
      <c r="H161" s="54"/>
      <c r="I161" s="54">
        <v>187200</v>
      </c>
      <c r="J161" s="54">
        <v>136800</v>
      </c>
      <c r="K161" s="54"/>
      <c r="L161" s="54"/>
      <c r="M161" s="54"/>
      <c r="N161" s="54"/>
      <c r="O161" s="54" t="s">
        <v>2718</v>
      </c>
    </row>
    <row r="162" spans="1:15" ht="30" x14ac:dyDescent="0.2">
      <c r="A162" s="53" t="s">
        <v>12</v>
      </c>
      <c r="B162" s="53" t="s">
        <v>15</v>
      </c>
      <c r="C162" s="54" t="s">
        <v>2719</v>
      </c>
      <c r="D162" s="55" t="s">
        <v>2720</v>
      </c>
      <c r="E162" s="54"/>
      <c r="F162" s="54"/>
      <c r="G162" s="54"/>
      <c r="H162" s="54"/>
      <c r="I162" s="54"/>
      <c r="J162" s="54">
        <v>0</v>
      </c>
      <c r="K162" s="54"/>
      <c r="L162" s="54"/>
      <c r="M162" s="54"/>
      <c r="N162" s="54"/>
      <c r="O162" s="54" t="s">
        <v>2721</v>
      </c>
    </row>
    <row r="163" spans="1:15" ht="15.75" x14ac:dyDescent="0.2">
      <c r="A163" s="53" t="s">
        <v>12</v>
      </c>
      <c r="B163" s="53" t="s">
        <v>15</v>
      </c>
      <c r="C163" s="54" t="s">
        <v>2722</v>
      </c>
      <c r="D163" s="55" t="s">
        <v>2723</v>
      </c>
      <c r="E163" s="54" t="s">
        <v>2711</v>
      </c>
      <c r="F163" s="54" t="s">
        <v>2724</v>
      </c>
      <c r="G163" s="54">
        <v>5</v>
      </c>
      <c r="H163" s="54"/>
      <c r="I163" s="54"/>
      <c r="J163" s="54"/>
      <c r="K163" s="54"/>
      <c r="L163" s="54"/>
      <c r="M163" s="54"/>
      <c r="N163" s="54"/>
      <c r="O163" s="54" t="s">
        <v>2725</v>
      </c>
    </row>
    <row r="164" spans="1:15" ht="60" x14ac:dyDescent="0.2">
      <c r="A164" s="53" t="s">
        <v>12</v>
      </c>
      <c r="B164" s="53" t="s">
        <v>15</v>
      </c>
      <c r="C164" s="54" t="s">
        <v>2726</v>
      </c>
      <c r="D164" s="55" t="s">
        <v>2727</v>
      </c>
      <c r="E164" s="54" t="s">
        <v>899</v>
      </c>
      <c r="F164" s="54" t="s">
        <v>2714</v>
      </c>
      <c r="G164" s="54">
        <v>5</v>
      </c>
      <c r="H164" s="54">
        <v>5</v>
      </c>
      <c r="I164" s="54"/>
      <c r="J164" s="54">
        <v>0</v>
      </c>
      <c r="K164" s="54"/>
      <c r="L164" s="54"/>
      <c r="M164" s="54">
        <v>1</v>
      </c>
      <c r="N164" s="54"/>
      <c r="O164" s="54" t="s">
        <v>2728</v>
      </c>
    </row>
    <row r="165" spans="1:15" ht="60" x14ac:dyDescent="0.2">
      <c r="A165" s="53" t="s">
        <v>12</v>
      </c>
      <c r="B165" s="53" t="s">
        <v>15</v>
      </c>
      <c r="C165" s="54" t="s">
        <v>2729</v>
      </c>
      <c r="D165" s="55" t="s">
        <v>2730</v>
      </c>
      <c r="E165" s="54" t="s">
        <v>899</v>
      </c>
      <c r="F165" s="54" t="s">
        <v>2714</v>
      </c>
      <c r="G165" s="54">
        <v>3</v>
      </c>
      <c r="H165" s="54">
        <v>3</v>
      </c>
      <c r="I165" s="54">
        <v>0</v>
      </c>
      <c r="J165" s="54">
        <v>57600</v>
      </c>
      <c r="K165" s="54"/>
      <c r="L165" s="54"/>
      <c r="M165" s="54"/>
      <c r="N165" s="54"/>
      <c r="O165" s="54" t="s">
        <v>2731</v>
      </c>
    </row>
    <row r="166" spans="1:15" ht="45" x14ac:dyDescent="0.2">
      <c r="A166" s="53" t="s">
        <v>12</v>
      </c>
      <c r="B166" s="53" t="s">
        <v>13</v>
      </c>
      <c r="C166" s="54" t="s">
        <v>2732</v>
      </c>
      <c r="D166" s="55" t="s">
        <v>2733</v>
      </c>
      <c r="E166" s="54"/>
      <c r="F166" s="54"/>
      <c r="G166" s="54"/>
      <c r="H166" s="54"/>
      <c r="I166" s="54"/>
      <c r="J166" s="54"/>
      <c r="K166" s="54"/>
      <c r="L166" s="54"/>
      <c r="M166" s="54"/>
      <c r="N166" s="54"/>
      <c r="O166" s="54" t="s">
        <v>2734</v>
      </c>
    </row>
    <row r="167" spans="1:15" ht="75" x14ac:dyDescent="0.2">
      <c r="A167" s="53" t="s">
        <v>12</v>
      </c>
      <c r="B167" s="53" t="s">
        <v>16</v>
      </c>
      <c r="C167" s="54" t="s">
        <v>2735</v>
      </c>
      <c r="D167" s="55" t="s">
        <v>2736</v>
      </c>
      <c r="E167" s="54" t="s">
        <v>899</v>
      </c>
      <c r="F167" s="54" t="s">
        <v>2673</v>
      </c>
      <c r="G167" s="54"/>
      <c r="H167" s="54"/>
      <c r="I167" s="54">
        <v>0</v>
      </c>
      <c r="J167" s="54">
        <v>0</v>
      </c>
      <c r="K167" s="54"/>
      <c r="L167" s="54"/>
      <c r="M167" s="54"/>
      <c r="N167" s="54"/>
      <c r="O167" s="54" t="s">
        <v>2737</v>
      </c>
    </row>
    <row r="168" spans="1:15" ht="30" x14ac:dyDescent="0.2">
      <c r="A168" s="53" t="s">
        <v>12</v>
      </c>
      <c r="B168" s="53" t="s">
        <v>15</v>
      </c>
      <c r="C168" s="54" t="s">
        <v>2738</v>
      </c>
      <c r="D168" s="55" t="s">
        <v>2739</v>
      </c>
      <c r="E168" s="54" t="s">
        <v>2026</v>
      </c>
      <c r="F168" s="54" t="s">
        <v>2740</v>
      </c>
      <c r="G168" s="54"/>
      <c r="H168" s="54"/>
      <c r="I168" s="54"/>
      <c r="J168" s="54"/>
      <c r="K168" s="54"/>
      <c r="L168" s="54"/>
      <c r="M168" s="54"/>
      <c r="N168" s="54"/>
      <c r="O168" s="54" t="s">
        <v>2741</v>
      </c>
    </row>
    <row r="169" spans="1:15" ht="30" x14ac:dyDescent="0.2">
      <c r="A169" s="53" t="s">
        <v>12</v>
      </c>
      <c r="B169" s="53" t="s">
        <v>15</v>
      </c>
      <c r="C169" s="54" t="s">
        <v>2742</v>
      </c>
      <c r="D169" s="55" t="s">
        <v>2743</v>
      </c>
      <c r="E169" s="54" t="s">
        <v>2744</v>
      </c>
      <c r="F169" s="54"/>
      <c r="G169" s="54"/>
      <c r="H169" s="54"/>
      <c r="I169" s="54">
        <v>7200</v>
      </c>
      <c r="J169" s="54">
        <v>3600</v>
      </c>
      <c r="K169" s="54"/>
      <c r="L169" s="54"/>
      <c r="M169" s="54"/>
      <c r="N169" s="54"/>
      <c r="O169" s="54" t="s">
        <v>2745</v>
      </c>
    </row>
    <row r="170" spans="1:15" ht="75" x14ac:dyDescent="0.2">
      <c r="A170" s="53" t="s">
        <v>12</v>
      </c>
      <c r="B170" s="53" t="s">
        <v>15</v>
      </c>
      <c r="C170" s="54" t="s">
        <v>2746</v>
      </c>
      <c r="D170" s="55" t="s">
        <v>2747</v>
      </c>
      <c r="E170" s="54" t="s">
        <v>920</v>
      </c>
      <c r="F170" s="54" t="s">
        <v>1752</v>
      </c>
      <c r="G170" s="54"/>
      <c r="H170" s="54"/>
      <c r="I170" s="54"/>
      <c r="J170" s="54"/>
      <c r="K170" s="54"/>
      <c r="L170" s="54"/>
      <c r="M170" s="54"/>
      <c r="N170" s="54"/>
      <c r="O170" s="54"/>
    </row>
    <row r="171" spans="1:15" ht="45" x14ac:dyDescent="0.2">
      <c r="A171" s="53" t="s">
        <v>12</v>
      </c>
      <c r="B171" s="53" t="s">
        <v>13</v>
      </c>
      <c r="C171" s="54" t="s">
        <v>2748</v>
      </c>
      <c r="D171" s="55" t="s">
        <v>2749</v>
      </c>
      <c r="E171" s="54" t="s">
        <v>2059</v>
      </c>
      <c r="F171" s="54"/>
      <c r="G171" s="54">
        <v>5</v>
      </c>
      <c r="H171" s="54"/>
      <c r="I171" s="54"/>
      <c r="J171" s="54"/>
      <c r="K171" s="54"/>
      <c r="L171" s="54"/>
      <c r="M171" s="54"/>
      <c r="N171" s="54"/>
      <c r="O171" s="54" t="s">
        <v>1591</v>
      </c>
    </row>
    <row r="172" spans="1:15" ht="60" x14ac:dyDescent="0.2">
      <c r="A172" s="53" t="s">
        <v>12</v>
      </c>
      <c r="B172" s="53" t="s">
        <v>15</v>
      </c>
      <c r="C172" s="54" t="s">
        <v>2750</v>
      </c>
      <c r="D172" s="55" t="s">
        <v>2751</v>
      </c>
      <c r="E172" s="54" t="s">
        <v>899</v>
      </c>
      <c r="F172" s="54" t="s">
        <v>2714</v>
      </c>
      <c r="G172" s="54"/>
      <c r="H172" s="54"/>
      <c r="I172" s="54">
        <v>100800</v>
      </c>
      <c r="J172" s="54">
        <v>57600</v>
      </c>
      <c r="K172" s="54"/>
      <c r="L172" s="54"/>
      <c r="M172" s="54"/>
      <c r="N172" s="54"/>
      <c r="O172" s="54" t="s">
        <v>2752</v>
      </c>
    </row>
    <row r="173" spans="1:15" ht="30" x14ac:dyDescent="0.2">
      <c r="A173" s="53" t="s">
        <v>12</v>
      </c>
      <c r="B173" s="53" t="s">
        <v>15</v>
      </c>
      <c r="C173" s="54" t="s">
        <v>2753</v>
      </c>
      <c r="D173" s="55" t="s">
        <v>2754</v>
      </c>
      <c r="E173" s="54" t="s">
        <v>2744</v>
      </c>
      <c r="F173" s="54" t="s">
        <v>2755</v>
      </c>
      <c r="G173" s="54">
        <v>3</v>
      </c>
      <c r="H173" s="54">
        <v>3</v>
      </c>
      <c r="I173" s="54"/>
      <c r="J173" s="54"/>
      <c r="K173" s="54"/>
      <c r="L173" s="54"/>
      <c r="M173" s="54"/>
      <c r="N173" s="54"/>
      <c r="O173" s="54" t="s">
        <v>1591</v>
      </c>
    </row>
    <row r="174" spans="1:15" ht="30" x14ac:dyDescent="0.2">
      <c r="A174" s="53" t="s">
        <v>12</v>
      </c>
      <c r="B174" s="53" t="s">
        <v>16</v>
      </c>
      <c r="C174" s="54" t="s">
        <v>2756</v>
      </c>
      <c r="D174" s="55" t="s">
        <v>2757</v>
      </c>
      <c r="E174" s="54" t="s">
        <v>2026</v>
      </c>
      <c r="F174" s="54"/>
      <c r="G174" s="54">
        <v>3</v>
      </c>
      <c r="H174" s="54"/>
      <c r="I174" s="54">
        <v>57600</v>
      </c>
      <c r="J174" s="54">
        <v>0</v>
      </c>
      <c r="K174" s="54"/>
      <c r="L174" s="54"/>
      <c r="M174" s="54"/>
      <c r="N174" s="54"/>
      <c r="O174" s="54" t="s">
        <v>2758</v>
      </c>
    </row>
    <row r="175" spans="1:15" ht="30" x14ac:dyDescent="0.2">
      <c r="A175" s="53" t="s">
        <v>12</v>
      </c>
      <c r="B175" s="53" t="s">
        <v>15</v>
      </c>
      <c r="C175" s="54" t="s">
        <v>2759</v>
      </c>
      <c r="D175" s="55" t="s">
        <v>2760</v>
      </c>
      <c r="E175" s="54" t="s">
        <v>2026</v>
      </c>
      <c r="F175" s="54" t="s">
        <v>2646</v>
      </c>
      <c r="G175" s="54"/>
      <c r="H175" s="54"/>
      <c r="I175" s="54">
        <v>0</v>
      </c>
      <c r="J175" s="54">
        <v>0</v>
      </c>
      <c r="K175" s="54"/>
      <c r="L175" s="54"/>
      <c r="M175" s="54"/>
      <c r="N175" s="54"/>
      <c r="O175" s="54" t="s">
        <v>2761</v>
      </c>
    </row>
    <row r="176" spans="1:15" ht="15.75" x14ac:dyDescent="0.2">
      <c r="A176" s="53" t="s">
        <v>12</v>
      </c>
      <c r="B176" s="53" t="s">
        <v>15</v>
      </c>
      <c r="C176" s="54" t="s">
        <v>2762</v>
      </c>
      <c r="D176" s="55" t="s">
        <v>2763</v>
      </c>
      <c r="E176" s="54"/>
      <c r="F176" s="54" t="s">
        <v>2646</v>
      </c>
      <c r="G176" s="54"/>
      <c r="H176" s="54"/>
      <c r="I176" s="54">
        <v>144000</v>
      </c>
      <c r="J176" s="54">
        <v>32400</v>
      </c>
      <c r="K176" s="54"/>
      <c r="L176" s="54"/>
      <c r="M176" s="54"/>
      <c r="N176" s="54"/>
      <c r="O176" s="54" t="s">
        <v>1252</v>
      </c>
    </row>
    <row r="177" spans="1:15" ht="30" x14ac:dyDescent="0.2">
      <c r="A177" s="53" t="s">
        <v>12</v>
      </c>
      <c r="B177" s="53" t="s">
        <v>15</v>
      </c>
      <c r="C177" s="54" t="s">
        <v>2764</v>
      </c>
      <c r="D177" s="55" t="s">
        <v>2765</v>
      </c>
      <c r="E177" s="54" t="s">
        <v>2711</v>
      </c>
      <c r="F177" s="54" t="s">
        <v>2724</v>
      </c>
      <c r="G177" s="54">
        <v>3</v>
      </c>
      <c r="H177" s="54"/>
      <c r="I177" s="54">
        <v>0</v>
      </c>
      <c r="J177" s="54">
        <v>0</v>
      </c>
      <c r="K177" s="54"/>
      <c r="L177" s="54"/>
      <c r="M177" s="54"/>
      <c r="N177" s="54"/>
      <c r="O177" s="54" t="s">
        <v>2766</v>
      </c>
    </row>
    <row r="178" spans="1:15" ht="75" x14ac:dyDescent="0.2">
      <c r="A178" s="53" t="s">
        <v>12</v>
      </c>
      <c r="B178" s="53" t="s">
        <v>16</v>
      </c>
      <c r="C178" s="54" t="s">
        <v>2767</v>
      </c>
      <c r="D178" s="55" t="s">
        <v>2768</v>
      </c>
      <c r="E178" s="54" t="s">
        <v>899</v>
      </c>
      <c r="F178" s="54" t="s">
        <v>2673</v>
      </c>
      <c r="G178" s="54">
        <v>2</v>
      </c>
      <c r="H178" s="54"/>
      <c r="I178" s="54">
        <v>0</v>
      </c>
      <c r="J178" s="54">
        <v>600</v>
      </c>
      <c r="K178" s="54"/>
      <c r="L178" s="54"/>
      <c r="M178" s="54"/>
      <c r="N178" s="54"/>
      <c r="O178" s="54" t="s">
        <v>1047</v>
      </c>
    </row>
    <row r="179" spans="1:15" ht="75" x14ac:dyDescent="0.2">
      <c r="A179" s="53" t="s">
        <v>12</v>
      </c>
      <c r="B179" s="53" t="s">
        <v>16</v>
      </c>
      <c r="C179" s="54" t="s">
        <v>2769</v>
      </c>
      <c r="D179" s="55" t="s">
        <v>2770</v>
      </c>
      <c r="E179" s="54" t="s">
        <v>899</v>
      </c>
      <c r="F179" s="54" t="s">
        <v>2673</v>
      </c>
      <c r="G179" s="54">
        <v>2</v>
      </c>
      <c r="H179" s="54"/>
      <c r="I179" s="54">
        <v>0</v>
      </c>
      <c r="J179" s="54">
        <v>0</v>
      </c>
      <c r="K179" s="54"/>
      <c r="L179" s="54"/>
      <c r="M179" s="54"/>
      <c r="N179" s="54"/>
      <c r="O179" s="54" t="s">
        <v>2771</v>
      </c>
    </row>
    <row r="180" spans="1:15" ht="60" x14ac:dyDescent="0.2">
      <c r="A180" s="53" t="s">
        <v>12</v>
      </c>
      <c r="B180" s="53" t="s">
        <v>15</v>
      </c>
      <c r="C180" s="54" t="s">
        <v>2772</v>
      </c>
      <c r="D180" s="55" t="s">
        <v>2773</v>
      </c>
      <c r="E180" s="54" t="s">
        <v>899</v>
      </c>
      <c r="F180" s="54" t="s">
        <v>2714</v>
      </c>
      <c r="G180" s="54">
        <v>2</v>
      </c>
      <c r="H180" s="54">
        <v>2</v>
      </c>
      <c r="I180" s="54">
        <v>0</v>
      </c>
      <c r="J180" s="54">
        <v>0</v>
      </c>
      <c r="K180" s="54"/>
      <c r="L180" s="54"/>
      <c r="M180" s="54"/>
      <c r="N180" s="54"/>
      <c r="O180" s="54" t="s">
        <v>2774</v>
      </c>
    </row>
    <row r="181" spans="1:15" ht="75" x14ac:dyDescent="0.2">
      <c r="A181" s="53" t="s">
        <v>12</v>
      </c>
      <c r="B181" s="53" t="s">
        <v>16</v>
      </c>
      <c r="C181" s="54" t="s">
        <v>2775</v>
      </c>
      <c r="D181" s="55" t="s">
        <v>2776</v>
      </c>
      <c r="E181" s="54" t="s">
        <v>899</v>
      </c>
      <c r="F181" s="54" t="s">
        <v>2673</v>
      </c>
      <c r="G181" s="54">
        <v>2</v>
      </c>
      <c r="H181" s="54"/>
      <c r="I181" s="54">
        <v>0</v>
      </c>
      <c r="J181" s="54">
        <v>0</v>
      </c>
      <c r="K181" s="54"/>
      <c r="L181" s="54"/>
      <c r="M181" s="54"/>
      <c r="N181" s="54"/>
      <c r="O181" s="54" t="s">
        <v>2777</v>
      </c>
    </row>
    <row r="182" spans="1:15" ht="30" x14ac:dyDescent="0.2">
      <c r="A182" s="53" t="s">
        <v>12</v>
      </c>
      <c r="B182" s="53" t="s">
        <v>15</v>
      </c>
      <c r="C182" s="54" t="s">
        <v>2778</v>
      </c>
      <c r="D182" s="55" t="s">
        <v>2779</v>
      </c>
      <c r="E182" s="54" t="s">
        <v>2744</v>
      </c>
      <c r="F182" s="54" t="s">
        <v>2780</v>
      </c>
      <c r="G182" s="54">
        <v>3</v>
      </c>
      <c r="H182" s="54">
        <v>3</v>
      </c>
      <c r="I182" s="54"/>
      <c r="J182" s="54"/>
      <c r="K182" s="54"/>
      <c r="L182" s="54"/>
      <c r="M182" s="54"/>
      <c r="N182" s="54"/>
      <c r="O182" s="54" t="s">
        <v>1591</v>
      </c>
    </row>
    <row r="183" spans="1:15" ht="45" x14ac:dyDescent="0.2">
      <c r="A183" s="53" t="s">
        <v>12</v>
      </c>
      <c r="B183" s="53" t="s">
        <v>15</v>
      </c>
      <c r="C183" s="54" t="s">
        <v>2781</v>
      </c>
      <c r="D183" s="55" t="s">
        <v>2782</v>
      </c>
      <c r="E183" s="54" t="s">
        <v>1311</v>
      </c>
      <c r="F183" s="54" t="s">
        <v>2294</v>
      </c>
      <c r="G183" s="54">
        <v>2</v>
      </c>
      <c r="H183" s="54">
        <v>2</v>
      </c>
      <c r="I183" s="54">
        <v>14400</v>
      </c>
      <c r="J183" s="54">
        <v>0</v>
      </c>
      <c r="K183" s="54"/>
      <c r="L183" s="54"/>
      <c r="M183" s="54"/>
      <c r="N183" s="54"/>
      <c r="O183" s="54" t="s">
        <v>2783</v>
      </c>
    </row>
    <row r="184" spans="1:15" ht="30" x14ac:dyDescent="0.2">
      <c r="A184" s="53" t="s">
        <v>12</v>
      </c>
      <c r="B184" s="53" t="s">
        <v>15</v>
      </c>
      <c r="C184" s="54" t="s">
        <v>2784</v>
      </c>
      <c r="D184" s="55" t="s">
        <v>2785</v>
      </c>
      <c r="E184" s="54" t="s">
        <v>1311</v>
      </c>
      <c r="F184" s="54" t="s">
        <v>2291</v>
      </c>
      <c r="G184" s="54">
        <v>1</v>
      </c>
      <c r="H184" s="54">
        <v>1</v>
      </c>
      <c r="I184" s="54">
        <v>43200</v>
      </c>
      <c r="J184" s="54">
        <v>0</v>
      </c>
      <c r="K184" s="54"/>
      <c r="L184" s="54"/>
      <c r="M184" s="54"/>
      <c r="N184" s="54"/>
      <c r="O184" s="54" t="s">
        <v>2786</v>
      </c>
    </row>
    <row r="185" spans="1:15" ht="45" x14ac:dyDescent="0.2">
      <c r="A185" s="53" t="s">
        <v>12</v>
      </c>
      <c r="B185" s="53" t="s">
        <v>15</v>
      </c>
      <c r="C185" s="54" t="s">
        <v>2787</v>
      </c>
      <c r="D185" s="55" t="s">
        <v>2788</v>
      </c>
      <c r="E185" s="54" t="s">
        <v>1311</v>
      </c>
      <c r="F185" s="54" t="s">
        <v>2789</v>
      </c>
      <c r="G185" s="54">
        <v>3</v>
      </c>
      <c r="H185" s="54">
        <v>3</v>
      </c>
      <c r="I185" s="54">
        <v>54120</v>
      </c>
      <c r="J185" s="54">
        <v>0</v>
      </c>
      <c r="K185" s="54"/>
      <c r="L185" s="54"/>
      <c r="M185" s="54"/>
      <c r="N185" s="54"/>
      <c r="O185" s="54" t="s">
        <v>2790</v>
      </c>
    </row>
    <row r="186" spans="1:15" ht="30" x14ac:dyDescent="0.2">
      <c r="A186" s="53" t="s">
        <v>12</v>
      </c>
      <c r="B186" s="53" t="s">
        <v>15</v>
      </c>
      <c r="C186" s="54" t="s">
        <v>2791</v>
      </c>
      <c r="D186" s="55" t="s">
        <v>2792</v>
      </c>
      <c r="E186" s="54" t="s">
        <v>1311</v>
      </c>
      <c r="F186" s="54" t="s">
        <v>2793</v>
      </c>
      <c r="G186" s="54">
        <v>2</v>
      </c>
      <c r="H186" s="54">
        <v>2</v>
      </c>
      <c r="I186" s="54">
        <v>82860</v>
      </c>
      <c r="J186" s="54">
        <v>0</v>
      </c>
      <c r="K186" s="54"/>
      <c r="L186" s="54"/>
      <c r="M186" s="54"/>
      <c r="N186" s="54"/>
      <c r="O186" s="54" t="s">
        <v>2794</v>
      </c>
    </row>
    <row r="187" spans="1:15" ht="30" x14ac:dyDescent="0.2">
      <c r="A187" s="53" t="s">
        <v>12</v>
      </c>
      <c r="B187" s="53" t="s">
        <v>15</v>
      </c>
      <c r="C187" s="54" t="s">
        <v>2795</v>
      </c>
      <c r="D187" s="55" t="s">
        <v>2796</v>
      </c>
      <c r="E187" s="54" t="s">
        <v>1311</v>
      </c>
      <c r="F187" s="54" t="s">
        <v>2797</v>
      </c>
      <c r="G187" s="54">
        <v>1</v>
      </c>
      <c r="H187" s="54">
        <v>1</v>
      </c>
      <c r="I187" s="54">
        <v>82800</v>
      </c>
      <c r="J187" s="54">
        <v>0</v>
      </c>
      <c r="K187" s="54"/>
      <c r="L187" s="54"/>
      <c r="M187" s="54"/>
      <c r="N187" s="54"/>
      <c r="O187" s="54" t="s">
        <v>2798</v>
      </c>
    </row>
    <row r="188" spans="1:15" ht="30" x14ac:dyDescent="0.2">
      <c r="A188" s="53" t="s">
        <v>12</v>
      </c>
      <c r="B188" s="53" t="s">
        <v>15</v>
      </c>
      <c r="C188" s="54" t="s">
        <v>2799</v>
      </c>
      <c r="D188" s="55" t="s">
        <v>2800</v>
      </c>
      <c r="E188" s="54" t="s">
        <v>1311</v>
      </c>
      <c r="F188" s="54" t="s">
        <v>2405</v>
      </c>
      <c r="G188" s="54">
        <v>1</v>
      </c>
      <c r="H188" s="54">
        <v>1</v>
      </c>
      <c r="I188" s="54">
        <v>46860</v>
      </c>
      <c r="J188" s="54">
        <v>3600</v>
      </c>
      <c r="K188" s="54"/>
      <c r="L188" s="54"/>
      <c r="M188" s="54"/>
      <c r="N188" s="54"/>
      <c r="O188" s="54" t="s">
        <v>2801</v>
      </c>
    </row>
    <row r="189" spans="1:15" ht="45" x14ac:dyDescent="0.2">
      <c r="A189" s="53" t="s">
        <v>12</v>
      </c>
      <c r="B189" s="53" t="s">
        <v>15</v>
      </c>
      <c r="C189" s="54" t="s">
        <v>2802</v>
      </c>
      <c r="D189" s="55" t="s">
        <v>2803</v>
      </c>
      <c r="E189" s="54" t="s">
        <v>1311</v>
      </c>
      <c r="F189" s="54" t="s">
        <v>2361</v>
      </c>
      <c r="G189" s="54">
        <v>1</v>
      </c>
      <c r="H189" s="54">
        <v>1</v>
      </c>
      <c r="I189" s="54">
        <v>43320</v>
      </c>
      <c r="J189" s="54">
        <v>0</v>
      </c>
      <c r="K189" s="54"/>
      <c r="L189" s="54"/>
      <c r="M189" s="54"/>
      <c r="N189" s="54"/>
      <c r="O189" s="54" t="s">
        <v>2804</v>
      </c>
    </row>
    <row r="190" spans="1:15" ht="60" x14ac:dyDescent="0.2">
      <c r="A190" s="53" t="s">
        <v>12</v>
      </c>
      <c r="B190" s="53" t="s">
        <v>15</v>
      </c>
      <c r="C190" s="54" t="s">
        <v>2805</v>
      </c>
      <c r="D190" s="55" t="s">
        <v>2806</v>
      </c>
      <c r="E190" s="54" t="s">
        <v>1311</v>
      </c>
      <c r="F190" s="54" t="s">
        <v>2807</v>
      </c>
      <c r="G190" s="54">
        <v>3</v>
      </c>
      <c r="H190" s="54">
        <v>3</v>
      </c>
      <c r="I190" s="54">
        <v>205200</v>
      </c>
      <c r="J190" s="54">
        <v>0</v>
      </c>
      <c r="K190" s="54"/>
      <c r="L190" s="54"/>
      <c r="M190" s="54"/>
      <c r="N190" s="54"/>
      <c r="O190" s="54" t="s">
        <v>2808</v>
      </c>
    </row>
    <row r="191" spans="1:15" ht="30" x14ac:dyDescent="0.2">
      <c r="A191" s="53" t="s">
        <v>12</v>
      </c>
      <c r="B191" s="53" t="s">
        <v>15</v>
      </c>
      <c r="C191" s="54" t="s">
        <v>2809</v>
      </c>
      <c r="D191" s="55" t="s">
        <v>2810</v>
      </c>
      <c r="E191" s="54"/>
      <c r="F191" s="54" t="s">
        <v>2660</v>
      </c>
      <c r="G191" s="54"/>
      <c r="H191" s="54"/>
      <c r="I191" s="54">
        <v>172800</v>
      </c>
      <c r="J191" s="54">
        <v>64800</v>
      </c>
      <c r="K191" s="54"/>
      <c r="L191" s="54"/>
      <c r="M191" s="54"/>
      <c r="N191" s="54"/>
      <c r="O191" s="54" t="s">
        <v>2811</v>
      </c>
    </row>
    <row r="192" spans="1:15" ht="15.75" x14ac:dyDescent="0.2">
      <c r="A192" s="53" t="s">
        <v>12</v>
      </c>
      <c r="B192" s="53" t="s">
        <v>15</v>
      </c>
      <c r="C192" s="54" t="s">
        <v>2812</v>
      </c>
      <c r="D192" s="55" t="s">
        <v>2813</v>
      </c>
      <c r="E192" s="54"/>
      <c r="F192" s="54" t="s">
        <v>2724</v>
      </c>
      <c r="G192" s="54">
        <v>20</v>
      </c>
      <c r="H192" s="54"/>
      <c r="I192" s="54">
        <v>151200</v>
      </c>
      <c r="J192" s="54">
        <v>0</v>
      </c>
      <c r="K192" s="54"/>
      <c r="L192" s="54"/>
      <c r="M192" s="54"/>
      <c r="N192" s="54"/>
      <c r="O192" s="54" t="s">
        <v>2811</v>
      </c>
    </row>
    <row r="193" spans="1:15" ht="15.75" x14ac:dyDescent="0.2">
      <c r="A193" s="53" t="s">
        <v>12</v>
      </c>
      <c r="B193" s="53" t="s">
        <v>15</v>
      </c>
      <c r="C193" s="54" t="s">
        <v>2814</v>
      </c>
      <c r="D193" s="55" t="s">
        <v>2815</v>
      </c>
      <c r="E193" s="54"/>
      <c r="F193" s="54" t="s">
        <v>2540</v>
      </c>
      <c r="G193" s="54">
        <v>3</v>
      </c>
      <c r="H193" s="54">
        <v>3</v>
      </c>
      <c r="I193" s="54">
        <v>50400</v>
      </c>
      <c r="J193" s="54">
        <v>0</v>
      </c>
      <c r="K193" s="54"/>
      <c r="L193" s="54"/>
      <c r="M193" s="54"/>
      <c r="N193" s="54"/>
      <c r="O193" s="54" t="s">
        <v>2811</v>
      </c>
    </row>
    <row r="194" spans="1:15" ht="30" x14ac:dyDescent="0.2">
      <c r="A194" s="53" t="s">
        <v>12</v>
      </c>
      <c r="B194" s="53" t="s">
        <v>15</v>
      </c>
      <c r="C194" s="54" t="s">
        <v>2816</v>
      </c>
      <c r="D194" s="55" t="s">
        <v>2817</v>
      </c>
      <c r="E194" s="54" t="s">
        <v>2744</v>
      </c>
      <c r="F194" s="54" t="s">
        <v>2724</v>
      </c>
      <c r="G194" s="54">
        <v>3</v>
      </c>
      <c r="H194" s="54"/>
      <c r="I194" s="54"/>
      <c r="J194" s="54"/>
      <c r="K194" s="54"/>
      <c r="L194" s="54"/>
      <c r="M194" s="54"/>
      <c r="N194" s="54"/>
      <c r="O194" s="54" t="s">
        <v>2766</v>
      </c>
    </row>
    <row r="195" spans="1:15" ht="30" x14ac:dyDescent="0.2">
      <c r="A195" s="53" t="s">
        <v>12</v>
      </c>
      <c r="B195" s="53" t="s">
        <v>15</v>
      </c>
      <c r="C195" s="54" t="s">
        <v>2818</v>
      </c>
      <c r="D195" s="55" t="s">
        <v>2819</v>
      </c>
      <c r="E195" s="54" t="s">
        <v>2711</v>
      </c>
      <c r="F195" s="54" t="s">
        <v>2780</v>
      </c>
      <c r="G195" s="54">
        <v>20</v>
      </c>
      <c r="H195" s="54">
        <v>20</v>
      </c>
      <c r="I195" s="54">
        <v>0</v>
      </c>
      <c r="J195" s="54">
        <v>0</v>
      </c>
      <c r="K195" s="54"/>
      <c r="L195" s="54"/>
      <c r="M195" s="54"/>
      <c r="N195" s="54"/>
      <c r="O195" s="54" t="s">
        <v>2766</v>
      </c>
    </row>
    <row r="196" spans="1:15" ht="60" x14ac:dyDescent="0.2">
      <c r="A196" s="53" t="s">
        <v>12</v>
      </c>
      <c r="B196" s="53" t="s">
        <v>16</v>
      </c>
      <c r="C196" s="54" t="s">
        <v>2820</v>
      </c>
      <c r="D196" s="55" t="s">
        <v>2821</v>
      </c>
      <c r="E196" s="54" t="s">
        <v>899</v>
      </c>
      <c r="F196" s="54" t="s">
        <v>2536</v>
      </c>
      <c r="G196" s="54"/>
      <c r="H196" s="54"/>
      <c r="I196" s="54">
        <v>144060</v>
      </c>
      <c r="J196" s="54">
        <v>97200</v>
      </c>
      <c r="K196" s="54"/>
      <c r="L196" s="54"/>
      <c r="M196" s="54"/>
      <c r="N196" s="54"/>
      <c r="O196" s="54" t="s">
        <v>1387</v>
      </c>
    </row>
    <row r="197" spans="1:15" ht="30" x14ac:dyDescent="0.2">
      <c r="A197" s="53" t="s">
        <v>12</v>
      </c>
      <c r="B197" s="53" t="s">
        <v>15</v>
      </c>
      <c r="C197" s="54" t="s">
        <v>2822</v>
      </c>
      <c r="D197" s="55" t="s">
        <v>2823</v>
      </c>
      <c r="E197" s="54" t="s">
        <v>2026</v>
      </c>
      <c r="F197" s="54"/>
      <c r="G197" s="54"/>
      <c r="H197" s="54"/>
      <c r="I197" s="54"/>
      <c r="J197" s="54"/>
      <c r="K197" s="54"/>
      <c r="L197" s="54"/>
      <c r="M197" s="54"/>
      <c r="N197" s="54"/>
      <c r="O197" s="54" t="s">
        <v>2824</v>
      </c>
    </row>
    <row r="198" spans="1:15" ht="30" x14ac:dyDescent="0.2">
      <c r="A198" s="53" t="s">
        <v>12</v>
      </c>
      <c r="B198" s="53" t="s">
        <v>15</v>
      </c>
      <c r="C198" s="54" t="s">
        <v>2825</v>
      </c>
      <c r="D198" s="55" t="s">
        <v>2826</v>
      </c>
      <c r="E198" s="54" t="s">
        <v>2744</v>
      </c>
      <c r="F198" s="54" t="s">
        <v>2755</v>
      </c>
      <c r="G198" s="54">
        <v>3</v>
      </c>
      <c r="H198" s="54">
        <v>3</v>
      </c>
      <c r="I198" s="54"/>
      <c r="J198" s="54"/>
      <c r="K198" s="54"/>
      <c r="L198" s="54"/>
      <c r="M198" s="54"/>
      <c r="N198" s="54"/>
      <c r="O198" s="54" t="s">
        <v>2556</v>
      </c>
    </row>
    <row r="199" spans="1:15" ht="30" x14ac:dyDescent="0.2">
      <c r="A199" s="53" t="s">
        <v>12</v>
      </c>
      <c r="B199" s="53" t="s">
        <v>15</v>
      </c>
      <c r="C199" s="54" t="s">
        <v>2827</v>
      </c>
      <c r="D199" s="55" t="s">
        <v>2828</v>
      </c>
      <c r="E199" s="54" t="s">
        <v>2711</v>
      </c>
      <c r="F199" s="54" t="s">
        <v>2755</v>
      </c>
      <c r="G199" s="54">
        <v>5</v>
      </c>
      <c r="H199" s="54"/>
      <c r="I199" s="54"/>
      <c r="J199" s="54"/>
      <c r="K199" s="54"/>
      <c r="L199" s="54"/>
      <c r="M199" s="54"/>
      <c r="N199" s="54"/>
      <c r="O199" s="54" t="s">
        <v>2829</v>
      </c>
    </row>
    <row r="200" spans="1:15" ht="30" x14ac:dyDescent="0.2">
      <c r="A200" s="53" t="s">
        <v>12</v>
      </c>
      <c r="B200" s="53" t="s">
        <v>106</v>
      </c>
      <c r="C200" s="54" t="s">
        <v>2830</v>
      </c>
      <c r="D200" s="55" t="s">
        <v>2831</v>
      </c>
      <c r="E200" s="54" t="s">
        <v>2026</v>
      </c>
      <c r="F200" s="54" t="s">
        <v>1486</v>
      </c>
      <c r="G200" s="54"/>
      <c r="H200" s="54"/>
      <c r="I200" s="54">
        <v>57600</v>
      </c>
      <c r="J200" s="54">
        <v>36000</v>
      </c>
      <c r="K200" s="54"/>
      <c r="L200" s="54"/>
      <c r="M200" s="54"/>
      <c r="N200" s="54"/>
      <c r="O200" s="54" t="s">
        <v>2832</v>
      </c>
    </row>
    <row r="201" spans="1:15" ht="75" x14ac:dyDescent="0.2">
      <c r="A201" s="53" t="s">
        <v>12</v>
      </c>
      <c r="B201" s="53" t="s">
        <v>16</v>
      </c>
      <c r="C201" s="54" t="s">
        <v>2833</v>
      </c>
      <c r="D201" s="55" t="s">
        <v>2834</v>
      </c>
      <c r="E201" s="54" t="s">
        <v>899</v>
      </c>
      <c r="F201" s="54" t="s">
        <v>2673</v>
      </c>
      <c r="G201" s="54">
        <v>3</v>
      </c>
      <c r="H201" s="54"/>
      <c r="I201" s="54">
        <v>0</v>
      </c>
      <c r="J201" s="54">
        <v>0</v>
      </c>
      <c r="K201" s="54"/>
      <c r="L201" s="54"/>
      <c r="M201" s="54"/>
      <c r="N201" s="54"/>
      <c r="O201" s="54" t="s">
        <v>2835</v>
      </c>
    </row>
    <row r="202" spans="1:15" ht="90" x14ac:dyDescent="0.2">
      <c r="A202" s="53" t="s">
        <v>12</v>
      </c>
      <c r="B202" s="53" t="s">
        <v>16</v>
      </c>
      <c r="C202" s="54" t="s">
        <v>2836</v>
      </c>
      <c r="D202" s="55" t="s">
        <v>2837</v>
      </c>
      <c r="E202" s="54" t="s">
        <v>899</v>
      </c>
      <c r="F202" s="54" t="s">
        <v>2838</v>
      </c>
      <c r="G202" s="54">
        <v>2</v>
      </c>
      <c r="H202" s="54"/>
      <c r="I202" s="54"/>
      <c r="J202" s="54">
        <v>14400</v>
      </c>
      <c r="K202" s="54"/>
      <c r="L202" s="54"/>
      <c r="M202" s="54">
        <v>1</v>
      </c>
      <c r="N202" s="54"/>
      <c r="O202" s="54" t="s">
        <v>2839</v>
      </c>
    </row>
    <row r="203" spans="1:15" ht="30" x14ac:dyDescent="0.2">
      <c r="A203" s="53" t="s">
        <v>12</v>
      </c>
      <c r="B203" s="53" t="s">
        <v>15</v>
      </c>
      <c r="C203" s="54" t="s">
        <v>2840</v>
      </c>
      <c r="D203" s="55" t="s">
        <v>2721</v>
      </c>
      <c r="E203" s="54" t="s">
        <v>2841</v>
      </c>
      <c r="F203" s="54" t="s">
        <v>2755</v>
      </c>
      <c r="G203" s="54">
        <v>8</v>
      </c>
      <c r="H203" s="54">
        <v>8</v>
      </c>
      <c r="I203" s="54"/>
      <c r="J203" s="54">
        <v>0</v>
      </c>
      <c r="K203" s="54"/>
      <c r="L203" s="54"/>
      <c r="M203" s="54"/>
      <c r="N203" s="54"/>
      <c r="O203" s="54" t="s">
        <v>2842</v>
      </c>
    </row>
    <row r="204" spans="1:15" ht="30" x14ac:dyDescent="0.2">
      <c r="A204" s="53" t="s">
        <v>12</v>
      </c>
      <c r="B204" s="53" t="s">
        <v>15</v>
      </c>
      <c r="C204" s="54" t="s">
        <v>2843</v>
      </c>
      <c r="D204" s="55" t="s">
        <v>2844</v>
      </c>
      <c r="E204" s="54" t="s">
        <v>2026</v>
      </c>
      <c r="F204" s="54"/>
      <c r="G204" s="54"/>
      <c r="H204" s="54"/>
      <c r="I204" s="54"/>
      <c r="J204" s="54"/>
      <c r="K204" s="54"/>
      <c r="L204" s="54"/>
      <c r="M204" s="54"/>
      <c r="N204" s="54"/>
      <c r="O204" s="54" t="s">
        <v>2845</v>
      </c>
    </row>
    <row r="205" spans="1:15" ht="45" x14ac:dyDescent="0.2">
      <c r="A205" s="53" t="s">
        <v>12</v>
      </c>
      <c r="B205" s="53" t="s">
        <v>15</v>
      </c>
      <c r="C205" s="54" t="s">
        <v>2846</v>
      </c>
      <c r="D205" s="55" t="s">
        <v>2847</v>
      </c>
      <c r="E205" s="54" t="s">
        <v>2026</v>
      </c>
      <c r="F205" s="54"/>
      <c r="G205" s="54"/>
      <c r="H205" s="54"/>
      <c r="I205" s="54"/>
      <c r="J205" s="54"/>
      <c r="K205" s="54"/>
      <c r="L205" s="54"/>
      <c r="M205" s="54"/>
      <c r="N205" s="54"/>
      <c r="O205" s="54" t="s">
        <v>2848</v>
      </c>
    </row>
    <row r="206" spans="1:15" ht="15.75" x14ac:dyDescent="0.2">
      <c r="A206" s="53" t="s">
        <v>12</v>
      </c>
      <c r="B206" s="53" t="s">
        <v>15</v>
      </c>
      <c r="C206" s="54" t="s">
        <v>2849</v>
      </c>
      <c r="D206" s="55" t="s">
        <v>2850</v>
      </c>
      <c r="E206" s="54" t="s">
        <v>2026</v>
      </c>
      <c r="F206" s="54" t="s">
        <v>2740</v>
      </c>
      <c r="G206" s="54">
        <v>13</v>
      </c>
      <c r="H206" s="54">
        <v>13</v>
      </c>
      <c r="I206" s="54"/>
      <c r="J206" s="54"/>
      <c r="K206" s="54"/>
      <c r="L206" s="54"/>
      <c r="M206" s="54"/>
      <c r="N206" s="54"/>
      <c r="O206" s="54" t="s">
        <v>2851</v>
      </c>
    </row>
    <row r="207" spans="1:15" ht="15.75" x14ac:dyDescent="0.2">
      <c r="A207" s="53" t="s">
        <v>12</v>
      </c>
      <c r="B207" s="53" t="s">
        <v>15</v>
      </c>
      <c r="C207" s="54" t="s">
        <v>2852</v>
      </c>
      <c r="D207" s="55" t="s">
        <v>2853</v>
      </c>
      <c r="E207" s="54" t="s">
        <v>2026</v>
      </c>
      <c r="F207" s="54"/>
      <c r="G207" s="54">
        <v>13</v>
      </c>
      <c r="H207" s="54">
        <v>13</v>
      </c>
      <c r="I207" s="54"/>
      <c r="J207" s="54"/>
      <c r="K207" s="54"/>
      <c r="L207" s="54"/>
      <c r="M207" s="54"/>
      <c r="N207" s="54"/>
      <c r="O207" s="54" t="s">
        <v>2851</v>
      </c>
    </row>
    <row r="208" spans="1:15" ht="60" x14ac:dyDescent="0.2">
      <c r="A208" s="53" t="s">
        <v>12</v>
      </c>
      <c r="B208" s="53" t="s">
        <v>16</v>
      </c>
      <c r="C208" s="54" t="s">
        <v>2854</v>
      </c>
      <c r="D208" s="55" t="s">
        <v>2855</v>
      </c>
      <c r="E208" s="54" t="s">
        <v>899</v>
      </c>
      <c r="F208" s="54" t="s">
        <v>2536</v>
      </c>
      <c r="G208" s="54">
        <v>8</v>
      </c>
      <c r="H208" s="54"/>
      <c r="I208" s="54">
        <v>43200</v>
      </c>
      <c r="J208" s="54">
        <v>43200</v>
      </c>
      <c r="K208" s="54"/>
      <c r="L208" s="54"/>
      <c r="M208" s="54"/>
      <c r="N208" s="54"/>
      <c r="O208" s="54" t="s">
        <v>1435</v>
      </c>
    </row>
    <row r="209" spans="1:15" ht="90" x14ac:dyDescent="0.2">
      <c r="A209" s="53" t="s">
        <v>12</v>
      </c>
      <c r="B209" s="53" t="s">
        <v>16</v>
      </c>
      <c r="C209" s="54" t="s">
        <v>2856</v>
      </c>
      <c r="D209" s="55" t="s">
        <v>2857</v>
      </c>
      <c r="E209" s="54" t="s">
        <v>899</v>
      </c>
      <c r="F209" s="54" t="s">
        <v>2838</v>
      </c>
      <c r="G209" s="54">
        <v>1</v>
      </c>
      <c r="H209" s="54"/>
      <c r="I209" s="54">
        <v>0</v>
      </c>
      <c r="J209" s="54">
        <v>0</v>
      </c>
      <c r="K209" s="54"/>
      <c r="L209" s="54"/>
      <c r="M209" s="54"/>
      <c r="N209" s="54"/>
      <c r="O209" s="54" t="s">
        <v>2858</v>
      </c>
    </row>
    <row r="210" spans="1:15" ht="30" x14ac:dyDescent="0.2">
      <c r="A210" s="53" t="s">
        <v>12</v>
      </c>
      <c r="B210" s="53" t="s">
        <v>15</v>
      </c>
      <c r="C210" s="54" t="s">
        <v>2859</v>
      </c>
      <c r="D210" s="55" t="s">
        <v>2860</v>
      </c>
      <c r="E210" s="54" t="s">
        <v>2711</v>
      </c>
      <c r="F210" s="54" t="s">
        <v>2755</v>
      </c>
      <c r="G210" s="54">
        <v>8</v>
      </c>
      <c r="H210" s="54">
        <v>8</v>
      </c>
      <c r="I210" s="54"/>
      <c r="J210" s="54"/>
      <c r="K210" s="54"/>
      <c r="L210" s="54"/>
      <c r="M210" s="54"/>
      <c r="N210" s="54"/>
      <c r="O210" s="54" t="s">
        <v>2861</v>
      </c>
    </row>
    <row r="211" spans="1:15" ht="30" x14ac:dyDescent="0.2">
      <c r="A211" s="53" t="s">
        <v>12</v>
      </c>
      <c r="B211" s="53" t="s">
        <v>15</v>
      </c>
      <c r="C211" s="54" t="s">
        <v>2862</v>
      </c>
      <c r="D211" s="55" t="s">
        <v>2863</v>
      </c>
      <c r="E211" s="54" t="s">
        <v>2744</v>
      </c>
      <c r="F211" s="54"/>
      <c r="G211" s="54"/>
      <c r="H211" s="54"/>
      <c r="I211" s="54"/>
      <c r="J211" s="54">
        <v>0</v>
      </c>
      <c r="K211" s="54"/>
      <c r="L211" s="54"/>
      <c r="M211" s="54"/>
      <c r="N211" s="54"/>
      <c r="O211" s="54"/>
    </row>
    <row r="212" spans="1:15" ht="30" x14ac:dyDescent="0.2">
      <c r="A212" s="53" t="s">
        <v>12</v>
      </c>
      <c r="B212" s="53" t="s">
        <v>15</v>
      </c>
      <c r="C212" s="54" t="s">
        <v>2864</v>
      </c>
      <c r="D212" s="55" t="s">
        <v>2865</v>
      </c>
      <c r="E212" s="54" t="s">
        <v>2026</v>
      </c>
      <c r="F212" s="54" t="s">
        <v>2866</v>
      </c>
      <c r="G212" s="54">
        <v>5</v>
      </c>
      <c r="H212" s="54">
        <v>5</v>
      </c>
      <c r="I212" s="54"/>
      <c r="J212" s="54"/>
      <c r="K212" s="54"/>
      <c r="L212" s="54"/>
      <c r="M212" s="54"/>
      <c r="N212" s="54"/>
      <c r="O212" s="54" t="s">
        <v>2867</v>
      </c>
    </row>
    <row r="213" spans="1:15" ht="75" x14ac:dyDescent="0.2">
      <c r="A213" s="53" t="s">
        <v>12</v>
      </c>
      <c r="B213" s="53" t="s">
        <v>15</v>
      </c>
      <c r="C213" s="54" t="s">
        <v>2868</v>
      </c>
      <c r="D213" s="55" t="s">
        <v>2869</v>
      </c>
      <c r="E213" s="54" t="s">
        <v>899</v>
      </c>
      <c r="F213" s="54" t="s">
        <v>2870</v>
      </c>
      <c r="G213" s="54"/>
      <c r="H213" s="54"/>
      <c r="I213" s="54">
        <v>115200</v>
      </c>
      <c r="J213" s="54">
        <v>111600</v>
      </c>
      <c r="K213" s="54"/>
      <c r="L213" s="54"/>
      <c r="M213" s="54"/>
      <c r="N213" s="54"/>
      <c r="O213" s="54" t="s">
        <v>2871</v>
      </c>
    </row>
    <row r="214" spans="1:15" ht="45" x14ac:dyDescent="0.2">
      <c r="A214" s="53" t="s">
        <v>12</v>
      </c>
      <c r="B214" s="53" t="s">
        <v>15</v>
      </c>
      <c r="C214" s="54" t="s">
        <v>2872</v>
      </c>
      <c r="D214" s="55" t="s">
        <v>2873</v>
      </c>
      <c r="E214" s="54" t="s">
        <v>2711</v>
      </c>
      <c r="F214" s="54" t="s">
        <v>2724</v>
      </c>
      <c r="G214" s="54">
        <v>3</v>
      </c>
      <c r="H214" s="54">
        <v>3</v>
      </c>
      <c r="I214" s="54">
        <v>7200</v>
      </c>
      <c r="J214" s="54">
        <v>7200</v>
      </c>
      <c r="K214" s="54"/>
      <c r="L214" s="54"/>
      <c r="M214" s="54"/>
      <c r="N214" s="54"/>
      <c r="O214" s="54" t="s">
        <v>2829</v>
      </c>
    </row>
    <row r="215" spans="1:15" ht="30" x14ac:dyDescent="0.2">
      <c r="A215" s="53" t="s">
        <v>12</v>
      </c>
      <c r="B215" s="53" t="s">
        <v>15</v>
      </c>
      <c r="C215" s="54" t="s">
        <v>2874</v>
      </c>
      <c r="D215" s="55" t="s">
        <v>2875</v>
      </c>
      <c r="E215" s="54" t="s">
        <v>2711</v>
      </c>
      <c r="F215" s="54" t="s">
        <v>2755</v>
      </c>
      <c r="G215" s="54">
        <v>8</v>
      </c>
      <c r="H215" s="54">
        <v>8</v>
      </c>
      <c r="I215" s="54"/>
      <c r="J215" s="54">
        <v>0</v>
      </c>
      <c r="K215" s="54"/>
      <c r="L215" s="54"/>
      <c r="M215" s="54"/>
      <c r="N215" s="54"/>
      <c r="O215" s="54" t="s">
        <v>2766</v>
      </c>
    </row>
    <row r="216" spans="1:15" ht="75" x14ac:dyDescent="0.2">
      <c r="A216" s="53" t="s">
        <v>12</v>
      </c>
      <c r="B216" s="53" t="s">
        <v>16</v>
      </c>
      <c r="C216" s="54" t="s">
        <v>2876</v>
      </c>
      <c r="D216" s="55" t="s">
        <v>2877</v>
      </c>
      <c r="E216" s="54" t="s">
        <v>899</v>
      </c>
      <c r="F216" s="54" t="s">
        <v>2673</v>
      </c>
      <c r="G216" s="54">
        <v>1</v>
      </c>
      <c r="H216" s="54"/>
      <c r="I216" s="54">
        <v>28800</v>
      </c>
      <c r="J216" s="54">
        <v>28800</v>
      </c>
      <c r="K216" s="54"/>
      <c r="L216" s="54"/>
      <c r="M216" s="54"/>
      <c r="N216" s="54"/>
      <c r="O216" s="54" t="s">
        <v>2878</v>
      </c>
    </row>
    <row r="217" spans="1:15" ht="30" x14ac:dyDescent="0.2">
      <c r="A217" s="53" t="s">
        <v>12</v>
      </c>
      <c r="B217" s="53" t="s">
        <v>15</v>
      </c>
      <c r="C217" s="54" t="s">
        <v>2879</v>
      </c>
      <c r="D217" s="55" t="s">
        <v>2880</v>
      </c>
      <c r="E217" s="54" t="s">
        <v>2711</v>
      </c>
      <c r="F217" s="54" t="s">
        <v>2755</v>
      </c>
      <c r="G217" s="54">
        <v>8</v>
      </c>
      <c r="H217" s="54">
        <v>8</v>
      </c>
      <c r="I217" s="54"/>
      <c r="J217" s="54"/>
      <c r="K217" s="54"/>
      <c r="L217" s="54"/>
      <c r="M217" s="54"/>
      <c r="N217" s="54"/>
      <c r="O217" s="54" t="s">
        <v>2881</v>
      </c>
    </row>
    <row r="218" spans="1:15" ht="60" x14ac:dyDescent="0.2">
      <c r="A218" s="53" t="s">
        <v>12</v>
      </c>
      <c r="B218" s="53" t="s">
        <v>16</v>
      </c>
      <c r="C218" s="54" t="s">
        <v>2882</v>
      </c>
      <c r="D218" s="55" t="s">
        <v>2883</v>
      </c>
      <c r="E218" s="54" t="s">
        <v>899</v>
      </c>
      <c r="F218" s="54" t="s">
        <v>2536</v>
      </c>
      <c r="G218" s="54"/>
      <c r="H218" s="54"/>
      <c r="I218" s="54">
        <v>29340</v>
      </c>
      <c r="J218" s="54">
        <v>43200</v>
      </c>
      <c r="K218" s="54"/>
      <c r="L218" s="54"/>
      <c r="M218" s="54"/>
      <c r="N218" s="54"/>
      <c r="O218" s="54" t="s">
        <v>2884</v>
      </c>
    </row>
    <row r="219" spans="1:15" ht="15.75" x14ac:dyDescent="0.2">
      <c r="A219" s="53" t="s">
        <v>12</v>
      </c>
      <c r="B219" s="53" t="s">
        <v>15</v>
      </c>
      <c r="C219" s="54" t="s">
        <v>2885</v>
      </c>
      <c r="D219" s="55" t="s">
        <v>2886</v>
      </c>
      <c r="E219" s="54" t="s">
        <v>2026</v>
      </c>
      <c r="F219" s="54" t="s">
        <v>2887</v>
      </c>
      <c r="G219" s="54">
        <v>0.5</v>
      </c>
      <c r="H219" s="54">
        <v>0.5</v>
      </c>
      <c r="I219" s="54">
        <v>1800</v>
      </c>
      <c r="J219" s="54">
        <v>1500</v>
      </c>
      <c r="K219" s="54"/>
      <c r="L219" s="54"/>
      <c r="M219" s="54"/>
      <c r="N219" s="54"/>
      <c r="O219" s="54"/>
    </row>
    <row r="220" spans="1:15" ht="90" x14ac:dyDescent="0.2">
      <c r="A220" s="53" t="s">
        <v>12</v>
      </c>
      <c r="B220" s="53" t="s">
        <v>16</v>
      </c>
      <c r="C220" s="54" t="s">
        <v>2888</v>
      </c>
      <c r="D220" s="55" t="s">
        <v>2889</v>
      </c>
      <c r="E220" s="54" t="s">
        <v>899</v>
      </c>
      <c r="F220" s="54" t="s">
        <v>2838</v>
      </c>
      <c r="G220" s="54"/>
      <c r="H220" s="54"/>
      <c r="I220" s="54">
        <v>0</v>
      </c>
      <c r="J220" s="54">
        <v>0</v>
      </c>
      <c r="K220" s="54"/>
      <c r="L220" s="54"/>
      <c r="M220" s="54"/>
      <c r="N220" s="54"/>
      <c r="O220" s="54" t="s">
        <v>2890</v>
      </c>
    </row>
    <row r="221" spans="1:15" ht="45" x14ac:dyDescent="0.2">
      <c r="A221" s="53" t="s">
        <v>12</v>
      </c>
      <c r="B221" s="53" t="s">
        <v>106</v>
      </c>
      <c r="C221" s="54" t="s">
        <v>2891</v>
      </c>
      <c r="D221" s="55" t="s">
        <v>2892</v>
      </c>
      <c r="E221" s="54" t="s">
        <v>2026</v>
      </c>
      <c r="F221" s="54" t="s">
        <v>1486</v>
      </c>
      <c r="G221" s="54"/>
      <c r="H221" s="54"/>
      <c r="I221" s="54">
        <v>14520</v>
      </c>
      <c r="J221" s="54">
        <v>5400</v>
      </c>
      <c r="K221" s="54"/>
      <c r="L221" s="54"/>
      <c r="M221" s="54"/>
      <c r="N221" s="54"/>
      <c r="O221" s="54" t="s">
        <v>2893</v>
      </c>
    </row>
    <row r="222" spans="1:15" ht="90" x14ac:dyDescent="0.2">
      <c r="A222" s="53" t="s">
        <v>12</v>
      </c>
      <c r="B222" s="53" t="s">
        <v>16</v>
      </c>
      <c r="C222" s="54" t="s">
        <v>2894</v>
      </c>
      <c r="D222" s="55" t="s">
        <v>2895</v>
      </c>
      <c r="E222" s="54" t="s">
        <v>899</v>
      </c>
      <c r="F222" s="54" t="s">
        <v>2838</v>
      </c>
      <c r="G222" s="54"/>
      <c r="H222" s="54"/>
      <c r="I222" s="54">
        <v>0</v>
      </c>
      <c r="J222" s="54">
        <v>0</v>
      </c>
      <c r="K222" s="54"/>
      <c r="L222" s="54"/>
      <c r="M222" s="54"/>
      <c r="N222" s="54"/>
      <c r="O222" s="54" t="s">
        <v>2896</v>
      </c>
    </row>
    <row r="223" spans="1:15" ht="30" x14ac:dyDescent="0.2">
      <c r="A223" s="53" t="s">
        <v>12</v>
      </c>
      <c r="B223" s="53" t="s">
        <v>13</v>
      </c>
      <c r="C223" s="54" t="s">
        <v>2897</v>
      </c>
      <c r="D223" s="55" t="s">
        <v>2898</v>
      </c>
      <c r="E223" s="54"/>
      <c r="F223" s="54"/>
      <c r="G223" s="54">
        <v>13</v>
      </c>
      <c r="H223" s="54"/>
      <c r="I223" s="54">
        <v>43200</v>
      </c>
      <c r="J223" s="54">
        <v>14400</v>
      </c>
      <c r="K223" s="54"/>
      <c r="L223" s="54"/>
      <c r="M223" s="54"/>
      <c r="N223" s="54"/>
      <c r="O223" s="54" t="s">
        <v>1674</v>
      </c>
    </row>
    <row r="224" spans="1:15" ht="15.75" x14ac:dyDescent="0.2">
      <c r="A224" s="53" t="s">
        <v>12</v>
      </c>
      <c r="B224" s="53" t="s">
        <v>15</v>
      </c>
      <c r="C224" s="54" t="s">
        <v>2899</v>
      </c>
      <c r="D224" s="55" t="s">
        <v>2900</v>
      </c>
      <c r="E224" s="54" t="s">
        <v>2711</v>
      </c>
      <c r="F224" s="54" t="s">
        <v>2755</v>
      </c>
      <c r="G224" s="54">
        <v>5</v>
      </c>
      <c r="H224" s="54">
        <v>5</v>
      </c>
      <c r="I224" s="54">
        <v>28800</v>
      </c>
      <c r="J224" s="54">
        <v>28800</v>
      </c>
      <c r="K224" s="54"/>
      <c r="L224" s="54"/>
      <c r="M224" s="54"/>
      <c r="N224" s="54"/>
      <c r="O224" s="54" t="s">
        <v>2901</v>
      </c>
    </row>
    <row r="225" spans="1:15" ht="30" x14ac:dyDescent="0.2">
      <c r="A225" s="53" t="s">
        <v>12</v>
      </c>
      <c r="B225" s="53" t="s">
        <v>15</v>
      </c>
      <c r="C225" s="54" t="s">
        <v>2902</v>
      </c>
      <c r="D225" s="55" t="s">
        <v>2903</v>
      </c>
      <c r="E225" s="54" t="s">
        <v>2711</v>
      </c>
      <c r="F225" s="54" t="s">
        <v>2755</v>
      </c>
      <c r="G225" s="54">
        <v>5</v>
      </c>
      <c r="H225" s="54">
        <v>5</v>
      </c>
      <c r="I225" s="54"/>
      <c r="J225" s="54"/>
      <c r="K225" s="54"/>
      <c r="L225" s="54"/>
      <c r="M225" s="54"/>
      <c r="N225" s="54"/>
      <c r="O225" s="54" t="s">
        <v>2901</v>
      </c>
    </row>
    <row r="226" spans="1:15" ht="60" x14ac:dyDescent="0.2">
      <c r="A226" s="53" t="s">
        <v>12</v>
      </c>
      <c r="B226" s="53" t="s">
        <v>16</v>
      </c>
      <c r="C226" s="54" t="s">
        <v>2904</v>
      </c>
      <c r="D226" s="55" t="s">
        <v>2905</v>
      </c>
      <c r="E226" s="54" t="s">
        <v>899</v>
      </c>
      <c r="F226" s="54" t="s">
        <v>2536</v>
      </c>
      <c r="G226" s="54">
        <v>2</v>
      </c>
      <c r="H226" s="54"/>
      <c r="I226" s="54">
        <v>86400</v>
      </c>
      <c r="J226" s="54">
        <v>81000</v>
      </c>
      <c r="K226" s="54"/>
      <c r="L226" s="54"/>
      <c r="M226" s="54"/>
      <c r="N226" s="54"/>
      <c r="O226" s="54" t="s">
        <v>2906</v>
      </c>
    </row>
    <row r="227" spans="1:15" ht="15.75" x14ac:dyDescent="0.2">
      <c r="A227" s="53" t="s">
        <v>12</v>
      </c>
      <c r="B227" s="53" t="s">
        <v>13</v>
      </c>
      <c r="C227" s="54" t="s">
        <v>2907</v>
      </c>
      <c r="D227" s="55" t="s">
        <v>2908</v>
      </c>
      <c r="E227" s="54"/>
      <c r="F227" s="54"/>
      <c r="G227" s="54">
        <v>1</v>
      </c>
      <c r="H227" s="54"/>
      <c r="I227" s="54">
        <v>0</v>
      </c>
      <c r="J227" s="54">
        <v>0</v>
      </c>
      <c r="K227" s="54"/>
      <c r="L227" s="54"/>
      <c r="M227" s="54">
        <v>1</v>
      </c>
      <c r="N227" s="54"/>
      <c r="O227" s="54"/>
    </row>
    <row r="228" spans="1:15" ht="45" x14ac:dyDescent="0.2">
      <c r="A228" s="53" t="s">
        <v>12</v>
      </c>
      <c r="B228" s="53" t="s">
        <v>15</v>
      </c>
      <c r="C228" s="54" t="s">
        <v>2909</v>
      </c>
      <c r="D228" s="55" t="s">
        <v>2910</v>
      </c>
      <c r="E228" s="54" t="s">
        <v>2026</v>
      </c>
      <c r="F228" s="54" t="s">
        <v>2911</v>
      </c>
      <c r="G228" s="54">
        <v>5</v>
      </c>
      <c r="H228" s="54">
        <v>5</v>
      </c>
      <c r="I228" s="54"/>
      <c r="J228" s="54"/>
      <c r="K228" s="54"/>
      <c r="L228" s="54"/>
      <c r="M228" s="54"/>
      <c r="N228" s="54"/>
      <c r="O228" s="54" t="s">
        <v>2912</v>
      </c>
    </row>
    <row r="229" spans="1:15" ht="45" x14ac:dyDescent="0.2">
      <c r="A229" s="53" t="s">
        <v>12</v>
      </c>
      <c r="B229" s="53" t="s">
        <v>15</v>
      </c>
      <c r="C229" s="54" t="s">
        <v>2913</v>
      </c>
      <c r="D229" s="55" t="s">
        <v>2914</v>
      </c>
      <c r="E229" s="54" t="s">
        <v>2026</v>
      </c>
      <c r="F229" s="54" t="s">
        <v>2911</v>
      </c>
      <c r="G229" s="54">
        <v>5</v>
      </c>
      <c r="H229" s="54">
        <v>5</v>
      </c>
      <c r="I229" s="54"/>
      <c r="J229" s="54"/>
      <c r="K229" s="54"/>
      <c r="L229" s="54"/>
      <c r="M229" s="54"/>
      <c r="N229" s="54"/>
      <c r="O229" s="54" t="s">
        <v>2912</v>
      </c>
    </row>
    <row r="230" spans="1:15" ht="15.75" x14ac:dyDescent="0.2">
      <c r="A230" s="53" t="s">
        <v>12</v>
      </c>
      <c r="B230" s="53" t="s">
        <v>15</v>
      </c>
      <c r="C230" s="54" t="s">
        <v>2915</v>
      </c>
      <c r="D230" s="55" t="s">
        <v>2916</v>
      </c>
      <c r="E230" s="54" t="s">
        <v>2026</v>
      </c>
      <c r="F230" s="54" t="s">
        <v>2911</v>
      </c>
      <c r="G230" s="54"/>
      <c r="H230" s="54"/>
      <c r="I230" s="54"/>
      <c r="J230" s="54"/>
      <c r="K230" s="54"/>
      <c r="L230" s="54"/>
      <c r="M230" s="54"/>
      <c r="N230" s="54"/>
      <c r="O230" s="54"/>
    </row>
    <row r="231" spans="1:15" ht="15.75" x14ac:dyDescent="0.2">
      <c r="A231" s="53" t="s">
        <v>12</v>
      </c>
      <c r="B231" s="53" t="s">
        <v>15</v>
      </c>
      <c r="C231" s="54" t="s">
        <v>2917</v>
      </c>
      <c r="D231" s="55" t="s">
        <v>2918</v>
      </c>
      <c r="E231" s="54" t="s">
        <v>2919</v>
      </c>
      <c r="F231" s="54" t="s">
        <v>2755</v>
      </c>
      <c r="G231" s="54">
        <v>5</v>
      </c>
      <c r="H231" s="54">
        <v>5</v>
      </c>
      <c r="I231" s="54"/>
      <c r="J231" s="54"/>
      <c r="K231" s="54"/>
      <c r="L231" s="54"/>
      <c r="M231" s="54"/>
      <c r="N231" s="54"/>
      <c r="O231" s="54" t="s">
        <v>1591</v>
      </c>
    </row>
    <row r="232" spans="1:15" ht="15.75" x14ac:dyDescent="0.2">
      <c r="A232" s="53" t="s">
        <v>12</v>
      </c>
      <c r="B232" s="53" t="s">
        <v>17</v>
      </c>
      <c r="C232" s="54" t="s">
        <v>2920</v>
      </c>
      <c r="D232" s="55" t="s">
        <v>2921</v>
      </c>
      <c r="E232" s="54" t="s">
        <v>2026</v>
      </c>
      <c r="F232" s="54" t="s">
        <v>2922</v>
      </c>
      <c r="G232" s="54"/>
      <c r="H232" s="54"/>
      <c r="I232" s="54">
        <v>0</v>
      </c>
      <c r="J232" s="54">
        <v>0</v>
      </c>
      <c r="K232" s="54"/>
      <c r="L232" s="54"/>
      <c r="M232" s="54"/>
      <c r="N232" s="54"/>
      <c r="O232" s="54" t="s">
        <v>2622</v>
      </c>
    </row>
    <row r="233" spans="1:15" ht="45" x14ac:dyDescent="0.2">
      <c r="A233" s="53" t="s">
        <v>12</v>
      </c>
      <c r="B233" s="53" t="s">
        <v>17</v>
      </c>
      <c r="C233" s="54" t="s">
        <v>2923</v>
      </c>
      <c r="D233" s="55" t="s">
        <v>2924</v>
      </c>
      <c r="E233" s="54" t="s">
        <v>2026</v>
      </c>
      <c r="F233" s="54" t="s">
        <v>2922</v>
      </c>
      <c r="G233" s="54"/>
      <c r="H233" s="54"/>
      <c r="I233" s="54">
        <v>144000</v>
      </c>
      <c r="J233" s="54">
        <v>0</v>
      </c>
      <c r="K233" s="54"/>
      <c r="L233" s="54"/>
      <c r="M233" s="54"/>
      <c r="N233" s="54"/>
      <c r="O233" s="54" t="s">
        <v>2925</v>
      </c>
    </row>
    <row r="234" spans="1:15" ht="15.75" x14ac:dyDescent="0.2">
      <c r="A234" s="53" t="s">
        <v>12</v>
      </c>
      <c r="B234" s="53" t="s">
        <v>15</v>
      </c>
      <c r="C234" s="54" t="s">
        <v>2926</v>
      </c>
      <c r="D234" s="55" t="s">
        <v>2927</v>
      </c>
      <c r="E234" s="54" t="s">
        <v>2026</v>
      </c>
      <c r="F234" s="54" t="s">
        <v>2922</v>
      </c>
      <c r="G234" s="54"/>
      <c r="H234" s="54"/>
      <c r="I234" s="54">
        <v>201600</v>
      </c>
      <c r="J234" s="54">
        <v>25200</v>
      </c>
      <c r="K234" s="54"/>
      <c r="L234" s="54"/>
      <c r="M234" s="54"/>
      <c r="N234" s="54"/>
      <c r="O234" s="54" t="s">
        <v>1252</v>
      </c>
    </row>
    <row r="235" spans="1:15" ht="15.75" x14ac:dyDescent="0.2">
      <c r="A235" s="53" t="s">
        <v>12</v>
      </c>
      <c r="B235" s="53" t="s">
        <v>17</v>
      </c>
      <c r="C235" s="54" t="s">
        <v>2928</v>
      </c>
      <c r="D235" s="55" t="s">
        <v>2929</v>
      </c>
      <c r="E235" s="54" t="s">
        <v>2026</v>
      </c>
      <c r="F235" s="54" t="s">
        <v>2922</v>
      </c>
      <c r="G235" s="54">
        <v>2</v>
      </c>
      <c r="H235" s="54"/>
      <c r="I235" s="54">
        <v>57600</v>
      </c>
      <c r="J235" s="54">
        <v>57600</v>
      </c>
      <c r="K235" s="54"/>
      <c r="L235" s="54"/>
      <c r="M235" s="54"/>
      <c r="N235" s="54"/>
      <c r="O235" s="54" t="s">
        <v>2930</v>
      </c>
    </row>
    <row r="236" spans="1:15" ht="30" x14ac:dyDescent="0.2">
      <c r="A236" s="53" t="s">
        <v>12</v>
      </c>
      <c r="B236" s="53" t="s">
        <v>15</v>
      </c>
      <c r="C236" s="54" t="s">
        <v>2931</v>
      </c>
      <c r="D236" s="55" t="s">
        <v>2932</v>
      </c>
      <c r="E236" s="54" t="s">
        <v>2026</v>
      </c>
      <c r="F236" s="54" t="s">
        <v>2933</v>
      </c>
      <c r="G236" s="54"/>
      <c r="H236" s="54"/>
      <c r="I236" s="54">
        <v>115200</v>
      </c>
      <c r="J236" s="54">
        <v>39600</v>
      </c>
      <c r="K236" s="54"/>
      <c r="L236" s="54"/>
      <c r="M236" s="54"/>
      <c r="N236" s="54"/>
      <c r="O236" s="54" t="s">
        <v>1252</v>
      </c>
    </row>
    <row r="237" spans="1:15" ht="30" x14ac:dyDescent="0.2">
      <c r="A237" s="53" t="s">
        <v>12</v>
      </c>
      <c r="B237" s="53" t="s">
        <v>14</v>
      </c>
      <c r="C237" s="54" t="s">
        <v>2934</v>
      </c>
      <c r="D237" s="55" t="s">
        <v>2427</v>
      </c>
      <c r="E237" s="54"/>
      <c r="F237" s="54"/>
      <c r="G237" s="54"/>
      <c r="H237" s="54"/>
      <c r="I237" s="54"/>
      <c r="J237" s="54"/>
      <c r="K237" s="54"/>
      <c r="L237" s="54"/>
      <c r="M237" s="54"/>
      <c r="N237" s="54"/>
      <c r="O237" s="54" t="s">
        <v>2935</v>
      </c>
    </row>
    <row r="238" spans="1:15" ht="15.75" x14ac:dyDescent="0.2">
      <c r="A238" s="53" t="s">
        <v>12</v>
      </c>
      <c r="B238" s="53" t="s">
        <v>15</v>
      </c>
      <c r="C238" s="54" t="s">
        <v>2936</v>
      </c>
      <c r="D238" s="55" t="s">
        <v>2937</v>
      </c>
      <c r="E238" s="54" t="s">
        <v>2938</v>
      </c>
      <c r="F238" s="54" t="s">
        <v>2755</v>
      </c>
      <c r="G238" s="54">
        <v>3</v>
      </c>
      <c r="H238" s="54">
        <v>3</v>
      </c>
      <c r="I238" s="54"/>
      <c r="J238" s="54"/>
      <c r="K238" s="54"/>
      <c r="L238" s="54"/>
      <c r="M238" s="54"/>
      <c r="N238" s="54"/>
      <c r="O238" s="54" t="s">
        <v>2556</v>
      </c>
    </row>
    <row r="239" spans="1:15" ht="60" x14ac:dyDescent="0.2">
      <c r="A239" s="53" t="s">
        <v>12</v>
      </c>
      <c r="B239" s="53" t="s">
        <v>15</v>
      </c>
      <c r="C239" s="54" t="s">
        <v>2939</v>
      </c>
      <c r="D239" s="55" t="s">
        <v>2940</v>
      </c>
      <c r="E239" s="54" t="s">
        <v>920</v>
      </c>
      <c r="F239" s="54" t="s">
        <v>2536</v>
      </c>
      <c r="G239" s="54"/>
      <c r="H239" s="54"/>
      <c r="I239" s="54">
        <v>28830</v>
      </c>
      <c r="J239" s="54">
        <v>0</v>
      </c>
      <c r="K239" s="54"/>
      <c r="L239" s="54"/>
      <c r="M239" s="54"/>
      <c r="N239" s="54"/>
      <c r="O239" s="54" t="s">
        <v>2941</v>
      </c>
    </row>
    <row r="240" spans="1:15" ht="45" x14ac:dyDescent="0.2">
      <c r="A240" s="53" t="s">
        <v>12</v>
      </c>
      <c r="B240" s="53" t="s">
        <v>15</v>
      </c>
      <c r="C240" s="54" t="s">
        <v>2942</v>
      </c>
      <c r="D240" s="55" t="s">
        <v>2943</v>
      </c>
      <c r="E240" s="54"/>
      <c r="F240" s="54" t="s">
        <v>2426</v>
      </c>
      <c r="G240" s="54"/>
      <c r="H240" s="54"/>
      <c r="I240" s="54"/>
      <c r="J240" s="54">
        <v>0</v>
      </c>
      <c r="K240" s="54"/>
      <c r="L240" s="54"/>
      <c r="M240" s="54"/>
      <c r="N240" s="54"/>
      <c r="O240" s="54" t="s">
        <v>2944</v>
      </c>
    </row>
    <row r="241" spans="1:15" ht="15.75" x14ac:dyDescent="0.2">
      <c r="A241" s="53" t="s">
        <v>12</v>
      </c>
      <c r="B241" s="53" t="s">
        <v>15</v>
      </c>
      <c r="C241" s="54" t="s">
        <v>2945</v>
      </c>
      <c r="D241" s="55" t="s">
        <v>2946</v>
      </c>
      <c r="E241" s="54" t="s">
        <v>2026</v>
      </c>
      <c r="F241" s="54" t="s">
        <v>2530</v>
      </c>
      <c r="G241" s="54">
        <v>3</v>
      </c>
      <c r="H241" s="54">
        <v>3</v>
      </c>
      <c r="I241" s="54">
        <v>7200</v>
      </c>
      <c r="J241" s="54">
        <v>0</v>
      </c>
      <c r="K241" s="54"/>
      <c r="L241" s="54"/>
      <c r="M241" s="54"/>
      <c r="N241" s="54"/>
      <c r="O241" s="54" t="s">
        <v>2640</v>
      </c>
    </row>
    <row r="242" spans="1:15" ht="15.75" x14ac:dyDescent="0.2">
      <c r="A242" s="53" t="s">
        <v>12</v>
      </c>
      <c r="B242" s="53" t="s">
        <v>15</v>
      </c>
      <c r="C242" s="54" t="s">
        <v>2947</v>
      </c>
      <c r="D242" s="55" t="s">
        <v>2948</v>
      </c>
      <c r="E242" s="54" t="s">
        <v>2026</v>
      </c>
      <c r="F242" s="54" t="s">
        <v>2530</v>
      </c>
      <c r="G242" s="54">
        <v>5</v>
      </c>
      <c r="H242" s="54">
        <v>5</v>
      </c>
      <c r="I242" s="54">
        <v>18000</v>
      </c>
      <c r="J242" s="54">
        <v>0</v>
      </c>
      <c r="K242" s="54"/>
      <c r="L242" s="54"/>
      <c r="M242" s="54"/>
      <c r="N242" s="54"/>
      <c r="O242" s="54" t="s">
        <v>2640</v>
      </c>
    </row>
    <row r="243" spans="1:15" ht="30" x14ac:dyDescent="0.2">
      <c r="A243" s="53" t="s">
        <v>12</v>
      </c>
      <c r="B243" s="53" t="s">
        <v>15</v>
      </c>
      <c r="C243" s="54" t="s">
        <v>2949</v>
      </c>
      <c r="D243" s="55" t="s">
        <v>2950</v>
      </c>
      <c r="E243" s="54" t="s">
        <v>2026</v>
      </c>
      <c r="F243" s="54" t="s">
        <v>2530</v>
      </c>
      <c r="G243" s="54">
        <v>2</v>
      </c>
      <c r="H243" s="54">
        <v>2</v>
      </c>
      <c r="I243" s="54"/>
      <c r="J243" s="54"/>
      <c r="K243" s="54"/>
      <c r="L243" s="54"/>
      <c r="M243" s="54"/>
      <c r="N243" s="54"/>
      <c r="O243" s="54" t="s">
        <v>2590</v>
      </c>
    </row>
    <row r="244" spans="1:15" ht="30" x14ac:dyDescent="0.2">
      <c r="A244" s="53" t="s">
        <v>12</v>
      </c>
      <c r="B244" s="53" t="s">
        <v>15</v>
      </c>
      <c r="C244" s="54" t="s">
        <v>2951</v>
      </c>
      <c r="D244" s="55" t="s">
        <v>2952</v>
      </c>
      <c r="E244" s="54" t="s">
        <v>2026</v>
      </c>
      <c r="F244" s="54" t="s">
        <v>2530</v>
      </c>
      <c r="G244" s="54">
        <v>3</v>
      </c>
      <c r="H244" s="54">
        <v>3</v>
      </c>
      <c r="I244" s="54"/>
      <c r="J244" s="54"/>
      <c r="K244" s="54"/>
      <c r="L244" s="54"/>
      <c r="M244" s="54"/>
      <c r="N244" s="54"/>
      <c r="O244" s="54" t="s">
        <v>2590</v>
      </c>
    </row>
    <row r="245" spans="1:15" ht="30" x14ac:dyDescent="0.2">
      <c r="A245" s="53" t="s">
        <v>12</v>
      </c>
      <c r="B245" s="53" t="s">
        <v>15</v>
      </c>
      <c r="C245" s="54" t="s">
        <v>2953</v>
      </c>
      <c r="D245" s="55" t="s">
        <v>2954</v>
      </c>
      <c r="E245" s="54" t="s">
        <v>2026</v>
      </c>
      <c r="F245" s="54" t="s">
        <v>2530</v>
      </c>
      <c r="G245" s="54">
        <v>2</v>
      </c>
      <c r="H245" s="54">
        <v>2</v>
      </c>
      <c r="I245" s="54"/>
      <c r="J245" s="54"/>
      <c r="K245" s="54"/>
      <c r="L245" s="54"/>
      <c r="M245" s="54"/>
      <c r="N245" s="54"/>
      <c r="O245" s="54" t="s">
        <v>2955</v>
      </c>
    </row>
    <row r="246" spans="1:15" ht="30" x14ac:dyDescent="0.2">
      <c r="A246" s="53" t="s">
        <v>12</v>
      </c>
      <c r="B246" s="53" t="s">
        <v>15</v>
      </c>
      <c r="C246" s="54" t="s">
        <v>2956</v>
      </c>
      <c r="D246" s="55" t="s">
        <v>2957</v>
      </c>
      <c r="E246" s="54" t="s">
        <v>2026</v>
      </c>
      <c r="F246" s="54" t="s">
        <v>2530</v>
      </c>
      <c r="G246" s="54">
        <v>3</v>
      </c>
      <c r="H246" s="54">
        <v>3</v>
      </c>
      <c r="I246" s="54"/>
      <c r="J246" s="54"/>
      <c r="K246" s="54"/>
      <c r="L246" s="54"/>
      <c r="M246" s="54"/>
      <c r="N246" s="54"/>
      <c r="O246" s="54" t="s">
        <v>2955</v>
      </c>
    </row>
    <row r="247" spans="1:15" ht="30" x14ac:dyDescent="0.2">
      <c r="A247" s="53" t="s">
        <v>12</v>
      </c>
      <c r="B247" s="53" t="s">
        <v>15</v>
      </c>
      <c r="C247" s="54" t="s">
        <v>2958</v>
      </c>
      <c r="D247" s="55" t="s">
        <v>2959</v>
      </c>
      <c r="E247" s="54" t="s">
        <v>2711</v>
      </c>
      <c r="F247" s="54" t="s">
        <v>2660</v>
      </c>
      <c r="G247" s="54">
        <v>13</v>
      </c>
      <c r="H247" s="54">
        <v>13</v>
      </c>
      <c r="I247" s="54">
        <v>57600</v>
      </c>
      <c r="J247" s="54">
        <v>57600</v>
      </c>
      <c r="K247" s="54"/>
      <c r="L247" s="54"/>
      <c r="M247" s="54"/>
      <c r="N247" s="54"/>
      <c r="O247" s="54" t="s">
        <v>2550</v>
      </c>
    </row>
    <row r="248" spans="1:15" ht="15.75" x14ac:dyDescent="0.2">
      <c r="A248" s="53" t="s">
        <v>12</v>
      </c>
      <c r="B248" s="53" t="s">
        <v>15</v>
      </c>
      <c r="C248" s="54" t="s">
        <v>2960</v>
      </c>
      <c r="D248" s="55" t="s">
        <v>2961</v>
      </c>
      <c r="E248" s="54" t="s">
        <v>2026</v>
      </c>
      <c r="F248" s="54" t="s">
        <v>2530</v>
      </c>
      <c r="G248" s="54">
        <v>2</v>
      </c>
      <c r="H248" s="54">
        <v>2</v>
      </c>
      <c r="I248" s="54">
        <v>10800</v>
      </c>
      <c r="J248" s="54">
        <v>0</v>
      </c>
      <c r="K248" s="54"/>
      <c r="L248" s="54"/>
      <c r="M248" s="54"/>
      <c r="N248" s="54"/>
      <c r="O248" s="54" t="s">
        <v>2962</v>
      </c>
    </row>
    <row r="249" spans="1:15" ht="15.75" x14ac:dyDescent="0.2">
      <c r="A249" s="53" t="s">
        <v>12</v>
      </c>
      <c r="B249" s="53" t="s">
        <v>15</v>
      </c>
      <c r="C249" s="54" t="s">
        <v>2963</v>
      </c>
      <c r="D249" s="55" t="s">
        <v>2964</v>
      </c>
      <c r="E249" s="54" t="s">
        <v>2026</v>
      </c>
      <c r="F249" s="54" t="s">
        <v>2530</v>
      </c>
      <c r="G249" s="54">
        <v>3</v>
      </c>
      <c r="H249" s="54">
        <v>3</v>
      </c>
      <c r="I249" s="54">
        <v>10800</v>
      </c>
      <c r="J249" s="54">
        <v>0</v>
      </c>
      <c r="K249" s="54"/>
      <c r="L249" s="54"/>
      <c r="M249" s="54"/>
      <c r="N249" s="54"/>
      <c r="O249" s="54" t="s">
        <v>2962</v>
      </c>
    </row>
    <row r="250" spans="1:15" ht="15.75" x14ac:dyDescent="0.2">
      <c r="A250" s="53" t="s">
        <v>12</v>
      </c>
      <c r="B250" s="53" t="s">
        <v>15</v>
      </c>
      <c r="C250" s="54" t="s">
        <v>2965</v>
      </c>
      <c r="D250" s="55" t="s">
        <v>2966</v>
      </c>
      <c r="E250" s="54" t="s">
        <v>2026</v>
      </c>
      <c r="F250" s="54" t="s">
        <v>2530</v>
      </c>
      <c r="G250" s="54">
        <v>2</v>
      </c>
      <c r="H250" s="54">
        <v>2</v>
      </c>
      <c r="I250" s="54"/>
      <c r="J250" s="54"/>
      <c r="K250" s="54"/>
      <c r="L250" s="54"/>
      <c r="M250" s="54"/>
      <c r="N250" s="54"/>
      <c r="O250" s="54" t="s">
        <v>2967</v>
      </c>
    </row>
    <row r="251" spans="1:15" ht="30" x14ac:dyDescent="0.2">
      <c r="A251" s="53" t="s">
        <v>12</v>
      </c>
      <c r="B251" s="53" t="s">
        <v>15</v>
      </c>
      <c r="C251" s="54" t="s">
        <v>2968</v>
      </c>
      <c r="D251" s="55" t="s">
        <v>2969</v>
      </c>
      <c r="E251" s="54" t="s">
        <v>2026</v>
      </c>
      <c r="F251" s="54" t="s">
        <v>2530</v>
      </c>
      <c r="G251" s="54">
        <v>3</v>
      </c>
      <c r="H251" s="54">
        <v>3</v>
      </c>
      <c r="I251" s="54"/>
      <c r="J251" s="54"/>
      <c r="K251" s="54"/>
      <c r="L251" s="54"/>
      <c r="M251" s="54"/>
      <c r="N251" s="54"/>
      <c r="O251" s="54" t="s">
        <v>2967</v>
      </c>
    </row>
    <row r="252" spans="1:15" ht="30" x14ac:dyDescent="0.2">
      <c r="A252" s="53" t="s">
        <v>12</v>
      </c>
      <c r="B252" s="53" t="s">
        <v>15</v>
      </c>
      <c r="C252" s="54" t="s">
        <v>2970</v>
      </c>
      <c r="D252" s="55" t="s">
        <v>2971</v>
      </c>
      <c r="E252" s="54" t="s">
        <v>2026</v>
      </c>
      <c r="F252" s="54"/>
      <c r="G252" s="54">
        <v>2</v>
      </c>
      <c r="H252" s="54">
        <v>2</v>
      </c>
      <c r="I252" s="54"/>
      <c r="J252" s="54"/>
      <c r="K252" s="54"/>
      <c r="L252" s="54"/>
      <c r="M252" s="54"/>
      <c r="N252" s="54"/>
      <c r="O252" s="54" t="s">
        <v>2531</v>
      </c>
    </row>
    <row r="253" spans="1:15" ht="30" x14ac:dyDescent="0.2">
      <c r="A253" s="53" t="s">
        <v>12</v>
      </c>
      <c r="B253" s="53" t="s">
        <v>15</v>
      </c>
      <c r="C253" s="54" t="s">
        <v>2972</v>
      </c>
      <c r="D253" s="55" t="s">
        <v>2973</v>
      </c>
      <c r="E253" s="54" t="s">
        <v>2026</v>
      </c>
      <c r="F253" s="54"/>
      <c r="G253" s="54">
        <v>3</v>
      </c>
      <c r="H253" s="54">
        <v>3</v>
      </c>
      <c r="I253" s="54"/>
      <c r="J253" s="54"/>
      <c r="K253" s="54"/>
      <c r="L253" s="54"/>
      <c r="M253" s="54"/>
      <c r="N253" s="54"/>
      <c r="O253" s="54" t="s">
        <v>2531</v>
      </c>
    </row>
    <row r="254" spans="1:15" ht="15.75" x14ac:dyDescent="0.2">
      <c r="A254" s="53" t="s">
        <v>12</v>
      </c>
      <c r="B254" s="53" t="s">
        <v>15</v>
      </c>
      <c r="C254" s="54" t="s">
        <v>2974</v>
      </c>
      <c r="D254" s="55" t="s">
        <v>2975</v>
      </c>
      <c r="E254" s="54" t="s">
        <v>2976</v>
      </c>
      <c r="F254" s="54" t="s">
        <v>2755</v>
      </c>
      <c r="G254" s="54">
        <v>5</v>
      </c>
      <c r="H254" s="54"/>
      <c r="I254" s="54">
        <v>0</v>
      </c>
      <c r="J254" s="54">
        <v>0</v>
      </c>
      <c r="K254" s="54"/>
      <c r="L254" s="54"/>
      <c r="M254" s="54"/>
      <c r="N254" s="54"/>
      <c r="O254" s="54" t="s">
        <v>2977</v>
      </c>
    </row>
    <row r="255" spans="1:15" ht="15.75" x14ac:dyDescent="0.2">
      <c r="A255" s="53" t="s">
        <v>12</v>
      </c>
      <c r="B255" s="53" t="s">
        <v>15</v>
      </c>
      <c r="C255" s="54" t="s">
        <v>2978</v>
      </c>
      <c r="D255" s="55" t="s">
        <v>2979</v>
      </c>
      <c r="E255" s="54" t="s">
        <v>2026</v>
      </c>
      <c r="F255" s="54" t="s">
        <v>2530</v>
      </c>
      <c r="G255" s="54">
        <v>2</v>
      </c>
      <c r="H255" s="54">
        <v>2</v>
      </c>
      <c r="I255" s="54">
        <v>23400</v>
      </c>
      <c r="J255" s="54">
        <v>0</v>
      </c>
      <c r="K255" s="54"/>
      <c r="L255" s="54"/>
      <c r="M255" s="54"/>
      <c r="N255" s="54"/>
      <c r="O255" s="54" t="s">
        <v>2664</v>
      </c>
    </row>
    <row r="256" spans="1:15" ht="30" x14ac:dyDescent="0.2">
      <c r="A256" s="53" t="s">
        <v>12</v>
      </c>
      <c r="B256" s="53" t="s">
        <v>15</v>
      </c>
      <c r="C256" s="54" t="s">
        <v>2980</v>
      </c>
      <c r="D256" s="55" t="s">
        <v>2981</v>
      </c>
      <c r="E256" s="54" t="s">
        <v>2026</v>
      </c>
      <c r="F256" s="54" t="s">
        <v>2530</v>
      </c>
      <c r="G256" s="54">
        <v>3</v>
      </c>
      <c r="H256" s="54">
        <v>3</v>
      </c>
      <c r="I256" s="54">
        <v>23400</v>
      </c>
      <c r="J256" s="54">
        <v>0</v>
      </c>
      <c r="K256" s="54"/>
      <c r="L256" s="54"/>
      <c r="M256" s="54"/>
      <c r="N256" s="54"/>
      <c r="O256" s="54" t="s">
        <v>2664</v>
      </c>
    </row>
    <row r="257" spans="1:15" ht="15.75" x14ac:dyDescent="0.2">
      <c r="A257" s="53" t="s">
        <v>12</v>
      </c>
      <c r="B257" s="53" t="s">
        <v>15</v>
      </c>
      <c r="C257" s="54" t="s">
        <v>2982</v>
      </c>
      <c r="D257" s="55" t="s">
        <v>2983</v>
      </c>
      <c r="E257" s="54" t="s">
        <v>2026</v>
      </c>
      <c r="F257" s="54" t="s">
        <v>2530</v>
      </c>
      <c r="G257" s="54">
        <v>2</v>
      </c>
      <c r="H257" s="54">
        <v>2</v>
      </c>
      <c r="I257" s="54"/>
      <c r="J257" s="54"/>
      <c r="K257" s="54"/>
      <c r="L257" s="54"/>
      <c r="M257" s="54"/>
      <c r="N257" s="54"/>
      <c r="O257" s="54" t="s">
        <v>2984</v>
      </c>
    </row>
    <row r="258" spans="1:15" ht="30" x14ac:dyDescent="0.2">
      <c r="A258" s="53" t="s">
        <v>12</v>
      </c>
      <c r="B258" s="53" t="s">
        <v>15</v>
      </c>
      <c r="C258" s="54" t="s">
        <v>2985</v>
      </c>
      <c r="D258" s="55" t="s">
        <v>2986</v>
      </c>
      <c r="E258" s="54" t="s">
        <v>2026</v>
      </c>
      <c r="F258" s="54" t="s">
        <v>2530</v>
      </c>
      <c r="G258" s="54">
        <v>3</v>
      </c>
      <c r="H258" s="54">
        <v>3</v>
      </c>
      <c r="I258" s="54"/>
      <c r="J258" s="54"/>
      <c r="K258" s="54"/>
      <c r="L258" s="54"/>
      <c r="M258" s="54"/>
      <c r="N258" s="54"/>
      <c r="O258" s="54" t="s">
        <v>2984</v>
      </c>
    </row>
    <row r="259" spans="1:15" ht="75" x14ac:dyDescent="0.2">
      <c r="A259" s="53" t="s">
        <v>12</v>
      </c>
      <c r="B259" s="53" t="s">
        <v>15</v>
      </c>
      <c r="C259" s="54" t="s">
        <v>2987</v>
      </c>
      <c r="D259" s="55" t="s">
        <v>2988</v>
      </c>
      <c r="E259" s="54" t="s">
        <v>899</v>
      </c>
      <c r="F259" s="54" t="s">
        <v>2870</v>
      </c>
      <c r="G259" s="54">
        <v>2</v>
      </c>
      <c r="H259" s="54">
        <v>2</v>
      </c>
      <c r="I259" s="54">
        <v>0</v>
      </c>
      <c r="J259" s="54">
        <v>0</v>
      </c>
      <c r="K259" s="54"/>
      <c r="L259" s="54"/>
      <c r="M259" s="54"/>
      <c r="N259" s="54"/>
      <c r="O259" s="54" t="s">
        <v>2839</v>
      </c>
    </row>
    <row r="260" spans="1:15" ht="60" x14ac:dyDescent="0.2">
      <c r="A260" s="53" t="s">
        <v>12</v>
      </c>
      <c r="B260" s="53" t="s">
        <v>16</v>
      </c>
      <c r="C260" s="54" t="s">
        <v>2989</v>
      </c>
      <c r="D260" s="55" t="s">
        <v>2990</v>
      </c>
      <c r="E260" s="54" t="s">
        <v>920</v>
      </c>
      <c r="F260" s="54" t="s">
        <v>2536</v>
      </c>
      <c r="G260" s="54">
        <v>3</v>
      </c>
      <c r="H260" s="54"/>
      <c r="I260" s="54">
        <v>136800</v>
      </c>
      <c r="J260" s="54">
        <v>115200</v>
      </c>
      <c r="K260" s="54"/>
      <c r="L260" s="54"/>
      <c r="M260" s="54"/>
      <c r="N260" s="54"/>
      <c r="O260" s="54" t="s">
        <v>2991</v>
      </c>
    </row>
    <row r="261" spans="1:15" ht="60" x14ac:dyDescent="0.2">
      <c r="A261" s="53" t="s">
        <v>12</v>
      </c>
      <c r="B261" s="53" t="s">
        <v>14</v>
      </c>
      <c r="C261" s="54" t="s">
        <v>2992</v>
      </c>
      <c r="D261" s="55" t="s">
        <v>2993</v>
      </c>
      <c r="E261" s="54" t="s">
        <v>920</v>
      </c>
      <c r="F261" s="54" t="s">
        <v>2536</v>
      </c>
      <c r="G261" s="54">
        <v>2</v>
      </c>
      <c r="H261" s="54"/>
      <c r="I261" s="54">
        <v>205200</v>
      </c>
      <c r="J261" s="54">
        <v>180900</v>
      </c>
      <c r="K261" s="54"/>
      <c r="L261" s="54"/>
      <c r="M261" s="54"/>
      <c r="N261" s="54"/>
      <c r="O261" s="54" t="s">
        <v>2994</v>
      </c>
    </row>
    <row r="262" spans="1:15" ht="60" x14ac:dyDescent="0.2">
      <c r="A262" s="53" t="s">
        <v>12</v>
      </c>
      <c r="B262" s="53" t="s">
        <v>16</v>
      </c>
      <c r="C262" s="54" t="s">
        <v>2995</v>
      </c>
      <c r="D262" s="55" t="s">
        <v>2996</v>
      </c>
      <c r="E262" s="54" t="s">
        <v>899</v>
      </c>
      <c r="F262" s="54" t="s">
        <v>2536</v>
      </c>
      <c r="G262" s="54">
        <v>5</v>
      </c>
      <c r="H262" s="54"/>
      <c r="I262" s="54">
        <v>115440</v>
      </c>
      <c r="J262" s="54">
        <v>28800</v>
      </c>
      <c r="K262" s="54"/>
      <c r="L262" s="54"/>
      <c r="M262" s="54"/>
      <c r="N262" s="54"/>
      <c r="O262" s="54" t="s">
        <v>2997</v>
      </c>
    </row>
    <row r="263" spans="1:15" ht="45" x14ac:dyDescent="0.2">
      <c r="A263" s="53" t="s">
        <v>12</v>
      </c>
      <c r="B263" s="53" t="s">
        <v>17</v>
      </c>
      <c r="C263" s="54" t="s">
        <v>2998</v>
      </c>
      <c r="D263" s="55" t="s">
        <v>2999</v>
      </c>
      <c r="E263" s="54"/>
      <c r="F263" s="54" t="s">
        <v>3000</v>
      </c>
      <c r="G263" s="54"/>
      <c r="H263" s="54"/>
      <c r="I263" s="54"/>
      <c r="J263" s="54"/>
      <c r="K263" s="54"/>
      <c r="L263" s="54"/>
      <c r="M263" s="54"/>
      <c r="N263" s="54"/>
      <c r="O263" s="54" t="s">
        <v>3001</v>
      </c>
    </row>
    <row r="264" spans="1:15" ht="90" x14ac:dyDescent="0.2">
      <c r="A264" s="53" t="s">
        <v>12</v>
      </c>
      <c r="B264" s="53" t="s">
        <v>15</v>
      </c>
      <c r="C264" s="54" t="s">
        <v>3002</v>
      </c>
      <c r="D264" s="55" t="s">
        <v>3003</v>
      </c>
      <c r="E264" s="54" t="s">
        <v>899</v>
      </c>
      <c r="F264" s="54" t="s">
        <v>3004</v>
      </c>
      <c r="G264" s="54">
        <v>8</v>
      </c>
      <c r="H264" s="54">
        <v>8</v>
      </c>
      <c r="I264" s="54">
        <v>28980</v>
      </c>
      <c r="J264" s="54">
        <v>0</v>
      </c>
      <c r="K264" s="54"/>
      <c r="L264" s="54"/>
      <c r="M264" s="54">
        <v>1</v>
      </c>
      <c r="N264" s="54"/>
      <c r="O264" s="54" t="s">
        <v>2839</v>
      </c>
    </row>
    <row r="265" spans="1:15" ht="15.75" x14ac:dyDescent="0.2">
      <c r="A265" s="53" t="s">
        <v>12</v>
      </c>
      <c r="B265" s="53" t="s">
        <v>15</v>
      </c>
      <c r="C265" s="54" t="s">
        <v>3005</v>
      </c>
      <c r="D265" s="55" t="s">
        <v>3006</v>
      </c>
      <c r="E265" s="54" t="s">
        <v>2711</v>
      </c>
      <c r="F265" s="54" t="s">
        <v>2755</v>
      </c>
      <c r="G265" s="54">
        <v>5</v>
      </c>
      <c r="H265" s="54"/>
      <c r="I265" s="54"/>
      <c r="J265" s="54"/>
      <c r="K265" s="54"/>
      <c r="L265" s="54"/>
      <c r="M265" s="54"/>
      <c r="N265" s="54"/>
      <c r="O265" s="54" t="s">
        <v>3007</v>
      </c>
    </row>
    <row r="266" spans="1:15" ht="30" x14ac:dyDescent="0.2">
      <c r="A266" s="53" t="s">
        <v>12</v>
      </c>
      <c r="B266" s="53" t="s">
        <v>15</v>
      </c>
      <c r="C266" s="54" t="s">
        <v>3008</v>
      </c>
      <c r="D266" s="55" t="s">
        <v>3009</v>
      </c>
      <c r="E266" s="54" t="s">
        <v>2711</v>
      </c>
      <c r="F266" s="54" t="s">
        <v>2660</v>
      </c>
      <c r="G266" s="54">
        <v>13</v>
      </c>
      <c r="H266" s="54">
        <v>13</v>
      </c>
      <c r="I266" s="54"/>
      <c r="J266" s="54"/>
      <c r="K266" s="54"/>
      <c r="L266" s="54"/>
      <c r="M266" s="54"/>
      <c r="N266" s="54"/>
      <c r="O266" s="54" t="s">
        <v>3010</v>
      </c>
    </row>
    <row r="267" spans="1:15" ht="30" x14ac:dyDescent="0.2">
      <c r="A267" s="53" t="s">
        <v>12</v>
      </c>
      <c r="B267" s="53" t="s">
        <v>15</v>
      </c>
      <c r="C267" s="54" t="s">
        <v>3011</v>
      </c>
      <c r="D267" s="55" t="s">
        <v>3012</v>
      </c>
      <c r="E267" s="54" t="s">
        <v>2026</v>
      </c>
      <c r="F267" s="54" t="s">
        <v>2660</v>
      </c>
      <c r="G267" s="54">
        <v>13</v>
      </c>
      <c r="H267" s="54">
        <v>13</v>
      </c>
      <c r="I267" s="54"/>
      <c r="J267" s="54"/>
      <c r="K267" s="54"/>
      <c r="L267" s="54"/>
      <c r="M267" s="54"/>
      <c r="N267" s="54"/>
      <c r="O267" s="54" t="s">
        <v>3013</v>
      </c>
    </row>
    <row r="268" spans="1:15" ht="30" x14ac:dyDescent="0.2">
      <c r="A268" s="53" t="s">
        <v>12</v>
      </c>
      <c r="B268" s="53" t="s">
        <v>15</v>
      </c>
      <c r="C268" s="54" t="s">
        <v>3014</v>
      </c>
      <c r="D268" s="55" t="s">
        <v>3015</v>
      </c>
      <c r="E268" s="54" t="s">
        <v>2026</v>
      </c>
      <c r="F268" s="54" t="s">
        <v>2911</v>
      </c>
      <c r="G268" s="54">
        <v>5</v>
      </c>
      <c r="H268" s="54">
        <v>5</v>
      </c>
      <c r="I268" s="54"/>
      <c r="J268" s="54"/>
      <c r="K268" s="54"/>
      <c r="L268" s="54"/>
      <c r="M268" s="54"/>
      <c r="N268" s="54"/>
      <c r="O268" s="54" t="s">
        <v>3016</v>
      </c>
    </row>
    <row r="269" spans="1:15" ht="30" x14ac:dyDescent="0.2">
      <c r="A269" s="53" t="s">
        <v>12</v>
      </c>
      <c r="B269" s="53" t="s">
        <v>15</v>
      </c>
      <c r="C269" s="54" t="s">
        <v>3017</v>
      </c>
      <c r="D269" s="55" t="s">
        <v>3018</v>
      </c>
      <c r="E269" s="54" t="s">
        <v>2026</v>
      </c>
      <c r="F269" s="54" t="s">
        <v>2911</v>
      </c>
      <c r="G269" s="54"/>
      <c r="H269" s="54"/>
      <c r="I269" s="54"/>
      <c r="J269" s="54"/>
      <c r="K269" s="54"/>
      <c r="L269" s="54"/>
      <c r="M269" s="54"/>
      <c r="N269" s="54"/>
      <c r="O269" s="54" t="s">
        <v>3019</v>
      </c>
    </row>
    <row r="270" spans="1:15" ht="45" x14ac:dyDescent="0.2">
      <c r="A270" s="53" t="s">
        <v>12</v>
      </c>
      <c r="B270" s="53" t="s">
        <v>15</v>
      </c>
      <c r="C270" s="54" t="s">
        <v>3020</v>
      </c>
      <c r="D270" s="55" t="s">
        <v>3021</v>
      </c>
      <c r="E270" s="54" t="s">
        <v>2026</v>
      </c>
      <c r="F270" s="54" t="s">
        <v>2911</v>
      </c>
      <c r="G270" s="54">
        <v>3</v>
      </c>
      <c r="H270" s="54">
        <v>3</v>
      </c>
      <c r="I270" s="54"/>
      <c r="J270" s="54"/>
      <c r="K270" s="54"/>
      <c r="L270" s="54"/>
      <c r="M270" s="54"/>
      <c r="N270" s="54"/>
      <c r="O270" s="54" t="s">
        <v>2912</v>
      </c>
    </row>
    <row r="271" spans="1:15" ht="45" x14ac:dyDescent="0.2">
      <c r="A271" s="53" t="s">
        <v>12</v>
      </c>
      <c r="B271" s="53" t="s">
        <v>15</v>
      </c>
      <c r="C271" s="54" t="s">
        <v>3022</v>
      </c>
      <c r="D271" s="55" t="s">
        <v>3023</v>
      </c>
      <c r="E271" s="54" t="s">
        <v>2026</v>
      </c>
      <c r="F271" s="54" t="s">
        <v>2911</v>
      </c>
      <c r="G271" s="54">
        <v>5</v>
      </c>
      <c r="H271" s="54"/>
      <c r="I271" s="54"/>
      <c r="J271" s="54"/>
      <c r="K271" s="54"/>
      <c r="L271" s="54"/>
      <c r="M271" s="54"/>
      <c r="N271" s="54"/>
      <c r="O271" s="54" t="s">
        <v>2912</v>
      </c>
    </row>
    <row r="272" spans="1:15" ht="30" x14ac:dyDescent="0.2">
      <c r="A272" s="53" t="s">
        <v>12</v>
      </c>
      <c r="B272" s="53" t="s">
        <v>14</v>
      </c>
      <c r="C272" s="54" t="s">
        <v>3024</v>
      </c>
      <c r="D272" s="55" t="s">
        <v>1902</v>
      </c>
      <c r="E272" s="54" t="s">
        <v>920</v>
      </c>
      <c r="F272" s="54" t="s">
        <v>1701</v>
      </c>
      <c r="G272" s="54"/>
      <c r="H272" s="54"/>
      <c r="I272" s="54"/>
      <c r="J272" s="54"/>
      <c r="K272" s="54"/>
      <c r="L272" s="54"/>
      <c r="M272" s="54"/>
      <c r="N272" s="54"/>
      <c r="O272" s="54" t="s">
        <v>3025</v>
      </c>
    </row>
    <row r="273" spans="1:15" ht="45" x14ac:dyDescent="0.2">
      <c r="A273" s="53" t="s">
        <v>12</v>
      </c>
      <c r="B273" s="53" t="s">
        <v>13</v>
      </c>
      <c r="C273" s="54" t="s">
        <v>3026</v>
      </c>
      <c r="D273" s="55" t="s">
        <v>3027</v>
      </c>
      <c r="E273" s="54" t="s">
        <v>920</v>
      </c>
      <c r="F273" s="54" t="s">
        <v>1825</v>
      </c>
      <c r="G273" s="54"/>
      <c r="H273" s="54"/>
      <c r="I273" s="54"/>
      <c r="J273" s="54"/>
      <c r="K273" s="54"/>
      <c r="L273" s="54"/>
      <c r="M273" s="54"/>
      <c r="N273" s="54"/>
      <c r="O273" s="54" t="s">
        <v>3028</v>
      </c>
    </row>
    <row r="274" spans="1:15" ht="45" x14ac:dyDescent="0.2">
      <c r="A274" s="53" t="s">
        <v>12</v>
      </c>
      <c r="B274" s="53" t="s">
        <v>13</v>
      </c>
      <c r="C274" s="54" t="s">
        <v>3029</v>
      </c>
      <c r="D274" s="55" t="s">
        <v>3030</v>
      </c>
      <c r="E274" s="54" t="s">
        <v>920</v>
      </c>
      <c r="F274" s="54" t="s">
        <v>1701</v>
      </c>
      <c r="G274" s="54"/>
      <c r="H274" s="54"/>
      <c r="I274" s="54"/>
      <c r="J274" s="54"/>
      <c r="K274" s="54"/>
      <c r="L274" s="54"/>
      <c r="M274" s="54"/>
      <c r="N274" s="54"/>
      <c r="O274" s="54" t="s">
        <v>3031</v>
      </c>
    </row>
    <row r="275" spans="1:15" ht="45" x14ac:dyDescent="0.2">
      <c r="A275" s="53" t="s">
        <v>12</v>
      </c>
      <c r="B275" s="53" t="s">
        <v>13</v>
      </c>
      <c r="C275" s="54" t="s">
        <v>3032</v>
      </c>
      <c r="D275" s="55" t="s">
        <v>3033</v>
      </c>
      <c r="E275" s="54" t="s">
        <v>920</v>
      </c>
      <c r="F275" s="54" t="s">
        <v>1701</v>
      </c>
      <c r="G275" s="54"/>
      <c r="H275" s="54"/>
      <c r="I275" s="54"/>
      <c r="J275" s="54"/>
      <c r="K275" s="54"/>
      <c r="L275" s="54"/>
      <c r="M275" s="54"/>
      <c r="N275" s="54"/>
      <c r="O275" s="54" t="s">
        <v>3034</v>
      </c>
    </row>
    <row r="276" spans="1:15" ht="30" x14ac:dyDescent="0.2">
      <c r="A276" s="53" t="s">
        <v>12</v>
      </c>
      <c r="B276" s="53" t="s">
        <v>15</v>
      </c>
      <c r="C276" s="54" t="s">
        <v>3035</v>
      </c>
      <c r="D276" s="55" t="s">
        <v>3036</v>
      </c>
      <c r="E276" s="54" t="s">
        <v>2026</v>
      </c>
      <c r="F276" s="54"/>
      <c r="G276" s="54"/>
      <c r="H276" s="54"/>
      <c r="I276" s="54"/>
      <c r="J276" s="54"/>
      <c r="K276" s="54"/>
      <c r="L276" s="54"/>
      <c r="M276" s="54"/>
      <c r="N276" s="54"/>
      <c r="O276" s="54"/>
    </row>
    <row r="277" spans="1:15" ht="30" x14ac:dyDescent="0.2">
      <c r="A277" s="53" t="s">
        <v>12</v>
      </c>
      <c r="B277" s="53" t="s">
        <v>15</v>
      </c>
      <c r="C277" s="54" t="s">
        <v>3037</v>
      </c>
      <c r="D277" s="55" t="s">
        <v>3038</v>
      </c>
      <c r="E277" s="54" t="s">
        <v>920</v>
      </c>
      <c r="F277" s="54" t="s">
        <v>1324</v>
      </c>
      <c r="G277" s="54"/>
      <c r="H277" s="54"/>
      <c r="I277" s="54"/>
      <c r="J277" s="54"/>
      <c r="K277" s="54"/>
      <c r="L277" s="54"/>
      <c r="M277" s="54"/>
      <c r="N277" s="54"/>
      <c r="O277" s="54" t="s">
        <v>3039</v>
      </c>
    </row>
    <row r="278" spans="1:15" ht="30" x14ac:dyDescent="0.2">
      <c r="A278" s="53" t="s">
        <v>12</v>
      </c>
      <c r="B278" s="53" t="s">
        <v>15</v>
      </c>
      <c r="C278" s="54" t="s">
        <v>3040</v>
      </c>
      <c r="D278" s="55" t="s">
        <v>3041</v>
      </c>
      <c r="E278" s="54" t="s">
        <v>2026</v>
      </c>
      <c r="F278" s="54"/>
      <c r="G278" s="54"/>
      <c r="H278" s="54"/>
      <c r="I278" s="54"/>
      <c r="J278" s="54"/>
      <c r="K278" s="54"/>
      <c r="L278" s="54"/>
      <c r="M278" s="54"/>
      <c r="N278" s="54"/>
      <c r="O278" s="54" t="s">
        <v>3039</v>
      </c>
    </row>
    <row r="279" spans="1:15" ht="30" x14ac:dyDescent="0.2">
      <c r="A279" s="53" t="s">
        <v>12</v>
      </c>
      <c r="B279" s="53" t="s">
        <v>13</v>
      </c>
      <c r="C279" s="54" t="s">
        <v>3042</v>
      </c>
      <c r="D279" s="55" t="s">
        <v>3043</v>
      </c>
      <c r="E279" s="54" t="s">
        <v>3044</v>
      </c>
      <c r="F279" s="54"/>
      <c r="G279" s="54"/>
      <c r="H279" s="54"/>
      <c r="I279" s="54"/>
      <c r="J279" s="54"/>
      <c r="K279" s="54"/>
      <c r="L279" s="54"/>
      <c r="M279" s="54"/>
      <c r="N279" s="54"/>
      <c r="O279" s="54" t="s">
        <v>3045</v>
      </c>
    </row>
    <row r="280" spans="1:15" ht="15.75" x14ac:dyDescent="0.2">
      <c r="A280" s="53" t="s">
        <v>12</v>
      </c>
      <c r="B280" s="53" t="s">
        <v>15</v>
      </c>
      <c r="C280" s="54" t="s">
        <v>3046</v>
      </c>
      <c r="D280" s="55" t="s">
        <v>3047</v>
      </c>
      <c r="E280" s="54" t="s">
        <v>2026</v>
      </c>
      <c r="F280" s="54"/>
      <c r="G280" s="54"/>
      <c r="H280" s="54"/>
      <c r="I280" s="54"/>
      <c r="J280" s="54"/>
      <c r="K280" s="54"/>
      <c r="L280" s="54"/>
      <c r="M280" s="54"/>
      <c r="N280" s="54"/>
      <c r="O280" s="54"/>
    </row>
    <row r="281" spans="1:15" ht="30" x14ac:dyDescent="0.2">
      <c r="A281" s="53" t="s">
        <v>12</v>
      </c>
      <c r="B281" s="53" t="s">
        <v>14</v>
      </c>
      <c r="C281" s="54" t="s">
        <v>3048</v>
      </c>
      <c r="D281" s="55" t="s">
        <v>3049</v>
      </c>
      <c r="E281" s="54" t="s">
        <v>920</v>
      </c>
      <c r="F281" s="54" t="s">
        <v>1825</v>
      </c>
      <c r="G281" s="54"/>
      <c r="H281" s="54"/>
      <c r="I281" s="54"/>
      <c r="J281" s="54"/>
      <c r="K281" s="54"/>
      <c r="L281" s="54"/>
      <c r="M281" s="54"/>
      <c r="N281" s="54"/>
      <c r="O281" s="54"/>
    </row>
    <row r="282" spans="1:15" ht="15.75" x14ac:dyDescent="0.2">
      <c r="A282" s="53" t="s">
        <v>12</v>
      </c>
      <c r="B282" s="53" t="s">
        <v>15</v>
      </c>
      <c r="C282" s="54" t="s">
        <v>3050</v>
      </c>
      <c r="D282" s="55" t="s">
        <v>3051</v>
      </c>
      <c r="E282" s="54" t="s">
        <v>2026</v>
      </c>
      <c r="F282" s="54"/>
      <c r="G282" s="54"/>
      <c r="H282" s="54"/>
      <c r="I282" s="54"/>
      <c r="J282" s="54"/>
      <c r="K282" s="54"/>
      <c r="L282" s="54"/>
      <c r="M282" s="54"/>
      <c r="N282" s="54"/>
      <c r="O282" s="54"/>
    </row>
    <row r="283" spans="1:15" ht="30" x14ac:dyDescent="0.2">
      <c r="A283" s="53" t="s">
        <v>12</v>
      </c>
      <c r="B283" s="53" t="s">
        <v>15</v>
      </c>
      <c r="C283" s="54" t="s">
        <v>3052</v>
      </c>
      <c r="D283" s="55" t="s">
        <v>1306</v>
      </c>
      <c r="E283" s="54" t="s">
        <v>2026</v>
      </c>
      <c r="F283" s="54"/>
      <c r="G283" s="54"/>
      <c r="H283" s="54"/>
      <c r="I283" s="54"/>
      <c r="J283" s="54"/>
      <c r="K283" s="54"/>
      <c r="L283" s="54"/>
      <c r="M283" s="54"/>
      <c r="N283" s="54"/>
      <c r="O283" s="54" t="s">
        <v>3053</v>
      </c>
    </row>
    <row r="284" spans="1:15" ht="45" x14ac:dyDescent="0.2">
      <c r="A284" s="53" t="s">
        <v>12</v>
      </c>
      <c r="B284" s="53" t="s">
        <v>15</v>
      </c>
      <c r="C284" s="54" t="s">
        <v>3054</v>
      </c>
      <c r="D284" s="55" t="s">
        <v>1260</v>
      </c>
      <c r="E284" s="54" t="s">
        <v>2026</v>
      </c>
      <c r="F284" s="54"/>
      <c r="G284" s="54"/>
      <c r="H284" s="54"/>
      <c r="I284" s="54"/>
      <c r="J284" s="54"/>
      <c r="K284" s="54"/>
      <c r="L284" s="54"/>
      <c r="M284" s="54"/>
      <c r="N284" s="54"/>
      <c r="O284" s="54" t="s">
        <v>3055</v>
      </c>
    </row>
    <row r="285" spans="1:15" ht="30" x14ac:dyDescent="0.2">
      <c r="A285" s="53" t="s">
        <v>12</v>
      </c>
      <c r="B285" s="53" t="s">
        <v>15</v>
      </c>
      <c r="C285" s="54" t="s">
        <v>3056</v>
      </c>
      <c r="D285" s="55" t="s">
        <v>3057</v>
      </c>
      <c r="E285" s="54" t="s">
        <v>2026</v>
      </c>
      <c r="F285" s="54" t="s">
        <v>2911</v>
      </c>
      <c r="G285" s="54"/>
      <c r="H285" s="54"/>
      <c r="I285" s="54"/>
      <c r="J285" s="54"/>
      <c r="K285" s="54"/>
      <c r="L285" s="54"/>
      <c r="M285" s="54"/>
      <c r="N285" s="54"/>
      <c r="O285" s="54" t="s">
        <v>3058</v>
      </c>
    </row>
    <row r="286" spans="1:15" ht="30" x14ac:dyDescent="0.2">
      <c r="A286" s="53" t="s">
        <v>12</v>
      </c>
      <c r="B286" s="53" t="s">
        <v>15</v>
      </c>
      <c r="C286" s="54" t="s">
        <v>3059</v>
      </c>
      <c r="D286" s="55" t="s">
        <v>3060</v>
      </c>
      <c r="E286" s="54" t="s">
        <v>2026</v>
      </c>
      <c r="F286" s="54" t="s">
        <v>2911</v>
      </c>
      <c r="G286" s="54"/>
      <c r="H286" s="54"/>
      <c r="I286" s="54"/>
      <c r="J286" s="54"/>
      <c r="K286" s="54"/>
      <c r="L286" s="54"/>
      <c r="M286" s="54"/>
      <c r="N286" s="54"/>
      <c r="O286" s="54" t="s">
        <v>3058</v>
      </c>
    </row>
    <row r="287" spans="1:15" ht="30" x14ac:dyDescent="0.2">
      <c r="A287" s="53" t="s">
        <v>12</v>
      </c>
      <c r="B287" s="53" t="s">
        <v>15</v>
      </c>
      <c r="C287" s="54" t="s">
        <v>3061</v>
      </c>
      <c r="D287" s="55" t="s">
        <v>3062</v>
      </c>
      <c r="E287" s="54" t="s">
        <v>920</v>
      </c>
      <c r="F287" s="54" t="s">
        <v>1324</v>
      </c>
      <c r="G287" s="54"/>
      <c r="H287" s="54"/>
      <c r="I287" s="54"/>
      <c r="J287" s="54"/>
      <c r="K287" s="54"/>
      <c r="L287" s="54"/>
      <c r="M287" s="54"/>
      <c r="N287" s="54"/>
      <c r="O287" s="54" t="s">
        <v>1228</v>
      </c>
    </row>
    <row r="288" spans="1:15" ht="60" x14ac:dyDescent="0.2">
      <c r="A288" s="53" t="s">
        <v>12</v>
      </c>
      <c r="B288" s="53" t="s">
        <v>14</v>
      </c>
      <c r="C288" s="54" t="s">
        <v>3063</v>
      </c>
      <c r="D288" s="55" t="s">
        <v>3064</v>
      </c>
      <c r="E288" s="54" t="s">
        <v>920</v>
      </c>
      <c r="F288" s="54" t="s">
        <v>1701</v>
      </c>
      <c r="G288" s="54"/>
      <c r="H288" s="54"/>
      <c r="I288" s="54"/>
      <c r="J288" s="54"/>
      <c r="K288" s="54"/>
      <c r="L288" s="54"/>
      <c r="M288" s="54"/>
      <c r="N288" s="54"/>
      <c r="O288" s="54" t="s">
        <v>3065</v>
      </c>
    </row>
    <row r="289" spans="1:15" ht="30" x14ac:dyDescent="0.2">
      <c r="A289" s="53" t="s">
        <v>12</v>
      </c>
      <c r="B289" s="53" t="s">
        <v>15</v>
      </c>
      <c r="C289" s="54" t="s">
        <v>3066</v>
      </c>
      <c r="D289" s="55" t="s">
        <v>3067</v>
      </c>
      <c r="E289" s="54" t="s">
        <v>920</v>
      </c>
      <c r="F289" s="54" t="s">
        <v>1752</v>
      </c>
      <c r="G289" s="54"/>
      <c r="H289" s="54"/>
      <c r="I289" s="54"/>
      <c r="J289" s="54"/>
      <c r="K289" s="54"/>
      <c r="L289" s="54"/>
      <c r="M289" s="54"/>
      <c r="N289" s="54"/>
      <c r="O289" s="54"/>
    </row>
    <row r="290" spans="1:15" ht="30" x14ac:dyDescent="0.2">
      <c r="A290" s="53" t="s">
        <v>12</v>
      </c>
      <c r="B290" s="53" t="s">
        <v>15</v>
      </c>
      <c r="C290" s="54" t="s">
        <v>3068</v>
      </c>
      <c r="D290" s="55" t="s">
        <v>3069</v>
      </c>
      <c r="E290" s="54" t="s">
        <v>920</v>
      </c>
      <c r="F290" s="54" t="s">
        <v>1324</v>
      </c>
      <c r="G290" s="54"/>
      <c r="H290" s="54"/>
      <c r="I290" s="54"/>
      <c r="J290" s="54"/>
      <c r="K290" s="54"/>
      <c r="L290" s="54"/>
      <c r="M290" s="54"/>
      <c r="N290" s="54"/>
      <c r="O290" s="54" t="s">
        <v>3070</v>
      </c>
    </row>
    <row r="291" spans="1:15" ht="30" x14ac:dyDescent="0.2">
      <c r="A291" s="53" t="s">
        <v>12</v>
      </c>
      <c r="B291" s="53" t="s">
        <v>15</v>
      </c>
      <c r="C291" s="54" t="s">
        <v>3071</v>
      </c>
      <c r="D291" s="55" t="s">
        <v>3072</v>
      </c>
      <c r="E291" s="54" t="s">
        <v>2026</v>
      </c>
      <c r="F291" s="54"/>
      <c r="G291" s="54"/>
      <c r="H291" s="54"/>
      <c r="I291" s="54"/>
      <c r="J291" s="54"/>
      <c r="K291" s="54"/>
      <c r="L291" s="54"/>
      <c r="M291" s="54"/>
      <c r="N291" s="54"/>
      <c r="O291" s="54" t="s">
        <v>2824</v>
      </c>
    </row>
    <row r="292" spans="1:15" ht="75" x14ac:dyDescent="0.2">
      <c r="A292" s="53" t="s">
        <v>12</v>
      </c>
      <c r="B292" s="53" t="s">
        <v>16</v>
      </c>
      <c r="C292" s="54" t="s">
        <v>3073</v>
      </c>
      <c r="D292" s="55" t="s">
        <v>3074</v>
      </c>
      <c r="E292" s="54" t="s">
        <v>920</v>
      </c>
      <c r="F292" s="54" t="s">
        <v>1701</v>
      </c>
      <c r="G292" s="54"/>
      <c r="H292" s="54"/>
      <c r="I292" s="54"/>
      <c r="J292" s="54"/>
      <c r="K292" s="54"/>
      <c r="L292" s="54"/>
      <c r="M292" s="54"/>
      <c r="N292" s="54"/>
      <c r="O292" s="54" t="s">
        <v>1283</v>
      </c>
    </row>
    <row r="293" spans="1:15" ht="45" x14ac:dyDescent="0.2">
      <c r="A293" s="53" t="s">
        <v>12</v>
      </c>
      <c r="B293" s="53" t="s">
        <v>15</v>
      </c>
      <c r="C293" s="54" t="s">
        <v>3075</v>
      </c>
      <c r="D293" s="55" t="s">
        <v>3076</v>
      </c>
      <c r="E293" s="54" t="s">
        <v>2026</v>
      </c>
      <c r="F293" s="54"/>
      <c r="G293" s="54"/>
      <c r="H293" s="54"/>
      <c r="I293" s="54"/>
      <c r="J293" s="54"/>
      <c r="K293" s="54"/>
      <c r="L293" s="54"/>
      <c r="M293" s="54"/>
      <c r="N293" s="54"/>
      <c r="O293" s="54" t="s">
        <v>2741</v>
      </c>
    </row>
    <row r="294" spans="1:15" ht="45" x14ac:dyDescent="0.2">
      <c r="A294" s="53" t="s">
        <v>12</v>
      </c>
      <c r="B294" s="53" t="s">
        <v>15</v>
      </c>
      <c r="C294" s="54" t="s">
        <v>3077</v>
      </c>
      <c r="D294" s="55" t="s">
        <v>3078</v>
      </c>
      <c r="E294" s="54" t="s">
        <v>2026</v>
      </c>
      <c r="F294" s="54"/>
      <c r="G294" s="54"/>
      <c r="H294" s="54"/>
      <c r="I294" s="54"/>
      <c r="J294" s="54"/>
      <c r="K294" s="54"/>
      <c r="L294" s="54"/>
      <c r="M294" s="54"/>
      <c r="N294" s="54"/>
      <c r="O294" s="54" t="s">
        <v>3079</v>
      </c>
    </row>
    <row r="295" spans="1:15" ht="45" x14ac:dyDescent="0.2">
      <c r="A295" s="53" t="s">
        <v>12</v>
      </c>
      <c r="B295" s="53" t="s">
        <v>15</v>
      </c>
      <c r="C295" s="54" t="s">
        <v>3080</v>
      </c>
      <c r="D295" s="55" t="s">
        <v>3081</v>
      </c>
      <c r="E295" s="54" t="s">
        <v>2026</v>
      </c>
      <c r="F295" s="54"/>
      <c r="G295" s="54"/>
      <c r="H295" s="54"/>
      <c r="I295" s="54"/>
      <c r="J295" s="54"/>
      <c r="K295" s="54"/>
      <c r="L295" s="54"/>
      <c r="M295" s="54"/>
      <c r="N295" s="54"/>
      <c r="O295" s="54" t="s">
        <v>3082</v>
      </c>
    </row>
    <row r="296" spans="1:15" ht="30" x14ac:dyDescent="0.2">
      <c r="A296" s="53" t="s">
        <v>12</v>
      </c>
      <c r="B296" s="53" t="s">
        <v>15</v>
      </c>
      <c r="C296" s="54" t="s">
        <v>3083</v>
      </c>
      <c r="D296" s="55" t="s">
        <v>3084</v>
      </c>
      <c r="E296" s="54" t="s">
        <v>2026</v>
      </c>
      <c r="F296" s="54"/>
      <c r="G296" s="54"/>
      <c r="H296" s="54"/>
      <c r="I296" s="54"/>
      <c r="J296" s="54"/>
      <c r="K296" s="54"/>
      <c r="L296" s="54"/>
      <c r="M296" s="54"/>
      <c r="N296" s="54"/>
      <c r="O296" s="54" t="s">
        <v>3079</v>
      </c>
    </row>
    <row r="297" spans="1:15" ht="30" x14ac:dyDescent="0.2">
      <c r="A297" s="53" t="s">
        <v>12</v>
      </c>
      <c r="B297" s="53" t="s">
        <v>15</v>
      </c>
      <c r="C297" s="54" t="s">
        <v>3085</v>
      </c>
      <c r="D297" s="55" t="s">
        <v>3086</v>
      </c>
      <c r="E297" s="54" t="s">
        <v>2026</v>
      </c>
      <c r="F297" s="54" t="s">
        <v>2911</v>
      </c>
      <c r="G297" s="54"/>
      <c r="H297" s="54"/>
      <c r="I297" s="54"/>
      <c r="J297" s="54"/>
      <c r="K297" s="54"/>
      <c r="L297" s="54"/>
      <c r="M297" s="54"/>
      <c r="N297" s="54"/>
      <c r="O297" s="54" t="s">
        <v>3019</v>
      </c>
    </row>
    <row r="298" spans="1:15" ht="30" x14ac:dyDescent="0.2">
      <c r="A298" s="53" t="s">
        <v>12</v>
      </c>
      <c r="B298" s="53" t="s">
        <v>15</v>
      </c>
      <c r="C298" s="54" t="s">
        <v>3087</v>
      </c>
      <c r="D298" s="55" t="s">
        <v>3088</v>
      </c>
      <c r="E298" s="54" t="s">
        <v>2026</v>
      </c>
      <c r="F298" s="54"/>
      <c r="G298" s="54"/>
      <c r="H298" s="54"/>
      <c r="I298" s="54"/>
      <c r="J298" s="54"/>
      <c r="K298" s="54"/>
      <c r="L298" s="54"/>
      <c r="M298" s="54"/>
      <c r="N298" s="54"/>
      <c r="O298" s="54" t="s">
        <v>3089</v>
      </c>
    </row>
    <row r="299" spans="1:15" ht="30" x14ac:dyDescent="0.2">
      <c r="A299" s="53" t="s">
        <v>12</v>
      </c>
      <c r="B299" s="53" t="s">
        <v>13</v>
      </c>
      <c r="C299" s="54" t="s">
        <v>3090</v>
      </c>
      <c r="D299" s="55" t="s">
        <v>3091</v>
      </c>
      <c r="E299" s="54" t="s">
        <v>1584</v>
      </c>
      <c r="F299" s="54"/>
      <c r="G299" s="54"/>
      <c r="H299" s="54"/>
      <c r="I299" s="54"/>
      <c r="J299" s="54"/>
      <c r="K299" s="54"/>
      <c r="L299" s="54"/>
      <c r="M299" s="54"/>
      <c r="N299" s="54"/>
      <c r="O299" s="54"/>
    </row>
    <row r="300" spans="1:15" ht="60" x14ac:dyDescent="0.2">
      <c r="A300" s="53" t="s">
        <v>12</v>
      </c>
      <c r="B300" s="53" t="s">
        <v>15</v>
      </c>
      <c r="C300" s="54" t="s">
        <v>3092</v>
      </c>
      <c r="D300" s="55" t="s">
        <v>3093</v>
      </c>
      <c r="E300" s="54" t="s">
        <v>2026</v>
      </c>
      <c r="F300" s="54" t="s">
        <v>2740</v>
      </c>
      <c r="G300" s="54"/>
      <c r="H300" s="54"/>
      <c r="I300" s="54"/>
      <c r="J300" s="54"/>
      <c r="K300" s="54"/>
      <c r="L300" s="54"/>
      <c r="M300" s="54"/>
      <c r="N300" s="54"/>
      <c r="O300" s="54" t="s">
        <v>3094</v>
      </c>
    </row>
    <row r="301" spans="1:15" ht="45" x14ac:dyDescent="0.2">
      <c r="A301" s="53" t="s">
        <v>12</v>
      </c>
      <c r="B301" s="53" t="s">
        <v>13</v>
      </c>
      <c r="C301" s="54" t="s">
        <v>3095</v>
      </c>
      <c r="D301" s="55" t="s">
        <v>3096</v>
      </c>
      <c r="E301" s="54" t="s">
        <v>899</v>
      </c>
      <c r="F301" s="54" t="s">
        <v>1701</v>
      </c>
      <c r="G301" s="54"/>
      <c r="H301" s="54"/>
      <c r="I301" s="54"/>
      <c r="J301" s="54"/>
      <c r="K301" s="54"/>
      <c r="L301" s="54"/>
      <c r="M301" s="54"/>
      <c r="N301" s="54"/>
      <c r="O301" s="54" t="s">
        <v>3097</v>
      </c>
    </row>
    <row r="302" spans="1:15" ht="45" x14ac:dyDescent="0.2">
      <c r="A302" s="53" t="s">
        <v>12</v>
      </c>
      <c r="B302" s="53" t="s">
        <v>13</v>
      </c>
      <c r="C302" s="54" t="s">
        <v>3098</v>
      </c>
      <c r="D302" s="55" t="s">
        <v>1117</v>
      </c>
      <c r="E302" s="54" t="s">
        <v>899</v>
      </c>
      <c r="F302" s="54" t="s">
        <v>1825</v>
      </c>
      <c r="G302" s="54"/>
      <c r="H302" s="54"/>
      <c r="I302" s="54"/>
      <c r="J302" s="54"/>
      <c r="K302" s="54"/>
      <c r="L302" s="54"/>
      <c r="M302" s="54"/>
      <c r="N302" s="54"/>
      <c r="O302" s="54" t="s">
        <v>1116</v>
      </c>
    </row>
    <row r="303" spans="1:15" ht="45" x14ac:dyDescent="0.2">
      <c r="A303" s="53" t="s">
        <v>12</v>
      </c>
      <c r="B303" s="53" t="s">
        <v>13</v>
      </c>
      <c r="C303" s="54" t="s">
        <v>3099</v>
      </c>
      <c r="D303" s="55" t="s">
        <v>3100</v>
      </c>
      <c r="E303" s="54" t="s">
        <v>899</v>
      </c>
      <c r="F303" s="54" t="s">
        <v>1701</v>
      </c>
      <c r="G303" s="54"/>
      <c r="H303" s="54"/>
      <c r="I303" s="54"/>
      <c r="J303" s="54"/>
      <c r="K303" s="54"/>
      <c r="L303" s="54"/>
      <c r="M303" s="54"/>
      <c r="N303" s="54"/>
      <c r="O303" s="54" t="s">
        <v>1239</v>
      </c>
    </row>
    <row r="304" spans="1:15" ht="30" x14ac:dyDescent="0.2">
      <c r="A304" s="53" t="s">
        <v>12</v>
      </c>
      <c r="B304" s="53" t="s">
        <v>13</v>
      </c>
      <c r="C304" s="54" t="s">
        <v>3101</v>
      </c>
      <c r="D304" s="55" t="s">
        <v>3102</v>
      </c>
      <c r="E304" s="54" t="s">
        <v>899</v>
      </c>
      <c r="F304" s="54" t="s">
        <v>1701</v>
      </c>
      <c r="G304" s="54"/>
      <c r="H304" s="54"/>
      <c r="I304" s="54"/>
      <c r="J304" s="54"/>
      <c r="K304" s="54"/>
      <c r="L304" s="54"/>
      <c r="M304" s="54"/>
      <c r="N304" s="54"/>
      <c r="O304" s="54" t="s">
        <v>1228</v>
      </c>
    </row>
    <row r="305" spans="1:15" ht="30" x14ac:dyDescent="0.2">
      <c r="A305" s="53" t="s">
        <v>12</v>
      </c>
      <c r="B305" s="53" t="s">
        <v>15</v>
      </c>
      <c r="C305" s="54" t="s">
        <v>3103</v>
      </c>
      <c r="D305" s="55" t="s">
        <v>3104</v>
      </c>
      <c r="E305" s="54" t="s">
        <v>3105</v>
      </c>
      <c r="F305" s="54" t="s">
        <v>3106</v>
      </c>
      <c r="G305" s="54">
        <v>5</v>
      </c>
      <c r="H305" s="54">
        <v>5</v>
      </c>
      <c r="I305" s="54"/>
      <c r="J305" s="54">
        <v>0</v>
      </c>
      <c r="K305" s="54"/>
      <c r="L305" s="54"/>
      <c r="M305" s="54"/>
      <c r="N305" s="54"/>
      <c r="O305" s="54" t="s">
        <v>2556</v>
      </c>
    </row>
    <row r="306" spans="1:15" ht="15.75" x14ac:dyDescent="0.2">
      <c r="A306" s="53" t="s">
        <v>12</v>
      </c>
      <c r="B306" s="53" t="s">
        <v>15</v>
      </c>
      <c r="C306" s="54" t="s">
        <v>3107</v>
      </c>
      <c r="D306" s="55" t="s">
        <v>3108</v>
      </c>
      <c r="E306" s="54" t="s">
        <v>2026</v>
      </c>
      <c r="F306" s="54" t="s">
        <v>2530</v>
      </c>
      <c r="G306" s="54">
        <v>13</v>
      </c>
      <c r="H306" s="54">
        <v>13</v>
      </c>
      <c r="I306" s="54">
        <v>43200</v>
      </c>
      <c r="J306" s="54">
        <v>43200</v>
      </c>
      <c r="K306" s="54"/>
      <c r="L306" s="54"/>
      <c r="M306" s="54"/>
      <c r="N306" s="54"/>
      <c r="O306" s="54" t="s">
        <v>2967</v>
      </c>
    </row>
    <row r="307" spans="1:15" ht="30" x14ac:dyDescent="0.2">
      <c r="A307" s="53" t="s">
        <v>12</v>
      </c>
      <c r="B307" s="53" t="s">
        <v>13</v>
      </c>
      <c r="C307" s="54" t="s">
        <v>3109</v>
      </c>
      <c r="D307" s="55" t="s">
        <v>3110</v>
      </c>
      <c r="E307" s="54"/>
      <c r="F307" s="54"/>
      <c r="G307" s="54"/>
      <c r="H307" s="54"/>
      <c r="I307" s="54">
        <v>0</v>
      </c>
      <c r="J307" s="54">
        <v>0</v>
      </c>
      <c r="K307" s="54"/>
      <c r="L307" s="54"/>
      <c r="M307" s="54"/>
      <c r="N307" s="54"/>
      <c r="O307" s="54" t="s">
        <v>3111</v>
      </c>
    </row>
    <row r="308" spans="1:15" ht="90" x14ac:dyDescent="0.2">
      <c r="A308" s="53" t="s">
        <v>12</v>
      </c>
      <c r="B308" s="53" t="s">
        <v>16</v>
      </c>
      <c r="C308" s="54" t="s">
        <v>3112</v>
      </c>
      <c r="D308" s="55" t="s">
        <v>3113</v>
      </c>
      <c r="E308" s="54" t="s">
        <v>899</v>
      </c>
      <c r="F308" s="54" t="s">
        <v>3114</v>
      </c>
      <c r="G308" s="54"/>
      <c r="H308" s="54"/>
      <c r="I308" s="54">
        <v>0</v>
      </c>
      <c r="J308" s="54">
        <v>0</v>
      </c>
      <c r="K308" s="54"/>
      <c r="L308" s="54"/>
      <c r="M308" s="54"/>
      <c r="N308" s="54"/>
      <c r="O308" s="54" t="s">
        <v>3115</v>
      </c>
    </row>
    <row r="309" spans="1:15" ht="30" x14ac:dyDescent="0.2">
      <c r="A309" s="53" t="s">
        <v>12</v>
      </c>
      <c r="B309" s="53" t="s">
        <v>15</v>
      </c>
      <c r="C309" s="54" t="s">
        <v>3116</v>
      </c>
      <c r="D309" s="55" t="s">
        <v>3117</v>
      </c>
      <c r="E309" s="54" t="s">
        <v>2026</v>
      </c>
      <c r="F309" s="54"/>
      <c r="G309" s="54">
        <v>13</v>
      </c>
      <c r="H309" s="54">
        <v>13</v>
      </c>
      <c r="I309" s="54"/>
      <c r="J309" s="54"/>
      <c r="K309" s="54"/>
      <c r="L309" s="54"/>
      <c r="M309" s="54"/>
      <c r="N309" s="54"/>
      <c r="O309" s="54" t="s">
        <v>3118</v>
      </c>
    </row>
    <row r="310" spans="1:15" ht="45" x14ac:dyDescent="0.2">
      <c r="A310" s="53" t="s">
        <v>12</v>
      </c>
      <c r="B310" s="53" t="s">
        <v>15</v>
      </c>
      <c r="C310" s="54" t="s">
        <v>3119</v>
      </c>
      <c r="D310" s="55" t="s">
        <v>3120</v>
      </c>
      <c r="E310" s="54" t="s">
        <v>2026</v>
      </c>
      <c r="F310" s="54"/>
      <c r="G310" s="54">
        <v>13</v>
      </c>
      <c r="H310" s="54">
        <v>13</v>
      </c>
      <c r="I310" s="54"/>
      <c r="J310" s="54"/>
      <c r="K310" s="54"/>
      <c r="L310" s="54"/>
      <c r="M310" s="54"/>
      <c r="N310" s="54"/>
      <c r="O310" s="54" t="s">
        <v>1256</v>
      </c>
    </row>
    <row r="311" spans="1:15" ht="15.75" x14ac:dyDescent="0.2">
      <c r="A311" s="53" t="s">
        <v>12</v>
      </c>
      <c r="B311" s="53" t="s">
        <v>15</v>
      </c>
      <c r="C311" s="54" t="s">
        <v>3121</v>
      </c>
      <c r="D311" s="55" t="s">
        <v>3122</v>
      </c>
      <c r="E311" s="54" t="s">
        <v>2026</v>
      </c>
      <c r="F311" s="54"/>
      <c r="G311" s="54">
        <v>13</v>
      </c>
      <c r="H311" s="54">
        <v>13</v>
      </c>
      <c r="I311" s="54"/>
      <c r="J311" s="54"/>
      <c r="K311" s="54"/>
      <c r="L311" s="54"/>
      <c r="M311" s="54"/>
      <c r="N311" s="54"/>
      <c r="O311" s="54" t="s">
        <v>1256</v>
      </c>
    </row>
    <row r="312" spans="1:15" ht="30" x14ac:dyDescent="0.2">
      <c r="A312" s="53" t="s">
        <v>12</v>
      </c>
      <c r="B312" s="53" t="s">
        <v>15</v>
      </c>
      <c r="C312" s="54" t="s">
        <v>3123</v>
      </c>
      <c r="D312" s="55" t="s">
        <v>3124</v>
      </c>
      <c r="E312" s="54" t="s">
        <v>2026</v>
      </c>
      <c r="F312" s="54" t="s">
        <v>2911</v>
      </c>
      <c r="G312" s="54">
        <v>13</v>
      </c>
      <c r="H312" s="54">
        <v>13</v>
      </c>
      <c r="I312" s="54"/>
      <c r="J312" s="54"/>
      <c r="K312" s="54"/>
      <c r="L312" s="54"/>
      <c r="M312" s="54"/>
      <c r="N312" s="54"/>
      <c r="O312" s="54" t="s">
        <v>3125</v>
      </c>
    </row>
    <row r="313" spans="1:15" ht="30" x14ac:dyDescent="0.2">
      <c r="A313" s="53" t="s">
        <v>12</v>
      </c>
      <c r="B313" s="53" t="s">
        <v>15</v>
      </c>
      <c r="C313" s="54" t="s">
        <v>3126</v>
      </c>
      <c r="D313" s="55" t="s">
        <v>3127</v>
      </c>
      <c r="E313" s="54" t="s">
        <v>2026</v>
      </c>
      <c r="F313" s="54"/>
      <c r="G313" s="54">
        <v>13</v>
      </c>
      <c r="H313" s="54">
        <v>13</v>
      </c>
      <c r="I313" s="54"/>
      <c r="J313" s="54"/>
      <c r="K313" s="54"/>
      <c r="L313" s="54"/>
      <c r="M313" s="54"/>
      <c r="N313" s="54"/>
      <c r="O313" s="54" t="s">
        <v>3125</v>
      </c>
    </row>
    <row r="314" spans="1:15" ht="30" x14ac:dyDescent="0.2">
      <c r="A314" s="53" t="s">
        <v>12</v>
      </c>
      <c r="B314" s="53" t="s">
        <v>15</v>
      </c>
      <c r="C314" s="54" t="s">
        <v>3128</v>
      </c>
      <c r="D314" s="55" t="s">
        <v>3129</v>
      </c>
      <c r="E314" s="54" t="s">
        <v>920</v>
      </c>
      <c r="F314" s="54" t="s">
        <v>1324</v>
      </c>
      <c r="G314" s="54">
        <v>13</v>
      </c>
      <c r="H314" s="54">
        <v>13</v>
      </c>
      <c r="I314" s="54"/>
      <c r="J314" s="54"/>
      <c r="K314" s="54"/>
      <c r="L314" s="54"/>
      <c r="M314" s="54"/>
      <c r="N314" s="54"/>
      <c r="O314" s="54" t="s">
        <v>3130</v>
      </c>
    </row>
    <row r="315" spans="1:15" ht="30" x14ac:dyDescent="0.2">
      <c r="A315" s="53" t="s">
        <v>12</v>
      </c>
      <c r="B315" s="53" t="s">
        <v>13</v>
      </c>
      <c r="C315" s="54" t="s">
        <v>3131</v>
      </c>
      <c r="D315" s="55" t="s">
        <v>3132</v>
      </c>
      <c r="E315" s="54" t="s">
        <v>920</v>
      </c>
      <c r="F315" s="54" t="s">
        <v>1701</v>
      </c>
      <c r="G315" s="54">
        <v>13</v>
      </c>
      <c r="H315" s="54">
        <v>13</v>
      </c>
      <c r="I315" s="54"/>
      <c r="J315" s="54"/>
      <c r="K315" s="54"/>
      <c r="L315" s="54"/>
      <c r="M315" s="54"/>
      <c r="N315" s="54"/>
      <c r="O315" s="54" t="s">
        <v>3130</v>
      </c>
    </row>
    <row r="316" spans="1:15" ht="30" x14ac:dyDescent="0.2">
      <c r="A316" s="53" t="s">
        <v>12</v>
      </c>
      <c r="B316" s="53" t="s">
        <v>14</v>
      </c>
      <c r="C316" s="54" t="s">
        <v>3133</v>
      </c>
      <c r="D316" s="55" t="s">
        <v>3134</v>
      </c>
      <c r="E316" s="54" t="s">
        <v>920</v>
      </c>
      <c r="F316" s="54" t="s">
        <v>1701</v>
      </c>
      <c r="G316" s="54">
        <v>13</v>
      </c>
      <c r="H316" s="54">
        <v>13</v>
      </c>
      <c r="I316" s="54"/>
      <c r="J316" s="54"/>
      <c r="K316" s="54"/>
      <c r="L316" s="54"/>
      <c r="M316" s="54"/>
      <c r="N316" s="54"/>
      <c r="O316" s="54" t="s">
        <v>3130</v>
      </c>
    </row>
    <row r="317" spans="1:15" ht="30" x14ac:dyDescent="0.2">
      <c r="A317" s="53" t="s">
        <v>12</v>
      </c>
      <c r="B317" s="53" t="s">
        <v>15</v>
      </c>
      <c r="C317" s="54" t="s">
        <v>3135</v>
      </c>
      <c r="D317" s="55" t="s">
        <v>3136</v>
      </c>
      <c r="E317" s="54" t="s">
        <v>2026</v>
      </c>
      <c r="F317" s="54"/>
      <c r="G317" s="54">
        <v>8</v>
      </c>
      <c r="H317" s="54">
        <v>8</v>
      </c>
      <c r="I317" s="54"/>
      <c r="J317" s="54"/>
      <c r="K317" s="54"/>
      <c r="L317" s="54"/>
      <c r="M317" s="54"/>
      <c r="N317" s="54"/>
      <c r="O317" s="54" t="s">
        <v>3137</v>
      </c>
    </row>
    <row r="318" spans="1:15" ht="15.75" x14ac:dyDescent="0.2">
      <c r="A318" s="53" t="s">
        <v>12</v>
      </c>
      <c r="B318" s="53" t="s">
        <v>15</v>
      </c>
      <c r="C318" s="54" t="s">
        <v>3138</v>
      </c>
      <c r="D318" s="55" t="s">
        <v>3139</v>
      </c>
      <c r="E318" s="54" t="s">
        <v>2026</v>
      </c>
      <c r="F318" s="54" t="s">
        <v>2911</v>
      </c>
      <c r="G318" s="54">
        <v>13</v>
      </c>
      <c r="H318" s="54">
        <v>13</v>
      </c>
      <c r="I318" s="54"/>
      <c r="J318" s="54"/>
      <c r="K318" s="54"/>
      <c r="L318" s="54"/>
      <c r="M318" s="54"/>
      <c r="N318" s="54"/>
      <c r="O318" s="54" t="s">
        <v>3140</v>
      </c>
    </row>
    <row r="319" spans="1:15" ht="15.75" x14ac:dyDescent="0.2">
      <c r="A319" s="53" t="s">
        <v>12</v>
      </c>
      <c r="B319" s="53" t="s">
        <v>15</v>
      </c>
      <c r="C319" s="54" t="s">
        <v>3141</v>
      </c>
      <c r="D319" s="55" t="s">
        <v>3142</v>
      </c>
      <c r="E319" s="54" t="s">
        <v>2026</v>
      </c>
      <c r="F319" s="54"/>
      <c r="G319" s="54">
        <v>13</v>
      </c>
      <c r="H319" s="54">
        <v>13</v>
      </c>
      <c r="I319" s="54"/>
      <c r="J319" s="54"/>
      <c r="K319" s="54"/>
      <c r="L319" s="54"/>
      <c r="M319" s="54"/>
      <c r="N319" s="54"/>
      <c r="O319" s="54" t="s">
        <v>3118</v>
      </c>
    </row>
    <row r="320" spans="1:15" ht="30" x14ac:dyDescent="0.2">
      <c r="A320" s="53" t="s">
        <v>12</v>
      </c>
      <c r="B320" s="53" t="s">
        <v>15</v>
      </c>
      <c r="C320" s="54" t="s">
        <v>3123</v>
      </c>
      <c r="D320" s="55" t="s">
        <v>3143</v>
      </c>
      <c r="E320" s="54" t="s">
        <v>2026</v>
      </c>
      <c r="F320" s="54" t="s">
        <v>3144</v>
      </c>
      <c r="G320" s="54">
        <v>5</v>
      </c>
      <c r="H320" s="54">
        <v>5</v>
      </c>
      <c r="I320" s="54"/>
      <c r="J320" s="54"/>
      <c r="K320" s="54"/>
      <c r="L320" s="54"/>
      <c r="M320" s="54"/>
      <c r="N320" s="54"/>
      <c r="O320" s="54"/>
    </row>
    <row r="321" spans="1:15" ht="15.75" x14ac:dyDescent="0.2">
      <c r="A321" s="53" t="s">
        <v>12</v>
      </c>
      <c r="B321" s="53" t="s">
        <v>15</v>
      </c>
      <c r="C321" s="54" t="s">
        <v>3145</v>
      </c>
      <c r="D321" s="55" t="s">
        <v>3146</v>
      </c>
      <c r="E321" s="54" t="s">
        <v>2026</v>
      </c>
      <c r="F321" s="54" t="s">
        <v>3147</v>
      </c>
      <c r="G321" s="54">
        <v>3</v>
      </c>
      <c r="H321" s="54">
        <v>3</v>
      </c>
      <c r="I321" s="54"/>
      <c r="J321" s="54"/>
      <c r="K321" s="54"/>
      <c r="L321" s="54"/>
      <c r="M321" s="54"/>
      <c r="N321" s="54"/>
      <c r="O321" s="54"/>
    </row>
    <row r="322" spans="1:15" ht="90" x14ac:dyDescent="0.2">
      <c r="A322" s="53" t="s">
        <v>12</v>
      </c>
      <c r="B322" s="53" t="s">
        <v>16</v>
      </c>
      <c r="C322" s="54" t="s">
        <v>3148</v>
      </c>
      <c r="D322" s="55" t="s">
        <v>3149</v>
      </c>
      <c r="E322" s="54" t="s">
        <v>899</v>
      </c>
      <c r="F322" s="54" t="s">
        <v>3114</v>
      </c>
      <c r="G322" s="54">
        <v>1</v>
      </c>
      <c r="H322" s="54"/>
      <c r="I322" s="54">
        <v>0</v>
      </c>
      <c r="J322" s="54">
        <v>0</v>
      </c>
      <c r="K322" s="54"/>
      <c r="L322" s="54"/>
      <c r="M322" s="54">
        <v>1</v>
      </c>
      <c r="N322" s="54"/>
      <c r="O322" s="54" t="s">
        <v>3150</v>
      </c>
    </row>
    <row r="323" spans="1:15" ht="60" x14ac:dyDescent="0.2">
      <c r="A323" s="53" t="s">
        <v>12</v>
      </c>
      <c r="B323" s="53" t="s">
        <v>15</v>
      </c>
      <c r="C323" s="54" t="s">
        <v>3151</v>
      </c>
      <c r="D323" s="55" t="s">
        <v>3152</v>
      </c>
      <c r="E323" s="54" t="s">
        <v>2026</v>
      </c>
      <c r="F323" s="54"/>
      <c r="G323" s="54">
        <v>5</v>
      </c>
      <c r="H323" s="54">
        <v>5</v>
      </c>
      <c r="I323" s="54"/>
      <c r="J323" s="54"/>
      <c r="K323" s="54"/>
      <c r="L323" s="54"/>
      <c r="M323" s="54"/>
      <c r="N323" s="54"/>
      <c r="O323" s="54" t="s">
        <v>3153</v>
      </c>
    </row>
    <row r="324" spans="1:15" ht="30" x14ac:dyDescent="0.2">
      <c r="A324" s="53" t="s">
        <v>12</v>
      </c>
      <c r="B324" s="53" t="s">
        <v>14</v>
      </c>
      <c r="C324" s="54" t="s">
        <v>3154</v>
      </c>
      <c r="D324" s="55" t="s">
        <v>3155</v>
      </c>
      <c r="E324" s="54" t="s">
        <v>920</v>
      </c>
      <c r="F324" s="54" t="s">
        <v>1932</v>
      </c>
      <c r="G324" s="54">
        <v>13</v>
      </c>
      <c r="H324" s="54">
        <v>13</v>
      </c>
      <c r="I324" s="54"/>
      <c r="J324" s="54"/>
      <c r="K324" s="54"/>
      <c r="L324" s="54"/>
      <c r="M324" s="54"/>
      <c r="N324" s="54"/>
      <c r="O324" s="54" t="s">
        <v>1262</v>
      </c>
    </row>
    <row r="325" spans="1:15" ht="30" x14ac:dyDescent="0.2">
      <c r="A325" s="53" t="s">
        <v>12</v>
      </c>
      <c r="B325" s="53" t="s">
        <v>15</v>
      </c>
      <c r="C325" s="54" t="s">
        <v>3156</v>
      </c>
      <c r="D325" s="55" t="s">
        <v>3157</v>
      </c>
      <c r="E325" s="54" t="s">
        <v>920</v>
      </c>
      <c r="F325" s="54" t="s">
        <v>3158</v>
      </c>
      <c r="G325" s="54">
        <v>13</v>
      </c>
      <c r="H325" s="54">
        <v>13</v>
      </c>
      <c r="I325" s="54"/>
      <c r="J325" s="54"/>
      <c r="K325" s="54"/>
      <c r="L325" s="54"/>
      <c r="M325" s="54"/>
      <c r="N325" s="54"/>
      <c r="O325" s="54" t="s">
        <v>1262</v>
      </c>
    </row>
    <row r="326" spans="1:15" ht="45" x14ac:dyDescent="0.2">
      <c r="A326" s="53" t="s">
        <v>12</v>
      </c>
      <c r="B326" s="53" t="s">
        <v>15</v>
      </c>
      <c r="C326" s="54" t="s">
        <v>3159</v>
      </c>
      <c r="D326" s="55" t="s">
        <v>3160</v>
      </c>
      <c r="E326" s="54" t="s">
        <v>2026</v>
      </c>
      <c r="F326" s="54" t="s">
        <v>3161</v>
      </c>
      <c r="G326" s="54">
        <v>8</v>
      </c>
      <c r="H326" s="54">
        <v>8</v>
      </c>
      <c r="I326" s="54"/>
      <c r="J326" s="54"/>
      <c r="K326" s="54"/>
      <c r="L326" s="54"/>
      <c r="M326" s="54"/>
      <c r="N326" s="54"/>
      <c r="O326" s="54"/>
    </row>
    <row r="327" spans="1:15" ht="30" x14ac:dyDescent="0.2">
      <c r="A327" s="53" t="s">
        <v>12</v>
      </c>
      <c r="B327" s="53" t="s">
        <v>15</v>
      </c>
      <c r="C327" s="54" t="s">
        <v>3162</v>
      </c>
      <c r="D327" s="55" t="s">
        <v>3163</v>
      </c>
      <c r="E327" s="54" t="s">
        <v>920</v>
      </c>
      <c r="F327" s="54" t="s">
        <v>3158</v>
      </c>
      <c r="G327" s="54">
        <v>8</v>
      </c>
      <c r="H327" s="54">
        <v>8</v>
      </c>
      <c r="I327" s="54"/>
      <c r="J327" s="54"/>
      <c r="K327" s="54"/>
      <c r="L327" s="54"/>
      <c r="M327" s="54"/>
      <c r="N327" s="54"/>
      <c r="O327" s="54" t="s">
        <v>1262</v>
      </c>
    </row>
    <row r="328" spans="1:15" ht="15.75" x14ac:dyDescent="0.2">
      <c r="A328" s="53" t="s">
        <v>12</v>
      </c>
      <c r="B328" s="53" t="s">
        <v>14</v>
      </c>
      <c r="C328" s="54" t="s">
        <v>3164</v>
      </c>
      <c r="D328" s="55" t="s">
        <v>3165</v>
      </c>
      <c r="E328" s="54" t="s">
        <v>920</v>
      </c>
      <c r="F328" s="54" t="s">
        <v>1701</v>
      </c>
      <c r="G328" s="54">
        <v>8</v>
      </c>
      <c r="H328" s="54">
        <v>8</v>
      </c>
      <c r="I328" s="54"/>
      <c r="J328" s="54"/>
      <c r="K328" s="54"/>
      <c r="L328" s="54"/>
      <c r="M328" s="54"/>
      <c r="N328" s="54"/>
      <c r="O328" s="54" t="s">
        <v>1895</v>
      </c>
    </row>
    <row r="329" spans="1:15" ht="30" x14ac:dyDescent="0.2">
      <c r="A329" s="53" t="s">
        <v>12</v>
      </c>
      <c r="B329" s="53" t="s">
        <v>14</v>
      </c>
      <c r="C329" s="54" t="s">
        <v>3166</v>
      </c>
      <c r="D329" s="55" t="s">
        <v>3167</v>
      </c>
      <c r="E329" s="54" t="s">
        <v>920</v>
      </c>
      <c r="F329" s="54" t="s">
        <v>1701</v>
      </c>
      <c r="G329" s="54">
        <v>8</v>
      </c>
      <c r="H329" s="54">
        <v>8</v>
      </c>
      <c r="I329" s="54"/>
      <c r="J329" s="54"/>
      <c r="K329" s="54"/>
      <c r="L329" s="54"/>
      <c r="M329" s="54"/>
      <c r="N329" s="54"/>
      <c r="O329" s="54" t="s">
        <v>3168</v>
      </c>
    </row>
    <row r="330" spans="1:15" ht="15.75" x14ac:dyDescent="0.2">
      <c r="A330" s="53" t="s">
        <v>12</v>
      </c>
      <c r="B330" s="53" t="s">
        <v>15</v>
      </c>
      <c r="C330" s="54" t="s">
        <v>3169</v>
      </c>
      <c r="D330" s="55" t="s">
        <v>3170</v>
      </c>
      <c r="E330" s="54" t="s">
        <v>2026</v>
      </c>
      <c r="F330" s="54" t="s">
        <v>2911</v>
      </c>
      <c r="G330" s="54">
        <v>8</v>
      </c>
      <c r="H330" s="54">
        <v>8</v>
      </c>
      <c r="I330" s="54"/>
      <c r="J330" s="54"/>
      <c r="K330" s="54"/>
      <c r="L330" s="54"/>
      <c r="M330" s="54"/>
      <c r="N330" s="54"/>
      <c r="O330" s="54"/>
    </row>
    <row r="331" spans="1:15" ht="30" x14ac:dyDescent="0.2">
      <c r="A331" s="53" t="s">
        <v>12</v>
      </c>
      <c r="B331" s="53" t="s">
        <v>15</v>
      </c>
      <c r="C331" s="54" t="s">
        <v>3171</v>
      </c>
      <c r="D331" s="55" t="s">
        <v>3172</v>
      </c>
      <c r="E331" s="54" t="s">
        <v>2026</v>
      </c>
      <c r="F331" s="54"/>
      <c r="G331" s="54">
        <v>8</v>
      </c>
      <c r="H331" s="54">
        <v>8</v>
      </c>
      <c r="I331" s="54"/>
      <c r="J331" s="54"/>
      <c r="K331" s="54"/>
      <c r="L331" s="54"/>
      <c r="M331" s="54"/>
      <c r="N331" s="54"/>
      <c r="O331" s="54" t="s">
        <v>3173</v>
      </c>
    </row>
    <row r="332" spans="1:15" ht="15.75" x14ac:dyDescent="0.2">
      <c r="A332" s="53" t="s">
        <v>12</v>
      </c>
      <c r="B332" s="53" t="s">
        <v>14</v>
      </c>
      <c r="C332" s="54" t="s">
        <v>3174</v>
      </c>
      <c r="D332" s="55" t="s">
        <v>1753</v>
      </c>
      <c r="E332" s="54" t="s">
        <v>920</v>
      </c>
      <c r="F332" s="54" t="s">
        <v>1701</v>
      </c>
      <c r="G332" s="54">
        <v>8</v>
      </c>
      <c r="H332" s="54">
        <v>13</v>
      </c>
      <c r="I332" s="54"/>
      <c r="J332" s="54"/>
      <c r="K332" s="54"/>
      <c r="L332" s="54"/>
      <c r="M332" s="54"/>
      <c r="N332" s="54"/>
      <c r="O332" s="54" t="s">
        <v>3175</v>
      </c>
    </row>
    <row r="333" spans="1:15" ht="30" x14ac:dyDescent="0.2">
      <c r="A333" s="53" t="s">
        <v>12</v>
      </c>
      <c r="B333" s="53" t="s">
        <v>15</v>
      </c>
      <c r="C333" s="54" t="s">
        <v>3176</v>
      </c>
      <c r="D333" s="55" t="s">
        <v>3177</v>
      </c>
      <c r="E333" s="54" t="s">
        <v>2026</v>
      </c>
      <c r="F333" s="54" t="s">
        <v>3144</v>
      </c>
      <c r="G333" s="54">
        <v>8</v>
      </c>
      <c r="H333" s="54">
        <v>8</v>
      </c>
      <c r="I333" s="54"/>
      <c r="J333" s="54"/>
      <c r="K333" s="54"/>
      <c r="L333" s="54"/>
      <c r="M333" s="54"/>
      <c r="N333" s="54"/>
      <c r="O333" s="54" t="s">
        <v>3178</v>
      </c>
    </row>
    <row r="334" spans="1:15" ht="15.75" x14ac:dyDescent="0.2">
      <c r="A334" s="53" t="s">
        <v>12</v>
      </c>
      <c r="B334" s="53" t="s">
        <v>15</v>
      </c>
      <c r="C334" s="54" t="s">
        <v>3179</v>
      </c>
      <c r="D334" s="55" t="s">
        <v>3180</v>
      </c>
      <c r="E334" s="54" t="s">
        <v>920</v>
      </c>
      <c r="F334" s="54" t="s">
        <v>1752</v>
      </c>
      <c r="G334" s="54">
        <v>13</v>
      </c>
      <c r="H334" s="54">
        <v>13</v>
      </c>
      <c r="I334" s="54"/>
      <c r="J334" s="54"/>
      <c r="K334" s="54"/>
      <c r="L334" s="54"/>
      <c r="M334" s="54"/>
      <c r="N334" s="54"/>
      <c r="O334" s="54" t="s">
        <v>1993</v>
      </c>
    </row>
    <row r="335" spans="1:15" ht="15.75" x14ac:dyDescent="0.2">
      <c r="A335" s="53" t="s">
        <v>12</v>
      </c>
      <c r="B335" s="53" t="s">
        <v>17</v>
      </c>
      <c r="C335" s="54" t="s">
        <v>3181</v>
      </c>
      <c r="D335" s="55" t="s">
        <v>3182</v>
      </c>
      <c r="E335" s="54" t="s">
        <v>2026</v>
      </c>
      <c r="F335" s="54" t="s">
        <v>3183</v>
      </c>
      <c r="G335" s="54">
        <v>2</v>
      </c>
      <c r="H335" s="54"/>
      <c r="I335" s="54">
        <v>144000</v>
      </c>
      <c r="J335" s="54">
        <v>0</v>
      </c>
      <c r="K335" s="54"/>
      <c r="L335" s="54"/>
      <c r="M335" s="54"/>
      <c r="N335" s="54"/>
      <c r="O335" s="54" t="s">
        <v>1252</v>
      </c>
    </row>
    <row r="336" spans="1:15" ht="30" x14ac:dyDescent="0.2">
      <c r="A336" s="53" t="s">
        <v>12</v>
      </c>
      <c r="B336" s="53" t="s">
        <v>15</v>
      </c>
      <c r="C336" s="54" t="s">
        <v>3184</v>
      </c>
      <c r="D336" s="55" t="s">
        <v>3185</v>
      </c>
      <c r="E336" s="54" t="s">
        <v>2026</v>
      </c>
      <c r="F336" s="54" t="s">
        <v>3144</v>
      </c>
      <c r="G336" s="54">
        <v>5</v>
      </c>
      <c r="H336" s="54">
        <v>5</v>
      </c>
      <c r="I336" s="54"/>
      <c r="J336" s="54"/>
      <c r="K336" s="54"/>
      <c r="L336" s="54"/>
      <c r="M336" s="54"/>
      <c r="N336" s="54"/>
      <c r="O336" s="54" t="s">
        <v>3016</v>
      </c>
    </row>
    <row r="337" spans="1:15" ht="15.75" x14ac:dyDescent="0.2">
      <c r="A337" s="53" t="s">
        <v>12</v>
      </c>
      <c r="B337" s="53" t="s">
        <v>15</v>
      </c>
      <c r="C337" s="54" t="s">
        <v>3186</v>
      </c>
      <c r="D337" s="55" t="s">
        <v>3187</v>
      </c>
      <c r="E337" s="54" t="s">
        <v>2026</v>
      </c>
      <c r="F337" s="54" t="s">
        <v>3144</v>
      </c>
      <c r="G337" s="54">
        <v>13</v>
      </c>
      <c r="H337" s="54">
        <v>13</v>
      </c>
      <c r="I337" s="54"/>
      <c r="J337" s="54"/>
      <c r="K337" s="54"/>
      <c r="L337" s="54"/>
      <c r="M337" s="54"/>
      <c r="N337" s="54"/>
      <c r="O337" s="54" t="s">
        <v>3188</v>
      </c>
    </row>
    <row r="338" spans="1:15" ht="45" x14ac:dyDescent="0.2">
      <c r="A338" s="53" t="s">
        <v>12</v>
      </c>
      <c r="B338" s="53" t="s">
        <v>15</v>
      </c>
      <c r="C338" s="54" t="s">
        <v>3189</v>
      </c>
      <c r="D338" s="55" t="s">
        <v>3190</v>
      </c>
      <c r="E338" s="54" t="s">
        <v>2026</v>
      </c>
      <c r="F338" s="54" t="s">
        <v>3144</v>
      </c>
      <c r="G338" s="54">
        <v>5</v>
      </c>
      <c r="H338" s="54">
        <v>5</v>
      </c>
      <c r="I338" s="54"/>
      <c r="J338" s="54"/>
      <c r="K338" s="54"/>
      <c r="L338" s="54"/>
      <c r="M338" s="54"/>
      <c r="N338" s="54"/>
      <c r="O338" s="54" t="s">
        <v>3016</v>
      </c>
    </row>
    <row r="339" spans="1:15" ht="30" x14ac:dyDescent="0.2">
      <c r="A339" s="53" t="s">
        <v>12</v>
      </c>
      <c r="B339" s="53" t="s">
        <v>15</v>
      </c>
      <c r="C339" s="54" t="s">
        <v>3191</v>
      </c>
      <c r="D339" s="55" t="s">
        <v>3192</v>
      </c>
      <c r="E339" s="54" t="s">
        <v>2026</v>
      </c>
      <c r="F339" s="54" t="s">
        <v>3144</v>
      </c>
      <c r="G339" s="54">
        <v>5</v>
      </c>
      <c r="H339" s="54">
        <v>13</v>
      </c>
      <c r="I339" s="54"/>
      <c r="J339" s="54"/>
      <c r="K339" s="54"/>
      <c r="L339" s="54"/>
      <c r="M339" s="54"/>
      <c r="N339" s="54"/>
      <c r="O339" s="54" t="s">
        <v>3016</v>
      </c>
    </row>
    <row r="340" spans="1:15" ht="45" x14ac:dyDescent="0.2">
      <c r="A340" s="53" t="s">
        <v>12</v>
      </c>
      <c r="B340" s="53" t="s">
        <v>15</v>
      </c>
      <c r="C340" s="54" t="s">
        <v>3193</v>
      </c>
      <c r="D340" s="55" t="s">
        <v>3194</v>
      </c>
      <c r="E340" s="54" t="s">
        <v>2026</v>
      </c>
      <c r="F340" s="54" t="s">
        <v>3144</v>
      </c>
      <c r="G340" s="54">
        <v>8</v>
      </c>
      <c r="H340" s="54">
        <v>8</v>
      </c>
      <c r="I340" s="54"/>
      <c r="J340" s="54"/>
      <c r="K340" s="54"/>
      <c r="L340" s="54"/>
      <c r="M340" s="54"/>
      <c r="N340" s="54"/>
      <c r="O340" s="54" t="s">
        <v>3016</v>
      </c>
    </row>
    <row r="341" spans="1:15" ht="30" x14ac:dyDescent="0.2">
      <c r="A341" s="53" t="s">
        <v>12</v>
      </c>
      <c r="B341" s="53" t="s">
        <v>15</v>
      </c>
      <c r="C341" s="54" t="s">
        <v>3195</v>
      </c>
      <c r="D341" s="55" t="s">
        <v>3196</v>
      </c>
      <c r="E341" s="54" t="s">
        <v>2026</v>
      </c>
      <c r="F341" s="54" t="s">
        <v>3144</v>
      </c>
      <c r="G341" s="54">
        <v>13</v>
      </c>
      <c r="H341" s="54">
        <v>13</v>
      </c>
      <c r="I341" s="54"/>
      <c r="J341" s="54"/>
      <c r="K341" s="54"/>
      <c r="L341" s="54"/>
      <c r="M341" s="54"/>
      <c r="N341" s="54"/>
      <c r="O341" s="54" t="s">
        <v>3016</v>
      </c>
    </row>
    <row r="342" spans="1:15" ht="30" x14ac:dyDescent="0.2">
      <c r="A342" s="53" t="s">
        <v>12</v>
      </c>
      <c r="B342" s="53" t="s">
        <v>15</v>
      </c>
      <c r="C342" s="54" t="s">
        <v>3197</v>
      </c>
      <c r="D342" s="55" t="s">
        <v>3198</v>
      </c>
      <c r="E342" s="54" t="s">
        <v>2026</v>
      </c>
      <c r="F342" s="54" t="s">
        <v>3144</v>
      </c>
      <c r="G342" s="54">
        <v>13</v>
      </c>
      <c r="H342" s="54">
        <v>13</v>
      </c>
      <c r="I342" s="54"/>
      <c r="J342" s="54"/>
      <c r="K342" s="54"/>
      <c r="L342" s="54"/>
      <c r="M342" s="54"/>
      <c r="N342" s="54"/>
      <c r="O342" s="54" t="s">
        <v>1262</v>
      </c>
    </row>
    <row r="343" spans="1:15" ht="30" x14ac:dyDescent="0.2">
      <c r="A343" s="53" t="s">
        <v>12</v>
      </c>
      <c r="B343" s="53" t="s">
        <v>15</v>
      </c>
      <c r="C343" s="54" t="s">
        <v>3199</v>
      </c>
      <c r="D343" s="55" t="s">
        <v>3200</v>
      </c>
      <c r="E343" s="54" t="s">
        <v>2026</v>
      </c>
      <c r="F343" s="54" t="s">
        <v>3144</v>
      </c>
      <c r="G343" s="54">
        <v>8</v>
      </c>
      <c r="H343" s="54">
        <v>8</v>
      </c>
      <c r="I343" s="54"/>
      <c r="J343" s="54"/>
      <c r="K343" s="54"/>
      <c r="L343" s="54"/>
      <c r="M343" s="54"/>
      <c r="N343" s="54"/>
      <c r="O343" s="54" t="s">
        <v>3201</v>
      </c>
    </row>
    <row r="344" spans="1:15" ht="30" x14ac:dyDescent="0.2">
      <c r="A344" s="53" t="s">
        <v>12</v>
      </c>
      <c r="B344" s="53" t="s">
        <v>15</v>
      </c>
      <c r="C344" s="54" t="s">
        <v>3202</v>
      </c>
      <c r="D344" s="55" t="s">
        <v>3203</v>
      </c>
      <c r="E344" s="54" t="s">
        <v>2026</v>
      </c>
      <c r="F344" s="54" t="s">
        <v>3144</v>
      </c>
      <c r="G344" s="54">
        <v>8</v>
      </c>
      <c r="H344" s="54">
        <v>8</v>
      </c>
      <c r="I344" s="54"/>
      <c r="J344" s="54"/>
      <c r="K344" s="54"/>
      <c r="L344" s="54"/>
      <c r="M344" s="54"/>
      <c r="N344" s="54"/>
      <c r="O344" s="54" t="s">
        <v>3204</v>
      </c>
    </row>
    <row r="345" spans="1:15" ht="45" x14ac:dyDescent="0.2">
      <c r="A345" s="53" t="s">
        <v>12</v>
      </c>
      <c r="B345" s="53" t="s">
        <v>15</v>
      </c>
      <c r="C345" s="54" t="s">
        <v>3205</v>
      </c>
      <c r="D345" s="55" t="s">
        <v>3206</v>
      </c>
      <c r="E345" s="54" t="s">
        <v>2026</v>
      </c>
      <c r="F345" s="54" t="s">
        <v>3144</v>
      </c>
      <c r="G345" s="54">
        <v>13</v>
      </c>
      <c r="H345" s="54">
        <v>13</v>
      </c>
      <c r="I345" s="54"/>
      <c r="J345" s="54"/>
      <c r="K345" s="54"/>
      <c r="L345" s="54"/>
      <c r="M345" s="54"/>
      <c r="N345" s="54"/>
      <c r="O345" s="54" t="s">
        <v>3204</v>
      </c>
    </row>
    <row r="346" spans="1:15" ht="15.75" x14ac:dyDescent="0.2">
      <c r="A346" s="53" t="s">
        <v>12</v>
      </c>
      <c r="B346" s="53" t="s">
        <v>15</v>
      </c>
      <c r="C346" s="54" t="s">
        <v>3207</v>
      </c>
      <c r="D346" s="55" t="s">
        <v>3208</v>
      </c>
      <c r="E346" s="54" t="s">
        <v>2026</v>
      </c>
      <c r="F346" s="54" t="s">
        <v>3209</v>
      </c>
      <c r="G346" s="54">
        <v>3</v>
      </c>
      <c r="H346" s="54">
        <v>3</v>
      </c>
      <c r="I346" s="54">
        <v>86400</v>
      </c>
      <c r="J346" s="54">
        <v>3600</v>
      </c>
      <c r="K346" s="54"/>
      <c r="L346" s="54"/>
      <c r="M346" s="54"/>
      <c r="N346" s="54"/>
      <c r="O346" s="54" t="s">
        <v>1504</v>
      </c>
    </row>
    <row r="347" spans="1:15" ht="15.75" x14ac:dyDescent="0.2">
      <c r="A347" s="53" t="s">
        <v>12</v>
      </c>
      <c r="B347" s="53" t="s">
        <v>15</v>
      </c>
      <c r="C347" s="54" t="s">
        <v>3210</v>
      </c>
      <c r="D347" s="55" t="s">
        <v>3211</v>
      </c>
      <c r="E347" s="54" t="s">
        <v>2026</v>
      </c>
      <c r="F347" s="54" t="s">
        <v>2922</v>
      </c>
      <c r="G347" s="54"/>
      <c r="H347" s="54"/>
      <c r="I347" s="54">
        <v>579600</v>
      </c>
      <c r="J347" s="54">
        <v>579600</v>
      </c>
      <c r="K347" s="54"/>
      <c r="L347" s="54"/>
      <c r="M347" s="54"/>
      <c r="N347" s="54"/>
      <c r="O347" s="54" t="s">
        <v>3212</v>
      </c>
    </row>
    <row r="348" spans="1:15" ht="30" x14ac:dyDescent="0.2">
      <c r="A348" s="53" t="s">
        <v>12</v>
      </c>
      <c r="B348" s="53" t="s">
        <v>15</v>
      </c>
      <c r="C348" s="54" t="s">
        <v>3213</v>
      </c>
      <c r="D348" s="55" t="s">
        <v>3214</v>
      </c>
      <c r="E348" s="54" t="s">
        <v>2026</v>
      </c>
      <c r="F348" s="54" t="s">
        <v>3161</v>
      </c>
      <c r="G348" s="54">
        <v>8</v>
      </c>
      <c r="H348" s="54">
        <v>8</v>
      </c>
      <c r="I348" s="54">
        <v>144000</v>
      </c>
      <c r="J348" s="54">
        <v>0</v>
      </c>
      <c r="K348" s="54"/>
      <c r="L348" s="54"/>
      <c r="M348" s="54"/>
      <c r="N348" s="54"/>
      <c r="O348" s="54" t="s">
        <v>3215</v>
      </c>
    </row>
    <row r="349" spans="1:15" ht="30" x14ac:dyDescent="0.2">
      <c r="A349" s="53" t="s">
        <v>12</v>
      </c>
      <c r="B349" s="53" t="s">
        <v>15</v>
      </c>
      <c r="C349" s="54" t="s">
        <v>3216</v>
      </c>
      <c r="D349" s="55" t="s">
        <v>3217</v>
      </c>
      <c r="E349" s="54" t="s">
        <v>2026</v>
      </c>
      <c r="F349" s="54" t="s">
        <v>3218</v>
      </c>
      <c r="G349" s="54">
        <v>8</v>
      </c>
      <c r="H349" s="54">
        <v>8</v>
      </c>
      <c r="I349" s="54">
        <v>115200</v>
      </c>
      <c r="J349" s="54">
        <v>0</v>
      </c>
      <c r="K349" s="54"/>
      <c r="L349" s="54"/>
      <c r="M349" s="54"/>
      <c r="N349" s="54"/>
      <c r="O349" s="54" t="s">
        <v>3215</v>
      </c>
    </row>
    <row r="350" spans="1:15" ht="30" x14ac:dyDescent="0.2">
      <c r="A350" s="53" t="s">
        <v>12</v>
      </c>
      <c r="B350" s="53" t="s">
        <v>15</v>
      </c>
      <c r="C350" s="54" t="s">
        <v>3219</v>
      </c>
      <c r="D350" s="55" t="s">
        <v>3220</v>
      </c>
      <c r="E350" s="54" t="s">
        <v>2711</v>
      </c>
      <c r="F350" s="54" t="s">
        <v>2755</v>
      </c>
      <c r="G350" s="54">
        <v>8</v>
      </c>
      <c r="H350" s="54">
        <v>8</v>
      </c>
      <c r="I350" s="54"/>
      <c r="J350" s="54"/>
      <c r="K350" s="54"/>
      <c r="L350" s="54"/>
      <c r="M350" s="54"/>
      <c r="N350" s="54"/>
      <c r="O350" s="54" t="s">
        <v>3221</v>
      </c>
    </row>
    <row r="351" spans="1:15" ht="30" x14ac:dyDescent="0.2">
      <c r="A351" s="53" t="s">
        <v>12</v>
      </c>
      <c r="B351" s="53" t="s">
        <v>15</v>
      </c>
      <c r="C351" s="54" t="s">
        <v>3222</v>
      </c>
      <c r="D351" s="55" t="s">
        <v>3223</v>
      </c>
      <c r="E351" s="54" t="s">
        <v>3224</v>
      </c>
      <c r="F351" s="54" t="s">
        <v>2755</v>
      </c>
      <c r="G351" s="54">
        <v>8</v>
      </c>
      <c r="H351" s="54">
        <v>8</v>
      </c>
      <c r="I351" s="54"/>
      <c r="J351" s="54"/>
      <c r="K351" s="54"/>
      <c r="L351" s="54"/>
      <c r="M351" s="54"/>
      <c r="N351" s="54"/>
      <c r="O351" s="54" t="s">
        <v>3225</v>
      </c>
    </row>
    <row r="352" spans="1:15" ht="30" x14ac:dyDescent="0.2">
      <c r="A352" s="53" t="s">
        <v>12</v>
      </c>
      <c r="B352" s="53" t="s">
        <v>17</v>
      </c>
      <c r="C352" s="54" t="s">
        <v>3226</v>
      </c>
      <c r="D352" s="55" t="s">
        <v>3227</v>
      </c>
      <c r="E352" s="54" t="s">
        <v>2711</v>
      </c>
      <c r="F352" s="54"/>
      <c r="G352" s="54">
        <v>8</v>
      </c>
      <c r="H352" s="54"/>
      <c r="I352" s="54"/>
      <c r="J352" s="54"/>
      <c r="K352" s="54"/>
      <c r="L352" s="54"/>
      <c r="M352" s="54"/>
      <c r="N352" s="54"/>
      <c r="O352" s="54" t="s">
        <v>3228</v>
      </c>
    </row>
    <row r="353" spans="1:15" ht="15.75" x14ac:dyDescent="0.2">
      <c r="A353" s="53" t="s">
        <v>12</v>
      </c>
      <c r="B353" s="53" t="s">
        <v>15</v>
      </c>
      <c r="C353" s="54" t="s">
        <v>3229</v>
      </c>
      <c r="D353" s="55" t="s">
        <v>3230</v>
      </c>
      <c r="E353" s="54" t="s">
        <v>2026</v>
      </c>
      <c r="F353" s="54" t="s">
        <v>2755</v>
      </c>
      <c r="G353" s="54">
        <v>13</v>
      </c>
      <c r="H353" s="54">
        <v>13</v>
      </c>
      <c r="I353" s="54"/>
      <c r="J353" s="54"/>
      <c r="K353" s="54"/>
      <c r="L353" s="54"/>
      <c r="M353" s="54"/>
      <c r="N353" s="54"/>
      <c r="O353" s="54" t="s">
        <v>3231</v>
      </c>
    </row>
    <row r="354" spans="1:15" ht="15.75" x14ac:dyDescent="0.2">
      <c r="A354" s="53" t="s">
        <v>12</v>
      </c>
      <c r="B354" s="53" t="s">
        <v>15</v>
      </c>
      <c r="C354" s="54" t="s">
        <v>3232</v>
      </c>
      <c r="D354" s="55" t="s">
        <v>3233</v>
      </c>
      <c r="E354" s="54" t="s">
        <v>2711</v>
      </c>
      <c r="F354" s="54" t="s">
        <v>2724</v>
      </c>
      <c r="G354" s="54">
        <v>13</v>
      </c>
      <c r="H354" s="54">
        <v>13</v>
      </c>
      <c r="I354" s="54"/>
      <c r="J354" s="54"/>
      <c r="K354" s="54"/>
      <c r="L354" s="54"/>
      <c r="M354" s="54"/>
      <c r="N354" s="54"/>
      <c r="O354" s="54" t="s">
        <v>2881</v>
      </c>
    </row>
    <row r="355" spans="1:15" ht="30" x14ac:dyDescent="0.2">
      <c r="A355" s="53" t="s">
        <v>12</v>
      </c>
      <c r="B355" s="53" t="s">
        <v>15</v>
      </c>
      <c r="C355" s="54" t="s">
        <v>3234</v>
      </c>
      <c r="D355" s="55" t="s">
        <v>3235</v>
      </c>
      <c r="E355" s="54" t="s">
        <v>2711</v>
      </c>
      <c r="F355" s="54" t="s">
        <v>2755</v>
      </c>
      <c r="G355" s="54">
        <v>13</v>
      </c>
      <c r="H355" s="54">
        <v>13</v>
      </c>
      <c r="I355" s="54">
        <v>36000</v>
      </c>
      <c r="J355" s="54">
        <v>25200</v>
      </c>
      <c r="K355" s="54"/>
      <c r="L355" s="54"/>
      <c r="M355" s="54"/>
      <c r="N355" s="54"/>
      <c r="O355" s="54" t="s">
        <v>2829</v>
      </c>
    </row>
    <row r="356" spans="1:15" ht="15.75" x14ac:dyDescent="0.2">
      <c r="A356" s="53" t="s">
        <v>12</v>
      </c>
      <c r="B356" s="53" t="s">
        <v>15</v>
      </c>
      <c r="C356" s="54" t="s">
        <v>3236</v>
      </c>
      <c r="D356" s="55" t="s">
        <v>3237</v>
      </c>
      <c r="E356" s="54" t="s">
        <v>2711</v>
      </c>
      <c r="F356" s="54" t="s">
        <v>3238</v>
      </c>
      <c r="G356" s="54">
        <v>5</v>
      </c>
      <c r="H356" s="54">
        <v>5</v>
      </c>
      <c r="I356" s="54"/>
      <c r="J356" s="54"/>
      <c r="K356" s="54"/>
      <c r="L356" s="54"/>
      <c r="M356" s="54"/>
      <c r="N356" s="54"/>
      <c r="O356" s="54" t="s">
        <v>3239</v>
      </c>
    </row>
    <row r="357" spans="1:15" ht="15.75" x14ac:dyDescent="0.2">
      <c r="A357" s="53" t="s">
        <v>12</v>
      </c>
      <c r="B357" s="53" t="s">
        <v>15</v>
      </c>
      <c r="C357" s="54" t="s">
        <v>3240</v>
      </c>
      <c r="D357" s="55" t="s">
        <v>3241</v>
      </c>
      <c r="E357" s="54" t="s">
        <v>2026</v>
      </c>
      <c r="F357" s="54" t="s">
        <v>3183</v>
      </c>
      <c r="G357" s="54">
        <v>5</v>
      </c>
      <c r="H357" s="54">
        <v>5</v>
      </c>
      <c r="I357" s="54">
        <v>172800</v>
      </c>
      <c r="J357" s="54">
        <v>32400</v>
      </c>
      <c r="K357" s="54"/>
      <c r="L357" s="54"/>
      <c r="M357" s="54"/>
      <c r="N357" s="54"/>
      <c r="O357" s="54" t="s">
        <v>3242</v>
      </c>
    </row>
    <row r="358" spans="1:15" ht="15.75" x14ac:dyDescent="0.2">
      <c r="A358" s="53" t="s">
        <v>12</v>
      </c>
      <c r="B358" s="53" t="s">
        <v>13</v>
      </c>
      <c r="C358" s="54" t="s">
        <v>3243</v>
      </c>
      <c r="D358" s="55" t="s">
        <v>3244</v>
      </c>
      <c r="E358" s="54"/>
      <c r="F358" s="54"/>
      <c r="G358" s="54"/>
      <c r="H358" s="54"/>
      <c r="I358" s="54"/>
      <c r="J358" s="54"/>
      <c r="K358" s="54"/>
      <c r="L358" s="54"/>
      <c r="M358" s="54"/>
      <c r="N358" s="54"/>
      <c r="O358" s="54" t="s">
        <v>1296</v>
      </c>
    </row>
    <row r="359" spans="1:15" ht="90" x14ac:dyDescent="0.2">
      <c r="A359" s="53" t="s">
        <v>12</v>
      </c>
      <c r="B359" s="53" t="s">
        <v>16</v>
      </c>
      <c r="C359" s="54" t="s">
        <v>3245</v>
      </c>
      <c r="D359" s="55" t="s">
        <v>3246</v>
      </c>
      <c r="E359" s="54" t="s">
        <v>899</v>
      </c>
      <c r="F359" s="54" t="s">
        <v>3114</v>
      </c>
      <c r="G359" s="54">
        <v>3</v>
      </c>
      <c r="H359" s="54"/>
      <c r="I359" s="54">
        <v>28800</v>
      </c>
      <c r="J359" s="54">
        <v>0</v>
      </c>
      <c r="K359" s="54"/>
      <c r="L359" s="54"/>
      <c r="M359" s="54"/>
      <c r="N359" s="54"/>
      <c r="O359" s="54" t="s">
        <v>1047</v>
      </c>
    </row>
    <row r="360" spans="1:15" ht="60" x14ac:dyDescent="0.2">
      <c r="A360" s="53" t="s">
        <v>12</v>
      </c>
      <c r="B360" s="53" t="s">
        <v>15</v>
      </c>
      <c r="C360" s="54" t="s">
        <v>3247</v>
      </c>
      <c r="D360" s="55" t="s">
        <v>3248</v>
      </c>
      <c r="E360" s="54"/>
      <c r="F360" s="54" t="s">
        <v>3249</v>
      </c>
      <c r="G360" s="54">
        <v>3</v>
      </c>
      <c r="H360" s="54">
        <v>3</v>
      </c>
      <c r="I360" s="54"/>
      <c r="J360" s="54"/>
      <c r="K360" s="54"/>
      <c r="L360" s="54"/>
      <c r="M360" s="54"/>
      <c r="N360" s="54"/>
      <c r="O360" s="54"/>
    </row>
    <row r="361" spans="1:15" ht="15.75" x14ac:dyDescent="0.2">
      <c r="A361" s="53" t="s">
        <v>12</v>
      </c>
      <c r="B361" s="53" t="s">
        <v>15</v>
      </c>
      <c r="C361" s="54" t="s">
        <v>3250</v>
      </c>
      <c r="D361" s="55" t="s">
        <v>3251</v>
      </c>
      <c r="E361" s="54" t="s">
        <v>2711</v>
      </c>
      <c r="F361" s="54" t="s">
        <v>3106</v>
      </c>
      <c r="G361" s="54"/>
      <c r="H361" s="54"/>
      <c r="I361" s="54"/>
      <c r="J361" s="54"/>
      <c r="K361" s="54"/>
      <c r="L361" s="54"/>
      <c r="M361" s="54"/>
      <c r="N361" s="54"/>
      <c r="O361" s="54" t="s">
        <v>3252</v>
      </c>
    </row>
    <row r="362" spans="1:15" ht="30" x14ac:dyDescent="0.2">
      <c r="A362" s="53" t="s">
        <v>12</v>
      </c>
      <c r="B362" s="53" t="s">
        <v>15</v>
      </c>
      <c r="C362" s="54" t="s">
        <v>3253</v>
      </c>
      <c r="D362" s="55" t="s">
        <v>3254</v>
      </c>
      <c r="E362" s="54" t="s">
        <v>3105</v>
      </c>
      <c r="F362" s="54" t="s">
        <v>3106</v>
      </c>
      <c r="G362" s="54">
        <v>5</v>
      </c>
      <c r="H362" s="54">
        <v>5</v>
      </c>
      <c r="I362" s="54"/>
      <c r="J362" s="54"/>
      <c r="K362" s="54"/>
      <c r="L362" s="54"/>
      <c r="M362" s="54"/>
      <c r="N362" s="54"/>
      <c r="O362" s="54" t="s">
        <v>1591</v>
      </c>
    </row>
    <row r="363" spans="1:15" ht="60" x14ac:dyDescent="0.2">
      <c r="A363" s="53" t="s">
        <v>12</v>
      </c>
      <c r="B363" s="53" t="s">
        <v>16</v>
      </c>
      <c r="C363" s="54" t="s">
        <v>3255</v>
      </c>
      <c r="D363" s="55" t="s">
        <v>3256</v>
      </c>
      <c r="E363" s="54" t="s">
        <v>920</v>
      </c>
      <c r="F363" s="54" t="s">
        <v>2536</v>
      </c>
      <c r="G363" s="54">
        <v>1</v>
      </c>
      <c r="H363" s="54"/>
      <c r="I363" s="54">
        <v>0</v>
      </c>
      <c r="J363" s="54">
        <v>0</v>
      </c>
      <c r="K363" s="54"/>
      <c r="L363" s="54"/>
      <c r="M363" s="54"/>
      <c r="N363" s="54"/>
      <c r="O363" s="54" t="s">
        <v>3257</v>
      </c>
    </row>
    <row r="364" spans="1:15" ht="105" x14ac:dyDescent="0.2">
      <c r="A364" s="53" t="s">
        <v>12</v>
      </c>
      <c r="B364" s="53" t="s">
        <v>16</v>
      </c>
      <c r="C364" s="54" t="s">
        <v>3258</v>
      </c>
      <c r="D364" s="55" t="s">
        <v>3259</v>
      </c>
      <c r="E364" s="54" t="s">
        <v>899</v>
      </c>
      <c r="F364" s="54" t="s">
        <v>3260</v>
      </c>
      <c r="G364" s="54"/>
      <c r="H364" s="54"/>
      <c r="I364" s="54"/>
      <c r="J364" s="54">
        <v>0</v>
      </c>
      <c r="K364" s="54"/>
      <c r="L364" s="54"/>
      <c r="M364" s="54"/>
      <c r="N364" s="54"/>
      <c r="O364" s="54" t="s">
        <v>3261</v>
      </c>
    </row>
    <row r="365" spans="1:15" ht="45" x14ac:dyDescent="0.2">
      <c r="A365" s="53" t="s">
        <v>12</v>
      </c>
      <c r="B365" s="53" t="s">
        <v>15</v>
      </c>
      <c r="C365" s="54" t="s">
        <v>3262</v>
      </c>
      <c r="D365" s="55" t="s">
        <v>3263</v>
      </c>
      <c r="E365" s="54" t="s">
        <v>2050</v>
      </c>
      <c r="F365" s="54" t="s">
        <v>2051</v>
      </c>
      <c r="G365" s="54">
        <v>1</v>
      </c>
      <c r="H365" s="54">
        <v>1</v>
      </c>
      <c r="I365" s="54">
        <v>86400</v>
      </c>
      <c r="J365" s="54">
        <v>0</v>
      </c>
      <c r="K365" s="54"/>
      <c r="L365" s="54"/>
      <c r="M365" s="54"/>
      <c r="N365" s="54"/>
      <c r="O365" s="54" t="s">
        <v>3264</v>
      </c>
    </row>
    <row r="366" spans="1:15" ht="45" x14ac:dyDescent="0.2">
      <c r="A366" s="53" t="s">
        <v>12</v>
      </c>
      <c r="B366" s="53" t="s">
        <v>15</v>
      </c>
      <c r="C366" s="54" t="s">
        <v>3265</v>
      </c>
      <c r="D366" s="55" t="s">
        <v>3266</v>
      </c>
      <c r="E366" s="54"/>
      <c r="F366" s="54" t="s">
        <v>3267</v>
      </c>
      <c r="G366" s="54">
        <v>3</v>
      </c>
      <c r="H366" s="54">
        <v>3</v>
      </c>
      <c r="I366" s="54">
        <v>230400</v>
      </c>
      <c r="J366" s="54">
        <v>0</v>
      </c>
      <c r="K366" s="54"/>
      <c r="L366" s="54"/>
      <c r="M366" s="54"/>
      <c r="N366" s="54"/>
      <c r="O366" s="54" t="s">
        <v>3268</v>
      </c>
    </row>
    <row r="367" spans="1:15" ht="165" x14ac:dyDescent="0.2">
      <c r="A367" s="53" t="s">
        <v>12</v>
      </c>
      <c r="B367" s="53" t="s">
        <v>15</v>
      </c>
      <c r="C367" s="54" t="s">
        <v>3269</v>
      </c>
      <c r="D367" s="55" t="s">
        <v>3270</v>
      </c>
      <c r="E367" s="54" t="s">
        <v>2050</v>
      </c>
      <c r="F367" s="54" t="s">
        <v>3267</v>
      </c>
      <c r="G367" s="54">
        <v>1</v>
      </c>
      <c r="H367" s="54">
        <v>1</v>
      </c>
      <c r="I367" s="54">
        <v>86400</v>
      </c>
      <c r="J367" s="54">
        <v>0</v>
      </c>
      <c r="K367" s="54"/>
      <c r="L367" s="54"/>
      <c r="M367" s="54"/>
      <c r="N367" s="54"/>
      <c r="O367" s="54" t="s">
        <v>3271</v>
      </c>
    </row>
    <row r="368" spans="1:15" ht="45" x14ac:dyDescent="0.2">
      <c r="A368" s="53" t="s">
        <v>12</v>
      </c>
      <c r="B368" s="53" t="s">
        <v>15</v>
      </c>
      <c r="C368" s="54" t="s">
        <v>3272</v>
      </c>
      <c r="D368" s="55" t="s">
        <v>3273</v>
      </c>
      <c r="E368" s="54" t="s">
        <v>2050</v>
      </c>
      <c r="F368" s="54" t="s">
        <v>2027</v>
      </c>
      <c r="G368" s="54">
        <v>5</v>
      </c>
      <c r="H368" s="54">
        <v>5</v>
      </c>
      <c r="I368" s="54">
        <v>144000</v>
      </c>
      <c r="J368" s="54">
        <v>0</v>
      </c>
      <c r="K368" s="54"/>
      <c r="L368" s="54"/>
      <c r="M368" s="54"/>
      <c r="N368" s="54"/>
      <c r="O368" s="54" t="s">
        <v>3274</v>
      </c>
    </row>
    <row r="369" spans="1:15" ht="60" x14ac:dyDescent="0.2">
      <c r="A369" s="53" t="s">
        <v>12</v>
      </c>
      <c r="B369" s="53" t="s">
        <v>15</v>
      </c>
      <c r="C369" s="54" t="s">
        <v>3275</v>
      </c>
      <c r="D369" s="55" t="s">
        <v>3276</v>
      </c>
      <c r="E369" s="54" t="s">
        <v>2050</v>
      </c>
      <c r="F369" s="54" t="s">
        <v>2051</v>
      </c>
      <c r="G369" s="54">
        <v>1</v>
      </c>
      <c r="H369" s="54">
        <v>1</v>
      </c>
      <c r="I369" s="54">
        <v>7200</v>
      </c>
      <c r="J369" s="54">
        <v>0</v>
      </c>
      <c r="K369" s="54"/>
      <c r="L369" s="54"/>
      <c r="M369" s="54"/>
      <c r="N369" s="54"/>
      <c r="O369" s="54" t="s">
        <v>3277</v>
      </c>
    </row>
    <row r="370" spans="1:15" ht="90" x14ac:dyDescent="0.2">
      <c r="A370" s="53" t="s">
        <v>12</v>
      </c>
      <c r="B370" s="53" t="s">
        <v>15</v>
      </c>
      <c r="C370" s="54" t="s">
        <v>3278</v>
      </c>
      <c r="D370" s="55" t="s">
        <v>3279</v>
      </c>
      <c r="E370" s="54" t="s">
        <v>2050</v>
      </c>
      <c r="F370" s="54" t="s">
        <v>2051</v>
      </c>
      <c r="G370" s="54">
        <v>3</v>
      </c>
      <c r="H370" s="54">
        <v>3</v>
      </c>
      <c r="I370" s="54">
        <v>144000</v>
      </c>
      <c r="J370" s="54">
        <v>84600</v>
      </c>
      <c r="K370" s="54"/>
      <c r="L370" s="54"/>
      <c r="M370" s="54"/>
      <c r="N370" s="54"/>
      <c r="O370" s="54" t="s">
        <v>3280</v>
      </c>
    </row>
    <row r="371" spans="1:15" ht="90" x14ac:dyDescent="0.2">
      <c r="A371" s="53" t="s">
        <v>12</v>
      </c>
      <c r="B371" s="53" t="s">
        <v>15</v>
      </c>
      <c r="C371" s="54" t="s">
        <v>3281</v>
      </c>
      <c r="D371" s="55" t="s">
        <v>3282</v>
      </c>
      <c r="E371" s="54" t="s">
        <v>2050</v>
      </c>
      <c r="F371" s="54" t="s">
        <v>2051</v>
      </c>
      <c r="G371" s="54">
        <v>2</v>
      </c>
      <c r="H371" s="54">
        <v>2</v>
      </c>
      <c r="I371" s="54">
        <v>93600</v>
      </c>
      <c r="J371" s="54">
        <v>0</v>
      </c>
      <c r="K371" s="54"/>
      <c r="L371" s="54"/>
      <c r="M371" s="54"/>
      <c r="N371" s="54"/>
      <c r="O371" s="54" t="s">
        <v>3283</v>
      </c>
    </row>
    <row r="372" spans="1:15" ht="90" x14ac:dyDescent="0.2">
      <c r="A372" s="53" t="s">
        <v>12</v>
      </c>
      <c r="B372" s="53" t="s">
        <v>15</v>
      </c>
      <c r="C372" s="54" t="s">
        <v>3284</v>
      </c>
      <c r="D372" s="55" t="s">
        <v>3285</v>
      </c>
      <c r="E372" s="54" t="s">
        <v>899</v>
      </c>
      <c r="F372" s="54" t="s">
        <v>3004</v>
      </c>
      <c r="G372" s="54">
        <v>1</v>
      </c>
      <c r="H372" s="54">
        <v>1</v>
      </c>
      <c r="I372" s="54">
        <v>28800</v>
      </c>
      <c r="J372" s="54">
        <v>0</v>
      </c>
      <c r="K372" s="54"/>
      <c r="L372" s="54"/>
      <c r="M372" s="54">
        <v>1</v>
      </c>
      <c r="N372" s="54"/>
      <c r="O372" s="54" t="s">
        <v>3286</v>
      </c>
    </row>
    <row r="373" spans="1:15" ht="30" x14ac:dyDescent="0.2">
      <c r="A373" s="53" t="s">
        <v>12</v>
      </c>
      <c r="B373" s="53" t="s">
        <v>15</v>
      </c>
      <c r="C373" s="54" t="s">
        <v>3287</v>
      </c>
      <c r="D373" s="55" t="s">
        <v>3288</v>
      </c>
      <c r="E373" s="54" t="s">
        <v>3105</v>
      </c>
      <c r="F373" s="54" t="s">
        <v>3238</v>
      </c>
      <c r="G373" s="54"/>
      <c r="H373" s="54"/>
      <c r="I373" s="54"/>
      <c r="J373" s="54">
        <v>0</v>
      </c>
      <c r="K373" s="54"/>
      <c r="L373" s="54"/>
      <c r="M373" s="54"/>
      <c r="N373" s="54"/>
      <c r="O373" s="54" t="s">
        <v>2766</v>
      </c>
    </row>
    <row r="374" spans="1:15" ht="60" x14ac:dyDescent="0.2">
      <c r="A374" s="53" t="s">
        <v>12</v>
      </c>
      <c r="B374" s="53" t="s">
        <v>17</v>
      </c>
      <c r="C374" s="54" t="s">
        <v>3289</v>
      </c>
      <c r="D374" s="55" t="s">
        <v>3290</v>
      </c>
      <c r="E374" s="54" t="s">
        <v>920</v>
      </c>
      <c r="F374" s="54" t="s">
        <v>2536</v>
      </c>
      <c r="G374" s="54">
        <v>3</v>
      </c>
      <c r="H374" s="54"/>
      <c r="I374" s="54">
        <v>28800</v>
      </c>
      <c r="J374" s="54">
        <v>28800</v>
      </c>
      <c r="K374" s="54"/>
      <c r="L374" s="54"/>
      <c r="M374" s="54"/>
      <c r="N374" s="54"/>
      <c r="O374" s="54" t="s">
        <v>3291</v>
      </c>
    </row>
    <row r="375" spans="1:15" ht="15.75" x14ac:dyDescent="0.2">
      <c r="A375" s="53" t="s">
        <v>12</v>
      </c>
      <c r="B375" s="53" t="s">
        <v>13</v>
      </c>
      <c r="C375" s="54" t="s">
        <v>3292</v>
      </c>
      <c r="D375" s="55" t="s">
        <v>3293</v>
      </c>
      <c r="E375" s="54" t="s">
        <v>2026</v>
      </c>
      <c r="F375" s="54"/>
      <c r="G375" s="54">
        <v>8</v>
      </c>
      <c r="H375" s="54"/>
      <c r="I375" s="54">
        <v>115200</v>
      </c>
      <c r="J375" s="54">
        <v>115200</v>
      </c>
      <c r="K375" s="54"/>
      <c r="L375" s="54"/>
      <c r="M375" s="54"/>
      <c r="N375" s="54"/>
      <c r="O375" s="54" t="s">
        <v>1498</v>
      </c>
    </row>
    <row r="376" spans="1:15" ht="30" x14ac:dyDescent="0.2">
      <c r="A376" s="53" t="s">
        <v>12</v>
      </c>
      <c r="B376" s="53" t="s">
        <v>14</v>
      </c>
      <c r="C376" s="54" t="s">
        <v>3294</v>
      </c>
      <c r="D376" s="55" t="s">
        <v>3295</v>
      </c>
      <c r="E376" s="54" t="s">
        <v>920</v>
      </c>
      <c r="F376" s="54" t="s">
        <v>2693</v>
      </c>
      <c r="G376" s="54">
        <v>8</v>
      </c>
      <c r="H376" s="54"/>
      <c r="I376" s="54">
        <v>144000</v>
      </c>
      <c r="J376" s="54">
        <v>144000</v>
      </c>
      <c r="K376" s="54"/>
      <c r="L376" s="54"/>
      <c r="M376" s="54"/>
      <c r="N376" s="54"/>
      <c r="O376" s="54" t="s">
        <v>1495</v>
      </c>
    </row>
    <row r="377" spans="1:15" ht="60" x14ac:dyDescent="0.2">
      <c r="A377" s="53" t="s">
        <v>12</v>
      </c>
      <c r="B377" s="53" t="s">
        <v>106</v>
      </c>
      <c r="C377" s="54" t="s">
        <v>3296</v>
      </c>
      <c r="D377" s="55" t="s">
        <v>3297</v>
      </c>
      <c r="E377" s="54" t="s">
        <v>920</v>
      </c>
      <c r="F377" s="54" t="s">
        <v>2536</v>
      </c>
      <c r="G377" s="54">
        <v>8</v>
      </c>
      <c r="H377" s="54"/>
      <c r="I377" s="54">
        <v>144000</v>
      </c>
      <c r="J377" s="54">
        <v>144000</v>
      </c>
      <c r="K377" s="54"/>
      <c r="L377" s="54"/>
      <c r="M377" s="54"/>
      <c r="N377" s="54"/>
      <c r="O377" s="54" t="s">
        <v>1394</v>
      </c>
    </row>
    <row r="378" spans="1:15" ht="30" x14ac:dyDescent="0.2">
      <c r="A378" s="53" t="s">
        <v>12</v>
      </c>
      <c r="B378" s="53" t="s">
        <v>15</v>
      </c>
      <c r="C378" s="54" t="s">
        <v>3298</v>
      </c>
      <c r="D378" s="55" t="s">
        <v>3299</v>
      </c>
      <c r="E378" s="54" t="s">
        <v>2026</v>
      </c>
      <c r="F378" s="54" t="s">
        <v>3161</v>
      </c>
      <c r="G378" s="54">
        <v>5</v>
      </c>
      <c r="H378" s="54">
        <v>5</v>
      </c>
      <c r="I378" s="54">
        <v>115200</v>
      </c>
      <c r="J378" s="54">
        <v>57600</v>
      </c>
      <c r="K378" s="54"/>
      <c r="L378" s="54"/>
      <c r="M378" s="54"/>
      <c r="N378" s="54"/>
      <c r="O378" s="54" t="s">
        <v>3300</v>
      </c>
    </row>
    <row r="379" spans="1:15" ht="30" x14ac:dyDescent="0.2">
      <c r="A379" s="53" t="s">
        <v>12</v>
      </c>
      <c r="B379" s="53" t="s">
        <v>15</v>
      </c>
      <c r="C379" s="54" t="s">
        <v>3301</v>
      </c>
      <c r="D379" s="55" t="s">
        <v>3302</v>
      </c>
      <c r="E379" s="54" t="s">
        <v>2026</v>
      </c>
      <c r="F379" s="54" t="s">
        <v>3218</v>
      </c>
      <c r="G379" s="54">
        <v>5</v>
      </c>
      <c r="H379" s="54">
        <v>5</v>
      </c>
      <c r="I379" s="54">
        <v>86400</v>
      </c>
      <c r="J379" s="54">
        <v>0</v>
      </c>
      <c r="K379" s="54"/>
      <c r="L379" s="54"/>
      <c r="M379" s="54"/>
      <c r="N379" s="54"/>
      <c r="O379" s="54" t="s">
        <v>3300</v>
      </c>
    </row>
    <row r="380" spans="1:15" ht="105" x14ac:dyDescent="0.2">
      <c r="A380" s="53" t="s">
        <v>12</v>
      </c>
      <c r="B380" s="53" t="s">
        <v>16</v>
      </c>
      <c r="C380" s="54" t="s">
        <v>3303</v>
      </c>
      <c r="D380" s="55" t="s">
        <v>3304</v>
      </c>
      <c r="E380" s="54" t="s">
        <v>899</v>
      </c>
      <c r="F380" s="54" t="s">
        <v>3260</v>
      </c>
      <c r="G380" s="54">
        <v>1</v>
      </c>
      <c r="H380" s="54"/>
      <c r="I380" s="54"/>
      <c r="J380" s="54"/>
      <c r="K380" s="54"/>
      <c r="L380" s="54"/>
      <c r="M380" s="54"/>
      <c r="N380" s="54"/>
      <c r="O380" s="54" t="s">
        <v>3305</v>
      </c>
    </row>
    <row r="381" spans="1:15" ht="30" x14ac:dyDescent="0.2">
      <c r="A381" s="53" t="s">
        <v>12</v>
      </c>
      <c r="B381" s="53" t="s">
        <v>15</v>
      </c>
      <c r="C381" s="54" t="s">
        <v>3306</v>
      </c>
      <c r="D381" s="55" t="s">
        <v>3307</v>
      </c>
      <c r="E381" s="54" t="s">
        <v>2711</v>
      </c>
      <c r="F381" s="54" t="s">
        <v>3238</v>
      </c>
      <c r="G381" s="54">
        <v>8</v>
      </c>
      <c r="H381" s="54">
        <v>8</v>
      </c>
      <c r="I381" s="54"/>
      <c r="J381" s="54"/>
      <c r="K381" s="54"/>
      <c r="L381" s="54"/>
      <c r="M381" s="54"/>
      <c r="N381" s="54"/>
      <c r="O381" s="54" t="s">
        <v>3308</v>
      </c>
    </row>
    <row r="382" spans="1:15" ht="60" x14ac:dyDescent="0.2">
      <c r="A382" s="53" t="s">
        <v>12</v>
      </c>
      <c r="B382" s="53" t="s">
        <v>16</v>
      </c>
      <c r="C382" s="54" t="s">
        <v>3309</v>
      </c>
      <c r="D382" s="55" t="s">
        <v>3310</v>
      </c>
      <c r="E382" s="54" t="s">
        <v>899</v>
      </c>
      <c r="F382" s="54" t="s">
        <v>2536</v>
      </c>
      <c r="G382" s="54">
        <v>5</v>
      </c>
      <c r="H382" s="54"/>
      <c r="I382" s="54">
        <v>115200</v>
      </c>
      <c r="J382" s="54">
        <v>115200</v>
      </c>
      <c r="K382" s="54"/>
      <c r="L382" s="54"/>
      <c r="M382" s="54"/>
      <c r="N382" s="54"/>
      <c r="O382" s="54" t="s">
        <v>3311</v>
      </c>
    </row>
    <row r="383" spans="1:15" ht="60" x14ac:dyDescent="0.2">
      <c r="A383" s="53" t="s">
        <v>12</v>
      </c>
      <c r="B383" s="53" t="s">
        <v>16</v>
      </c>
      <c r="C383" s="54" t="s">
        <v>3312</v>
      </c>
      <c r="D383" s="55" t="s">
        <v>3313</v>
      </c>
      <c r="E383" s="54" t="s">
        <v>899</v>
      </c>
      <c r="F383" s="54" t="s">
        <v>2275</v>
      </c>
      <c r="G383" s="54">
        <v>5</v>
      </c>
      <c r="H383" s="54"/>
      <c r="I383" s="54">
        <v>57600</v>
      </c>
      <c r="J383" s="54">
        <v>57600</v>
      </c>
      <c r="K383" s="54"/>
      <c r="L383" s="54"/>
      <c r="M383" s="54"/>
      <c r="N383" s="54"/>
      <c r="O383" s="54" t="s">
        <v>3314</v>
      </c>
    </row>
    <row r="384" spans="1:15" ht="60" x14ac:dyDescent="0.2">
      <c r="A384" s="53" t="s">
        <v>12</v>
      </c>
      <c r="B384" s="53" t="s">
        <v>15</v>
      </c>
      <c r="C384" s="54" t="s">
        <v>3315</v>
      </c>
      <c r="D384" s="55" t="s">
        <v>3316</v>
      </c>
      <c r="E384" s="54" t="s">
        <v>899</v>
      </c>
      <c r="F384" s="54" t="s">
        <v>2714</v>
      </c>
      <c r="G384" s="54">
        <v>13</v>
      </c>
      <c r="H384" s="54">
        <v>13</v>
      </c>
      <c r="I384" s="54">
        <v>460800</v>
      </c>
      <c r="J384" s="54">
        <v>460800</v>
      </c>
      <c r="K384" s="54"/>
      <c r="L384" s="54"/>
      <c r="M384" s="54"/>
      <c r="N384" s="54"/>
      <c r="O384" s="54" t="s">
        <v>3314</v>
      </c>
    </row>
    <row r="385" spans="1:15" ht="60" x14ac:dyDescent="0.2">
      <c r="A385" s="53" t="s">
        <v>12</v>
      </c>
      <c r="B385" s="53" t="s">
        <v>16</v>
      </c>
      <c r="C385" s="54" t="s">
        <v>3317</v>
      </c>
      <c r="D385" s="55" t="s">
        <v>3318</v>
      </c>
      <c r="E385" s="54" t="s">
        <v>899</v>
      </c>
      <c r="F385" s="54" t="s">
        <v>2536</v>
      </c>
      <c r="G385" s="54">
        <v>1</v>
      </c>
      <c r="H385" s="54"/>
      <c r="I385" s="54">
        <v>0</v>
      </c>
      <c r="J385" s="54">
        <v>0</v>
      </c>
      <c r="K385" s="54"/>
      <c r="L385" s="54"/>
      <c r="M385" s="54">
        <v>1</v>
      </c>
      <c r="N385" s="54"/>
      <c r="O385" s="54" t="s">
        <v>3319</v>
      </c>
    </row>
    <row r="386" spans="1:15" ht="15.75" x14ac:dyDescent="0.2">
      <c r="A386" s="53" t="s">
        <v>12</v>
      </c>
      <c r="B386" s="53" t="s">
        <v>15</v>
      </c>
      <c r="C386" s="54" t="s">
        <v>3320</v>
      </c>
      <c r="D386" s="55" t="s">
        <v>3321</v>
      </c>
      <c r="E386" s="54" t="s">
        <v>2026</v>
      </c>
      <c r="F386" s="54" t="s">
        <v>3322</v>
      </c>
      <c r="G386" s="54">
        <v>1</v>
      </c>
      <c r="H386" s="54">
        <v>1</v>
      </c>
      <c r="I386" s="54"/>
      <c r="J386" s="54"/>
      <c r="K386" s="54"/>
      <c r="L386" s="54"/>
      <c r="M386" s="54"/>
      <c r="N386" s="54"/>
      <c r="O386" s="54" t="s">
        <v>3323</v>
      </c>
    </row>
    <row r="387" spans="1:15" ht="90" x14ac:dyDescent="0.2">
      <c r="A387" s="53" t="s">
        <v>12</v>
      </c>
      <c r="B387" s="53" t="s">
        <v>16</v>
      </c>
      <c r="C387" s="54" t="s">
        <v>3324</v>
      </c>
      <c r="D387" s="55" t="s">
        <v>3325</v>
      </c>
      <c r="E387" s="54" t="s">
        <v>899</v>
      </c>
      <c r="F387" s="54" t="s">
        <v>2838</v>
      </c>
      <c r="G387" s="54">
        <v>3</v>
      </c>
      <c r="H387" s="54"/>
      <c r="I387" s="54">
        <v>230400</v>
      </c>
      <c r="J387" s="54">
        <v>230400</v>
      </c>
      <c r="K387" s="54"/>
      <c r="L387" s="54"/>
      <c r="M387" s="54">
        <v>1</v>
      </c>
      <c r="N387" s="54"/>
      <c r="O387" s="54" t="s">
        <v>3326</v>
      </c>
    </row>
    <row r="388" spans="1:15" ht="30" x14ac:dyDescent="0.2">
      <c r="A388" s="53" t="s">
        <v>12</v>
      </c>
      <c r="B388" s="53" t="s">
        <v>15</v>
      </c>
      <c r="C388" s="54" t="s">
        <v>3327</v>
      </c>
      <c r="D388" s="55" t="s">
        <v>3328</v>
      </c>
      <c r="E388" s="54"/>
      <c r="F388" s="54" t="s">
        <v>3329</v>
      </c>
      <c r="G388" s="54">
        <v>13</v>
      </c>
      <c r="H388" s="54">
        <v>13</v>
      </c>
      <c r="I388" s="54">
        <v>183600</v>
      </c>
      <c r="J388" s="54">
        <v>79200</v>
      </c>
      <c r="K388" s="54"/>
      <c r="L388" s="54"/>
      <c r="M388" s="54"/>
      <c r="N388" s="54"/>
      <c r="O388" s="54" t="s">
        <v>2811</v>
      </c>
    </row>
    <row r="389" spans="1:15" ht="15.75" x14ac:dyDescent="0.2">
      <c r="A389" s="53" t="s">
        <v>12</v>
      </c>
      <c r="B389" s="53" t="s">
        <v>15</v>
      </c>
      <c r="C389" s="54" t="s">
        <v>3330</v>
      </c>
      <c r="D389" s="55" t="s">
        <v>3331</v>
      </c>
      <c r="E389" s="54"/>
      <c r="F389" s="54" t="s">
        <v>3106</v>
      </c>
      <c r="G389" s="54"/>
      <c r="H389" s="54"/>
      <c r="I389" s="54">
        <v>345600</v>
      </c>
      <c r="J389" s="54">
        <v>57600</v>
      </c>
      <c r="K389" s="54"/>
      <c r="L389" s="54"/>
      <c r="M389" s="54"/>
      <c r="N389" s="54"/>
      <c r="O389" s="54" t="s">
        <v>2811</v>
      </c>
    </row>
    <row r="390" spans="1:15" ht="90" x14ac:dyDescent="0.2">
      <c r="A390" s="53" t="s">
        <v>12</v>
      </c>
      <c r="B390" s="53" t="s">
        <v>15</v>
      </c>
      <c r="C390" s="54" t="s">
        <v>3332</v>
      </c>
      <c r="D390" s="55" t="s">
        <v>3333</v>
      </c>
      <c r="E390" s="54" t="s">
        <v>899</v>
      </c>
      <c r="F390" s="54" t="s">
        <v>3004</v>
      </c>
      <c r="G390" s="54">
        <v>5</v>
      </c>
      <c r="H390" s="54">
        <v>5</v>
      </c>
      <c r="I390" s="54">
        <v>0</v>
      </c>
      <c r="J390" s="54">
        <v>0</v>
      </c>
      <c r="K390" s="54"/>
      <c r="L390" s="54"/>
      <c r="M390" s="54">
        <v>1</v>
      </c>
      <c r="N390" s="54"/>
      <c r="O390" s="54" t="s">
        <v>3334</v>
      </c>
    </row>
    <row r="391" spans="1:15" ht="30" x14ac:dyDescent="0.2">
      <c r="A391" s="53" t="s">
        <v>12</v>
      </c>
      <c r="B391" s="53" t="s">
        <v>16</v>
      </c>
      <c r="C391" s="54" t="s">
        <v>3335</v>
      </c>
      <c r="D391" s="55" t="s">
        <v>3336</v>
      </c>
      <c r="E391" s="54" t="s">
        <v>899</v>
      </c>
      <c r="F391" s="54" t="s">
        <v>1633</v>
      </c>
      <c r="G391" s="54">
        <v>3</v>
      </c>
      <c r="H391" s="54"/>
      <c r="I391" s="54"/>
      <c r="J391" s="54"/>
      <c r="K391" s="54"/>
      <c r="L391" s="54"/>
      <c r="M391" s="54">
        <v>1</v>
      </c>
      <c r="N391" s="54"/>
      <c r="O391" s="54" t="s">
        <v>3337</v>
      </c>
    </row>
    <row r="392" spans="1:15" ht="30" x14ac:dyDescent="0.2">
      <c r="A392" s="53" t="s">
        <v>12</v>
      </c>
      <c r="B392" s="53" t="s">
        <v>15</v>
      </c>
      <c r="C392" s="54" t="s">
        <v>3338</v>
      </c>
      <c r="D392" s="55" t="s">
        <v>3339</v>
      </c>
      <c r="E392" s="54"/>
      <c r="F392" s="54" t="s">
        <v>1486</v>
      </c>
      <c r="G392" s="54">
        <v>2</v>
      </c>
      <c r="H392" s="54">
        <v>2</v>
      </c>
      <c r="I392" s="54">
        <v>28800</v>
      </c>
      <c r="J392" s="54">
        <v>18000</v>
      </c>
      <c r="K392" s="54"/>
      <c r="L392" s="54"/>
      <c r="M392" s="54"/>
      <c r="N392" s="54"/>
      <c r="O392" s="54" t="s">
        <v>3340</v>
      </c>
    </row>
    <row r="393" spans="1:15" ht="45" x14ac:dyDescent="0.2">
      <c r="A393" s="53" t="s">
        <v>12</v>
      </c>
      <c r="B393" s="53" t="s">
        <v>13</v>
      </c>
      <c r="C393" s="54" t="s">
        <v>3341</v>
      </c>
      <c r="D393" s="55" t="s">
        <v>3342</v>
      </c>
      <c r="E393" s="54"/>
      <c r="F393" s="54"/>
      <c r="G393" s="54">
        <v>2</v>
      </c>
      <c r="H393" s="54"/>
      <c r="I393" s="54"/>
      <c r="J393" s="54"/>
      <c r="K393" s="54"/>
      <c r="L393" s="54"/>
      <c r="M393" s="54">
        <v>1</v>
      </c>
      <c r="N393" s="54"/>
      <c r="O393" s="54"/>
    </row>
    <row r="394" spans="1:15" ht="90" x14ac:dyDescent="0.2">
      <c r="A394" s="53" t="s">
        <v>12</v>
      </c>
      <c r="B394" s="53" t="s">
        <v>16</v>
      </c>
      <c r="C394" s="54" t="s">
        <v>3343</v>
      </c>
      <c r="D394" s="55" t="s">
        <v>3344</v>
      </c>
      <c r="E394" s="54" t="s">
        <v>899</v>
      </c>
      <c r="F394" s="54" t="s">
        <v>3345</v>
      </c>
      <c r="G394" s="54">
        <v>3</v>
      </c>
      <c r="H394" s="54"/>
      <c r="I394" s="54"/>
      <c r="J394" s="54">
        <v>0</v>
      </c>
      <c r="K394" s="54"/>
      <c r="L394" s="54"/>
      <c r="M394" s="54">
        <v>1</v>
      </c>
      <c r="N394" s="54"/>
      <c r="O394" s="54" t="s">
        <v>3346</v>
      </c>
    </row>
    <row r="395" spans="1:15" ht="60" x14ac:dyDescent="0.2">
      <c r="A395" s="53" t="s">
        <v>12</v>
      </c>
      <c r="B395" s="53" t="s">
        <v>106</v>
      </c>
      <c r="C395" s="54" t="s">
        <v>3347</v>
      </c>
      <c r="D395" s="55" t="s">
        <v>3348</v>
      </c>
      <c r="E395" s="54" t="s">
        <v>920</v>
      </c>
      <c r="F395" s="54" t="s">
        <v>2536</v>
      </c>
      <c r="G395" s="54">
        <v>2</v>
      </c>
      <c r="H395" s="54"/>
      <c r="I395" s="54">
        <v>14400</v>
      </c>
      <c r="J395" s="54">
        <v>14400</v>
      </c>
      <c r="K395" s="54"/>
      <c r="L395" s="54"/>
      <c r="M395" s="54"/>
      <c r="N395" s="54"/>
      <c r="O395" s="54" t="s">
        <v>3349</v>
      </c>
    </row>
    <row r="396" spans="1:15" ht="30" x14ac:dyDescent="0.2">
      <c r="A396" s="53" t="s">
        <v>12</v>
      </c>
      <c r="B396" s="53" t="s">
        <v>15</v>
      </c>
      <c r="C396" s="54" t="s">
        <v>3350</v>
      </c>
      <c r="D396" s="55" t="s">
        <v>3351</v>
      </c>
      <c r="E396" s="54" t="s">
        <v>920</v>
      </c>
      <c r="F396" s="54" t="s">
        <v>1024</v>
      </c>
      <c r="G396" s="54">
        <v>3</v>
      </c>
      <c r="H396" s="54">
        <v>3</v>
      </c>
      <c r="I396" s="54">
        <v>28800</v>
      </c>
      <c r="J396" s="54">
        <v>28800</v>
      </c>
      <c r="K396" s="54"/>
      <c r="L396" s="54"/>
      <c r="M396" s="54"/>
      <c r="N396" s="54"/>
      <c r="O396" s="54" t="s">
        <v>3352</v>
      </c>
    </row>
    <row r="397" spans="1:15" ht="30" x14ac:dyDescent="0.2">
      <c r="A397" s="53" t="s">
        <v>12</v>
      </c>
      <c r="B397" s="53" t="s">
        <v>15</v>
      </c>
      <c r="C397" s="54" t="s">
        <v>3353</v>
      </c>
      <c r="D397" s="55" t="s">
        <v>3354</v>
      </c>
      <c r="E397" s="54" t="s">
        <v>920</v>
      </c>
      <c r="F397" s="54" t="s">
        <v>1024</v>
      </c>
      <c r="G397" s="54">
        <v>3</v>
      </c>
      <c r="H397" s="54">
        <v>3</v>
      </c>
      <c r="I397" s="54">
        <v>28800</v>
      </c>
      <c r="J397" s="54">
        <v>28800</v>
      </c>
      <c r="K397" s="54"/>
      <c r="L397" s="54"/>
      <c r="M397" s="54"/>
      <c r="N397" s="54"/>
      <c r="O397" s="54" t="s">
        <v>3355</v>
      </c>
    </row>
    <row r="398" spans="1:15" ht="90" x14ac:dyDescent="0.2">
      <c r="A398" s="53" t="s">
        <v>12</v>
      </c>
      <c r="B398" s="53" t="s">
        <v>15</v>
      </c>
      <c r="C398" s="54" t="s">
        <v>3356</v>
      </c>
      <c r="D398" s="55" t="s">
        <v>3357</v>
      </c>
      <c r="E398" s="54" t="s">
        <v>899</v>
      </c>
      <c r="F398" s="54" t="s">
        <v>3358</v>
      </c>
      <c r="G398" s="54">
        <v>13</v>
      </c>
      <c r="H398" s="54">
        <v>13</v>
      </c>
      <c r="I398" s="54">
        <v>345600</v>
      </c>
      <c r="J398" s="54">
        <v>82800</v>
      </c>
      <c r="K398" s="54"/>
      <c r="L398" s="54"/>
      <c r="M398" s="54"/>
      <c r="N398" s="54"/>
      <c r="O398" s="54" t="s">
        <v>3359</v>
      </c>
    </row>
    <row r="399" spans="1:15" ht="15.75" x14ac:dyDescent="0.2">
      <c r="A399" s="53" t="s">
        <v>12</v>
      </c>
      <c r="B399" s="53" t="s">
        <v>15</v>
      </c>
      <c r="C399" s="54" t="s">
        <v>3360</v>
      </c>
      <c r="D399" s="55" t="s">
        <v>3361</v>
      </c>
      <c r="E399" s="54" t="s">
        <v>2026</v>
      </c>
      <c r="F399" s="54" t="s">
        <v>3362</v>
      </c>
      <c r="G399" s="54"/>
      <c r="H399" s="54"/>
      <c r="I399" s="54"/>
      <c r="J399" s="54">
        <v>0</v>
      </c>
      <c r="K399" s="54"/>
      <c r="L399" s="54"/>
      <c r="M399" s="54"/>
      <c r="N399" s="54"/>
      <c r="O399" s="54" t="s">
        <v>3363</v>
      </c>
    </row>
    <row r="400" spans="1:15" ht="45" x14ac:dyDescent="0.2">
      <c r="A400" s="53" t="s">
        <v>12</v>
      </c>
      <c r="B400" s="53" t="s">
        <v>13</v>
      </c>
      <c r="C400" s="54" t="s">
        <v>3364</v>
      </c>
      <c r="D400" s="55" t="s">
        <v>3365</v>
      </c>
      <c r="E400" s="54"/>
      <c r="F400" s="54"/>
      <c r="G400" s="54">
        <v>8</v>
      </c>
      <c r="H400" s="54"/>
      <c r="I400" s="54">
        <v>0</v>
      </c>
      <c r="J400" s="54">
        <v>0</v>
      </c>
      <c r="K400" s="54"/>
      <c r="L400" s="54"/>
      <c r="M400" s="54">
        <v>1</v>
      </c>
      <c r="N400" s="54"/>
      <c r="O400" s="54" t="s">
        <v>2133</v>
      </c>
    </row>
    <row r="401" spans="1:15" ht="60" x14ac:dyDescent="0.2">
      <c r="A401" s="53" t="s">
        <v>12</v>
      </c>
      <c r="B401" s="53" t="s">
        <v>14</v>
      </c>
      <c r="C401" s="54" t="s">
        <v>3366</v>
      </c>
      <c r="D401" s="55" t="s">
        <v>3367</v>
      </c>
      <c r="E401" s="54" t="s">
        <v>920</v>
      </c>
      <c r="F401" s="54" t="s">
        <v>2536</v>
      </c>
      <c r="G401" s="54">
        <v>8</v>
      </c>
      <c r="H401" s="54"/>
      <c r="I401" s="54">
        <v>230400</v>
      </c>
      <c r="J401" s="54">
        <v>100800</v>
      </c>
      <c r="K401" s="54"/>
      <c r="L401" s="54"/>
      <c r="M401" s="54"/>
      <c r="N401" s="54"/>
      <c r="O401" s="54" t="s">
        <v>3368</v>
      </c>
    </row>
    <row r="402" spans="1:15" ht="15.75" x14ac:dyDescent="0.2">
      <c r="A402" s="53" t="s">
        <v>12</v>
      </c>
      <c r="B402" s="53" t="s">
        <v>106</v>
      </c>
      <c r="C402" s="54" t="s">
        <v>3366</v>
      </c>
      <c r="D402" s="55" t="s">
        <v>3369</v>
      </c>
      <c r="E402" s="54" t="s">
        <v>2026</v>
      </c>
      <c r="F402" s="54" t="s">
        <v>1403</v>
      </c>
      <c r="G402" s="54">
        <v>8</v>
      </c>
      <c r="H402" s="54"/>
      <c r="I402" s="54"/>
      <c r="J402" s="54"/>
      <c r="K402" s="54"/>
      <c r="L402" s="54"/>
      <c r="M402" s="54"/>
      <c r="N402" s="54"/>
      <c r="O402" s="54" t="s">
        <v>1387</v>
      </c>
    </row>
    <row r="403" spans="1:15" ht="15.75" x14ac:dyDescent="0.2">
      <c r="A403" s="53" t="s">
        <v>12</v>
      </c>
      <c r="B403" s="53" t="s">
        <v>106</v>
      </c>
      <c r="C403" s="54" t="s">
        <v>3366</v>
      </c>
      <c r="D403" s="55" t="s">
        <v>3370</v>
      </c>
      <c r="E403" s="54" t="s">
        <v>2026</v>
      </c>
      <c r="F403" s="54"/>
      <c r="G403" s="54">
        <v>8</v>
      </c>
      <c r="H403" s="54"/>
      <c r="I403" s="54"/>
      <c r="J403" s="54"/>
      <c r="K403" s="54"/>
      <c r="L403" s="54"/>
      <c r="M403" s="54"/>
      <c r="N403" s="54"/>
      <c r="O403" s="54" t="s">
        <v>1387</v>
      </c>
    </row>
    <row r="404" spans="1:15" ht="30" x14ac:dyDescent="0.2">
      <c r="A404" s="53" t="s">
        <v>12</v>
      </c>
      <c r="B404" s="53" t="s">
        <v>106</v>
      </c>
      <c r="C404" s="54" t="s">
        <v>3366</v>
      </c>
      <c r="D404" s="55" t="s">
        <v>3371</v>
      </c>
      <c r="E404" s="54" t="s">
        <v>2026</v>
      </c>
      <c r="F404" s="54" t="s">
        <v>3000</v>
      </c>
      <c r="G404" s="54">
        <v>8</v>
      </c>
      <c r="H404" s="54"/>
      <c r="I404" s="54"/>
      <c r="J404" s="54"/>
      <c r="K404" s="54"/>
      <c r="L404" s="54"/>
      <c r="M404" s="54"/>
      <c r="N404" s="54"/>
      <c r="O404" s="54" t="s">
        <v>1387</v>
      </c>
    </row>
    <row r="405" spans="1:15" ht="15.75" x14ac:dyDescent="0.2">
      <c r="A405" s="53" t="s">
        <v>12</v>
      </c>
      <c r="B405" s="53" t="s">
        <v>15</v>
      </c>
      <c r="C405" s="54" t="s">
        <v>3366</v>
      </c>
      <c r="D405" s="55" t="s">
        <v>3372</v>
      </c>
      <c r="E405" s="54" t="s">
        <v>2026</v>
      </c>
      <c r="F405" s="54" t="s">
        <v>3373</v>
      </c>
      <c r="G405" s="54">
        <v>8</v>
      </c>
      <c r="H405" s="54">
        <v>8</v>
      </c>
      <c r="I405" s="54"/>
      <c r="J405" s="54"/>
      <c r="K405" s="54"/>
      <c r="L405" s="54"/>
      <c r="M405" s="54"/>
      <c r="N405" s="54"/>
      <c r="O405" s="54" t="s">
        <v>1387</v>
      </c>
    </row>
    <row r="406" spans="1:15" ht="30" x14ac:dyDescent="0.2">
      <c r="A406" s="53" t="s">
        <v>12</v>
      </c>
      <c r="B406" s="53" t="s">
        <v>13</v>
      </c>
      <c r="C406" s="54" t="s">
        <v>3374</v>
      </c>
      <c r="D406" s="55" t="s">
        <v>3375</v>
      </c>
      <c r="E406" s="54"/>
      <c r="F406" s="54"/>
      <c r="G406" s="54">
        <v>2</v>
      </c>
      <c r="H406" s="54"/>
      <c r="I406" s="54">
        <v>0</v>
      </c>
      <c r="J406" s="54">
        <v>0</v>
      </c>
      <c r="K406" s="54"/>
      <c r="L406" s="54"/>
      <c r="M406" s="54"/>
      <c r="N406" s="54"/>
      <c r="O406" s="54" t="s">
        <v>2133</v>
      </c>
    </row>
    <row r="407" spans="1:15" ht="30" x14ac:dyDescent="0.2">
      <c r="A407" s="53" t="s">
        <v>12</v>
      </c>
      <c r="B407" s="53" t="s">
        <v>13</v>
      </c>
      <c r="C407" s="54" t="s">
        <v>3376</v>
      </c>
      <c r="D407" s="55" t="s">
        <v>3377</v>
      </c>
      <c r="E407" s="54"/>
      <c r="F407" s="54"/>
      <c r="G407" s="54">
        <v>5</v>
      </c>
      <c r="H407" s="54"/>
      <c r="I407" s="54">
        <v>0</v>
      </c>
      <c r="J407" s="54">
        <v>0</v>
      </c>
      <c r="K407" s="54"/>
      <c r="L407" s="54"/>
      <c r="M407" s="54"/>
      <c r="N407" s="54"/>
      <c r="O407" s="54" t="s">
        <v>3378</v>
      </c>
    </row>
    <row r="408" spans="1:15" ht="60" x14ac:dyDescent="0.2">
      <c r="A408" s="53" t="s">
        <v>12</v>
      </c>
      <c r="B408" s="53" t="s">
        <v>15</v>
      </c>
      <c r="C408" s="54" t="s">
        <v>3379</v>
      </c>
      <c r="D408" s="55" t="s">
        <v>3380</v>
      </c>
      <c r="E408" s="54" t="s">
        <v>899</v>
      </c>
      <c r="F408" s="54" t="s">
        <v>2536</v>
      </c>
      <c r="G408" s="54">
        <v>2</v>
      </c>
      <c r="H408" s="54">
        <v>2</v>
      </c>
      <c r="I408" s="54">
        <v>115320</v>
      </c>
      <c r="J408" s="54">
        <v>70200</v>
      </c>
      <c r="K408" s="54"/>
      <c r="L408" s="54"/>
      <c r="M408" s="54"/>
      <c r="N408" s="54"/>
      <c r="O408" s="54" t="s">
        <v>3381</v>
      </c>
    </row>
    <row r="409" spans="1:15" ht="60" x14ac:dyDescent="0.2">
      <c r="A409" s="53" t="s">
        <v>12</v>
      </c>
      <c r="B409" s="53" t="s">
        <v>16</v>
      </c>
      <c r="C409" s="54" t="s">
        <v>3382</v>
      </c>
      <c r="D409" s="55" t="s">
        <v>3383</v>
      </c>
      <c r="E409" s="54" t="s">
        <v>899</v>
      </c>
      <c r="F409" s="54" t="s">
        <v>2275</v>
      </c>
      <c r="G409" s="54">
        <v>5</v>
      </c>
      <c r="H409" s="54"/>
      <c r="I409" s="54">
        <v>0</v>
      </c>
      <c r="J409" s="54">
        <v>0</v>
      </c>
      <c r="K409" s="54"/>
      <c r="L409" s="54"/>
      <c r="M409" s="54"/>
      <c r="N409" s="54"/>
      <c r="O409" s="54" t="s">
        <v>3384</v>
      </c>
    </row>
    <row r="410" spans="1:15" ht="60" x14ac:dyDescent="0.2">
      <c r="A410" s="53" t="s">
        <v>12</v>
      </c>
      <c r="B410" s="53" t="s">
        <v>16</v>
      </c>
      <c r="C410" s="54" t="s">
        <v>3385</v>
      </c>
      <c r="D410" s="55" t="s">
        <v>3386</v>
      </c>
      <c r="E410" s="54" t="s">
        <v>899</v>
      </c>
      <c r="F410" s="54" t="s">
        <v>2536</v>
      </c>
      <c r="G410" s="54">
        <v>3</v>
      </c>
      <c r="H410" s="54"/>
      <c r="I410" s="54">
        <v>0</v>
      </c>
      <c r="J410" s="54">
        <v>0</v>
      </c>
      <c r="K410" s="54"/>
      <c r="L410" s="54"/>
      <c r="M410" s="54"/>
      <c r="N410" s="54"/>
      <c r="O410" s="54" t="s">
        <v>3387</v>
      </c>
    </row>
    <row r="411" spans="1:15" ht="60" x14ac:dyDescent="0.2">
      <c r="A411" s="53" t="s">
        <v>12</v>
      </c>
      <c r="B411" s="53" t="s">
        <v>16</v>
      </c>
      <c r="C411" s="54" t="s">
        <v>3388</v>
      </c>
      <c r="D411" s="55" t="s">
        <v>3389</v>
      </c>
      <c r="E411" s="54" t="s">
        <v>899</v>
      </c>
      <c r="F411" s="54" t="s">
        <v>2536</v>
      </c>
      <c r="G411" s="54">
        <v>3</v>
      </c>
      <c r="H411" s="54"/>
      <c r="I411" s="54">
        <v>0</v>
      </c>
      <c r="J411" s="54">
        <v>0</v>
      </c>
      <c r="K411" s="54"/>
      <c r="L411" s="54"/>
      <c r="M411" s="54"/>
      <c r="N411" s="54"/>
      <c r="O411" s="54" t="s">
        <v>3390</v>
      </c>
    </row>
    <row r="412" spans="1:15" ht="15.75" x14ac:dyDescent="0.2">
      <c r="A412" s="53" t="s">
        <v>12</v>
      </c>
      <c r="B412" s="53" t="s">
        <v>17</v>
      </c>
      <c r="C412" s="54" t="s">
        <v>3391</v>
      </c>
      <c r="D412" s="55" t="s">
        <v>3392</v>
      </c>
      <c r="E412" s="54" t="s">
        <v>2026</v>
      </c>
      <c r="F412" s="54" t="s">
        <v>2530</v>
      </c>
      <c r="G412" s="54">
        <v>13</v>
      </c>
      <c r="H412" s="54"/>
      <c r="I412" s="54"/>
      <c r="J412" s="54"/>
      <c r="K412" s="54"/>
      <c r="L412" s="54"/>
      <c r="M412" s="54"/>
      <c r="N412" s="54"/>
      <c r="O412" s="54" t="s">
        <v>3393</v>
      </c>
    </row>
    <row r="413" spans="1:15" ht="15.75" x14ac:dyDescent="0.2">
      <c r="A413" s="53" t="s">
        <v>12</v>
      </c>
      <c r="B413" s="53" t="s">
        <v>15</v>
      </c>
      <c r="C413" s="54" t="s">
        <v>3394</v>
      </c>
      <c r="D413" s="55" t="s">
        <v>3395</v>
      </c>
      <c r="E413" s="54"/>
      <c r="F413" s="54"/>
      <c r="G413" s="54"/>
      <c r="H413" s="54"/>
      <c r="I413" s="54"/>
      <c r="J413" s="54">
        <v>0</v>
      </c>
      <c r="K413" s="54"/>
      <c r="L413" s="54"/>
      <c r="M413" s="54"/>
      <c r="N413" s="54"/>
      <c r="O413" s="54"/>
    </row>
    <row r="414" spans="1:15" ht="15.75" x14ac:dyDescent="0.2">
      <c r="A414" s="53" t="s">
        <v>12</v>
      </c>
      <c r="B414" s="53" t="s">
        <v>15</v>
      </c>
      <c r="C414" s="54" t="s">
        <v>3396</v>
      </c>
      <c r="D414" s="55" t="s">
        <v>3397</v>
      </c>
      <c r="E414" s="54" t="s">
        <v>2026</v>
      </c>
      <c r="F414" s="54" t="s">
        <v>2530</v>
      </c>
      <c r="G414" s="54">
        <v>3</v>
      </c>
      <c r="H414" s="54">
        <v>3</v>
      </c>
      <c r="I414" s="54"/>
      <c r="J414" s="54"/>
      <c r="K414" s="54"/>
      <c r="L414" s="54"/>
      <c r="M414" s="54"/>
      <c r="N414" s="54"/>
      <c r="O414" s="54" t="s">
        <v>1398</v>
      </c>
    </row>
    <row r="415" spans="1:15" ht="15.75" x14ac:dyDescent="0.2">
      <c r="A415" s="53" t="s">
        <v>12</v>
      </c>
      <c r="B415" s="53" t="s">
        <v>15</v>
      </c>
      <c r="C415" s="54" t="s">
        <v>3398</v>
      </c>
      <c r="D415" s="55" t="s">
        <v>3399</v>
      </c>
      <c r="E415" s="54" t="s">
        <v>2026</v>
      </c>
      <c r="F415" s="54" t="s">
        <v>2530</v>
      </c>
      <c r="G415" s="54">
        <v>8</v>
      </c>
      <c r="H415" s="54">
        <v>8</v>
      </c>
      <c r="I415" s="54"/>
      <c r="J415" s="54"/>
      <c r="K415" s="54"/>
      <c r="L415" s="54"/>
      <c r="M415" s="54"/>
      <c r="N415" s="54"/>
      <c r="O415" s="54" t="s">
        <v>1398</v>
      </c>
    </row>
    <row r="416" spans="1:15" ht="15.75" x14ac:dyDescent="0.2">
      <c r="A416" s="53" t="s">
        <v>12</v>
      </c>
      <c r="B416" s="53" t="s">
        <v>15</v>
      </c>
      <c r="C416" s="54" t="s">
        <v>3400</v>
      </c>
      <c r="D416" s="55" t="s">
        <v>3401</v>
      </c>
      <c r="E416" s="54" t="s">
        <v>2026</v>
      </c>
      <c r="F416" s="54" t="s">
        <v>2530</v>
      </c>
      <c r="G416" s="54">
        <v>8</v>
      </c>
      <c r="H416" s="54">
        <v>8</v>
      </c>
      <c r="I416" s="54"/>
      <c r="J416" s="54"/>
      <c r="K416" s="54"/>
      <c r="L416" s="54"/>
      <c r="M416" s="54"/>
      <c r="N416" s="54"/>
      <c r="O416" s="54" t="s">
        <v>2640</v>
      </c>
    </row>
    <row r="417" spans="1:15" ht="15.75" x14ac:dyDescent="0.2">
      <c r="A417" s="53" t="s">
        <v>12</v>
      </c>
      <c r="B417" s="53" t="s">
        <v>15</v>
      </c>
      <c r="C417" s="54" t="s">
        <v>3402</v>
      </c>
      <c r="D417" s="55" t="s">
        <v>3403</v>
      </c>
      <c r="E417" s="54" t="s">
        <v>2026</v>
      </c>
      <c r="F417" s="54" t="s">
        <v>2530</v>
      </c>
      <c r="G417" s="54">
        <v>13</v>
      </c>
      <c r="H417" s="54">
        <v>13</v>
      </c>
      <c r="I417" s="54"/>
      <c r="J417" s="54"/>
      <c r="K417" s="54"/>
      <c r="L417" s="54"/>
      <c r="M417" s="54"/>
      <c r="N417" s="54"/>
      <c r="O417" s="54" t="s">
        <v>2640</v>
      </c>
    </row>
    <row r="418" spans="1:15" ht="15.75" x14ac:dyDescent="0.2">
      <c r="A418" s="53" t="s">
        <v>12</v>
      </c>
      <c r="B418" s="53" t="s">
        <v>15</v>
      </c>
      <c r="C418" s="54" t="s">
        <v>3404</v>
      </c>
      <c r="D418" s="55" t="s">
        <v>3405</v>
      </c>
      <c r="E418" s="54" t="s">
        <v>2026</v>
      </c>
      <c r="F418" s="54" t="s">
        <v>2530</v>
      </c>
      <c r="G418" s="54">
        <v>13</v>
      </c>
      <c r="H418" s="54">
        <v>13</v>
      </c>
      <c r="I418" s="54"/>
      <c r="J418" s="54"/>
      <c r="K418" s="54"/>
      <c r="L418" s="54"/>
      <c r="M418" s="54"/>
      <c r="N418" s="54"/>
      <c r="O418" s="54" t="s">
        <v>2640</v>
      </c>
    </row>
    <row r="419" spans="1:15" ht="30" x14ac:dyDescent="0.2">
      <c r="A419" s="53" t="s">
        <v>12</v>
      </c>
      <c r="B419" s="53" t="s">
        <v>15</v>
      </c>
      <c r="C419" s="54" t="s">
        <v>3406</v>
      </c>
      <c r="D419" s="55" t="s">
        <v>3407</v>
      </c>
      <c r="E419" s="54" t="s">
        <v>2026</v>
      </c>
      <c r="F419" s="54" t="s">
        <v>2530</v>
      </c>
      <c r="G419" s="54">
        <v>8</v>
      </c>
      <c r="H419" s="54">
        <v>8</v>
      </c>
      <c r="I419" s="54"/>
      <c r="J419" s="54"/>
      <c r="K419" s="54"/>
      <c r="L419" s="54"/>
      <c r="M419" s="54"/>
      <c r="N419" s="54"/>
      <c r="O419" s="54" t="s">
        <v>2640</v>
      </c>
    </row>
    <row r="420" spans="1:15" ht="15.75" x14ac:dyDescent="0.2">
      <c r="A420" s="53" t="s">
        <v>12</v>
      </c>
      <c r="B420" s="53" t="s">
        <v>15</v>
      </c>
      <c r="C420" s="54" t="s">
        <v>3408</v>
      </c>
      <c r="D420" s="55" t="s">
        <v>3409</v>
      </c>
      <c r="E420" s="54" t="s">
        <v>2026</v>
      </c>
      <c r="F420" s="54" t="s">
        <v>2530</v>
      </c>
      <c r="G420" s="54">
        <v>8</v>
      </c>
      <c r="H420" s="54">
        <v>8</v>
      </c>
      <c r="I420" s="54"/>
      <c r="J420" s="54"/>
      <c r="K420" s="54"/>
      <c r="L420" s="54"/>
      <c r="M420" s="54"/>
      <c r="N420" s="54"/>
      <c r="O420" s="54" t="s">
        <v>2640</v>
      </c>
    </row>
    <row r="421" spans="1:15" ht="15.75" x14ac:dyDescent="0.2">
      <c r="A421" s="53" t="s">
        <v>12</v>
      </c>
      <c r="B421" s="53" t="s">
        <v>15</v>
      </c>
      <c r="C421" s="54" t="s">
        <v>3410</v>
      </c>
      <c r="D421" s="55" t="s">
        <v>3411</v>
      </c>
      <c r="E421" s="54" t="s">
        <v>2026</v>
      </c>
      <c r="F421" s="54" t="s">
        <v>2530</v>
      </c>
      <c r="G421" s="54">
        <v>5</v>
      </c>
      <c r="H421" s="54">
        <v>5</v>
      </c>
      <c r="I421" s="54"/>
      <c r="J421" s="54"/>
      <c r="K421" s="54"/>
      <c r="L421" s="54"/>
      <c r="M421" s="54"/>
      <c r="N421" s="54"/>
      <c r="O421" s="54" t="s">
        <v>2664</v>
      </c>
    </row>
    <row r="422" spans="1:15" ht="15.75" x14ac:dyDescent="0.2">
      <c r="A422" s="53" t="s">
        <v>12</v>
      </c>
      <c r="B422" s="53" t="s">
        <v>15</v>
      </c>
      <c r="C422" s="54" t="s">
        <v>3412</v>
      </c>
      <c r="D422" s="55" t="s">
        <v>3413</v>
      </c>
      <c r="E422" s="54" t="s">
        <v>2026</v>
      </c>
      <c r="F422" s="54" t="s">
        <v>2530</v>
      </c>
      <c r="G422" s="54">
        <v>8</v>
      </c>
      <c r="H422" s="54">
        <v>8</v>
      </c>
      <c r="I422" s="54"/>
      <c r="J422" s="54"/>
      <c r="K422" s="54"/>
      <c r="L422" s="54"/>
      <c r="M422" s="54"/>
      <c r="N422" s="54"/>
      <c r="O422" s="54" t="s">
        <v>2664</v>
      </c>
    </row>
    <row r="423" spans="1:15" ht="15.75" x14ac:dyDescent="0.2">
      <c r="A423" s="53" t="s">
        <v>12</v>
      </c>
      <c r="B423" s="53" t="s">
        <v>15</v>
      </c>
      <c r="C423" s="54" t="s">
        <v>3414</v>
      </c>
      <c r="D423" s="55" t="s">
        <v>3415</v>
      </c>
      <c r="E423" s="54" t="s">
        <v>2026</v>
      </c>
      <c r="F423" s="54" t="s">
        <v>2530</v>
      </c>
      <c r="G423" s="54">
        <v>8</v>
      </c>
      <c r="H423" s="54">
        <v>8</v>
      </c>
      <c r="I423" s="54"/>
      <c r="J423" s="54"/>
      <c r="K423" s="54"/>
      <c r="L423" s="54"/>
      <c r="M423" s="54"/>
      <c r="N423" s="54"/>
      <c r="O423" s="54" t="s">
        <v>3416</v>
      </c>
    </row>
    <row r="424" spans="1:15" ht="30" x14ac:dyDescent="0.2">
      <c r="A424" s="53" t="s">
        <v>12</v>
      </c>
      <c r="B424" s="53" t="s">
        <v>15</v>
      </c>
      <c r="C424" s="54" t="s">
        <v>3417</v>
      </c>
      <c r="D424" s="55" t="s">
        <v>3418</v>
      </c>
      <c r="E424" s="54" t="s">
        <v>2026</v>
      </c>
      <c r="F424" s="54" t="s">
        <v>2530</v>
      </c>
      <c r="G424" s="54">
        <v>5</v>
      </c>
      <c r="H424" s="54">
        <v>5</v>
      </c>
      <c r="I424" s="54">
        <v>21600</v>
      </c>
      <c r="J424" s="54">
        <v>0</v>
      </c>
      <c r="K424" s="54"/>
      <c r="L424" s="54"/>
      <c r="M424" s="54"/>
      <c r="N424" s="54"/>
      <c r="O424" s="54" t="s">
        <v>2955</v>
      </c>
    </row>
    <row r="425" spans="1:15" ht="30" x14ac:dyDescent="0.2">
      <c r="A425" s="53" t="s">
        <v>12</v>
      </c>
      <c r="B425" s="53" t="s">
        <v>15</v>
      </c>
      <c r="C425" s="54" t="s">
        <v>3419</v>
      </c>
      <c r="D425" s="55" t="s">
        <v>3420</v>
      </c>
      <c r="E425" s="54" t="s">
        <v>2026</v>
      </c>
      <c r="F425" s="54" t="s">
        <v>2530</v>
      </c>
      <c r="G425" s="54">
        <v>5</v>
      </c>
      <c r="H425" s="54">
        <v>5</v>
      </c>
      <c r="I425" s="54">
        <v>28800</v>
      </c>
      <c r="J425" s="54">
        <v>0</v>
      </c>
      <c r="K425" s="54"/>
      <c r="L425" s="54"/>
      <c r="M425" s="54"/>
      <c r="N425" s="54"/>
      <c r="O425" s="54" t="s">
        <v>2955</v>
      </c>
    </row>
    <row r="426" spans="1:15" ht="15.75" x14ac:dyDescent="0.2">
      <c r="A426" s="53" t="s">
        <v>12</v>
      </c>
      <c r="B426" s="53" t="s">
        <v>15</v>
      </c>
      <c r="C426" s="54" t="s">
        <v>3421</v>
      </c>
      <c r="D426" s="55" t="s">
        <v>3422</v>
      </c>
      <c r="E426" s="54" t="s">
        <v>2026</v>
      </c>
      <c r="F426" s="54" t="s">
        <v>2530</v>
      </c>
      <c r="G426" s="54">
        <v>5</v>
      </c>
      <c r="H426" s="54">
        <v>5</v>
      </c>
      <c r="I426" s="54">
        <v>21600</v>
      </c>
      <c r="J426" s="54">
        <v>21600</v>
      </c>
      <c r="K426" s="54"/>
      <c r="L426" s="54"/>
      <c r="M426" s="54"/>
      <c r="N426" s="54"/>
      <c r="O426" s="54" t="s">
        <v>2955</v>
      </c>
    </row>
    <row r="427" spans="1:15" ht="30" x14ac:dyDescent="0.2">
      <c r="A427" s="53" t="s">
        <v>12</v>
      </c>
      <c r="B427" s="53" t="s">
        <v>15</v>
      </c>
      <c r="C427" s="54" t="s">
        <v>3423</v>
      </c>
      <c r="D427" s="55" t="s">
        <v>3424</v>
      </c>
      <c r="E427" s="54" t="s">
        <v>2026</v>
      </c>
      <c r="F427" s="54" t="s">
        <v>2530</v>
      </c>
      <c r="G427" s="54">
        <v>5</v>
      </c>
      <c r="H427" s="54">
        <v>5</v>
      </c>
      <c r="I427" s="54">
        <v>21600</v>
      </c>
      <c r="J427" s="54">
        <v>21600</v>
      </c>
      <c r="K427" s="54"/>
      <c r="L427" s="54"/>
      <c r="M427" s="54"/>
      <c r="N427" s="54"/>
      <c r="O427" s="54" t="s">
        <v>2955</v>
      </c>
    </row>
    <row r="428" spans="1:15" ht="15.75" x14ac:dyDescent="0.2">
      <c r="A428" s="53" t="s">
        <v>12</v>
      </c>
      <c r="B428" s="53" t="s">
        <v>15</v>
      </c>
      <c r="C428" s="54" t="s">
        <v>3425</v>
      </c>
      <c r="D428" s="55" t="s">
        <v>3426</v>
      </c>
      <c r="E428" s="54" t="s">
        <v>2026</v>
      </c>
      <c r="F428" s="54" t="s">
        <v>2530</v>
      </c>
      <c r="G428" s="54">
        <v>8</v>
      </c>
      <c r="H428" s="54">
        <v>8</v>
      </c>
      <c r="I428" s="54">
        <v>36000</v>
      </c>
      <c r="J428" s="54">
        <v>36000</v>
      </c>
      <c r="K428" s="54"/>
      <c r="L428" s="54"/>
      <c r="M428" s="54"/>
      <c r="N428" s="54"/>
      <c r="O428" s="54" t="s">
        <v>2590</v>
      </c>
    </row>
    <row r="429" spans="1:15" ht="15.75" x14ac:dyDescent="0.2">
      <c r="A429" s="53" t="s">
        <v>12</v>
      </c>
      <c r="B429" s="53" t="s">
        <v>15</v>
      </c>
      <c r="C429" s="54" t="s">
        <v>3427</v>
      </c>
      <c r="D429" s="55" t="s">
        <v>3428</v>
      </c>
      <c r="E429" s="54" t="s">
        <v>2026</v>
      </c>
      <c r="F429" s="54" t="s">
        <v>2530</v>
      </c>
      <c r="G429" s="54">
        <v>8</v>
      </c>
      <c r="H429" s="54">
        <v>8</v>
      </c>
      <c r="I429" s="54">
        <v>97200</v>
      </c>
      <c r="J429" s="54">
        <v>97200</v>
      </c>
      <c r="K429" s="54"/>
      <c r="L429" s="54"/>
      <c r="M429" s="54"/>
      <c r="N429" s="54"/>
      <c r="O429" s="54" t="s">
        <v>2590</v>
      </c>
    </row>
    <row r="430" spans="1:15" ht="30" x14ac:dyDescent="0.2">
      <c r="A430" s="53" t="s">
        <v>12</v>
      </c>
      <c r="B430" s="53" t="s">
        <v>15</v>
      </c>
      <c r="C430" s="54" t="s">
        <v>3429</v>
      </c>
      <c r="D430" s="55" t="s">
        <v>3430</v>
      </c>
      <c r="E430" s="54" t="s">
        <v>3431</v>
      </c>
      <c r="F430" s="54" t="s">
        <v>2530</v>
      </c>
      <c r="G430" s="54">
        <v>13</v>
      </c>
      <c r="H430" s="54">
        <v>13</v>
      </c>
      <c r="I430" s="54"/>
      <c r="J430" s="54"/>
      <c r="K430" s="54"/>
      <c r="L430" s="54"/>
      <c r="M430" s="54"/>
      <c r="N430" s="54"/>
      <c r="O430" s="54" t="s">
        <v>3432</v>
      </c>
    </row>
    <row r="431" spans="1:15" ht="30" x14ac:dyDescent="0.2">
      <c r="A431" s="53" t="s">
        <v>12</v>
      </c>
      <c r="B431" s="53" t="s">
        <v>15</v>
      </c>
      <c r="C431" s="54" t="s">
        <v>3433</v>
      </c>
      <c r="D431" s="55" t="s">
        <v>3434</v>
      </c>
      <c r="E431" s="54" t="s">
        <v>2026</v>
      </c>
      <c r="F431" s="54" t="s">
        <v>2530</v>
      </c>
      <c r="G431" s="54">
        <v>13</v>
      </c>
      <c r="H431" s="54">
        <v>13</v>
      </c>
      <c r="I431" s="54"/>
      <c r="J431" s="54"/>
      <c r="K431" s="54"/>
      <c r="L431" s="54"/>
      <c r="M431" s="54"/>
      <c r="N431" s="54"/>
      <c r="O431" s="54" t="s">
        <v>3432</v>
      </c>
    </row>
    <row r="432" spans="1:15" ht="15.75" x14ac:dyDescent="0.2">
      <c r="A432" s="53" t="s">
        <v>12</v>
      </c>
      <c r="B432" s="53" t="s">
        <v>15</v>
      </c>
      <c r="C432" s="54" t="s">
        <v>3435</v>
      </c>
      <c r="D432" s="55" t="s">
        <v>3436</v>
      </c>
      <c r="E432" s="54" t="s">
        <v>3437</v>
      </c>
      <c r="F432" s="54" t="s">
        <v>2530</v>
      </c>
      <c r="G432" s="54">
        <v>2</v>
      </c>
      <c r="H432" s="54">
        <v>2</v>
      </c>
      <c r="I432" s="54">
        <v>50400</v>
      </c>
      <c r="J432" s="54">
        <v>50400</v>
      </c>
      <c r="K432" s="54"/>
      <c r="L432" s="54"/>
      <c r="M432" s="54"/>
      <c r="N432" s="54"/>
      <c r="O432" s="54" t="s">
        <v>2962</v>
      </c>
    </row>
    <row r="433" spans="1:15" ht="15.75" x14ac:dyDescent="0.2">
      <c r="A433" s="53" t="s">
        <v>12</v>
      </c>
      <c r="B433" s="53" t="s">
        <v>15</v>
      </c>
      <c r="C433" s="54" t="s">
        <v>3438</v>
      </c>
      <c r="D433" s="55" t="s">
        <v>3439</v>
      </c>
      <c r="E433" s="54" t="s">
        <v>2026</v>
      </c>
      <c r="F433" s="54" t="s">
        <v>3322</v>
      </c>
      <c r="G433" s="54">
        <v>1</v>
      </c>
      <c r="H433" s="54">
        <v>1</v>
      </c>
      <c r="I433" s="54">
        <v>57600</v>
      </c>
      <c r="J433" s="54">
        <v>57600</v>
      </c>
      <c r="K433" s="54"/>
      <c r="L433" s="54"/>
      <c r="M433" s="54"/>
      <c r="N433" s="54"/>
      <c r="O433" s="54" t="s">
        <v>2962</v>
      </c>
    </row>
    <row r="434" spans="1:15" ht="15.75" x14ac:dyDescent="0.2">
      <c r="A434" s="53" t="s">
        <v>12</v>
      </c>
      <c r="B434" s="53" t="s">
        <v>15</v>
      </c>
      <c r="C434" s="54" t="s">
        <v>3440</v>
      </c>
      <c r="D434" s="55" t="s">
        <v>3441</v>
      </c>
      <c r="E434" s="54" t="s">
        <v>3437</v>
      </c>
      <c r="F434" s="54" t="s">
        <v>2530</v>
      </c>
      <c r="G434" s="54">
        <v>2</v>
      </c>
      <c r="H434" s="54">
        <v>2</v>
      </c>
      <c r="I434" s="54">
        <v>21600</v>
      </c>
      <c r="J434" s="54">
        <v>21600</v>
      </c>
      <c r="K434" s="54"/>
      <c r="L434" s="54"/>
      <c r="M434" s="54"/>
      <c r="N434" s="54"/>
      <c r="O434" s="54" t="s">
        <v>2962</v>
      </c>
    </row>
    <row r="435" spans="1:15" ht="15.75" x14ac:dyDescent="0.2">
      <c r="A435" s="53" t="s">
        <v>12</v>
      </c>
      <c r="B435" s="53" t="s">
        <v>17</v>
      </c>
      <c r="C435" s="54" t="s">
        <v>3442</v>
      </c>
      <c r="D435" s="55" t="s">
        <v>3443</v>
      </c>
      <c r="E435" s="54" t="s">
        <v>2026</v>
      </c>
      <c r="F435" s="54" t="s">
        <v>3322</v>
      </c>
      <c r="G435" s="54">
        <v>3</v>
      </c>
      <c r="H435" s="54"/>
      <c r="I435" s="54"/>
      <c r="J435" s="54"/>
      <c r="K435" s="54"/>
      <c r="L435" s="54"/>
      <c r="M435" s="54"/>
      <c r="N435" s="54"/>
      <c r="O435" s="54" t="s">
        <v>2967</v>
      </c>
    </row>
    <row r="436" spans="1:15" ht="30" x14ac:dyDescent="0.2">
      <c r="A436" s="53" t="s">
        <v>12</v>
      </c>
      <c r="B436" s="53" t="s">
        <v>13</v>
      </c>
      <c r="C436" s="54" t="s">
        <v>3444</v>
      </c>
      <c r="D436" s="55" t="s">
        <v>3445</v>
      </c>
      <c r="E436" s="54"/>
      <c r="F436" s="54"/>
      <c r="G436" s="54">
        <v>3</v>
      </c>
      <c r="H436" s="54"/>
      <c r="I436" s="54"/>
      <c r="J436" s="54"/>
      <c r="K436" s="54"/>
      <c r="L436" s="54"/>
      <c r="M436" s="54"/>
      <c r="N436" s="54"/>
      <c r="O436" s="54"/>
    </row>
    <row r="437" spans="1:15" ht="15.75" x14ac:dyDescent="0.2">
      <c r="A437" s="53" t="s">
        <v>12</v>
      </c>
      <c r="B437" s="53" t="s">
        <v>15</v>
      </c>
      <c r="C437" s="54" t="s">
        <v>3446</v>
      </c>
      <c r="D437" s="55" t="s">
        <v>3447</v>
      </c>
      <c r="E437" s="54" t="s">
        <v>2026</v>
      </c>
      <c r="F437" s="54" t="s">
        <v>2530</v>
      </c>
      <c r="G437" s="54">
        <v>13</v>
      </c>
      <c r="H437" s="54">
        <v>13</v>
      </c>
      <c r="I437" s="54">
        <v>151200</v>
      </c>
      <c r="J437" s="54">
        <v>151200</v>
      </c>
      <c r="K437" s="54"/>
      <c r="L437" s="54"/>
      <c r="M437" s="54"/>
      <c r="N437" s="54"/>
      <c r="O437" s="54" t="s">
        <v>2967</v>
      </c>
    </row>
    <row r="438" spans="1:15" ht="15.75" x14ac:dyDescent="0.2">
      <c r="A438" s="53" t="s">
        <v>12</v>
      </c>
      <c r="B438" s="53" t="s">
        <v>15</v>
      </c>
      <c r="C438" s="54" t="s">
        <v>3448</v>
      </c>
      <c r="D438" s="55" t="s">
        <v>3449</v>
      </c>
      <c r="E438" s="54" t="s">
        <v>2026</v>
      </c>
      <c r="F438" s="54" t="s">
        <v>2530</v>
      </c>
      <c r="G438" s="54">
        <v>5</v>
      </c>
      <c r="H438" s="54">
        <v>5</v>
      </c>
      <c r="I438" s="54">
        <v>122400</v>
      </c>
      <c r="J438" s="54">
        <v>64800</v>
      </c>
      <c r="K438" s="54"/>
      <c r="L438" s="54"/>
      <c r="M438" s="54"/>
      <c r="N438" s="54"/>
      <c r="O438" s="54" t="s">
        <v>3450</v>
      </c>
    </row>
    <row r="439" spans="1:15" ht="30" x14ac:dyDescent="0.2">
      <c r="A439" s="53" t="s">
        <v>12</v>
      </c>
      <c r="B439" s="53" t="s">
        <v>15</v>
      </c>
      <c r="C439" s="54" t="s">
        <v>3451</v>
      </c>
      <c r="D439" s="55" t="s">
        <v>3452</v>
      </c>
      <c r="E439" s="54" t="s">
        <v>2026</v>
      </c>
      <c r="F439" s="54" t="s">
        <v>2530</v>
      </c>
      <c r="G439" s="54">
        <v>13</v>
      </c>
      <c r="H439" s="54">
        <v>13</v>
      </c>
      <c r="I439" s="54">
        <v>108000</v>
      </c>
      <c r="J439" s="54">
        <v>108000</v>
      </c>
      <c r="K439" s="54"/>
      <c r="L439" s="54"/>
      <c r="M439" s="54"/>
      <c r="N439" s="54"/>
      <c r="O439" s="54" t="s">
        <v>3453</v>
      </c>
    </row>
    <row r="440" spans="1:15" ht="30" x14ac:dyDescent="0.2">
      <c r="A440" s="53" t="s">
        <v>12</v>
      </c>
      <c r="B440" s="53" t="s">
        <v>15</v>
      </c>
      <c r="C440" s="54" t="s">
        <v>3454</v>
      </c>
      <c r="D440" s="55" t="s">
        <v>3455</v>
      </c>
      <c r="E440" s="54" t="s">
        <v>2026</v>
      </c>
      <c r="F440" s="54" t="s">
        <v>2530</v>
      </c>
      <c r="G440" s="54">
        <v>8</v>
      </c>
      <c r="H440" s="54">
        <v>8</v>
      </c>
      <c r="I440" s="54">
        <v>64800</v>
      </c>
      <c r="J440" s="54">
        <v>64800</v>
      </c>
      <c r="K440" s="54"/>
      <c r="L440" s="54"/>
      <c r="M440" s="54"/>
      <c r="N440" s="54"/>
      <c r="O440" s="54" t="s">
        <v>3453</v>
      </c>
    </row>
    <row r="441" spans="1:15" ht="15.75" x14ac:dyDescent="0.2">
      <c r="A441" s="53" t="s">
        <v>12</v>
      </c>
      <c r="B441" s="53" t="s">
        <v>15</v>
      </c>
      <c r="C441" s="54" t="s">
        <v>3456</v>
      </c>
      <c r="D441" s="55" t="s">
        <v>3457</v>
      </c>
      <c r="E441" s="54" t="s">
        <v>3437</v>
      </c>
      <c r="F441" s="54" t="s">
        <v>2530</v>
      </c>
      <c r="G441" s="54">
        <v>3</v>
      </c>
      <c r="H441" s="54">
        <v>3</v>
      </c>
      <c r="I441" s="54">
        <v>720</v>
      </c>
      <c r="J441" s="54">
        <v>720</v>
      </c>
      <c r="K441" s="54"/>
      <c r="L441" s="54"/>
      <c r="M441" s="54"/>
      <c r="N441" s="54"/>
      <c r="O441" s="54" t="s">
        <v>3458</v>
      </c>
    </row>
    <row r="442" spans="1:15" ht="15.75" x14ac:dyDescent="0.2">
      <c r="A442" s="53" t="s">
        <v>12</v>
      </c>
      <c r="B442" s="53" t="s">
        <v>15</v>
      </c>
      <c r="C442" s="54" t="s">
        <v>3459</v>
      </c>
      <c r="D442" s="55" t="s">
        <v>3460</v>
      </c>
      <c r="E442" s="54" t="s">
        <v>2026</v>
      </c>
      <c r="F442" s="54" t="s">
        <v>3322</v>
      </c>
      <c r="G442" s="54">
        <v>5</v>
      </c>
      <c r="H442" s="54">
        <v>5</v>
      </c>
      <c r="I442" s="54">
        <v>1080</v>
      </c>
      <c r="J442" s="54">
        <v>1080</v>
      </c>
      <c r="K442" s="54"/>
      <c r="L442" s="54"/>
      <c r="M442" s="54"/>
      <c r="N442" s="54"/>
      <c r="O442" s="54" t="s">
        <v>3461</v>
      </c>
    </row>
    <row r="443" spans="1:15" ht="30" x14ac:dyDescent="0.2">
      <c r="A443" s="53" t="s">
        <v>12</v>
      </c>
      <c r="B443" s="53" t="s">
        <v>15</v>
      </c>
      <c r="C443" s="54" t="s">
        <v>3462</v>
      </c>
      <c r="D443" s="55" t="s">
        <v>3463</v>
      </c>
      <c r="E443" s="54" t="s">
        <v>2026</v>
      </c>
      <c r="F443" s="54" t="s">
        <v>2530</v>
      </c>
      <c r="G443" s="54">
        <v>8</v>
      </c>
      <c r="H443" s="54">
        <v>8</v>
      </c>
      <c r="I443" s="54">
        <v>163080</v>
      </c>
      <c r="J443" s="54">
        <v>134280</v>
      </c>
      <c r="K443" s="54"/>
      <c r="L443" s="54"/>
      <c r="M443" s="54"/>
      <c r="N443" s="54"/>
      <c r="O443" s="54" t="s">
        <v>3464</v>
      </c>
    </row>
    <row r="444" spans="1:15" ht="15.75" x14ac:dyDescent="0.2">
      <c r="A444" s="53" t="s">
        <v>12</v>
      </c>
      <c r="B444" s="53" t="s">
        <v>15</v>
      </c>
      <c r="C444" s="54" t="s">
        <v>3465</v>
      </c>
      <c r="D444" s="55" t="s">
        <v>3466</v>
      </c>
      <c r="E444" s="54" t="s">
        <v>2026</v>
      </c>
      <c r="F444" s="54" t="s">
        <v>3322</v>
      </c>
      <c r="G444" s="54">
        <v>5</v>
      </c>
      <c r="H444" s="54">
        <v>5</v>
      </c>
      <c r="I444" s="54"/>
      <c r="J444" s="54"/>
      <c r="K444" s="54"/>
      <c r="L444" s="54"/>
      <c r="M444" s="54"/>
      <c r="N444" s="54"/>
      <c r="O444" s="54" t="s">
        <v>2531</v>
      </c>
    </row>
    <row r="445" spans="1:15" ht="15.75" x14ac:dyDescent="0.2">
      <c r="A445" s="53" t="s">
        <v>12</v>
      </c>
      <c r="B445" s="53" t="s">
        <v>15</v>
      </c>
      <c r="C445" s="54" t="s">
        <v>3467</v>
      </c>
      <c r="D445" s="55" t="s">
        <v>3468</v>
      </c>
      <c r="E445" s="54" t="s">
        <v>2026</v>
      </c>
      <c r="F445" s="54" t="s">
        <v>3322</v>
      </c>
      <c r="G445" s="54">
        <v>1</v>
      </c>
      <c r="H445" s="54">
        <v>1</v>
      </c>
      <c r="I445" s="54"/>
      <c r="J445" s="54"/>
      <c r="K445" s="54"/>
      <c r="L445" s="54"/>
      <c r="M445" s="54"/>
      <c r="N445" s="54"/>
      <c r="O445" s="54" t="s">
        <v>3469</v>
      </c>
    </row>
    <row r="446" spans="1:15" ht="30" x14ac:dyDescent="0.2">
      <c r="A446" s="53" t="s">
        <v>12</v>
      </c>
      <c r="B446" s="53" t="s">
        <v>13</v>
      </c>
      <c r="C446" s="54" t="s">
        <v>3470</v>
      </c>
      <c r="D446" s="55" t="s">
        <v>3471</v>
      </c>
      <c r="E446" s="54"/>
      <c r="F446" s="54"/>
      <c r="G446" s="54"/>
      <c r="H446" s="54"/>
      <c r="I446" s="54"/>
      <c r="J446" s="54"/>
      <c r="K446" s="54"/>
      <c r="L446" s="54"/>
      <c r="M446" s="54"/>
      <c r="N446" s="54"/>
      <c r="O446" s="54" t="s">
        <v>3472</v>
      </c>
    </row>
    <row r="447" spans="1:15" ht="15.75" x14ac:dyDescent="0.2">
      <c r="A447" s="53" t="s">
        <v>12</v>
      </c>
      <c r="B447" s="53" t="s">
        <v>13</v>
      </c>
      <c r="C447" s="54" t="s">
        <v>3473</v>
      </c>
      <c r="D447" s="55" t="s">
        <v>3474</v>
      </c>
      <c r="E447" s="54"/>
      <c r="F447" s="54"/>
      <c r="G447" s="54"/>
      <c r="H447" s="54"/>
      <c r="I447" s="54"/>
      <c r="J447" s="54"/>
      <c r="K447" s="54"/>
      <c r="L447" s="54"/>
      <c r="M447" s="54"/>
      <c r="N447" s="54"/>
      <c r="O447" s="54" t="s">
        <v>3475</v>
      </c>
    </row>
    <row r="448" spans="1:15" ht="90" x14ac:dyDescent="0.2">
      <c r="A448" s="53" t="s">
        <v>12</v>
      </c>
      <c r="B448" s="53" t="s">
        <v>15</v>
      </c>
      <c r="C448" s="54" t="s">
        <v>3476</v>
      </c>
      <c r="D448" s="55" t="s">
        <v>3477</v>
      </c>
      <c r="E448" s="54" t="s">
        <v>899</v>
      </c>
      <c r="F448" s="54" t="s">
        <v>3004</v>
      </c>
      <c r="G448" s="54">
        <v>8</v>
      </c>
      <c r="H448" s="54">
        <v>8</v>
      </c>
      <c r="I448" s="54">
        <v>0</v>
      </c>
      <c r="J448" s="54">
        <v>0</v>
      </c>
      <c r="K448" s="54"/>
      <c r="L448" s="54"/>
      <c r="M448" s="54">
        <v>1</v>
      </c>
      <c r="N448" s="54"/>
      <c r="O448" s="54" t="s">
        <v>3478</v>
      </c>
    </row>
    <row r="449" spans="1:15" ht="15.75" x14ac:dyDescent="0.2">
      <c r="A449" s="53" t="s">
        <v>12</v>
      </c>
      <c r="B449" s="53" t="s">
        <v>13</v>
      </c>
      <c r="C449" s="54" t="s">
        <v>3479</v>
      </c>
      <c r="D449" s="55" t="s">
        <v>3480</v>
      </c>
      <c r="E449" s="54" t="s">
        <v>1399</v>
      </c>
      <c r="F449" s="54" t="s">
        <v>884</v>
      </c>
      <c r="G449" s="54">
        <v>5</v>
      </c>
      <c r="H449" s="54"/>
      <c r="I449" s="54">
        <v>21600</v>
      </c>
      <c r="J449" s="54">
        <v>21600</v>
      </c>
      <c r="K449" s="54"/>
      <c r="L449" s="54"/>
      <c r="M449" s="54"/>
      <c r="N449" s="54"/>
      <c r="O449" s="54" t="s">
        <v>1398</v>
      </c>
    </row>
    <row r="450" spans="1:15" ht="30" x14ac:dyDescent="0.2">
      <c r="A450" s="53" t="s">
        <v>12</v>
      </c>
      <c r="B450" s="53" t="s">
        <v>13</v>
      </c>
      <c r="C450" s="54" t="s">
        <v>3481</v>
      </c>
      <c r="D450" s="55" t="s">
        <v>3482</v>
      </c>
      <c r="E450" s="54" t="s">
        <v>1399</v>
      </c>
      <c r="F450" s="54" t="s">
        <v>884</v>
      </c>
      <c r="G450" s="54">
        <v>5</v>
      </c>
      <c r="H450" s="54"/>
      <c r="I450" s="54">
        <v>21600</v>
      </c>
      <c r="J450" s="54">
        <v>21600</v>
      </c>
      <c r="K450" s="54"/>
      <c r="L450" s="54"/>
      <c r="M450" s="54"/>
      <c r="N450" s="54"/>
      <c r="O450" s="54" t="s">
        <v>1398</v>
      </c>
    </row>
    <row r="451" spans="1:15" ht="60" x14ac:dyDescent="0.2">
      <c r="A451" s="53" t="s">
        <v>12</v>
      </c>
      <c r="B451" s="53" t="s">
        <v>17</v>
      </c>
      <c r="C451" s="54" t="s">
        <v>3483</v>
      </c>
      <c r="D451" s="55" t="s">
        <v>3484</v>
      </c>
      <c r="E451" s="54" t="s">
        <v>920</v>
      </c>
      <c r="F451" s="54" t="s">
        <v>2536</v>
      </c>
      <c r="G451" s="54">
        <v>10</v>
      </c>
      <c r="H451" s="54"/>
      <c r="I451" s="54"/>
      <c r="J451" s="54"/>
      <c r="K451" s="54"/>
      <c r="L451" s="54"/>
      <c r="M451" s="54"/>
      <c r="N451" s="54"/>
      <c r="O451" s="54" t="s">
        <v>3485</v>
      </c>
    </row>
    <row r="452" spans="1:15" ht="60" x14ac:dyDescent="0.2">
      <c r="A452" s="53" t="s">
        <v>12</v>
      </c>
      <c r="B452" s="53" t="s">
        <v>14</v>
      </c>
      <c r="C452" s="54" t="s">
        <v>3486</v>
      </c>
      <c r="D452" s="55" t="s">
        <v>3487</v>
      </c>
      <c r="E452" s="54" t="s">
        <v>920</v>
      </c>
      <c r="F452" s="54" t="s">
        <v>2536</v>
      </c>
      <c r="G452" s="54">
        <v>13</v>
      </c>
      <c r="H452" s="54"/>
      <c r="I452" s="54">
        <v>288000</v>
      </c>
      <c r="J452" s="54">
        <v>275400</v>
      </c>
      <c r="K452" s="54"/>
      <c r="L452" s="54"/>
      <c r="M452" s="54"/>
      <c r="N452" s="54"/>
      <c r="O452" s="54" t="s">
        <v>3488</v>
      </c>
    </row>
    <row r="453" spans="1:15" ht="30" x14ac:dyDescent="0.2">
      <c r="A453" s="53" t="s">
        <v>12</v>
      </c>
      <c r="B453" s="53" t="s">
        <v>15</v>
      </c>
      <c r="C453" s="54" t="s">
        <v>3489</v>
      </c>
      <c r="D453" s="55" t="s">
        <v>3490</v>
      </c>
      <c r="E453" s="54" t="s">
        <v>920</v>
      </c>
      <c r="F453" s="54" t="s">
        <v>1024</v>
      </c>
      <c r="G453" s="54">
        <v>8</v>
      </c>
      <c r="H453" s="54">
        <v>8</v>
      </c>
      <c r="I453" s="54"/>
      <c r="J453" s="54"/>
      <c r="K453" s="54"/>
      <c r="L453" s="54"/>
      <c r="M453" s="54"/>
      <c r="N453" s="54"/>
      <c r="O453" s="54" t="s">
        <v>1339</v>
      </c>
    </row>
    <row r="454" spans="1:15" ht="30" x14ac:dyDescent="0.2">
      <c r="A454" s="53" t="s">
        <v>12</v>
      </c>
      <c r="B454" s="53" t="s">
        <v>13</v>
      </c>
      <c r="C454" s="54" t="s">
        <v>3491</v>
      </c>
      <c r="D454" s="55" t="s">
        <v>3492</v>
      </c>
      <c r="E454" s="54" t="s">
        <v>2026</v>
      </c>
      <c r="F454" s="54"/>
      <c r="G454" s="54">
        <v>10</v>
      </c>
      <c r="H454" s="54"/>
      <c r="I454" s="54"/>
      <c r="J454" s="54"/>
      <c r="K454" s="54"/>
      <c r="L454" s="54"/>
      <c r="M454" s="54"/>
      <c r="N454" s="54"/>
      <c r="O454" s="54" t="s">
        <v>3493</v>
      </c>
    </row>
    <row r="455" spans="1:15" ht="60" x14ac:dyDescent="0.2">
      <c r="A455" s="53" t="s">
        <v>12</v>
      </c>
      <c r="B455" s="53" t="s">
        <v>14</v>
      </c>
      <c r="C455" s="54" t="s">
        <v>3494</v>
      </c>
      <c r="D455" s="55" t="s">
        <v>3495</v>
      </c>
      <c r="E455" s="54" t="s">
        <v>920</v>
      </c>
      <c r="F455" s="54" t="s">
        <v>2536</v>
      </c>
      <c r="G455" s="54">
        <v>5</v>
      </c>
      <c r="H455" s="54"/>
      <c r="I455" s="54">
        <v>28800</v>
      </c>
      <c r="J455" s="54">
        <v>28800</v>
      </c>
      <c r="K455" s="54"/>
      <c r="L455" s="54"/>
      <c r="M455" s="54"/>
      <c r="N455" s="54"/>
      <c r="O455" s="54" t="s">
        <v>3496</v>
      </c>
    </row>
    <row r="456" spans="1:15" ht="30" x14ac:dyDescent="0.2">
      <c r="A456" s="53" t="s">
        <v>12</v>
      </c>
      <c r="B456" s="53" t="s">
        <v>13</v>
      </c>
      <c r="C456" s="54" t="s">
        <v>3497</v>
      </c>
      <c r="D456" s="55" t="s">
        <v>3498</v>
      </c>
      <c r="E456" s="54" t="s">
        <v>2026</v>
      </c>
      <c r="F456" s="54" t="s">
        <v>1413</v>
      </c>
      <c r="G456" s="54">
        <v>5</v>
      </c>
      <c r="H456" s="54"/>
      <c r="I456" s="54"/>
      <c r="J456" s="54"/>
      <c r="K456" s="54"/>
      <c r="L456" s="54"/>
      <c r="M456" s="54"/>
      <c r="N456" s="54"/>
      <c r="O456" s="54" t="s">
        <v>3499</v>
      </c>
    </row>
    <row r="457" spans="1:15" ht="60" x14ac:dyDescent="0.2">
      <c r="A457" s="53" t="s">
        <v>12</v>
      </c>
      <c r="B457" s="53" t="s">
        <v>14</v>
      </c>
      <c r="C457" s="54" t="s">
        <v>3500</v>
      </c>
      <c r="D457" s="55" t="s">
        <v>3501</v>
      </c>
      <c r="E457" s="54" t="s">
        <v>920</v>
      </c>
      <c r="F457" s="54" t="s">
        <v>2536</v>
      </c>
      <c r="G457" s="54">
        <v>13</v>
      </c>
      <c r="H457" s="54"/>
      <c r="I457" s="54">
        <v>345600</v>
      </c>
      <c r="J457" s="54">
        <v>232200</v>
      </c>
      <c r="K457" s="54"/>
      <c r="L457" s="54"/>
      <c r="M457" s="54"/>
      <c r="N457" s="54"/>
      <c r="O457" s="54" t="s">
        <v>1423</v>
      </c>
    </row>
    <row r="458" spans="1:15" ht="60" x14ac:dyDescent="0.2">
      <c r="A458" s="53" t="s">
        <v>12</v>
      </c>
      <c r="B458" s="53" t="s">
        <v>16</v>
      </c>
      <c r="C458" s="54" t="s">
        <v>3502</v>
      </c>
      <c r="D458" s="55" t="s">
        <v>3503</v>
      </c>
      <c r="E458" s="54" t="s">
        <v>920</v>
      </c>
      <c r="F458" s="54" t="s">
        <v>2536</v>
      </c>
      <c r="G458" s="54">
        <v>5</v>
      </c>
      <c r="H458" s="54"/>
      <c r="I458" s="54">
        <v>129600</v>
      </c>
      <c r="J458" s="54">
        <v>10800</v>
      </c>
      <c r="K458" s="54"/>
      <c r="L458" s="54"/>
      <c r="M458" s="54"/>
      <c r="N458" s="54"/>
      <c r="O458" s="54" t="s">
        <v>3504</v>
      </c>
    </row>
    <row r="459" spans="1:15" ht="45" x14ac:dyDescent="0.2">
      <c r="A459" s="53" t="s">
        <v>12</v>
      </c>
      <c r="B459" s="53" t="s">
        <v>14</v>
      </c>
      <c r="C459" s="54" t="s">
        <v>3505</v>
      </c>
      <c r="D459" s="55" t="s">
        <v>3506</v>
      </c>
      <c r="E459" s="54" t="s">
        <v>920</v>
      </c>
      <c r="F459" s="54" t="s">
        <v>3507</v>
      </c>
      <c r="G459" s="54">
        <v>5</v>
      </c>
      <c r="H459" s="54"/>
      <c r="I459" s="54"/>
      <c r="J459" s="54"/>
      <c r="K459" s="54"/>
      <c r="L459" s="54"/>
      <c r="M459" s="54"/>
      <c r="N459" s="54"/>
      <c r="O459" s="54" t="s">
        <v>1402</v>
      </c>
    </row>
    <row r="460" spans="1:15" ht="15.75" x14ac:dyDescent="0.2">
      <c r="A460" s="53" t="s">
        <v>12</v>
      </c>
      <c r="B460" s="53" t="s">
        <v>13</v>
      </c>
      <c r="C460" s="54" t="s">
        <v>3508</v>
      </c>
      <c r="D460" s="55" t="s">
        <v>3509</v>
      </c>
      <c r="E460" s="54" t="s">
        <v>2026</v>
      </c>
      <c r="F460" s="54" t="s">
        <v>1413</v>
      </c>
      <c r="G460" s="54">
        <v>8</v>
      </c>
      <c r="H460" s="54"/>
      <c r="I460" s="54"/>
      <c r="J460" s="54"/>
      <c r="K460" s="54"/>
      <c r="L460" s="54"/>
      <c r="M460" s="54"/>
      <c r="N460" s="54"/>
      <c r="O460" s="54" t="s">
        <v>3510</v>
      </c>
    </row>
    <row r="461" spans="1:15" ht="30" x14ac:dyDescent="0.2">
      <c r="A461" s="53" t="s">
        <v>12</v>
      </c>
      <c r="B461" s="53" t="s">
        <v>13</v>
      </c>
      <c r="C461" s="54" t="s">
        <v>3511</v>
      </c>
      <c r="D461" s="55" t="s">
        <v>3512</v>
      </c>
      <c r="E461" s="54" t="s">
        <v>920</v>
      </c>
      <c r="F461" s="54" t="s">
        <v>2693</v>
      </c>
      <c r="G461" s="54">
        <v>13</v>
      </c>
      <c r="H461" s="54"/>
      <c r="I461" s="54"/>
      <c r="J461" s="54"/>
      <c r="K461" s="54"/>
      <c r="L461" s="54"/>
      <c r="M461" s="54"/>
      <c r="N461" s="54"/>
      <c r="O461" s="54" t="s">
        <v>3513</v>
      </c>
    </row>
    <row r="462" spans="1:15" ht="30" x14ac:dyDescent="0.2">
      <c r="A462" s="53" t="s">
        <v>12</v>
      </c>
      <c r="B462" s="53" t="s">
        <v>15</v>
      </c>
      <c r="C462" s="54" t="s">
        <v>3514</v>
      </c>
      <c r="D462" s="55" t="s">
        <v>3515</v>
      </c>
      <c r="E462" s="54" t="s">
        <v>2026</v>
      </c>
      <c r="F462" s="54" t="s">
        <v>3516</v>
      </c>
      <c r="G462" s="54">
        <v>10</v>
      </c>
      <c r="H462" s="54">
        <v>10</v>
      </c>
      <c r="I462" s="54"/>
      <c r="J462" s="54">
        <v>0</v>
      </c>
      <c r="K462" s="54"/>
      <c r="L462" s="54"/>
      <c r="M462" s="54"/>
      <c r="N462" s="54"/>
      <c r="O462" s="54" t="s">
        <v>3517</v>
      </c>
    </row>
    <row r="463" spans="1:15" ht="45" x14ac:dyDescent="0.2">
      <c r="A463" s="53" t="s">
        <v>12</v>
      </c>
      <c r="B463" s="53" t="s">
        <v>15</v>
      </c>
      <c r="C463" s="54" t="s">
        <v>3518</v>
      </c>
      <c r="D463" s="55" t="s">
        <v>3519</v>
      </c>
      <c r="E463" s="54" t="s">
        <v>920</v>
      </c>
      <c r="F463" s="54" t="s">
        <v>2426</v>
      </c>
      <c r="G463" s="54">
        <v>2</v>
      </c>
      <c r="H463" s="54">
        <v>2</v>
      </c>
      <c r="I463" s="54">
        <v>230400</v>
      </c>
      <c r="J463" s="54">
        <v>129600</v>
      </c>
      <c r="K463" s="54"/>
      <c r="L463" s="54"/>
      <c r="M463" s="54"/>
      <c r="N463" s="54"/>
      <c r="O463" s="54" t="s">
        <v>3520</v>
      </c>
    </row>
    <row r="464" spans="1:15" ht="60" x14ac:dyDescent="0.2">
      <c r="A464" s="53" t="s">
        <v>12</v>
      </c>
      <c r="B464" s="53" t="s">
        <v>16</v>
      </c>
      <c r="C464" s="54" t="s">
        <v>3521</v>
      </c>
      <c r="D464" s="55" t="s">
        <v>3522</v>
      </c>
      <c r="E464" s="54" t="s">
        <v>920</v>
      </c>
      <c r="F464" s="54" t="s">
        <v>2536</v>
      </c>
      <c r="G464" s="54">
        <v>8</v>
      </c>
      <c r="H464" s="54"/>
      <c r="I464" s="54">
        <v>201600</v>
      </c>
      <c r="J464" s="54">
        <v>169200</v>
      </c>
      <c r="K464" s="54"/>
      <c r="L464" s="54"/>
      <c r="M464" s="54"/>
      <c r="N464" s="54"/>
      <c r="O464" s="54" t="s">
        <v>3523</v>
      </c>
    </row>
    <row r="465" spans="1:15" ht="15.75" x14ac:dyDescent="0.2">
      <c r="A465" s="53" t="s">
        <v>12</v>
      </c>
      <c r="B465" s="53" t="s">
        <v>15</v>
      </c>
      <c r="C465" s="54" t="s">
        <v>3524</v>
      </c>
      <c r="D465" s="55" t="s">
        <v>3525</v>
      </c>
      <c r="E465" s="54" t="s">
        <v>2026</v>
      </c>
      <c r="F465" s="54" t="s">
        <v>2530</v>
      </c>
      <c r="G465" s="54">
        <v>2</v>
      </c>
      <c r="H465" s="54">
        <v>2</v>
      </c>
      <c r="I465" s="54">
        <v>28800</v>
      </c>
      <c r="J465" s="54">
        <v>0</v>
      </c>
      <c r="K465" s="54"/>
      <c r="L465" s="54"/>
      <c r="M465" s="54"/>
      <c r="N465" s="54"/>
      <c r="O465" s="54" t="s">
        <v>3458</v>
      </c>
    </row>
    <row r="466" spans="1:15" ht="15.75" x14ac:dyDescent="0.2">
      <c r="A466" s="53" t="s">
        <v>12</v>
      </c>
      <c r="B466" s="53" t="s">
        <v>15</v>
      </c>
      <c r="C466" s="54" t="s">
        <v>3526</v>
      </c>
      <c r="D466" s="55" t="s">
        <v>3527</v>
      </c>
      <c r="E466" s="54" t="s">
        <v>2026</v>
      </c>
      <c r="F466" s="54" t="s">
        <v>2530</v>
      </c>
      <c r="G466" s="54">
        <v>3</v>
      </c>
      <c r="H466" s="54">
        <v>3</v>
      </c>
      <c r="I466" s="54">
        <v>43200</v>
      </c>
      <c r="J466" s="54">
        <v>0</v>
      </c>
      <c r="K466" s="54"/>
      <c r="L466" s="54"/>
      <c r="M466" s="54"/>
      <c r="N466" s="54"/>
      <c r="O466" s="54" t="s">
        <v>3458</v>
      </c>
    </row>
    <row r="467" spans="1:15" ht="60" x14ac:dyDescent="0.2">
      <c r="A467" s="53" t="s">
        <v>12</v>
      </c>
      <c r="B467" s="53" t="s">
        <v>15</v>
      </c>
      <c r="C467" s="54" t="s">
        <v>3528</v>
      </c>
      <c r="D467" s="55" t="s">
        <v>3529</v>
      </c>
      <c r="E467" s="54" t="s">
        <v>920</v>
      </c>
      <c r="F467" s="54" t="s">
        <v>2536</v>
      </c>
      <c r="G467" s="54">
        <v>2</v>
      </c>
      <c r="H467" s="54">
        <v>2</v>
      </c>
      <c r="I467" s="54">
        <v>0</v>
      </c>
      <c r="J467" s="54">
        <v>0</v>
      </c>
      <c r="K467" s="54"/>
      <c r="L467" s="54"/>
      <c r="M467" s="54"/>
      <c r="N467" s="54"/>
      <c r="O467" s="54" t="s">
        <v>1485</v>
      </c>
    </row>
    <row r="468" spans="1:15" ht="30" x14ac:dyDescent="0.2">
      <c r="A468" s="53" t="s">
        <v>12</v>
      </c>
      <c r="B468" s="53" t="s">
        <v>15</v>
      </c>
      <c r="C468" s="54" t="s">
        <v>3530</v>
      </c>
      <c r="D468" s="55" t="s">
        <v>3531</v>
      </c>
      <c r="E468" s="54" t="s">
        <v>2026</v>
      </c>
      <c r="F468" s="54" t="s">
        <v>3322</v>
      </c>
      <c r="G468" s="54">
        <v>2</v>
      </c>
      <c r="H468" s="54">
        <v>2</v>
      </c>
      <c r="I468" s="54">
        <v>14400</v>
      </c>
      <c r="J468" s="54">
        <v>0</v>
      </c>
      <c r="K468" s="54"/>
      <c r="L468" s="54"/>
      <c r="M468" s="54"/>
      <c r="N468" s="54"/>
      <c r="O468" s="54" t="s">
        <v>3532</v>
      </c>
    </row>
    <row r="469" spans="1:15" ht="30" x14ac:dyDescent="0.2">
      <c r="A469" s="53" t="s">
        <v>12</v>
      </c>
      <c r="B469" s="53" t="s">
        <v>15</v>
      </c>
      <c r="C469" s="54" t="s">
        <v>3533</v>
      </c>
      <c r="D469" s="55" t="s">
        <v>3534</v>
      </c>
      <c r="E469" s="54" t="s">
        <v>2026</v>
      </c>
      <c r="F469" s="54" t="s">
        <v>3535</v>
      </c>
      <c r="G469" s="54">
        <v>3</v>
      </c>
      <c r="H469" s="54">
        <v>3</v>
      </c>
      <c r="I469" s="54">
        <v>14400</v>
      </c>
      <c r="J469" s="54">
        <v>0</v>
      </c>
      <c r="K469" s="54"/>
      <c r="L469" s="54"/>
      <c r="M469" s="54"/>
      <c r="N469" s="54"/>
      <c r="O469" s="54" t="s">
        <v>3532</v>
      </c>
    </row>
    <row r="470" spans="1:15" ht="30" x14ac:dyDescent="0.2">
      <c r="A470" s="53" t="s">
        <v>12</v>
      </c>
      <c r="B470" s="53" t="s">
        <v>13</v>
      </c>
      <c r="C470" s="54" t="s">
        <v>3536</v>
      </c>
      <c r="D470" s="55" t="s">
        <v>3537</v>
      </c>
      <c r="E470" s="54" t="s">
        <v>899</v>
      </c>
      <c r="F470" s="54"/>
      <c r="G470" s="54">
        <v>5</v>
      </c>
      <c r="H470" s="54"/>
      <c r="I470" s="54"/>
      <c r="J470" s="54"/>
      <c r="K470" s="54"/>
      <c r="L470" s="54"/>
      <c r="M470" s="54"/>
      <c r="N470" s="54"/>
      <c r="O470" s="54" t="s">
        <v>3538</v>
      </c>
    </row>
    <row r="471" spans="1:15" ht="30" x14ac:dyDescent="0.2">
      <c r="A471" s="53" t="s">
        <v>12</v>
      </c>
      <c r="B471" s="53" t="s">
        <v>15</v>
      </c>
      <c r="C471" s="54" t="s">
        <v>3539</v>
      </c>
      <c r="D471" s="55" t="s">
        <v>3540</v>
      </c>
      <c r="E471" s="54" t="s">
        <v>2026</v>
      </c>
      <c r="F471" s="54" t="s">
        <v>3362</v>
      </c>
      <c r="G471" s="54">
        <v>13</v>
      </c>
      <c r="H471" s="54">
        <v>13</v>
      </c>
      <c r="I471" s="54">
        <v>288000</v>
      </c>
      <c r="J471" s="54">
        <v>212400</v>
      </c>
      <c r="K471" s="54"/>
      <c r="L471" s="54"/>
      <c r="M471" s="54"/>
      <c r="N471" s="54"/>
      <c r="O471" s="54" t="s">
        <v>3541</v>
      </c>
    </row>
    <row r="472" spans="1:15" ht="30" x14ac:dyDescent="0.2">
      <c r="A472" s="53" t="s">
        <v>12</v>
      </c>
      <c r="B472" s="53" t="s">
        <v>15</v>
      </c>
      <c r="C472" s="54" t="s">
        <v>3542</v>
      </c>
      <c r="D472" s="55" t="s">
        <v>3543</v>
      </c>
      <c r="E472" s="54" t="s">
        <v>2026</v>
      </c>
      <c r="F472" s="54" t="s">
        <v>3535</v>
      </c>
      <c r="G472" s="54">
        <v>2</v>
      </c>
      <c r="H472" s="54">
        <v>2</v>
      </c>
      <c r="I472" s="54">
        <v>28800</v>
      </c>
      <c r="J472" s="54">
        <v>0</v>
      </c>
      <c r="K472" s="54"/>
      <c r="L472" s="54"/>
      <c r="M472" s="54"/>
      <c r="N472" s="54"/>
      <c r="O472" s="54" t="s">
        <v>3544</v>
      </c>
    </row>
    <row r="473" spans="1:15" ht="30" x14ac:dyDescent="0.2">
      <c r="A473" s="53" t="s">
        <v>12</v>
      </c>
      <c r="B473" s="53" t="s">
        <v>15</v>
      </c>
      <c r="C473" s="54" t="s">
        <v>3545</v>
      </c>
      <c r="D473" s="55" t="s">
        <v>3546</v>
      </c>
      <c r="E473" s="54" t="s">
        <v>2026</v>
      </c>
      <c r="F473" s="54" t="s">
        <v>3362</v>
      </c>
      <c r="G473" s="54">
        <v>2</v>
      </c>
      <c r="H473" s="54">
        <v>2</v>
      </c>
      <c r="I473" s="54">
        <v>57600</v>
      </c>
      <c r="J473" s="54">
        <v>0</v>
      </c>
      <c r="K473" s="54"/>
      <c r="L473" s="54"/>
      <c r="M473" s="54"/>
      <c r="N473" s="54"/>
      <c r="O473" s="54" t="s">
        <v>1562</v>
      </c>
    </row>
    <row r="474" spans="1:15" ht="15.75" x14ac:dyDescent="0.2">
      <c r="A474" s="53" t="s">
        <v>12</v>
      </c>
      <c r="B474" s="53" t="s">
        <v>15</v>
      </c>
      <c r="C474" s="54" t="s">
        <v>3547</v>
      </c>
      <c r="D474" s="55" t="s">
        <v>3548</v>
      </c>
      <c r="E474" s="54" t="s">
        <v>2026</v>
      </c>
      <c r="F474" s="54" t="s">
        <v>3362</v>
      </c>
      <c r="G474" s="54">
        <v>2</v>
      </c>
      <c r="H474" s="54">
        <v>2</v>
      </c>
      <c r="I474" s="54">
        <v>57600</v>
      </c>
      <c r="J474" s="54">
        <v>0</v>
      </c>
      <c r="K474" s="54"/>
      <c r="L474" s="54"/>
      <c r="M474" s="54"/>
      <c r="N474" s="54"/>
      <c r="O474" s="54" t="s">
        <v>3541</v>
      </c>
    </row>
    <row r="475" spans="1:15" ht="30" x14ac:dyDescent="0.2">
      <c r="A475" s="53" t="s">
        <v>12</v>
      </c>
      <c r="B475" s="53" t="s">
        <v>15</v>
      </c>
      <c r="C475" s="54" t="s">
        <v>3549</v>
      </c>
      <c r="D475" s="55" t="s">
        <v>3550</v>
      </c>
      <c r="E475" s="54" t="s">
        <v>2026</v>
      </c>
      <c r="F475" s="54" t="s">
        <v>3535</v>
      </c>
      <c r="G475" s="54">
        <v>3</v>
      </c>
      <c r="H475" s="54">
        <v>3</v>
      </c>
      <c r="I475" s="54">
        <v>43200</v>
      </c>
      <c r="J475" s="54">
        <v>0</v>
      </c>
      <c r="K475" s="54"/>
      <c r="L475" s="54"/>
      <c r="M475" s="54"/>
      <c r="N475" s="54"/>
      <c r="O475" s="54" t="s">
        <v>3544</v>
      </c>
    </row>
    <row r="476" spans="1:15" ht="45" x14ac:dyDescent="0.2">
      <c r="A476" s="53" t="s">
        <v>12</v>
      </c>
      <c r="B476" s="53" t="s">
        <v>15</v>
      </c>
      <c r="C476" s="54" t="s">
        <v>3551</v>
      </c>
      <c r="D476" s="55" t="s">
        <v>3552</v>
      </c>
      <c r="E476" s="54" t="s">
        <v>2026</v>
      </c>
      <c r="F476" s="54" t="s">
        <v>3362</v>
      </c>
      <c r="G476" s="54">
        <v>2</v>
      </c>
      <c r="H476" s="54">
        <v>2</v>
      </c>
      <c r="I476" s="54">
        <v>57600</v>
      </c>
      <c r="J476" s="54">
        <v>0</v>
      </c>
      <c r="K476" s="54"/>
      <c r="L476" s="54"/>
      <c r="M476" s="54"/>
      <c r="N476" s="54"/>
      <c r="O476" s="54" t="s">
        <v>3541</v>
      </c>
    </row>
    <row r="477" spans="1:15" ht="45" x14ac:dyDescent="0.2">
      <c r="A477" s="53" t="s">
        <v>12</v>
      </c>
      <c r="B477" s="53" t="s">
        <v>13</v>
      </c>
      <c r="C477" s="54" t="s">
        <v>3553</v>
      </c>
      <c r="D477" s="55" t="s">
        <v>3554</v>
      </c>
      <c r="E477" s="54" t="s">
        <v>2026</v>
      </c>
      <c r="F477" s="54" t="s">
        <v>3362</v>
      </c>
      <c r="G477" s="54">
        <v>1</v>
      </c>
      <c r="H477" s="54"/>
      <c r="I477" s="54">
        <v>28800</v>
      </c>
      <c r="J477" s="54">
        <v>28800</v>
      </c>
      <c r="K477" s="54"/>
      <c r="L477" s="54"/>
      <c r="M477" s="54"/>
      <c r="N477" s="54"/>
      <c r="O477" s="54" t="s">
        <v>3555</v>
      </c>
    </row>
    <row r="478" spans="1:15" ht="15.75" x14ac:dyDescent="0.2">
      <c r="A478" s="53" t="s">
        <v>12</v>
      </c>
      <c r="B478" s="53" t="s">
        <v>15</v>
      </c>
      <c r="C478" s="54" t="s">
        <v>3556</v>
      </c>
      <c r="D478" s="55" t="s">
        <v>3557</v>
      </c>
      <c r="E478" s="54" t="s">
        <v>3558</v>
      </c>
      <c r="F478" s="54" t="s">
        <v>3362</v>
      </c>
      <c r="G478" s="54">
        <v>5</v>
      </c>
      <c r="H478" s="54">
        <v>5</v>
      </c>
      <c r="I478" s="54">
        <v>172800</v>
      </c>
      <c r="J478" s="54">
        <v>36000</v>
      </c>
      <c r="K478" s="54"/>
      <c r="L478" s="54"/>
      <c r="M478" s="54"/>
      <c r="N478" s="54"/>
      <c r="O478" s="54" t="s">
        <v>3559</v>
      </c>
    </row>
    <row r="479" spans="1:15" ht="15.75" x14ac:dyDescent="0.2">
      <c r="A479" s="53" t="s">
        <v>12</v>
      </c>
      <c r="B479" s="53" t="s">
        <v>15</v>
      </c>
      <c r="C479" s="54" t="s">
        <v>3560</v>
      </c>
      <c r="D479" s="55" t="s">
        <v>3561</v>
      </c>
      <c r="E479" s="54" t="s">
        <v>2026</v>
      </c>
      <c r="F479" s="54" t="s">
        <v>3362</v>
      </c>
      <c r="G479" s="54">
        <v>2</v>
      </c>
      <c r="H479" s="54">
        <v>2</v>
      </c>
      <c r="I479" s="54">
        <v>57600</v>
      </c>
      <c r="J479" s="54">
        <v>0</v>
      </c>
      <c r="K479" s="54"/>
      <c r="L479" s="54"/>
      <c r="M479" s="54"/>
      <c r="N479" s="54"/>
      <c r="O479" s="54" t="s">
        <v>3562</v>
      </c>
    </row>
    <row r="480" spans="1:15" ht="90" x14ac:dyDescent="0.2">
      <c r="A480" s="53" t="s">
        <v>12</v>
      </c>
      <c r="B480" s="53" t="s">
        <v>15</v>
      </c>
      <c r="C480" s="54" t="s">
        <v>3563</v>
      </c>
      <c r="D480" s="55" t="s">
        <v>3564</v>
      </c>
      <c r="E480" s="54" t="s">
        <v>899</v>
      </c>
      <c r="F480" s="54" t="s">
        <v>3004</v>
      </c>
      <c r="G480" s="54">
        <v>8</v>
      </c>
      <c r="H480" s="54">
        <v>8</v>
      </c>
      <c r="I480" s="54"/>
      <c r="J480" s="54">
        <v>0</v>
      </c>
      <c r="K480" s="54"/>
      <c r="L480" s="54"/>
      <c r="M480" s="54"/>
      <c r="N480" s="54"/>
      <c r="O480" s="54" t="s">
        <v>3565</v>
      </c>
    </row>
    <row r="481" spans="1:15" ht="15.75" x14ac:dyDescent="0.2">
      <c r="A481" s="53" t="s">
        <v>12</v>
      </c>
      <c r="B481" s="53" t="s">
        <v>15</v>
      </c>
      <c r="C481" s="54" t="s">
        <v>3566</v>
      </c>
      <c r="D481" s="55" t="s">
        <v>3567</v>
      </c>
      <c r="E481" s="54" t="s">
        <v>2026</v>
      </c>
      <c r="F481" s="54" t="s">
        <v>3362</v>
      </c>
      <c r="G481" s="54">
        <v>3</v>
      </c>
      <c r="H481" s="54">
        <v>3</v>
      </c>
      <c r="I481" s="54">
        <v>86400</v>
      </c>
      <c r="J481" s="54">
        <v>75600</v>
      </c>
      <c r="K481" s="54"/>
      <c r="L481" s="54"/>
      <c r="M481" s="54"/>
      <c r="N481" s="54"/>
      <c r="O481" s="54" t="s">
        <v>3363</v>
      </c>
    </row>
    <row r="482" spans="1:15" ht="60" x14ac:dyDescent="0.2">
      <c r="A482" s="53" t="s">
        <v>12</v>
      </c>
      <c r="B482" s="53" t="s">
        <v>16</v>
      </c>
      <c r="C482" s="54" t="s">
        <v>3568</v>
      </c>
      <c r="D482" s="55" t="s">
        <v>3569</v>
      </c>
      <c r="E482" s="54" t="s">
        <v>920</v>
      </c>
      <c r="F482" s="54" t="s">
        <v>2536</v>
      </c>
      <c r="G482" s="54">
        <v>3</v>
      </c>
      <c r="H482" s="54"/>
      <c r="I482" s="54">
        <v>97200</v>
      </c>
      <c r="J482" s="54">
        <v>64800</v>
      </c>
      <c r="K482" s="54"/>
      <c r="L482" s="54"/>
      <c r="M482" s="54"/>
      <c r="N482" s="54"/>
      <c r="O482" s="54" t="s">
        <v>3570</v>
      </c>
    </row>
    <row r="483" spans="1:15" ht="60" x14ac:dyDescent="0.2">
      <c r="A483" s="53" t="s">
        <v>12</v>
      </c>
      <c r="B483" s="53" t="s">
        <v>16</v>
      </c>
      <c r="C483" s="54" t="s">
        <v>3571</v>
      </c>
      <c r="D483" s="55" t="s">
        <v>3572</v>
      </c>
      <c r="E483" s="54" t="s">
        <v>920</v>
      </c>
      <c r="F483" s="54" t="s">
        <v>2536</v>
      </c>
      <c r="G483" s="54">
        <v>3</v>
      </c>
      <c r="H483" s="54"/>
      <c r="I483" s="54">
        <v>115200</v>
      </c>
      <c r="J483" s="54">
        <v>70200</v>
      </c>
      <c r="K483" s="54"/>
      <c r="L483" s="54"/>
      <c r="M483" s="54"/>
      <c r="N483" s="54"/>
      <c r="O483" s="54" t="s">
        <v>3573</v>
      </c>
    </row>
    <row r="484" spans="1:15" ht="60" x14ac:dyDescent="0.2">
      <c r="A484" s="53" t="s">
        <v>12</v>
      </c>
      <c r="B484" s="53" t="s">
        <v>16</v>
      </c>
      <c r="C484" s="54" t="s">
        <v>3574</v>
      </c>
      <c r="D484" s="55" t="s">
        <v>3575</v>
      </c>
      <c r="E484" s="54" t="s">
        <v>920</v>
      </c>
      <c r="F484" s="54" t="s">
        <v>2536</v>
      </c>
      <c r="G484" s="54">
        <v>3</v>
      </c>
      <c r="H484" s="54"/>
      <c r="I484" s="54">
        <v>216000</v>
      </c>
      <c r="J484" s="54">
        <v>54000</v>
      </c>
      <c r="K484" s="54"/>
      <c r="L484" s="54"/>
      <c r="M484" s="54"/>
      <c r="N484" s="54"/>
      <c r="O484" s="54" t="s">
        <v>3576</v>
      </c>
    </row>
    <row r="485" spans="1:15" ht="45" x14ac:dyDescent="0.2">
      <c r="A485" s="53" t="s">
        <v>12</v>
      </c>
      <c r="B485" s="53" t="s">
        <v>15</v>
      </c>
      <c r="C485" s="54" t="s">
        <v>3577</v>
      </c>
      <c r="D485" s="55" t="s">
        <v>3578</v>
      </c>
      <c r="E485" s="54" t="s">
        <v>2026</v>
      </c>
      <c r="F485" s="54" t="s">
        <v>3218</v>
      </c>
      <c r="G485" s="54">
        <v>5</v>
      </c>
      <c r="H485" s="54">
        <v>5</v>
      </c>
      <c r="I485" s="54"/>
      <c r="J485" s="54">
        <v>0</v>
      </c>
      <c r="K485" s="54"/>
      <c r="L485" s="54"/>
      <c r="M485" s="54"/>
      <c r="N485" s="54"/>
      <c r="O485" s="54" t="s">
        <v>3579</v>
      </c>
    </row>
    <row r="486" spans="1:15" ht="75" x14ac:dyDescent="0.2">
      <c r="A486" s="53" t="s">
        <v>12</v>
      </c>
      <c r="B486" s="53" t="s">
        <v>15</v>
      </c>
      <c r="C486" s="54" t="s">
        <v>3580</v>
      </c>
      <c r="D486" s="55" t="s">
        <v>3581</v>
      </c>
      <c r="E486" s="54"/>
      <c r="F486" s="54" t="s">
        <v>3582</v>
      </c>
      <c r="G486" s="54">
        <v>13</v>
      </c>
      <c r="H486" s="54">
        <v>13</v>
      </c>
      <c r="I486" s="54">
        <v>115200</v>
      </c>
      <c r="J486" s="54">
        <v>189900</v>
      </c>
      <c r="K486" s="54"/>
      <c r="L486" s="54"/>
      <c r="M486" s="54"/>
      <c r="N486" s="54"/>
      <c r="O486" s="54" t="s">
        <v>3583</v>
      </c>
    </row>
    <row r="487" spans="1:15" ht="15.75" x14ac:dyDescent="0.2">
      <c r="A487" s="53" t="s">
        <v>12</v>
      </c>
      <c r="B487" s="53" t="s">
        <v>15</v>
      </c>
      <c r="C487" s="54" t="s">
        <v>3584</v>
      </c>
      <c r="D487" s="55" t="s">
        <v>3585</v>
      </c>
      <c r="E487" s="54" t="s">
        <v>2026</v>
      </c>
      <c r="F487" s="54" t="s">
        <v>3586</v>
      </c>
      <c r="G487" s="54">
        <v>3</v>
      </c>
      <c r="H487" s="54">
        <v>3</v>
      </c>
      <c r="I487" s="54">
        <v>14400</v>
      </c>
      <c r="J487" s="54">
        <v>14400</v>
      </c>
      <c r="K487" s="54"/>
      <c r="L487" s="54"/>
      <c r="M487" s="54"/>
      <c r="N487" s="54"/>
      <c r="O487" s="54" t="s">
        <v>3532</v>
      </c>
    </row>
    <row r="488" spans="1:15" ht="15.75" x14ac:dyDescent="0.2">
      <c r="A488" s="53" t="s">
        <v>12</v>
      </c>
      <c r="B488" s="53" t="s">
        <v>15</v>
      </c>
      <c r="C488" s="54" t="s">
        <v>3587</v>
      </c>
      <c r="D488" s="55" t="s">
        <v>3588</v>
      </c>
      <c r="E488" s="54" t="s">
        <v>2026</v>
      </c>
      <c r="F488" s="54" t="s">
        <v>3586</v>
      </c>
      <c r="G488" s="54">
        <v>3</v>
      </c>
      <c r="H488" s="54">
        <v>3</v>
      </c>
      <c r="I488" s="54">
        <v>43200</v>
      </c>
      <c r="J488" s="54">
        <v>43200</v>
      </c>
      <c r="K488" s="54"/>
      <c r="L488" s="54"/>
      <c r="M488" s="54"/>
      <c r="N488" s="54"/>
      <c r="O488" s="54" t="s">
        <v>3532</v>
      </c>
    </row>
    <row r="489" spans="1:15" ht="15.75" x14ac:dyDescent="0.2">
      <c r="A489" s="53" t="s">
        <v>12</v>
      </c>
      <c r="B489" s="53" t="s">
        <v>15</v>
      </c>
      <c r="C489" s="54" t="s">
        <v>3589</v>
      </c>
      <c r="D489" s="55" t="s">
        <v>3590</v>
      </c>
      <c r="E489" s="54" t="s">
        <v>2026</v>
      </c>
      <c r="F489" s="54" t="s">
        <v>3586</v>
      </c>
      <c r="G489" s="54">
        <v>1</v>
      </c>
      <c r="H489" s="54">
        <v>1</v>
      </c>
      <c r="I489" s="54">
        <v>14400</v>
      </c>
      <c r="J489" s="54">
        <v>14400</v>
      </c>
      <c r="K489" s="54"/>
      <c r="L489" s="54"/>
      <c r="M489" s="54"/>
      <c r="N489" s="54"/>
      <c r="O489" s="54" t="s">
        <v>3591</v>
      </c>
    </row>
    <row r="490" spans="1:15" ht="15.75" x14ac:dyDescent="0.2">
      <c r="A490" s="53" t="s">
        <v>12</v>
      </c>
      <c r="B490" s="53" t="s">
        <v>15</v>
      </c>
      <c r="C490" s="54" t="s">
        <v>3592</v>
      </c>
      <c r="D490" s="55" t="s">
        <v>3593</v>
      </c>
      <c r="E490" s="54" t="s">
        <v>2026</v>
      </c>
      <c r="F490" s="54" t="s">
        <v>3586</v>
      </c>
      <c r="G490" s="54">
        <v>3</v>
      </c>
      <c r="H490" s="54">
        <v>3</v>
      </c>
      <c r="I490" s="54">
        <v>28800</v>
      </c>
      <c r="J490" s="54">
        <v>28800</v>
      </c>
      <c r="K490" s="54"/>
      <c r="L490" s="54"/>
      <c r="M490" s="54"/>
      <c r="N490" s="54"/>
      <c r="O490" s="54" t="s">
        <v>3594</v>
      </c>
    </row>
    <row r="491" spans="1:15" ht="15.75" x14ac:dyDescent="0.2">
      <c r="A491" s="53" t="s">
        <v>12</v>
      </c>
      <c r="B491" s="53" t="s">
        <v>15</v>
      </c>
      <c r="C491" s="54" t="s">
        <v>3595</v>
      </c>
      <c r="D491" s="55" t="s">
        <v>3596</v>
      </c>
      <c r="E491" s="54" t="s">
        <v>2026</v>
      </c>
      <c r="F491" s="54" t="s">
        <v>3597</v>
      </c>
      <c r="G491" s="54">
        <v>8</v>
      </c>
      <c r="H491" s="54">
        <v>8</v>
      </c>
      <c r="I491" s="54">
        <v>64800</v>
      </c>
      <c r="J491" s="54">
        <v>64800</v>
      </c>
      <c r="K491" s="54"/>
      <c r="L491" s="54"/>
      <c r="M491" s="54"/>
      <c r="N491" s="54"/>
      <c r="O491" s="54" t="s">
        <v>3544</v>
      </c>
    </row>
    <row r="492" spans="1:15" ht="30" x14ac:dyDescent="0.2">
      <c r="A492" s="53" t="s">
        <v>12</v>
      </c>
      <c r="B492" s="53" t="s">
        <v>14</v>
      </c>
      <c r="C492" s="54" t="s">
        <v>3598</v>
      </c>
      <c r="D492" s="55" t="s">
        <v>3599</v>
      </c>
      <c r="E492" s="54" t="s">
        <v>2026</v>
      </c>
      <c r="F492" s="54" t="s">
        <v>3600</v>
      </c>
      <c r="G492" s="54"/>
      <c r="H492" s="54"/>
      <c r="I492" s="54">
        <v>259200</v>
      </c>
      <c r="J492" s="54">
        <v>205200</v>
      </c>
      <c r="K492" s="54"/>
      <c r="L492" s="54"/>
      <c r="M492" s="54"/>
      <c r="N492" s="54"/>
      <c r="O492" s="54" t="s">
        <v>3601</v>
      </c>
    </row>
    <row r="493" spans="1:15" ht="15.75" x14ac:dyDescent="0.2">
      <c r="A493" s="53" t="s">
        <v>12</v>
      </c>
      <c r="B493" s="53" t="s">
        <v>15</v>
      </c>
      <c r="C493" s="54" t="s">
        <v>3602</v>
      </c>
      <c r="D493" s="55" t="s">
        <v>3603</v>
      </c>
      <c r="E493" s="54" t="s">
        <v>2026</v>
      </c>
      <c r="F493" s="54" t="s">
        <v>3597</v>
      </c>
      <c r="G493" s="54">
        <v>1</v>
      </c>
      <c r="H493" s="54">
        <v>1</v>
      </c>
      <c r="I493" s="54">
        <v>43200</v>
      </c>
      <c r="J493" s="54">
        <v>43200</v>
      </c>
      <c r="K493" s="54"/>
      <c r="L493" s="54"/>
      <c r="M493" s="54"/>
      <c r="N493" s="54"/>
      <c r="O493" s="54" t="s">
        <v>3544</v>
      </c>
    </row>
    <row r="494" spans="1:15" ht="15.75" x14ac:dyDescent="0.2">
      <c r="A494" s="53" t="s">
        <v>12</v>
      </c>
      <c r="B494" s="53" t="s">
        <v>15</v>
      </c>
      <c r="C494" s="54" t="s">
        <v>3604</v>
      </c>
      <c r="D494" s="55" t="s">
        <v>3605</v>
      </c>
      <c r="E494" s="54" t="s">
        <v>2026</v>
      </c>
      <c r="F494" s="54" t="s">
        <v>3597</v>
      </c>
      <c r="G494" s="54">
        <v>1</v>
      </c>
      <c r="H494" s="54">
        <v>1</v>
      </c>
      <c r="I494" s="54">
        <v>14400</v>
      </c>
      <c r="J494" s="54">
        <v>14400</v>
      </c>
      <c r="K494" s="54"/>
      <c r="L494" s="54"/>
      <c r="M494" s="54"/>
      <c r="N494" s="54"/>
      <c r="O494" s="54" t="s">
        <v>3544</v>
      </c>
    </row>
    <row r="495" spans="1:15" ht="15.75" x14ac:dyDescent="0.2">
      <c r="A495" s="53" t="s">
        <v>12</v>
      </c>
      <c r="B495" s="53" t="s">
        <v>15</v>
      </c>
      <c r="C495" s="54" t="s">
        <v>3606</v>
      </c>
      <c r="D495" s="55" t="s">
        <v>3607</v>
      </c>
      <c r="E495" s="54" t="s">
        <v>2026</v>
      </c>
      <c r="F495" s="54" t="s">
        <v>3586</v>
      </c>
      <c r="G495" s="54">
        <v>13</v>
      </c>
      <c r="H495" s="54">
        <v>13</v>
      </c>
      <c r="I495" s="54">
        <v>57600</v>
      </c>
      <c r="J495" s="54">
        <v>57600</v>
      </c>
      <c r="K495" s="54"/>
      <c r="L495" s="54"/>
      <c r="M495" s="54"/>
      <c r="N495" s="54"/>
      <c r="O495" s="54" t="s">
        <v>2531</v>
      </c>
    </row>
    <row r="496" spans="1:15" ht="30" x14ac:dyDescent="0.2">
      <c r="A496" s="53" t="s">
        <v>12</v>
      </c>
      <c r="B496" s="53" t="s">
        <v>15</v>
      </c>
      <c r="C496" s="54" t="s">
        <v>3608</v>
      </c>
      <c r="D496" s="55" t="s">
        <v>3609</v>
      </c>
      <c r="E496" s="54" t="s">
        <v>2026</v>
      </c>
      <c r="F496" s="54" t="s">
        <v>3586</v>
      </c>
      <c r="G496" s="54">
        <v>8</v>
      </c>
      <c r="H496" s="54">
        <v>8</v>
      </c>
      <c r="I496" s="54">
        <v>46800</v>
      </c>
      <c r="J496" s="54">
        <v>46800</v>
      </c>
      <c r="K496" s="54"/>
      <c r="L496" s="54"/>
      <c r="M496" s="54"/>
      <c r="N496" s="54"/>
      <c r="O496" s="54" t="s">
        <v>2640</v>
      </c>
    </row>
    <row r="497" spans="1:15" ht="15.75" x14ac:dyDescent="0.2">
      <c r="A497" s="53" t="s">
        <v>12</v>
      </c>
      <c r="B497" s="53" t="s">
        <v>15</v>
      </c>
      <c r="C497" s="54" t="s">
        <v>3610</v>
      </c>
      <c r="D497" s="55" t="s">
        <v>3611</v>
      </c>
      <c r="E497" s="54" t="s">
        <v>2026</v>
      </c>
      <c r="F497" s="54" t="s">
        <v>3362</v>
      </c>
      <c r="G497" s="54">
        <v>2</v>
      </c>
      <c r="H497" s="54">
        <v>2</v>
      </c>
      <c r="I497" s="54">
        <v>57600</v>
      </c>
      <c r="J497" s="54">
        <v>36000</v>
      </c>
      <c r="K497" s="54"/>
      <c r="L497" s="54"/>
      <c r="M497" s="54"/>
      <c r="N497" s="54"/>
      <c r="O497" s="54" t="s">
        <v>3612</v>
      </c>
    </row>
    <row r="498" spans="1:15" ht="15.75" x14ac:dyDescent="0.2">
      <c r="A498" s="53" t="s">
        <v>12</v>
      </c>
      <c r="B498" s="53" t="s">
        <v>17</v>
      </c>
      <c r="C498" s="54" t="s">
        <v>3613</v>
      </c>
      <c r="D498" s="55" t="s">
        <v>3614</v>
      </c>
      <c r="E498" s="54" t="s">
        <v>2026</v>
      </c>
      <c r="F498" s="54" t="s">
        <v>3362</v>
      </c>
      <c r="G498" s="54">
        <v>8</v>
      </c>
      <c r="H498" s="54"/>
      <c r="I498" s="54">
        <v>201600</v>
      </c>
      <c r="J498" s="54">
        <v>201600</v>
      </c>
      <c r="K498" s="54"/>
      <c r="L498" s="54"/>
      <c r="M498" s="54"/>
      <c r="N498" s="54"/>
      <c r="O498" s="54" t="s">
        <v>3615</v>
      </c>
    </row>
    <row r="499" spans="1:15" ht="15.75" x14ac:dyDescent="0.2">
      <c r="A499" s="53" t="s">
        <v>12</v>
      </c>
      <c r="B499" s="53" t="s">
        <v>17</v>
      </c>
      <c r="C499" s="54" t="s">
        <v>3616</v>
      </c>
      <c r="D499" s="55" t="s">
        <v>3617</v>
      </c>
      <c r="E499" s="54" t="s">
        <v>2026</v>
      </c>
      <c r="F499" s="54" t="s">
        <v>3362</v>
      </c>
      <c r="G499" s="54">
        <v>1</v>
      </c>
      <c r="H499" s="54"/>
      <c r="I499" s="54">
        <v>28800</v>
      </c>
      <c r="J499" s="54">
        <v>28800</v>
      </c>
      <c r="K499" s="54"/>
      <c r="L499" s="54"/>
      <c r="M499" s="54"/>
      <c r="N499" s="54"/>
      <c r="O499" s="54" t="s">
        <v>2647</v>
      </c>
    </row>
    <row r="500" spans="1:15" x14ac:dyDescent="0.2">
      <c r="A500" s="70" t="s">
        <v>3618</v>
      </c>
      <c r="B500" s="71"/>
      <c r="C500" s="71"/>
      <c r="D500" s="71"/>
      <c r="E500" s="71"/>
      <c r="F500" s="71"/>
      <c r="G500" s="71"/>
      <c r="H500" s="71"/>
      <c r="I500" s="71"/>
      <c r="J500" s="71"/>
      <c r="K500" s="71"/>
      <c r="L500" s="71"/>
      <c r="M500" s="71"/>
      <c r="N500" s="71"/>
      <c r="O500" s="72"/>
    </row>
  </sheetData>
  <mergeCells count="4">
    <mergeCell ref="A1:O1"/>
    <mergeCell ref="A2:O2"/>
    <mergeCell ref="A3:O3"/>
    <mergeCell ref="A500:O500"/>
  </mergeCells>
  <hyperlinks>
    <hyperlink ref="A2" r:id="rId1"/>
    <hyperlink ref="D5" r:id="rId2"/>
    <hyperlink ref="D6" r:id="rId3"/>
    <hyperlink ref="D7" r:id="rId4"/>
    <hyperlink ref="D8" r:id="rId5"/>
    <hyperlink ref="D9" r:id="rId6"/>
    <hyperlink ref="D10" r:id="rId7"/>
    <hyperlink ref="D11" r:id="rId8"/>
    <hyperlink ref="D12" r:id="rId9"/>
    <hyperlink ref="D13" r:id="rId10"/>
    <hyperlink ref="D14" r:id="rId11"/>
    <hyperlink ref="D15" r:id="rId12"/>
    <hyperlink ref="D16" r:id="rId13"/>
    <hyperlink ref="D17" r:id="rId14"/>
    <hyperlink ref="D18" r:id="rId15"/>
    <hyperlink ref="D19" r:id="rId16"/>
    <hyperlink ref="D20" r:id="rId17"/>
    <hyperlink ref="D21" r:id="rId18"/>
    <hyperlink ref="D22" r:id="rId19"/>
    <hyperlink ref="D23" r:id="rId20"/>
    <hyperlink ref="D24" r:id="rId21"/>
    <hyperlink ref="D25" r:id="rId22"/>
    <hyperlink ref="D26" r:id="rId23"/>
    <hyperlink ref="D27" r:id="rId24"/>
    <hyperlink ref="D28" r:id="rId25"/>
    <hyperlink ref="D29" r:id="rId26"/>
    <hyperlink ref="D30" r:id="rId27"/>
    <hyperlink ref="D31" r:id="rId28"/>
    <hyperlink ref="D32" r:id="rId29"/>
    <hyperlink ref="D33" r:id="rId30"/>
    <hyperlink ref="D34" r:id="rId31"/>
    <hyperlink ref="D35" r:id="rId32"/>
    <hyperlink ref="D36" r:id="rId33"/>
    <hyperlink ref="D37" r:id="rId34"/>
    <hyperlink ref="D38" r:id="rId35"/>
    <hyperlink ref="D39" r:id="rId36"/>
    <hyperlink ref="D40" r:id="rId37"/>
    <hyperlink ref="D41" r:id="rId38"/>
    <hyperlink ref="D42" r:id="rId39"/>
    <hyperlink ref="D43" r:id="rId40"/>
    <hyperlink ref="D44" r:id="rId41"/>
    <hyperlink ref="D45" r:id="rId42"/>
    <hyperlink ref="D46" r:id="rId43"/>
    <hyperlink ref="D47" r:id="rId44"/>
    <hyperlink ref="D48" r:id="rId45"/>
    <hyperlink ref="D49" r:id="rId46"/>
    <hyperlink ref="D50" r:id="rId47"/>
    <hyperlink ref="D51" r:id="rId48"/>
    <hyperlink ref="D52" r:id="rId49"/>
    <hyperlink ref="D53" r:id="rId50"/>
    <hyperlink ref="D54" r:id="rId51"/>
    <hyperlink ref="D55" r:id="rId52"/>
    <hyperlink ref="D56" r:id="rId53"/>
    <hyperlink ref="D57" r:id="rId54"/>
    <hyperlink ref="D58" r:id="rId55"/>
    <hyperlink ref="D59" r:id="rId56"/>
    <hyperlink ref="D60" r:id="rId57"/>
    <hyperlink ref="D61" r:id="rId58"/>
    <hyperlink ref="D62" r:id="rId59"/>
    <hyperlink ref="D63" r:id="rId60"/>
    <hyperlink ref="D64" r:id="rId61"/>
    <hyperlink ref="D65" r:id="rId62"/>
    <hyperlink ref="D66" r:id="rId63"/>
    <hyperlink ref="D67" r:id="rId64"/>
    <hyperlink ref="D68" r:id="rId65"/>
    <hyperlink ref="D69" r:id="rId66"/>
    <hyperlink ref="D70" r:id="rId67"/>
    <hyperlink ref="D71" r:id="rId68"/>
    <hyperlink ref="D72" r:id="rId69"/>
    <hyperlink ref="D73" r:id="rId70"/>
    <hyperlink ref="D74" r:id="rId71"/>
    <hyperlink ref="D75" r:id="rId72"/>
    <hyperlink ref="D76" r:id="rId73"/>
    <hyperlink ref="D77" r:id="rId74"/>
    <hyperlink ref="D78" r:id="rId75"/>
    <hyperlink ref="D79" r:id="rId76"/>
    <hyperlink ref="D80" r:id="rId77"/>
    <hyperlink ref="D81" r:id="rId78"/>
    <hyperlink ref="D82" r:id="rId79"/>
    <hyperlink ref="D83" r:id="rId80"/>
    <hyperlink ref="D84" r:id="rId81"/>
    <hyperlink ref="D85" r:id="rId82"/>
    <hyperlink ref="D86" r:id="rId83"/>
    <hyperlink ref="D87" r:id="rId84"/>
    <hyperlink ref="D88" r:id="rId85"/>
    <hyperlink ref="D89" r:id="rId86"/>
    <hyperlink ref="D90" r:id="rId87"/>
    <hyperlink ref="D91" r:id="rId88"/>
    <hyperlink ref="D92" r:id="rId89"/>
    <hyperlink ref="D93" r:id="rId90"/>
    <hyperlink ref="D94" r:id="rId91"/>
    <hyperlink ref="D95" r:id="rId92"/>
    <hyperlink ref="D96" r:id="rId93"/>
    <hyperlink ref="D97" r:id="rId94"/>
    <hyperlink ref="D98" r:id="rId95"/>
    <hyperlink ref="D99" r:id="rId96"/>
    <hyperlink ref="D100" r:id="rId97"/>
    <hyperlink ref="D101" r:id="rId98"/>
    <hyperlink ref="D102" r:id="rId99"/>
    <hyperlink ref="D103" r:id="rId100"/>
    <hyperlink ref="D104" r:id="rId101"/>
    <hyperlink ref="D105" r:id="rId102"/>
    <hyperlink ref="D106" r:id="rId103"/>
    <hyperlink ref="D107" r:id="rId104"/>
    <hyperlink ref="D108" r:id="rId105"/>
    <hyperlink ref="D109" r:id="rId106"/>
    <hyperlink ref="D110" r:id="rId107"/>
    <hyperlink ref="D111" r:id="rId108"/>
    <hyperlink ref="D112" r:id="rId109"/>
    <hyperlink ref="D113" r:id="rId110"/>
    <hyperlink ref="D114" r:id="rId111"/>
    <hyperlink ref="D115" r:id="rId112"/>
    <hyperlink ref="D116" r:id="rId113"/>
    <hyperlink ref="D117" r:id="rId114"/>
    <hyperlink ref="D118" r:id="rId115"/>
    <hyperlink ref="D119" r:id="rId116"/>
    <hyperlink ref="D120" r:id="rId117"/>
    <hyperlink ref="D121" r:id="rId118"/>
    <hyperlink ref="D122" r:id="rId119"/>
    <hyperlink ref="D123" r:id="rId120"/>
    <hyperlink ref="D124" r:id="rId121"/>
    <hyperlink ref="D125" r:id="rId122"/>
    <hyperlink ref="D126" r:id="rId123"/>
    <hyperlink ref="D127" r:id="rId124"/>
    <hyperlink ref="D128" r:id="rId125"/>
    <hyperlink ref="D129" r:id="rId126"/>
    <hyperlink ref="D130" r:id="rId127"/>
    <hyperlink ref="D131" r:id="rId128"/>
    <hyperlink ref="D132" r:id="rId129"/>
    <hyperlink ref="D133" r:id="rId130"/>
    <hyperlink ref="D134" r:id="rId131"/>
    <hyperlink ref="D135" r:id="rId132"/>
    <hyperlink ref="D136" r:id="rId133"/>
    <hyperlink ref="D137" r:id="rId134"/>
    <hyperlink ref="D138" r:id="rId135"/>
    <hyperlink ref="D139" r:id="rId136"/>
    <hyperlink ref="D140" r:id="rId137"/>
    <hyperlink ref="D141" r:id="rId138"/>
    <hyperlink ref="D142" r:id="rId139"/>
    <hyperlink ref="D143" r:id="rId140"/>
    <hyperlink ref="D144" r:id="rId141"/>
    <hyperlink ref="D145" r:id="rId142"/>
    <hyperlink ref="D146" r:id="rId143"/>
    <hyperlink ref="D147" r:id="rId144"/>
    <hyperlink ref="D148" r:id="rId145"/>
    <hyperlink ref="D149" r:id="rId146"/>
    <hyperlink ref="D150" r:id="rId147"/>
    <hyperlink ref="D151" r:id="rId148"/>
    <hyperlink ref="D152" r:id="rId149"/>
    <hyperlink ref="D153" r:id="rId150"/>
    <hyperlink ref="D154" r:id="rId151"/>
    <hyperlink ref="D155" r:id="rId152"/>
    <hyperlink ref="D156" r:id="rId153"/>
    <hyperlink ref="D157" r:id="rId154"/>
    <hyperlink ref="D158" r:id="rId155"/>
    <hyperlink ref="D159" r:id="rId156"/>
    <hyperlink ref="D160" r:id="rId157"/>
    <hyperlink ref="D161" r:id="rId158"/>
    <hyperlink ref="D162" r:id="rId159"/>
    <hyperlink ref="D163" r:id="rId160"/>
    <hyperlink ref="D164" r:id="rId161"/>
    <hyperlink ref="D165" r:id="rId162"/>
    <hyperlink ref="D166" r:id="rId163"/>
    <hyperlink ref="D167" r:id="rId164"/>
    <hyperlink ref="D168" r:id="rId165"/>
    <hyperlink ref="D169" r:id="rId166"/>
    <hyperlink ref="D170" r:id="rId167"/>
    <hyperlink ref="D171" r:id="rId168"/>
    <hyperlink ref="D172" r:id="rId169"/>
    <hyperlink ref="D173" r:id="rId170"/>
    <hyperlink ref="D174" r:id="rId171"/>
    <hyperlink ref="D175" r:id="rId172"/>
    <hyperlink ref="D176" r:id="rId173"/>
    <hyperlink ref="D177" r:id="rId174"/>
    <hyperlink ref="D178" r:id="rId175"/>
    <hyperlink ref="D179" r:id="rId176"/>
    <hyperlink ref="D180" r:id="rId177"/>
    <hyperlink ref="D181" r:id="rId178"/>
    <hyperlink ref="D182" r:id="rId179"/>
    <hyperlink ref="D183" r:id="rId180"/>
    <hyperlink ref="D184" r:id="rId181"/>
    <hyperlink ref="D185" r:id="rId182"/>
    <hyperlink ref="D186" r:id="rId183"/>
    <hyperlink ref="D187" r:id="rId184"/>
    <hyperlink ref="D188" r:id="rId185"/>
    <hyperlink ref="D189" r:id="rId186"/>
    <hyperlink ref="D190" r:id="rId187"/>
    <hyperlink ref="D191" r:id="rId188"/>
    <hyperlink ref="D192" r:id="rId189"/>
    <hyperlink ref="D193" r:id="rId190"/>
    <hyperlink ref="D194" r:id="rId191"/>
    <hyperlink ref="D195" r:id="rId192"/>
    <hyperlink ref="D196" r:id="rId193"/>
    <hyperlink ref="D197" r:id="rId194"/>
    <hyperlink ref="D198" r:id="rId195"/>
    <hyperlink ref="D199" r:id="rId196"/>
    <hyperlink ref="D200" r:id="rId197"/>
    <hyperlink ref="D201" r:id="rId198"/>
    <hyperlink ref="D202" r:id="rId199"/>
    <hyperlink ref="D203" r:id="rId200"/>
    <hyperlink ref="D204" r:id="rId201"/>
    <hyperlink ref="D205" r:id="rId202"/>
    <hyperlink ref="D206" r:id="rId203"/>
    <hyperlink ref="D207" r:id="rId204"/>
    <hyperlink ref="D208" r:id="rId205"/>
    <hyperlink ref="D209" r:id="rId206"/>
    <hyperlink ref="D210" r:id="rId207"/>
    <hyperlink ref="D211" r:id="rId208"/>
    <hyperlink ref="D212" r:id="rId209"/>
    <hyperlink ref="D213" r:id="rId210"/>
    <hyperlink ref="D214" r:id="rId211"/>
    <hyperlink ref="D215" r:id="rId212"/>
    <hyperlink ref="D216" r:id="rId213"/>
    <hyperlink ref="D217" r:id="rId214"/>
    <hyperlink ref="D218" r:id="rId215"/>
    <hyperlink ref="D219" r:id="rId216"/>
    <hyperlink ref="D220" r:id="rId217"/>
    <hyperlink ref="D221" r:id="rId218"/>
    <hyperlink ref="D222" r:id="rId219"/>
    <hyperlink ref="D223" r:id="rId220"/>
    <hyperlink ref="D224" r:id="rId221"/>
    <hyperlink ref="D225" r:id="rId222"/>
    <hyperlink ref="D226" r:id="rId223"/>
    <hyperlink ref="D227" r:id="rId224"/>
    <hyperlink ref="D228" r:id="rId225"/>
    <hyperlink ref="D229" r:id="rId226"/>
    <hyperlink ref="D230" r:id="rId227"/>
    <hyperlink ref="D231" r:id="rId228"/>
    <hyperlink ref="D232" r:id="rId229"/>
    <hyperlink ref="D233" r:id="rId230"/>
    <hyperlink ref="D234" r:id="rId231"/>
    <hyperlink ref="D235" r:id="rId232"/>
    <hyperlink ref="D236" r:id="rId233"/>
    <hyperlink ref="D237" r:id="rId234"/>
    <hyperlink ref="D238" r:id="rId235"/>
    <hyperlink ref="D239" r:id="rId236"/>
    <hyperlink ref="D240" r:id="rId237"/>
    <hyperlink ref="D241" r:id="rId238"/>
    <hyperlink ref="D242" r:id="rId239"/>
    <hyperlink ref="D243" r:id="rId240"/>
    <hyperlink ref="D244" r:id="rId241"/>
    <hyperlink ref="D245" r:id="rId242"/>
    <hyperlink ref="D246" r:id="rId243"/>
    <hyperlink ref="D247" r:id="rId244"/>
    <hyperlink ref="D248" r:id="rId245"/>
    <hyperlink ref="D249" r:id="rId246"/>
    <hyperlink ref="D250" r:id="rId247"/>
    <hyperlink ref="D251" r:id="rId248"/>
    <hyperlink ref="D252" r:id="rId249"/>
    <hyperlink ref="D253" r:id="rId250"/>
    <hyperlink ref="D254" r:id="rId251"/>
    <hyperlink ref="D255" r:id="rId252"/>
    <hyperlink ref="D256" r:id="rId253"/>
    <hyperlink ref="D257" r:id="rId254"/>
    <hyperlink ref="D258" r:id="rId255"/>
    <hyperlink ref="D259" r:id="rId256"/>
    <hyperlink ref="D260" r:id="rId257"/>
    <hyperlink ref="D261" r:id="rId258"/>
    <hyperlink ref="D262" r:id="rId259"/>
    <hyperlink ref="D263" r:id="rId260"/>
    <hyperlink ref="D264" r:id="rId261"/>
    <hyperlink ref="D265" r:id="rId262"/>
    <hyperlink ref="D266" r:id="rId263"/>
    <hyperlink ref="D267" r:id="rId264"/>
    <hyperlink ref="D268" r:id="rId265"/>
    <hyperlink ref="D269" r:id="rId266"/>
    <hyperlink ref="D270" r:id="rId267"/>
    <hyperlink ref="D271" r:id="rId268"/>
    <hyperlink ref="D272" r:id="rId269"/>
    <hyperlink ref="D273" r:id="rId270"/>
    <hyperlink ref="D274" r:id="rId271"/>
    <hyperlink ref="D275" r:id="rId272"/>
    <hyperlink ref="D276" r:id="rId273"/>
    <hyperlink ref="D277" r:id="rId274"/>
    <hyperlink ref="D278" r:id="rId275"/>
    <hyperlink ref="D279" r:id="rId276"/>
    <hyperlink ref="D280" r:id="rId277"/>
    <hyperlink ref="D281" r:id="rId278"/>
    <hyperlink ref="D282" r:id="rId279"/>
    <hyperlink ref="D283" r:id="rId280"/>
    <hyperlink ref="D284" r:id="rId281"/>
    <hyperlink ref="D285" r:id="rId282"/>
    <hyperlink ref="D286" r:id="rId283"/>
    <hyperlink ref="D287" r:id="rId284"/>
    <hyperlink ref="D288" r:id="rId285"/>
    <hyperlink ref="D289" r:id="rId286"/>
    <hyperlink ref="D290" r:id="rId287"/>
    <hyperlink ref="D291" r:id="rId288"/>
    <hyperlink ref="D292" r:id="rId289"/>
    <hyperlink ref="D293" r:id="rId290"/>
    <hyperlink ref="D294" r:id="rId291"/>
    <hyperlink ref="D295" r:id="rId292"/>
    <hyperlink ref="D296" r:id="rId293"/>
    <hyperlink ref="D297" r:id="rId294"/>
    <hyperlink ref="D298" r:id="rId295"/>
    <hyperlink ref="D299" r:id="rId296"/>
    <hyperlink ref="D300" r:id="rId297"/>
    <hyperlink ref="D301" r:id="rId298"/>
    <hyperlink ref="D302" r:id="rId299"/>
    <hyperlink ref="D303" r:id="rId300"/>
    <hyperlink ref="D304" r:id="rId301"/>
    <hyperlink ref="D305" r:id="rId302"/>
    <hyperlink ref="D306" r:id="rId303"/>
    <hyperlink ref="D307" r:id="rId304"/>
    <hyperlink ref="D308" r:id="rId305"/>
    <hyperlink ref="D309" r:id="rId306"/>
    <hyperlink ref="D310" r:id="rId307"/>
    <hyperlink ref="D311" r:id="rId308"/>
    <hyperlink ref="D312" r:id="rId309"/>
    <hyperlink ref="D313" r:id="rId310"/>
    <hyperlink ref="D314" r:id="rId311"/>
    <hyperlink ref="D315" r:id="rId312"/>
    <hyperlink ref="D316" r:id="rId313"/>
    <hyperlink ref="D317" r:id="rId314"/>
    <hyperlink ref="D318" r:id="rId315"/>
    <hyperlink ref="D319" r:id="rId316"/>
    <hyperlink ref="D320" r:id="rId317"/>
    <hyperlink ref="D321" r:id="rId318"/>
    <hyperlink ref="D322" r:id="rId319"/>
    <hyperlink ref="D323" r:id="rId320"/>
    <hyperlink ref="D324" r:id="rId321"/>
    <hyperlink ref="D325" r:id="rId322"/>
    <hyperlink ref="D326" r:id="rId323"/>
    <hyperlink ref="D327" r:id="rId324"/>
    <hyperlink ref="D328" r:id="rId325"/>
    <hyperlink ref="D329" r:id="rId326"/>
    <hyperlink ref="D330" r:id="rId327"/>
    <hyperlink ref="D331" r:id="rId328"/>
    <hyperlink ref="D332" r:id="rId329"/>
    <hyperlink ref="D333" r:id="rId330"/>
    <hyperlink ref="D334" r:id="rId331"/>
    <hyperlink ref="D335" r:id="rId332"/>
    <hyperlink ref="D336" r:id="rId333"/>
    <hyperlink ref="D337" r:id="rId334"/>
    <hyperlink ref="D338" r:id="rId335"/>
    <hyperlink ref="D339" r:id="rId336"/>
    <hyperlink ref="D340" r:id="rId337"/>
    <hyperlink ref="D341" r:id="rId338"/>
    <hyperlink ref="D342" r:id="rId339"/>
    <hyperlink ref="D343" r:id="rId340"/>
    <hyperlink ref="D344" r:id="rId341"/>
    <hyperlink ref="D345" r:id="rId342"/>
    <hyperlink ref="D346" r:id="rId343"/>
    <hyperlink ref="D347" r:id="rId344"/>
    <hyperlink ref="D348" r:id="rId345"/>
    <hyperlink ref="D349" r:id="rId346"/>
    <hyperlink ref="D350" r:id="rId347"/>
    <hyperlink ref="D351" r:id="rId348"/>
    <hyperlink ref="D352" r:id="rId349"/>
    <hyperlink ref="D353" r:id="rId350"/>
    <hyperlink ref="D354" r:id="rId351"/>
    <hyperlink ref="D355" r:id="rId352"/>
    <hyperlink ref="D356" r:id="rId353"/>
    <hyperlink ref="D357" r:id="rId354"/>
    <hyperlink ref="D358" r:id="rId355"/>
    <hyperlink ref="D359" r:id="rId356"/>
    <hyperlink ref="D360" r:id="rId357"/>
    <hyperlink ref="D361" r:id="rId358"/>
    <hyperlink ref="D362" r:id="rId359"/>
    <hyperlink ref="D363" r:id="rId360"/>
    <hyperlink ref="D364" r:id="rId361"/>
    <hyperlink ref="D365" r:id="rId362"/>
    <hyperlink ref="D366" r:id="rId363"/>
    <hyperlink ref="D367" r:id="rId364"/>
    <hyperlink ref="D368" r:id="rId365"/>
    <hyperlink ref="D369" r:id="rId366"/>
    <hyperlink ref="D370" r:id="rId367"/>
    <hyperlink ref="D371" r:id="rId368"/>
    <hyperlink ref="D372" r:id="rId369"/>
    <hyperlink ref="D373" r:id="rId370"/>
    <hyperlink ref="D374" r:id="rId371"/>
    <hyperlink ref="D375" r:id="rId372"/>
    <hyperlink ref="D376" r:id="rId373"/>
    <hyperlink ref="D377" r:id="rId374"/>
    <hyperlink ref="D378" r:id="rId375"/>
    <hyperlink ref="D379" r:id="rId376"/>
    <hyperlink ref="D380" r:id="rId377"/>
    <hyperlink ref="D381" r:id="rId378"/>
    <hyperlink ref="D382" r:id="rId379"/>
    <hyperlink ref="D383" r:id="rId380"/>
    <hyperlink ref="D384" r:id="rId381"/>
    <hyperlink ref="D385" r:id="rId382"/>
    <hyperlink ref="D386" r:id="rId383"/>
    <hyperlink ref="D387" r:id="rId384"/>
    <hyperlink ref="D388" r:id="rId385"/>
    <hyperlink ref="D389" r:id="rId386"/>
    <hyperlink ref="D390" r:id="rId387"/>
    <hyperlink ref="D391" r:id="rId388"/>
    <hyperlink ref="D392" r:id="rId389"/>
    <hyperlink ref="D393" r:id="rId390"/>
    <hyperlink ref="D394" r:id="rId391"/>
    <hyperlink ref="D395" r:id="rId392"/>
    <hyperlink ref="D396" r:id="rId393"/>
    <hyperlink ref="D397" r:id="rId394"/>
    <hyperlink ref="D398" r:id="rId395"/>
    <hyperlink ref="D399" r:id="rId396"/>
    <hyperlink ref="D400" r:id="rId397"/>
    <hyperlink ref="D401" r:id="rId398"/>
    <hyperlink ref="D402" r:id="rId399"/>
    <hyperlink ref="D403" r:id="rId400"/>
    <hyperlink ref="D404" r:id="rId401"/>
    <hyperlink ref="D405" r:id="rId402"/>
    <hyperlink ref="D406" r:id="rId403"/>
    <hyperlink ref="D407" r:id="rId404"/>
    <hyperlink ref="D408" r:id="rId405"/>
    <hyperlink ref="D409" r:id="rId406"/>
    <hyperlink ref="D410" r:id="rId407"/>
    <hyperlink ref="D411" r:id="rId408"/>
    <hyperlink ref="D412" r:id="rId409"/>
    <hyperlink ref="D413" r:id="rId410"/>
    <hyperlink ref="D414" r:id="rId411"/>
    <hyperlink ref="D415" r:id="rId412"/>
    <hyperlink ref="D416" r:id="rId413"/>
    <hyperlink ref="D417" r:id="rId414"/>
    <hyperlink ref="D418" r:id="rId415"/>
    <hyperlink ref="D419" r:id="rId416"/>
    <hyperlink ref="D420" r:id="rId417"/>
    <hyperlink ref="D421" r:id="rId418"/>
    <hyperlink ref="D422" r:id="rId419"/>
    <hyperlink ref="D423" r:id="rId420"/>
    <hyperlink ref="D424" r:id="rId421"/>
    <hyperlink ref="D425" r:id="rId422"/>
    <hyperlink ref="D426" r:id="rId423"/>
    <hyperlink ref="D427" r:id="rId424"/>
    <hyperlink ref="D428" r:id="rId425"/>
    <hyperlink ref="D429" r:id="rId426"/>
    <hyperlink ref="D430" r:id="rId427"/>
    <hyperlink ref="D431" r:id="rId428"/>
    <hyperlink ref="D432" r:id="rId429"/>
    <hyperlink ref="D433" r:id="rId430"/>
    <hyperlink ref="D434" r:id="rId431"/>
    <hyperlink ref="D435" r:id="rId432"/>
    <hyperlink ref="D436" r:id="rId433"/>
    <hyperlink ref="D437" r:id="rId434"/>
    <hyperlink ref="D438" r:id="rId435"/>
    <hyperlink ref="D439" r:id="rId436"/>
    <hyperlink ref="D440" r:id="rId437"/>
    <hyperlink ref="D441" r:id="rId438"/>
    <hyperlink ref="D442" r:id="rId439"/>
    <hyperlink ref="D443" r:id="rId440"/>
    <hyperlink ref="D444" r:id="rId441"/>
    <hyperlink ref="D445" r:id="rId442"/>
    <hyperlink ref="D446" r:id="rId443"/>
    <hyperlink ref="D447" r:id="rId444"/>
    <hyperlink ref="D448" r:id="rId445"/>
    <hyperlink ref="D449" r:id="rId446"/>
    <hyperlink ref="D450" r:id="rId447"/>
    <hyperlink ref="D451" r:id="rId448"/>
    <hyperlink ref="D452" r:id="rId449"/>
    <hyperlink ref="D453" r:id="rId450"/>
    <hyperlink ref="D454" r:id="rId451"/>
    <hyperlink ref="D455" r:id="rId452"/>
    <hyperlink ref="D456" r:id="rId453"/>
    <hyperlink ref="D457" r:id="rId454"/>
    <hyperlink ref="D458" r:id="rId455"/>
    <hyperlink ref="D459" r:id="rId456"/>
    <hyperlink ref="D460" r:id="rId457"/>
    <hyperlink ref="D461" r:id="rId458"/>
    <hyperlink ref="D462" r:id="rId459"/>
    <hyperlink ref="D463" r:id="rId460"/>
    <hyperlink ref="D464" r:id="rId461"/>
    <hyperlink ref="D465" r:id="rId462"/>
    <hyperlink ref="D466" r:id="rId463"/>
    <hyperlink ref="D467" r:id="rId464"/>
    <hyperlink ref="D468" r:id="rId465"/>
    <hyperlink ref="D469" r:id="rId466"/>
    <hyperlink ref="D470" r:id="rId467"/>
    <hyperlink ref="D471" r:id="rId468"/>
    <hyperlink ref="D472" r:id="rId469"/>
    <hyperlink ref="D473" r:id="rId470"/>
    <hyperlink ref="D474" r:id="rId471"/>
    <hyperlink ref="D475" r:id="rId472"/>
    <hyperlink ref="D476" r:id="rId473"/>
    <hyperlink ref="D477" r:id="rId474"/>
    <hyperlink ref="D478" r:id="rId475"/>
    <hyperlink ref="D479" r:id="rId476"/>
    <hyperlink ref="D480" r:id="rId477"/>
    <hyperlink ref="D481" r:id="rId478"/>
    <hyperlink ref="D482" r:id="rId479"/>
    <hyperlink ref="D483" r:id="rId480"/>
    <hyperlink ref="D484" r:id="rId481"/>
    <hyperlink ref="D485" r:id="rId482"/>
    <hyperlink ref="D486" r:id="rId483"/>
    <hyperlink ref="D487" r:id="rId484"/>
    <hyperlink ref="D488" r:id="rId485"/>
    <hyperlink ref="D489" r:id="rId486"/>
    <hyperlink ref="D490" r:id="rId487"/>
    <hyperlink ref="D491" r:id="rId488"/>
    <hyperlink ref="D492" r:id="rId489"/>
    <hyperlink ref="D493" r:id="rId490"/>
    <hyperlink ref="D494" r:id="rId491"/>
    <hyperlink ref="D495" r:id="rId492"/>
    <hyperlink ref="D496" r:id="rId493"/>
    <hyperlink ref="D497" r:id="rId494"/>
    <hyperlink ref="D498" r:id="rId495"/>
    <hyperlink ref="D499" r:id="rId496"/>
  </hyperlinks>
  <pageMargins left="0.7" right="0.7" top="0.75" bottom="0.75" header="0.3" footer="0.3"/>
  <drawing r:id="rId49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rgb="FF00B0F0"/>
  </sheetPr>
  <dimension ref="A1:O450"/>
  <sheetViews>
    <sheetView showGridLines="0" workbookViewId="0">
      <selection activeCell="C15" sqref="C15"/>
    </sheetView>
  </sheetViews>
  <sheetFormatPr defaultColWidth="10.875" defaultRowHeight="15" x14ac:dyDescent="0.2"/>
  <cols>
    <col min="1" max="1" width="11.5" style="51" bestFit="1" customWidth="1"/>
    <col min="2" max="2" width="11.375" style="51" bestFit="1" customWidth="1"/>
    <col min="3" max="3" width="43.375" style="51" bestFit="1" customWidth="1"/>
    <col min="4" max="4" width="15.625" style="51" bestFit="1" customWidth="1"/>
    <col min="5" max="6" width="43.375" style="51" bestFit="1" customWidth="1"/>
    <col min="7" max="7" width="12.875" style="51" bestFit="1" customWidth="1"/>
    <col min="8" max="8" width="9.875" style="51" customWidth="1"/>
    <col min="9" max="9" width="19.375" style="51" bestFit="1" customWidth="1"/>
    <col min="10" max="10" width="22" style="51" bestFit="1" customWidth="1"/>
    <col min="11" max="11" width="9.125" style="51" customWidth="1"/>
    <col min="12" max="12" width="15.5" style="51" bestFit="1" customWidth="1"/>
    <col min="13" max="13" width="15.875" style="51" bestFit="1" customWidth="1"/>
    <col min="14" max="14" width="15.625" style="51" bestFit="1" customWidth="1"/>
    <col min="15" max="15" width="43.375" style="51" bestFit="1" customWidth="1"/>
    <col min="16" max="16384" width="10.875" style="51"/>
  </cols>
  <sheetData>
    <row r="1" spans="1:15" ht="36" customHeight="1" x14ac:dyDescent="0.2">
      <c r="A1" s="61"/>
      <c r="B1" s="62"/>
      <c r="C1" s="62"/>
      <c r="D1" s="62"/>
      <c r="E1" s="62"/>
      <c r="F1" s="62"/>
      <c r="G1" s="62"/>
      <c r="H1" s="62"/>
      <c r="I1" s="62"/>
      <c r="J1" s="62"/>
      <c r="K1" s="62"/>
      <c r="L1" s="62"/>
      <c r="M1" s="62"/>
      <c r="N1" s="62"/>
      <c r="O1" s="63"/>
    </row>
    <row r="2" spans="1:15" ht="15.95" customHeight="1" x14ac:dyDescent="0.2">
      <c r="A2" s="64" t="s">
        <v>426</v>
      </c>
      <c r="B2" s="65"/>
      <c r="C2" s="65"/>
      <c r="D2" s="65"/>
      <c r="E2" s="65"/>
      <c r="F2" s="65"/>
      <c r="G2" s="65"/>
      <c r="H2" s="65"/>
      <c r="I2" s="65"/>
      <c r="J2" s="65"/>
      <c r="K2" s="65"/>
      <c r="L2" s="65"/>
      <c r="M2" s="65"/>
      <c r="N2" s="65"/>
      <c r="O2" s="66"/>
    </row>
    <row r="3" spans="1:15" ht="15.95" customHeight="1" x14ac:dyDescent="0.2">
      <c r="A3" s="67" t="s">
        <v>3619</v>
      </c>
      <c r="B3" s="68"/>
      <c r="C3" s="68"/>
      <c r="D3" s="68"/>
      <c r="E3" s="68"/>
      <c r="F3" s="68"/>
      <c r="G3" s="68"/>
      <c r="H3" s="68"/>
      <c r="I3" s="68"/>
      <c r="J3" s="68"/>
      <c r="K3" s="68"/>
      <c r="L3" s="68"/>
      <c r="M3" s="68"/>
      <c r="N3" s="68"/>
      <c r="O3" s="69"/>
    </row>
    <row r="4" spans="1:15" ht="31.5" x14ac:dyDescent="0.2">
      <c r="A4" s="52" t="s">
        <v>4</v>
      </c>
      <c r="B4" s="52" t="s">
        <v>5</v>
      </c>
      <c r="C4" s="52" t="s">
        <v>54</v>
      </c>
      <c r="D4" s="52" t="s">
        <v>6</v>
      </c>
      <c r="E4" s="52" t="s">
        <v>7</v>
      </c>
      <c r="F4" s="52" t="s">
        <v>53</v>
      </c>
      <c r="G4" s="52" t="s">
        <v>8</v>
      </c>
      <c r="H4" s="52" t="s">
        <v>427</v>
      </c>
      <c r="I4" s="52" t="s">
        <v>429</v>
      </c>
      <c r="J4" s="52" t="s">
        <v>428</v>
      </c>
      <c r="K4" s="52" t="s">
        <v>9</v>
      </c>
      <c r="L4" s="52" t="s">
        <v>10</v>
      </c>
      <c r="M4" s="52" t="s">
        <v>52</v>
      </c>
      <c r="N4" s="52" t="s">
        <v>51</v>
      </c>
      <c r="O4" s="52" t="s">
        <v>11</v>
      </c>
    </row>
    <row r="5" spans="1:15" ht="15.75" x14ac:dyDescent="0.2">
      <c r="A5" s="53" t="s">
        <v>12</v>
      </c>
      <c r="B5" s="53" t="s">
        <v>13</v>
      </c>
      <c r="C5" s="54" t="s">
        <v>3620</v>
      </c>
      <c r="D5" s="55" t="s">
        <v>3621</v>
      </c>
      <c r="E5" s="54" t="s">
        <v>2094</v>
      </c>
      <c r="F5" s="54"/>
      <c r="G5" s="54">
        <v>5</v>
      </c>
      <c r="H5" s="54"/>
      <c r="I5" s="54"/>
      <c r="J5" s="54"/>
      <c r="K5" s="54"/>
      <c r="L5" s="54"/>
      <c r="M5" s="54"/>
      <c r="N5" s="54"/>
      <c r="O5" s="54"/>
    </row>
    <row r="6" spans="1:15" ht="15.75" x14ac:dyDescent="0.2">
      <c r="A6" s="53" t="s">
        <v>12</v>
      </c>
      <c r="B6" s="53" t="s">
        <v>17</v>
      </c>
      <c r="C6" s="54" t="s">
        <v>3622</v>
      </c>
      <c r="D6" s="55" t="s">
        <v>3623</v>
      </c>
      <c r="E6" s="54" t="s">
        <v>1762</v>
      </c>
      <c r="F6" s="54" t="s">
        <v>3106</v>
      </c>
      <c r="G6" s="54">
        <v>8</v>
      </c>
      <c r="H6" s="54"/>
      <c r="I6" s="54"/>
      <c r="J6" s="54">
        <v>0</v>
      </c>
      <c r="K6" s="54"/>
      <c r="L6" s="54"/>
      <c r="M6" s="54"/>
      <c r="N6" s="54"/>
      <c r="O6" s="54" t="s">
        <v>3624</v>
      </c>
    </row>
    <row r="7" spans="1:15" ht="30" x14ac:dyDescent="0.2">
      <c r="A7" s="53" t="s">
        <v>12</v>
      </c>
      <c r="B7" s="53" t="s">
        <v>15</v>
      </c>
      <c r="C7" s="54" t="s">
        <v>2864</v>
      </c>
      <c r="D7" s="55" t="s">
        <v>3625</v>
      </c>
      <c r="E7" s="54" t="s">
        <v>3626</v>
      </c>
      <c r="F7" s="54" t="s">
        <v>2780</v>
      </c>
      <c r="G7" s="54">
        <v>13</v>
      </c>
      <c r="H7" s="54">
        <v>13</v>
      </c>
      <c r="I7" s="54"/>
      <c r="J7" s="54"/>
      <c r="K7" s="54"/>
      <c r="L7" s="54"/>
      <c r="M7" s="54"/>
      <c r="N7" s="54"/>
      <c r="O7" s="54" t="s">
        <v>3627</v>
      </c>
    </row>
    <row r="8" spans="1:15" ht="30" x14ac:dyDescent="0.2">
      <c r="A8" s="53" t="s">
        <v>12</v>
      </c>
      <c r="B8" s="53" t="s">
        <v>15</v>
      </c>
      <c r="C8" s="54" t="s">
        <v>3628</v>
      </c>
      <c r="D8" s="55" t="s">
        <v>3629</v>
      </c>
      <c r="E8" s="54" t="s">
        <v>2711</v>
      </c>
      <c r="F8" s="54" t="s">
        <v>2660</v>
      </c>
      <c r="G8" s="54">
        <v>13</v>
      </c>
      <c r="H8" s="54">
        <v>13</v>
      </c>
      <c r="I8" s="54"/>
      <c r="J8" s="54"/>
      <c r="K8" s="54"/>
      <c r="L8" s="54"/>
      <c r="M8" s="54"/>
      <c r="N8" s="54"/>
      <c r="O8" s="54" t="s">
        <v>2687</v>
      </c>
    </row>
    <row r="9" spans="1:15" ht="30" x14ac:dyDescent="0.2">
      <c r="A9" s="53" t="s">
        <v>12</v>
      </c>
      <c r="B9" s="53" t="s">
        <v>15</v>
      </c>
      <c r="C9" s="54" t="s">
        <v>3630</v>
      </c>
      <c r="D9" s="55" t="s">
        <v>3631</v>
      </c>
      <c r="E9" s="54" t="s">
        <v>3632</v>
      </c>
      <c r="F9" s="54" t="s">
        <v>3633</v>
      </c>
      <c r="G9" s="54">
        <v>8</v>
      </c>
      <c r="H9" s="54">
        <v>8</v>
      </c>
      <c r="I9" s="54"/>
      <c r="J9" s="54">
        <v>0</v>
      </c>
      <c r="K9" s="54"/>
      <c r="L9" s="54"/>
      <c r="M9" s="54"/>
      <c r="N9" s="54"/>
      <c r="O9" s="54" t="s">
        <v>2687</v>
      </c>
    </row>
    <row r="10" spans="1:15" ht="15.75" x14ac:dyDescent="0.2">
      <c r="A10" s="53" t="s">
        <v>12</v>
      </c>
      <c r="B10" s="53" t="s">
        <v>15</v>
      </c>
      <c r="C10" s="54" t="s">
        <v>3634</v>
      </c>
      <c r="D10" s="55" t="s">
        <v>3635</v>
      </c>
      <c r="E10" s="54" t="s">
        <v>2711</v>
      </c>
      <c r="F10" s="54" t="s">
        <v>3106</v>
      </c>
      <c r="G10" s="54">
        <v>8</v>
      </c>
      <c r="H10" s="54">
        <v>8</v>
      </c>
      <c r="I10" s="54"/>
      <c r="J10" s="54"/>
      <c r="K10" s="54"/>
      <c r="L10" s="54"/>
      <c r="M10" s="54"/>
      <c r="N10" s="54"/>
      <c r="O10" s="54" t="s">
        <v>2687</v>
      </c>
    </row>
    <row r="11" spans="1:15" ht="30" x14ac:dyDescent="0.2">
      <c r="A11" s="53" t="s">
        <v>12</v>
      </c>
      <c r="B11" s="53" t="s">
        <v>106</v>
      </c>
      <c r="C11" s="54" t="s">
        <v>3636</v>
      </c>
      <c r="D11" s="55" t="s">
        <v>3637</v>
      </c>
      <c r="E11" s="54" t="s">
        <v>1762</v>
      </c>
      <c r="F11" s="54" t="s">
        <v>3638</v>
      </c>
      <c r="G11" s="54">
        <v>8</v>
      </c>
      <c r="H11" s="54"/>
      <c r="I11" s="54">
        <v>86400</v>
      </c>
      <c r="J11" s="54">
        <v>86400</v>
      </c>
      <c r="K11" s="54"/>
      <c r="L11" s="54"/>
      <c r="M11" s="54"/>
      <c r="N11" s="54"/>
      <c r="O11" s="54" t="s">
        <v>3639</v>
      </c>
    </row>
    <row r="12" spans="1:15" ht="45" x14ac:dyDescent="0.2">
      <c r="A12" s="53" t="s">
        <v>12</v>
      </c>
      <c r="B12" s="53" t="s">
        <v>15</v>
      </c>
      <c r="C12" s="54" t="s">
        <v>3640</v>
      </c>
      <c r="D12" s="55" t="s">
        <v>2977</v>
      </c>
      <c r="E12" s="54" t="s">
        <v>2711</v>
      </c>
      <c r="F12" s="54" t="s">
        <v>3641</v>
      </c>
      <c r="G12" s="54">
        <v>20</v>
      </c>
      <c r="H12" s="54">
        <v>20</v>
      </c>
      <c r="I12" s="54">
        <v>259200</v>
      </c>
      <c r="J12" s="54">
        <v>20700</v>
      </c>
      <c r="K12" s="54"/>
      <c r="L12" s="54"/>
      <c r="M12" s="54"/>
      <c r="N12" s="54"/>
      <c r="O12" s="54" t="s">
        <v>3642</v>
      </c>
    </row>
    <row r="13" spans="1:15" ht="30" x14ac:dyDescent="0.2">
      <c r="A13" s="53" t="s">
        <v>12</v>
      </c>
      <c r="B13" s="53" t="s">
        <v>13</v>
      </c>
      <c r="C13" s="54" t="s">
        <v>3643</v>
      </c>
      <c r="D13" s="55" t="s">
        <v>3644</v>
      </c>
      <c r="E13" s="54"/>
      <c r="F13" s="54" t="s">
        <v>1013</v>
      </c>
      <c r="G13" s="54">
        <v>5</v>
      </c>
      <c r="H13" s="54"/>
      <c r="I13" s="54"/>
      <c r="J13" s="54"/>
      <c r="K13" s="54"/>
      <c r="L13" s="54"/>
      <c r="M13" s="54">
        <v>1</v>
      </c>
      <c r="N13" s="54"/>
      <c r="O13" s="54" t="s">
        <v>1449</v>
      </c>
    </row>
    <row r="14" spans="1:15" ht="60" x14ac:dyDescent="0.2">
      <c r="A14" s="53" t="s">
        <v>12</v>
      </c>
      <c r="B14" s="53" t="s">
        <v>15</v>
      </c>
      <c r="C14" s="54" t="s">
        <v>3645</v>
      </c>
      <c r="D14" s="55" t="s">
        <v>3646</v>
      </c>
      <c r="E14" s="54"/>
      <c r="F14" s="54" t="s">
        <v>3249</v>
      </c>
      <c r="G14" s="54">
        <v>3</v>
      </c>
      <c r="H14" s="54">
        <v>3</v>
      </c>
      <c r="I14" s="54"/>
      <c r="J14" s="54">
        <v>0</v>
      </c>
      <c r="K14" s="54"/>
      <c r="L14" s="54"/>
      <c r="M14" s="54">
        <v>1</v>
      </c>
      <c r="N14" s="54"/>
      <c r="O14" s="54" t="s">
        <v>2089</v>
      </c>
    </row>
    <row r="15" spans="1:15" ht="90" x14ac:dyDescent="0.2">
      <c r="A15" s="53" t="s">
        <v>12</v>
      </c>
      <c r="B15" s="53" t="s">
        <v>15</v>
      </c>
      <c r="C15" s="54" t="s">
        <v>3647</v>
      </c>
      <c r="D15" s="55" t="s">
        <v>3648</v>
      </c>
      <c r="E15" s="54" t="s">
        <v>899</v>
      </c>
      <c r="F15" s="54" t="s">
        <v>3004</v>
      </c>
      <c r="G15" s="54">
        <v>5</v>
      </c>
      <c r="H15" s="54">
        <v>5</v>
      </c>
      <c r="I15" s="54"/>
      <c r="J15" s="54">
        <v>0</v>
      </c>
      <c r="K15" s="54"/>
      <c r="L15" s="54"/>
      <c r="M15" s="54">
        <v>1</v>
      </c>
      <c r="N15" s="54"/>
      <c r="O15" s="54" t="s">
        <v>2089</v>
      </c>
    </row>
    <row r="16" spans="1:15" ht="90" x14ac:dyDescent="0.2">
      <c r="A16" s="53" t="s">
        <v>12</v>
      </c>
      <c r="B16" s="53" t="s">
        <v>16</v>
      </c>
      <c r="C16" s="54" t="s">
        <v>3649</v>
      </c>
      <c r="D16" s="55" t="s">
        <v>3650</v>
      </c>
      <c r="E16" s="54" t="s">
        <v>899</v>
      </c>
      <c r="F16" s="54" t="s">
        <v>2838</v>
      </c>
      <c r="G16" s="54">
        <v>3</v>
      </c>
      <c r="H16" s="54"/>
      <c r="I16" s="54">
        <v>0</v>
      </c>
      <c r="J16" s="54">
        <v>63000</v>
      </c>
      <c r="K16" s="54"/>
      <c r="L16" s="54"/>
      <c r="M16" s="54"/>
      <c r="N16" s="54"/>
      <c r="O16" s="54" t="s">
        <v>3651</v>
      </c>
    </row>
    <row r="17" spans="1:15" ht="30" x14ac:dyDescent="0.2">
      <c r="A17" s="53" t="s">
        <v>12</v>
      </c>
      <c r="B17" s="53" t="s">
        <v>15</v>
      </c>
      <c r="C17" s="54" t="s">
        <v>3652</v>
      </c>
      <c r="D17" s="55" t="s">
        <v>3653</v>
      </c>
      <c r="E17" s="54" t="s">
        <v>2711</v>
      </c>
      <c r="F17" s="54" t="s">
        <v>2755</v>
      </c>
      <c r="G17" s="54">
        <v>5</v>
      </c>
      <c r="H17" s="54">
        <v>5</v>
      </c>
      <c r="I17" s="54"/>
      <c r="J17" s="54"/>
      <c r="K17" s="54"/>
      <c r="L17" s="54"/>
      <c r="M17" s="54"/>
      <c r="N17" s="54"/>
      <c r="O17" s="54" t="s">
        <v>2687</v>
      </c>
    </row>
    <row r="18" spans="1:15" ht="30" x14ac:dyDescent="0.2">
      <c r="A18" s="53" t="s">
        <v>12</v>
      </c>
      <c r="B18" s="53" t="s">
        <v>15</v>
      </c>
      <c r="C18" s="54" t="s">
        <v>3654</v>
      </c>
      <c r="D18" s="55" t="s">
        <v>3655</v>
      </c>
      <c r="E18" s="54" t="s">
        <v>3656</v>
      </c>
      <c r="F18" s="54" t="s">
        <v>1024</v>
      </c>
      <c r="G18" s="54">
        <v>8</v>
      </c>
      <c r="H18" s="54">
        <v>8</v>
      </c>
      <c r="I18" s="54">
        <v>86400</v>
      </c>
      <c r="J18" s="54">
        <v>86400</v>
      </c>
      <c r="K18" s="54"/>
      <c r="L18" s="54"/>
      <c r="M18" s="54"/>
      <c r="N18" s="54"/>
      <c r="O18" s="54"/>
    </row>
    <row r="19" spans="1:15" ht="60" x14ac:dyDescent="0.2">
      <c r="A19" s="53" t="s">
        <v>12</v>
      </c>
      <c r="B19" s="53" t="s">
        <v>13</v>
      </c>
      <c r="C19" s="54" t="s">
        <v>3657</v>
      </c>
      <c r="D19" s="55" t="s">
        <v>3658</v>
      </c>
      <c r="E19" s="54" t="s">
        <v>920</v>
      </c>
      <c r="F19" s="54" t="s">
        <v>2536</v>
      </c>
      <c r="G19" s="54">
        <v>3</v>
      </c>
      <c r="H19" s="54"/>
      <c r="I19" s="54">
        <v>57600</v>
      </c>
      <c r="J19" s="54">
        <v>100800</v>
      </c>
      <c r="K19" s="54"/>
      <c r="L19" s="54"/>
      <c r="M19" s="54"/>
      <c r="N19" s="54"/>
      <c r="O19" s="54"/>
    </row>
    <row r="20" spans="1:15" ht="30" x14ac:dyDescent="0.2">
      <c r="A20" s="53" t="s">
        <v>12</v>
      </c>
      <c r="B20" s="53" t="s">
        <v>14</v>
      </c>
      <c r="C20" s="54" t="s">
        <v>3659</v>
      </c>
      <c r="D20" s="55" t="s">
        <v>3660</v>
      </c>
      <c r="E20" s="54"/>
      <c r="F20" s="54"/>
      <c r="G20" s="54"/>
      <c r="H20" s="54"/>
      <c r="I20" s="54">
        <v>0</v>
      </c>
      <c r="J20" s="54">
        <v>0</v>
      </c>
      <c r="K20" s="54"/>
      <c r="L20" s="54"/>
      <c r="M20" s="54"/>
      <c r="N20" s="54"/>
      <c r="O20" s="54" t="s">
        <v>3661</v>
      </c>
    </row>
    <row r="21" spans="1:15" ht="45" x14ac:dyDescent="0.2">
      <c r="A21" s="53" t="s">
        <v>12</v>
      </c>
      <c r="B21" s="53" t="s">
        <v>13</v>
      </c>
      <c r="C21" s="54" t="s">
        <v>3662</v>
      </c>
      <c r="D21" s="55" t="s">
        <v>3663</v>
      </c>
      <c r="E21" s="54"/>
      <c r="F21" s="54"/>
      <c r="G21" s="54"/>
      <c r="H21" s="54"/>
      <c r="I21" s="54">
        <v>0</v>
      </c>
      <c r="J21" s="54">
        <v>0</v>
      </c>
      <c r="K21" s="54"/>
      <c r="L21" s="54"/>
      <c r="M21" s="54"/>
      <c r="N21" s="54"/>
      <c r="O21" s="54" t="s">
        <v>3664</v>
      </c>
    </row>
    <row r="22" spans="1:15" ht="15.75" x14ac:dyDescent="0.2">
      <c r="A22" s="53" t="s">
        <v>12</v>
      </c>
      <c r="B22" s="53" t="s">
        <v>15</v>
      </c>
      <c r="C22" s="54" t="s">
        <v>3665</v>
      </c>
      <c r="D22" s="55" t="s">
        <v>3666</v>
      </c>
      <c r="E22" s="54"/>
      <c r="F22" s="54" t="s">
        <v>3106</v>
      </c>
      <c r="G22" s="54">
        <v>5</v>
      </c>
      <c r="H22" s="54">
        <v>5</v>
      </c>
      <c r="I22" s="54"/>
      <c r="J22" s="54">
        <v>0</v>
      </c>
      <c r="K22" s="54"/>
      <c r="L22" s="54"/>
      <c r="M22" s="54"/>
      <c r="N22" s="54"/>
      <c r="O22" s="54" t="s">
        <v>1591</v>
      </c>
    </row>
    <row r="23" spans="1:15" ht="30" x14ac:dyDescent="0.2">
      <c r="A23" s="53" t="s">
        <v>12</v>
      </c>
      <c r="B23" s="53" t="s">
        <v>15</v>
      </c>
      <c r="C23" s="54" t="s">
        <v>3667</v>
      </c>
      <c r="D23" s="55" t="s">
        <v>3668</v>
      </c>
      <c r="E23" s="54" t="s">
        <v>2026</v>
      </c>
      <c r="F23" s="54" t="s">
        <v>3238</v>
      </c>
      <c r="G23" s="54"/>
      <c r="H23" s="54"/>
      <c r="I23" s="54">
        <v>0</v>
      </c>
      <c r="J23" s="54">
        <v>0</v>
      </c>
      <c r="K23" s="54"/>
      <c r="L23" s="54"/>
      <c r="M23" s="54"/>
      <c r="N23" s="54"/>
      <c r="O23" s="54" t="s">
        <v>1591</v>
      </c>
    </row>
    <row r="24" spans="1:15" ht="60" x14ac:dyDescent="0.2">
      <c r="A24" s="53" t="s">
        <v>12</v>
      </c>
      <c r="B24" s="53" t="s">
        <v>15</v>
      </c>
      <c r="C24" s="54" t="s">
        <v>3669</v>
      </c>
      <c r="D24" s="55" t="s">
        <v>3670</v>
      </c>
      <c r="E24" s="54" t="s">
        <v>899</v>
      </c>
      <c r="F24" s="54" t="s">
        <v>3671</v>
      </c>
      <c r="G24" s="54">
        <v>5</v>
      </c>
      <c r="H24" s="54">
        <v>5</v>
      </c>
      <c r="I24" s="54">
        <v>0</v>
      </c>
      <c r="J24" s="54">
        <v>0</v>
      </c>
      <c r="K24" s="54"/>
      <c r="L24" s="54"/>
      <c r="M24" s="54"/>
      <c r="N24" s="54"/>
      <c r="O24" s="54" t="s">
        <v>3672</v>
      </c>
    </row>
    <row r="25" spans="1:15" ht="30" x14ac:dyDescent="0.2">
      <c r="A25" s="53" t="s">
        <v>12</v>
      </c>
      <c r="B25" s="53" t="s">
        <v>15</v>
      </c>
      <c r="C25" s="54" t="s">
        <v>3673</v>
      </c>
      <c r="D25" s="55" t="s">
        <v>3674</v>
      </c>
      <c r="E25" s="54"/>
      <c r="F25" s="54"/>
      <c r="G25" s="54"/>
      <c r="H25" s="54"/>
      <c r="I25" s="54"/>
      <c r="J25" s="54">
        <v>0</v>
      </c>
      <c r="K25" s="54"/>
      <c r="L25" s="54"/>
      <c r="M25" s="54"/>
      <c r="N25" s="54"/>
      <c r="O25" s="54" t="s">
        <v>3675</v>
      </c>
    </row>
    <row r="26" spans="1:15" ht="60" x14ac:dyDescent="0.2">
      <c r="A26" s="53" t="s">
        <v>12</v>
      </c>
      <c r="B26" s="53" t="s">
        <v>16</v>
      </c>
      <c r="C26" s="54" t="s">
        <v>3676</v>
      </c>
      <c r="D26" s="55" t="s">
        <v>3677</v>
      </c>
      <c r="E26" s="54" t="s">
        <v>899</v>
      </c>
      <c r="F26" s="54" t="s">
        <v>2536</v>
      </c>
      <c r="G26" s="54">
        <v>3</v>
      </c>
      <c r="H26" s="54"/>
      <c r="I26" s="54">
        <v>0</v>
      </c>
      <c r="J26" s="54">
        <v>0</v>
      </c>
      <c r="K26" s="54"/>
      <c r="L26" s="54"/>
      <c r="M26" s="54"/>
      <c r="N26" s="54"/>
      <c r="O26" s="54" t="s">
        <v>3678</v>
      </c>
    </row>
    <row r="27" spans="1:15" ht="30" x14ac:dyDescent="0.2">
      <c r="A27" s="53" t="s">
        <v>12</v>
      </c>
      <c r="B27" s="53" t="s">
        <v>15</v>
      </c>
      <c r="C27" s="54" t="s">
        <v>3679</v>
      </c>
      <c r="D27" s="55" t="s">
        <v>3680</v>
      </c>
      <c r="E27" s="54" t="s">
        <v>2711</v>
      </c>
      <c r="F27" s="54" t="s">
        <v>3106</v>
      </c>
      <c r="G27" s="54">
        <v>5</v>
      </c>
      <c r="H27" s="54">
        <v>5</v>
      </c>
      <c r="I27" s="54"/>
      <c r="J27" s="54">
        <v>0</v>
      </c>
      <c r="K27" s="54"/>
      <c r="L27" s="54"/>
      <c r="M27" s="54"/>
      <c r="N27" s="54"/>
      <c r="O27" s="54" t="s">
        <v>2901</v>
      </c>
    </row>
    <row r="28" spans="1:15" ht="30" x14ac:dyDescent="0.2">
      <c r="A28" s="53" t="s">
        <v>12</v>
      </c>
      <c r="B28" s="53" t="s">
        <v>15</v>
      </c>
      <c r="C28" s="54" t="s">
        <v>3681</v>
      </c>
      <c r="D28" s="55" t="s">
        <v>3682</v>
      </c>
      <c r="E28" s="54" t="s">
        <v>2711</v>
      </c>
      <c r="F28" s="54" t="s">
        <v>3106</v>
      </c>
      <c r="G28" s="54">
        <v>8</v>
      </c>
      <c r="H28" s="54">
        <v>8</v>
      </c>
      <c r="I28" s="54"/>
      <c r="J28" s="54">
        <v>0</v>
      </c>
      <c r="K28" s="54"/>
      <c r="L28" s="54"/>
      <c r="M28" s="54"/>
      <c r="N28" s="54"/>
      <c r="O28" s="54" t="s">
        <v>2901</v>
      </c>
    </row>
    <row r="29" spans="1:15" ht="30" x14ac:dyDescent="0.2">
      <c r="A29" s="53" t="s">
        <v>12</v>
      </c>
      <c r="B29" s="53" t="s">
        <v>15</v>
      </c>
      <c r="C29" s="54" t="s">
        <v>3683</v>
      </c>
      <c r="D29" s="55" t="s">
        <v>3684</v>
      </c>
      <c r="E29" s="54" t="s">
        <v>2026</v>
      </c>
      <c r="F29" s="54" t="s">
        <v>3218</v>
      </c>
      <c r="G29" s="54">
        <v>8</v>
      </c>
      <c r="H29" s="54">
        <v>8</v>
      </c>
      <c r="I29" s="54">
        <v>144000</v>
      </c>
      <c r="J29" s="54">
        <v>0</v>
      </c>
      <c r="K29" s="54"/>
      <c r="L29" s="54"/>
      <c r="M29" s="54"/>
      <c r="N29" s="54"/>
      <c r="O29" s="54" t="s">
        <v>3685</v>
      </c>
    </row>
    <row r="30" spans="1:15" ht="30" x14ac:dyDescent="0.2">
      <c r="A30" s="53" t="s">
        <v>12</v>
      </c>
      <c r="B30" s="53" t="s">
        <v>15</v>
      </c>
      <c r="C30" s="54" t="s">
        <v>3686</v>
      </c>
      <c r="D30" s="55" t="s">
        <v>3687</v>
      </c>
      <c r="E30" s="54" t="s">
        <v>2026</v>
      </c>
      <c r="F30" s="54" t="s">
        <v>3218</v>
      </c>
      <c r="G30" s="54">
        <v>5</v>
      </c>
      <c r="H30" s="54">
        <v>5</v>
      </c>
      <c r="I30" s="54">
        <v>86400</v>
      </c>
      <c r="J30" s="54">
        <v>0</v>
      </c>
      <c r="K30" s="54"/>
      <c r="L30" s="54"/>
      <c r="M30" s="54"/>
      <c r="N30" s="54"/>
      <c r="O30" s="54" t="s">
        <v>3215</v>
      </c>
    </row>
    <row r="31" spans="1:15" ht="15.75" x14ac:dyDescent="0.2">
      <c r="A31" s="53" t="s">
        <v>12</v>
      </c>
      <c r="B31" s="53" t="s">
        <v>16</v>
      </c>
      <c r="C31" s="54" t="s">
        <v>3688</v>
      </c>
      <c r="D31" s="55" t="s">
        <v>3689</v>
      </c>
      <c r="E31" s="54" t="s">
        <v>2026</v>
      </c>
      <c r="F31" s="54" t="s">
        <v>1413</v>
      </c>
      <c r="G31" s="54">
        <v>5</v>
      </c>
      <c r="H31" s="54"/>
      <c r="I31" s="54">
        <v>86400</v>
      </c>
      <c r="J31" s="54">
        <v>86400</v>
      </c>
      <c r="K31" s="54"/>
      <c r="L31" s="54"/>
      <c r="M31" s="54"/>
      <c r="N31" s="54"/>
      <c r="O31" s="54" t="s">
        <v>3690</v>
      </c>
    </row>
    <row r="32" spans="1:15" ht="15.75" x14ac:dyDescent="0.2">
      <c r="A32" s="53" t="s">
        <v>12</v>
      </c>
      <c r="B32" s="53" t="s">
        <v>15</v>
      </c>
      <c r="C32" s="54" t="s">
        <v>3691</v>
      </c>
      <c r="D32" s="55" t="s">
        <v>3692</v>
      </c>
      <c r="E32" s="54"/>
      <c r="F32" s="54" t="s">
        <v>3693</v>
      </c>
      <c r="G32" s="54"/>
      <c r="H32" s="54"/>
      <c r="I32" s="54">
        <v>7200</v>
      </c>
      <c r="J32" s="54">
        <v>0</v>
      </c>
      <c r="K32" s="54"/>
      <c r="L32" s="54"/>
      <c r="M32" s="54"/>
      <c r="N32" s="54"/>
      <c r="O32" s="54" t="s">
        <v>3694</v>
      </c>
    </row>
    <row r="33" spans="1:15" ht="15.75" x14ac:dyDescent="0.2">
      <c r="A33" s="53" t="s">
        <v>12</v>
      </c>
      <c r="B33" s="53" t="s">
        <v>15</v>
      </c>
      <c r="C33" s="54" t="s">
        <v>3695</v>
      </c>
      <c r="D33" s="55" t="s">
        <v>3696</v>
      </c>
      <c r="E33" s="54"/>
      <c r="F33" s="54" t="s">
        <v>3693</v>
      </c>
      <c r="G33" s="54"/>
      <c r="H33" s="54"/>
      <c r="I33" s="54">
        <v>7200</v>
      </c>
      <c r="J33" s="54">
        <v>0</v>
      </c>
      <c r="K33" s="54"/>
      <c r="L33" s="54"/>
      <c r="M33" s="54"/>
      <c r="N33" s="54"/>
      <c r="O33" s="54" t="s">
        <v>3694</v>
      </c>
    </row>
    <row r="34" spans="1:15" ht="15.75" x14ac:dyDescent="0.2">
      <c r="A34" s="53" t="s">
        <v>12</v>
      </c>
      <c r="B34" s="53" t="s">
        <v>15</v>
      </c>
      <c r="C34" s="54" t="s">
        <v>3697</v>
      </c>
      <c r="D34" s="55" t="s">
        <v>3698</v>
      </c>
      <c r="E34" s="54"/>
      <c r="F34" s="54" t="s">
        <v>3693</v>
      </c>
      <c r="G34" s="54"/>
      <c r="H34" s="54"/>
      <c r="I34" s="54">
        <v>7200</v>
      </c>
      <c r="J34" s="54">
        <v>0</v>
      </c>
      <c r="K34" s="54"/>
      <c r="L34" s="54"/>
      <c r="M34" s="54"/>
      <c r="N34" s="54"/>
      <c r="O34" s="54" t="s">
        <v>3699</v>
      </c>
    </row>
    <row r="35" spans="1:15" ht="45" x14ac:dyDescent="0.2">
      <c r="A35" s="53" t="s">
        <v>12</v>
      </c>
      <c r="B35" s="53" t="s">
        <v>15</v>
      </c>
      <c r="C35" s="54" t="s">
        <v>3700</v>
      </c>
      <c r="D35" s="55" t="s">
        <v>3701</v>
      </c>
      <c r="E35" s="54"/>
      <c r="F35" s="54" t="s">
        <v>3693</v>
      </c>
      <c r="G35" s="54"/>
      <c r="H35" s="54"/>
      <c r="I35" s="54">
        <v>7200</v>
      </c>
      <c r="J35" s="54">
        <v>0</v>
      </c>
      <c r="K35" s="54"/>
      <c r="L35" s="54"/>
      <c r="M35" s="54"/>
      <c r="N35" s="54"/>
      <c r="O35" s="54" t="s">
        <v>3702</v>
      </c>
    </row>
    <row r="36" spans="1:15" ht="30" x14ac:dyDescent="0.2">
      <c r="A36" s="53" t="s">
        <v>12</v>
      </c>
      <c r="B36" s="53" t="s">
        <v>15</v>
      </c>
      <c r="C36" s="54" t="s">
        <v>3703</v>
      </c>
      <c r="D36" s="55" t="s">
        <v>3704</v>
      </c>
      <c r="E36" s="54"/>
      <c r="F36" s="54" t="s">
        <v>3705</v>
      </c>
      <c r="G36" s="54">
        <v>2</v>
      </c>
      <c r="H36" s="54">
        <v>2</v>
      </c>
      <c r="I36" s="54">
        <v>7200</v>
      </c>
      <c r="J36" s="54">
        <v>0</v>
      </c>
      <c r="K36" s="54"/>
      <c r="L36" s="54"/>
      <c r="M36" s="54"/>
      <c r="N36" s="54"/>
      <c r="O36" s="54" t="s">
        <v>1460</v>
      </c>
    </row>
    <row r="37" spans="1:15" ht="105" x14ac:dyDescent="0.2">
      <c r="A37" s="53" t="s">
        <v>12</v>
      </c>
      <c r="B37" s="53" t="s">
        <v>16</v>
      </c>
      <c r="C37" s="54" t="s">
        <v>3706</v>
      </c>
      <c r="D37" s="55" t="s">
        <v>3707</v>
      </c>
      <c r="E37" s="54" t="s">
        <v>899</v>
      </c>
      <c r="F37" s="54" t="s">
        <v>3260</v>
      </c>
      <c r="G37" s="54">
        <v>1</v>
      </c>
      <c r="H37" s="54"/>
      <c r="I37" s="54"/>
      <c r="J37" s="54">
        <v>0</v>
      </c>
      <c r="K37" s="54"/>
      <c r="L37" s="54"/>
      <c r="M37" s="54"/>
      <c r="N37" s="54"/>
      <c r="O37" s="54" t="s">
        <v>3708</v>
      </c>
    </row>
    <row r="38" spans="1:15" ht="30" x14ac:dyDescent="0.2">
      <c r="A38" s="53" t="s">
        <v>12</v>
      </c>
      <c r="B38" s="53" t="s">
        <v>13</v>
      </c>
      <c r="C38" s="54" t="s">
        <v>3709</v>
      </c>
      <c r="D38" s="55" t="s">
        <v>3710</v>
      </c>
      <c r="E38" s="54" t="s">
        <v>417</v>
      </c>
      <c r="F38" s="54"/>
      <c r="G38" s="54">
        <v>8</v>
      </c>
      <c r="H38" s="54"/>
      <c r="I38" s="54">
        <v>86400</v>
      </c>
      <c r="J38" s="54">
        <v>86400</v>
      </c>
      <c r="K38" s="54"/>
      <c r="L38" s="54"/>
      <c r="M38" s="54"/>
      <c r="N38" s="54"/>
      <c r="O38" s="54" t="s">
        <v>3711</v>
      </c>
    </row>
    <row r="39" spans="1:15" ht="30" x14ac:dyDescent="0.2">
      <c r="A39" s="53" t="s">
        <v>12</v>
      </c>
      <c r="B39" s="53" t="s">
        <v>13</v>
      </c>
      <c r="C39" s="54" t="s">
        <v>3712</v>
      </c>
      <c r="D39" s="55" t="s">
        <v>3713</v>
      </c>
      <c r="E39" s="54" t="s">
        <v>417</v>
      </c>
      <c r="F39" s="54"/>
      <c r="G39" s="54">
        <v>8</v>
      </c>
      <c r="H39" s="54"/>
      <c r="I39" s="54">
        <v>86400</v>
      </c>
      <c r="J39" s="54">
        <v>86400</v>
      </c>
      <c r="K39" s="54"/>
      <c r="L39" s="54"/>
      <c r="M39" s="54"/>
      <c r="N39" s="54"/>
      <c r="O39" s="54" t="s">
        <v>3714</v>
      </c>
    </row>
    <row r="40" spans="1:15" ht="30" x14ac:dyDescent="0.2">
      <c r="A40" s="53" t="s">
        <v>12</v>
      </c>
      <c r="B40" s="53" t="s">
        <v>13</v>
      </c>
      <c r="C40" s="54" t="s">
        <v>3715</v>
      </c>
      <c r="D40" s="55" t="s">
        <v>3716</v>
      </c>
      <c r="E40" s="54" t="s">
        <v>417</v>
      </c>
      <c r="F40" s="54"/>
      <c r="G40" s="54">
        <v>8</v>
      </c>
      <c r="H40" s="54"/>
      <c r="I40" s="54">
        <v>115200</v>
      </c>
      <c r="J40" s="54">
        <v>115200</v>
      </c>
      <c r="K40" s="54"/>
      <c r="L40" s="54"/>
      <c r="M40" s="54"/>
      <c r="N40" s="54"/>
      <c r="O40" s="54" t="s">
        <v>3717</v>
      </c>
    </row>
    <row r="41" spans="1:15" ht="30" x14ac:dyDescent="0.2">
      <c r="A41" s="53" t="s">
        <v>12</v>
      </c>
      <c r="B41" s="53" t="s">
        <v>13</v>
      </c>
      <c r="C41" s="54" t="s">
        <v>3718</v>
      </c>
      <c r="D41" s="55" t="s">
        <v>3719</v>
      </c>
      <c r="E41" s="54" t="s">
        <v>417</v>
      </c>
      <c r="F41" s="54"/>
      <c r="G41" s="54">
        <v>8</v>
      </c>
      <c r="H41" s="54"/>
      <c r="I41" s="54">
        <v>288000</v>
      </c>
      <c r="J41" s="54">
        <v>288000</v>
      </c>
      <c r="K41" s="54"/>
      <c r="L41" s="54"/>
      <c r="M41" s="54"/>
      <c r="N41" s="54"/>
      <c r="O41" s="54" t="s">
        <v>3720</v>
      </c>
    </row>
    <row r="42" spans="1:15" ht="30" x14ac:dyDescent="0.2">
      <c r="A42" s="53" t="s">
        <v>12</v>
      </c>
      <c r="B42" s="53" t="s">
        <v>15</v>
      </c>
      <c r="C42" s="54" t="s">
        <v>3721</v>
      </c>
      <c r="D42" s="55" t="s">
        <v>2758</v>
      </c>
      <c r="E42" s="54" t="s">
        <v>920</v>
      </c>
      <c r="F42" s="54" t="s">
        <v>2426</v>
      </c>
      <c r="G42" s="54">
        <v>3</v>
      </c>
      <c r="H42" s="54">
        <v>3</v>
      </c>
      <c r="I42" s="54">
        <v>57600</v>
      </c>
      <c r="J42" s="54">
        <v>57600</v>
      </c>
      <c r="K42" s="54"/>
      <c r="L42" s="54"/>
      <c r="M42" s="54"/>
      <c r="N42" s="54"/>
      <c r="O42" s="54" t="s">
        <v>3722</v>
      </c>
    </row>
    <row r="43" spans="1:15" ht="45" x14ac:dyDescent="0.2">
      <c r="A43" s="53" t="s">
        <v>12</v>
      </c>
      <c r="B43" s="53" t="s">
        <v>15</v>
      </c>
      <c r="C43" s="54" t="s">
        <v>3723</v>
      </c>
      <c r="D43" s="55" t="s">
        <v>3724</v>
      </c>
      <c r="E43" s="54" t="s">
        <v>3105</v>
      </c>
      <c r="F43" s="54" t="s">
        <v>3725</v>
      </c>
      <c r="G43" s="54"/>
      <c r="H43" s="54"/>
      <c r="I43" s="54">
        <v>0</v>
      </c>
      <c r="J43" s="54">
        <v>0</v>
      </c>
      <c r="K43" s="54"/>
      <c r="L43" s="54"/>
      <c r="M43" s="54"/>
      <c r="N43" s="54"/>
      <c r="O43" s="54"/>
    </row>
    <row r="44" spans="1:15" ht="15.75" x14ac:dyDescent="0.2">
      <c r="A44" s="53" t="s">
        <v>12</v>
      </c>
      <c r="B44" s="53" t="s">
        <v>15</v>
      </c>
      <c r="C44" s="54" t="s">
        <v>3726</v>
      </c>
      <c r="D44" s="55" t="s">
        <v>3727</v>
      </c>
      <c r="E44" s="54"/>
      <c r="F44" s="54" t="s">
        <v>3106</v>
      </c>
      <c r="G44" s="54">
        <v>5</v>
      </c>
      <c r="H44" s="54">
        <v>5</v>
      </c>
      <c r="I44" s="54"/>
      <c r="J44" s="54"/>
      <c r="K44" s="54"/>
      <c r="L44" s="54"/>
      <c r="M44" s="54"/>
      <c r="N44" s="54"/>
      <c r="O44" s="54" t="s">
        <v>1591</v>
      </c>
    </row>
    <row r="45" spans="1:15" ht="30" x14ac:dyDescent="0.2">
      <c r="A45" s="53" t="s">
        <v>12</v>
      </c>
      <c r="B45" s="53" t="s">
        <v>15</v>
      </c>
      <c r="C45" s="54" t="s">
        <v>3728</v>
      </c>
      <c r="D45" s="55" t="s">
        <v>3729</v>
      </c>
      <c r="E45" s="54" t="s">
        <v>920</v>
      </c>
      <c r="F45" s="54" t="s">
        <v>2426</v>
      </c>
      <c r="G45" s="54">
        <v>5</v>
      </c>
      <c r="H45" s="54">
        <v>5</v>
      </c>
      <c r="I45" s="54">
        <v>86400</v>
      </c>
      <c r="J45" s="54">
        <v>0</v>
      </c>
      <c r="K45" s="54"/>
      <c r="L45" s="54"/>
      <c r="M45" s="54"/>
      <c r="N45" s="54"/>
      <c r="O45" s="54"/>
    </row>
    <row r="46" spans="1:15" ht="30" x14ac:dyDescent="0.2">
      <c r="A46" s="53" t="s">
        <v>12</v>
      </c>
      <c r="B46" s="53" t="s">
        <v>13</v>
      </c>
      <c r="C46" s="54" t="s">
        <v>3730</v>
      </c>
      <c r="D46" s="55" t="s">
        <v>3731</v>
      </c>
      <c r="E46" s="54" t="s">
        <v>417</v>
      </c>
      <c r="F46" s="54" t="s">
        <v>1413</v>
      </c>
      <c r="G46" s="54">
        <v>8</v>
      </c>
      <c r="H46" s="54"/>
      <c r="I46" s="54">
        <v>172800</v>
      </c>
      <c r="J46" s="54">
        <v>172800</v>
      </c>
      <c r="K46" s="54"/>
      <c r="L46" s="54"/>
      <c r="M46" s="54"/>
      <c r="N46" s="54"/>
      <c r="O46" s="54"/>
    </row>
    <row r="47" spans="1:15" ht="30" x14ac:dyDescent="0.2">
      <c r="A47" s="53" t="s">
        <v>12</v>
      </c>
      <c r="B47" s="53" t="s">
        <v>15</v>
      </c>
      <c r="C47" s="54" t="s">
        <v>3732</v>
      </c>
      <c r="D47" s="55" t="s">
        <v>3733</v>
      </c>
      <c r="E47" s="54" t="s">
        <v>3656</v>
      </c>
      <c r="F47" s="54" t="s">
        <v>1024</v>
      </c>
      <c r="G47" s="54">
        <v>8</v>
      </c>
      <c r="H47" s="54">
        <v>8</v>
      </c>
      <c r="I47" s="54">
        <v>86400</v>
      </c>
      <c r="J47" s="54">
        <v>86400</v>
      </c>
      <c r="K47" s="54"/>
      <c r="L47" s="54"/>
      <c r="M47" s="54"/>
      <c r="N47" s="54"/>
      <c r="O47" s="54" t="s">
        <v>1495</v>
      </c>
    </row>
    <row r="48" spans="1:15" ht="105" x14ac:dyDescent="0.2">
      <c r="A48" s="53" t="s">
        <v>12</v>
      </c>
      <c r="B48" s="53" t="s">
        <v>16</v>
      </c>
      <c r="C48" s="54" t="s">
        <v>3734</v>
      </c>
      <c r="D48" s="55" t="s">
        <v>3735</v>
      </c>
      <c r="E48" s="54" t="s">
        <v>899</v>
      </c>
      <c r="F48" s="54" t="s">
        <v>3260</v>
      </c>
      <c r="G48" s="54">
        <v>13</v>
      </c>
      <c r="H48" s="54"/>
      <c r="I48" s="54">
        <v>14400</v>
      </c>
      <c r="J48" s="54">
        <v>14400</v>
      </c>
      <c r="K48" s="54"/>
      <c r="L48" s="54"/>
      <c r="M48" s="54"/>
      <c r="N48" s="54"/>
      <c r="O48" s="54" t="s">
        <v>3736</v>
      </c>
    </row>
    <row r="49" spans="1:15" ht="90" x14ac:dyDescent="0.2">
      <c r="A49" s="53" t="s">
        <v>12</v>
      </c>
      <c r="B49" s="53" t="s">
        <v>16</v>
      </c>
      <c r="C49" s="54" t="s">
        <v>3737</v>
      </c>
      <c r="D49" s="55" t="s">
        <v>3738</v>
      </c>
      <c r="E49" s="54" t="s">
        <v>899</v>
      </c>
      <c r="F49" s="54" t="s">
        <v>2838</v>
      </c>
      <c r="G49" s="54">
        <v>3</v>
      </c>
      <c r="H49" s="54"/>
      <c r="I49" s="54"/>
      <c r="J49" s="54"/>
      <c r="K49" s="54"/>
      <c r="L49" s="54"/>
      <c r="M49" s="54"/>
      <c r="N49" s="54"/>
      <c r="O49" s="54" t="s">
        <v>3739</v>
      </c>
    </row>
    <row r="50" spans="1:15" ht="90" x14ac:dyDescent="0.2">
      <c r="A50" s="53" t="s">
        <v>12</v>
      </c>
      <c r="B50" s="53" t="s">
        <v>16</v>
      </c>
      <c r="C50" s="54" t="s">
        <v>3740</v>
      </c>
      <c r="D50" s="55" t="s">
        <v>3741</v>
      </c>
      <c r="E50" s="54" t="s">
        <v>899</v>
      </c>
      <c r="F50" s="54" t="s">
        <v>2838</v>
      </c>
      <c r="G50" s="54">
        <v>3</v>
      </c>
      <c r="H50" s="54"/>
      <c r="I50" s="54">
        <v>0</v>
      </c>
      <c r="J50" s="54">
        <v>0</v>
      </c>
      <c r="K50" s="54"/>
      <c r="L50" s="54"/>
      <c r="M50" s="54"/>
      <c r="N50" s="54"/>
      <c r="O50" s="54" t="s">
        <v>3742</v>
      </c>
    </row>
    <row r="51" spans="1:15" ht="30" x14ac:dyDescent="0.2">
      <c r="A51" s="53" t="s">
        <v>12</v>
      </c>
      <c r="B51" s="53" t="s">
        <v>15</v>
      </c>
      <c r="C51" s="54" t="s">
        <v>3743</v>
      </c>
      <c r="D51" s="55" t="s">
        <v>3744</v>
      </c>
      <c r="E51" s="54" t="s">
        <v>3745</v>
      </c>
      <c r="F51" s="54" t="s">
        <v>3725</v>
      </c>
      <c r="G51" s="54"/>
      <c r="H51" s="54"/>
      <c r="I51" s="54"/>
      <c r="J51" s="54"/>
      <c r="K51" s="54"/>
      <c r="L51" s="54"/>
      <c r="M51" s="54"/>
      <c r="N51" s="54"/>
      <c r="O51" s="54"/>
    </row>
    <row r="52" spans="1:15" ht="15.75" x14ac:dyDescent="0.2">
      <c r="A52" s="53" t="s">
        <v>12</v>
      </c>
      <c r="B52" s="53" t="s">
        <v>15</v>
      </c>
      <c r="C52" s="54" t="s">
        <v>3746</v>
      </c>
      <c r="D52" s="55" t="s">
        <v>3747</v>
      </c>
      <c r="E52" s="54" t="s">
        <v>1550</v>
      </c>
      <c r="F52" s="54" t="s">
        <v>3748</v>
      </c>
      <c r="G52" s="54">
        <v>5</v>
      </c>
      <c r="H52" s="54">
        <v>5</v>
      </c>
      <c r="I52" s="54">
        <v>144000</v>
      </c>
      <c r="J52" s="54">
        <v>28800</v>
      </c>
      <c r="K52" s="54"/>
      <c r="L52" s="54"/>
      <c r="M52" s="54"/>
      <c r="N52" s="54"/>
      <c r="O52" s="54" t="s">
        <v>3749</v>
      </c>
    </row>
    <row r="53" spans="1:15" ht="90" x14ac:dyDescent="0.2">
      <c r="A53" s="53" t="s">
        <v>12</v>
      </c>
      <c r="B53" s="53" t="s">
        <v>16</v>
      </c>
      <c r="C53" s="54" t="s">
        <v>3750</v>
      </c>
      <c r="D53" s="55" t="s">
        <v>3751</v>
      </c>
      <c r="E53" s="54" t="s">
        <v>899</v>
      </c>
      <c r="F53" s="54" t="s">
        <v>3114</v>
      </c>
      <c r="G53" s="54"/>
      <c r="H53" s="54"/>
      <c r="I53" s="54">
        <v>0</v>
      </c>
      <c r="J53" s="54">
        <v>0</v>
      </c>
      <c r="K53" s="54"/>
      <c r="L53" s="54"/>
      <c r="M53" s="54"/>
      <c r="N53" s="54"/>
      <c r="O53" s="54" t="s">
        <v>3752</v>
      </c>
    </row>
    <row r="54" spans="1:15" ht="30" x14ac:dyDescent="0.2">
      <c r="A54" s="53" t="s">
        <v>12</v>
      </c>
      <c r="B54" s="53" t="s">
        <v>15</v>
      </c>
      <c r="C54" s="54" t="s">
        <v>3753</v>
      </c>
      <c r="D54" s="55" t="s">
        <v>3754</v>
      </c>
      <c r="E54" s="54" t="s">
        <v>3745</v>
      </c>
      <c r="F54" s="54" t="s">
        <v>3725</v>
      </c>
      <c r="G54" s="54">
        <v>13</v>
      </c>
      <c r="H54" s="54">
        <v>13</v>
      </c>
      <c r="I54" s="54"/>
      <c r="J54" s="54"/>
      <c r="K54" s="54"/>
      <c r="L54" s="54"/>
      <c r="M54" s="54"/>
      <c r="N54" s="54"/>
      <c r="O54" s="54"/>
    </row>
    <row r="55" spans="1:15" ht="30" x14ac:dyDescent="0.2">
      <c r="A55" s="53" t="s">
        <v>12</v>
      </c>
      <c r="B55" s="53" t="s">
        <v>13</v>
      </c>
      <c r="C55" s="54" t="s">
        <v>3755</v>
      </c>
      <c r="D55" s="55" t="s">
        <v>3756</v>
      </c>
      <c r="E55" s="54" t="s">
        <v>2026</v>
      </c>
      <c r="F55" s="54"/>
      <c r="G55" s="54">
        <v>8</v>
      </c>
      <c r="H55" s="54"/>
      <c r="I55" s="54">
        <v>230400</v>
      </c>
      <c r="J55" s="54">
        <v>86400</v>
      </c>
      <c r="K55" s="54"/>
      <c r="L55" s="54"/>
      <c r="M55" s="54"/>
      <c r="N55" s="54"/>
      <c r="O55" s="54"/>
    </row>
    <row r="56" spans="1:15" ht="15.75" x14ac:dyDescent="0.2">
      <c r="A56" s="53" t="s">
        <v>12</v>
      </c>
      <c r="B56" s="53" t="s">
        <v>15</v>
      </c>
      <c r="C56" s="54" t="s">
        <v>3757</v>
      </c>
      <c r="D56" s="55" t="s">
        <v>3758</v>
      </c>
      <c r="E56" s="54" t="s">
        <v>2026</v>
      </c>
      <c r="F56" s="54" t="s">
        <v>3238</v>
      </c>
      <c r="G56" s="54">
        <v>8</v>
      </c>
      <c r="H56" s="54">
        <v>8</v>
      </c>
      <c r="I56" s="54">
        <v>57600</v>
      </c>
      <c r="J56" s="54">
        <v>0</v>
      </c>
      <c r="K56" s="54"/>
      <c r="L56" s="54"/>
      <c r="M56" s="54"/>
      <c r="N56" s="54"/>
      <c r="O56" s="54" t="s">
        <v>3759</v>
      </c>
    </row>
    <row r="57" spans="1:15" ht="30" x14ac:dyDescent="0.2">
      <c r="A57" s="53" t="s">
        <v>12</v>
      </c>
      <c r="B57" s="53" t="s">
        <v>15</v>
      </c>
      <c r="C57" s="54" t="s">
        <v>3760</v>
      </c>
      <c r="D57" s="55" t="s">
        <v>3761</v>
      </c>
      <c r="E57" s="54"/>
      <c r="F57" s="54" t="s">
        <v>2426</v>
      </c>
      <c r="G57" s="54">
        <v>1</v>
      </c>
      <c r="H57" s="54">
        <v>1</v>
      </c>
      <c r="I57" s="54"/>
      <c r="J57" s="54">
        <v>0</v>
      </c>
      <c r="K57" s="54"/>
      <c r="L57" s="54"/>
      <c r="M57" s="54"/>
      <c r="N57" s="54"/>
      <c r="O57" s="54" t="s">
        <v>3762</v>
      </c>
    </row>
    <row r="58" spans="1:15" ht="30" x14ac:dyDescent="0.2">
      <c r="A58" s="53" t="s">
        <v>12</v>
      </c>
      <c r="B58" s="53" t="s">
        <v>15</v>
      </c>
      <c r="C58" s="54" t="s">
        <v>3763</v>
      </c>
      <c r="D58" s="55" t="s">
        <v>3764</v>
      </c>
      <c r="E58" s="54"/>
      <c r="F58" s="54" t="s">
        <v>3373</v>
      </c>
      <c r="G58" s="54">
        <v>1</v>
      </c>
      <c r="H58" s="54"/>
      <c r="I58" s="54"/>
      <c r="J58" s="54"/>
      <c r="K58" s="54"/>
      <c r="L58" s="54"/>
      <c r="M58" s="54"/>
      <c r="N58" s="54"/>
      <c r="O58" s="54" t="s">
        <v>3765</v>
      </c>
    </row>
    <row r="59" spans="1:15" ht="15.75" x14ac:dyDescent="0.2">
      <c r="A59" s="53" t="s">
        <v>12</v>
      </c>
      <c r="B59" s="53" t="s">
        <v>15</v>
      </c>
      <c r="C59" s="54" t="s">
        <v>3766</v>
      </c>
      <c r="D59" s="55" t="s">
        <v>3767</v>
      </c>
      <c r="E59" s="54"/>
      <c r="F59" s="54" t="s">
        <v>3373</v>
      </c>
      <c r="G59" s="54">
        <v>1</v>
      </c>
      <c r="H59" s="54"/>
      <c r="I59" s="54"/>
      <c r="J59" s="54"/>
      <c r="K59" s="54"/>
      <c r="L59" s="54"/>
      <c r="M59" s="54"/>
      <c r="N59" s="54"/>
      <c r="O59" s="54" t="s">
        <v>3765</v>
      </c>
    </row>
    <row r="60" spans="1:15" ht="60" x14ac:dyDescent="0.2">
      <c r="A60" s="53" t="s">
        <v>12</v>
      </c>
      <c r="B60" s="53" t="s">
        <v>15</v>
      </c>
      <c r="C60" s="54" t="s">
        <v>3768</v>
      </c>
      <c r="D60" s="55" t="s">
        <v>3769</v>
      </c>
      <c r="E60" s="54"/>
      <c r="F60" s="54" t="s">
        <v>3770</v>
      </c>
      <c r="G60" s="54">
        <v>2</v>
      </c>
      <c r="H60" s="54">
        <v>2</v>
      </c>
      <c r="I60" s="54"/>
      <c r="J60" s="54">
        <v>0</v>
      </c>
      <c r="K60" s="54"/>
      <c r="L60" s="54"/>
      <c r="M60" s="54"/>
      <c r="N60" s="54"/>
      <c r="O60" s="54" t="s">
        <v>3771</v>
      </c>
    </row>
    <row r="61" spans="1:15" ht="60" x14ac:dyDescent="0.2">
      <c r="A61" s="53" t="s">
        <v>12</v>
      </c>
      <c r="B61" s="53" t="s">
        <v>16</v>
      </c>
      <c r="C61" s="54" t="s">
        <v>3772</v>
      </c>
      <c r="D61" s="55" t="s">
        <v>3773</v>
      </c>
      <c r="E61" s="54" t="s">
        <v>899</v>
      </c>
      <c r="F61" s="54" t="s">
        <v>2536</v>
      </c>
      <c r="G61" s="54">
        <v>2</v>
      </c>
      <c r="H61" s="54"/>
      <c r="I61" s="54"/>
      <c r="J61" s="54"/>
      <c r="K61" s="54"/>
      <c r="L61" s="54"/>
      <c r="M61" s="54"/>
      <c r="N61" s="54"/>
      <c r="O61" s="54" t="s">
        <v>1406</v>
      </c>
    </row>
    <row r="62" spans="1:15" ht="60" x14ac:dyDescent="0.2">
      <c r="A62" s="53" t="s">
        <v>12</v>
      </c>
      <c r="B62" s="53" t="s">
        <v>16</v>
      </c>
      <c r="C62" s="54" t="s">
        <v>3774</v>
      </c>
      <c r="D62" s="55" t="s">
        <v>3775</v>
      </c>
      <c r="E62" s="54" t="s">
        <v>899</v>
      </c>
      <c r="F62" s="54" t="s">
        <v>2536</v>
      </c>
      <c r="G62" s="54">
        <v>2</v>
      </c>
      <c r="H62" s="54"/>
      <c r="I62" s="54">
        <v>345600</v>
      </c>
      <c r="J62" s="54">
        <v>201600</v>
      </c>
      <c r="K62" s="54"/>
      <c r="L62" s="54"/>
      <c r="M62" s="54"/>
      <c r="N62" s="54"/>
      <c r="O62" s="54" t="s">
        <v>3776</v>
      </c>
    </row>
    <row r="63" spans="1:15" ht="15.75" x14ac:dyDescent="0.2">
      <c r="A63" s="53" t="s">
        <v>12</v>
      </c>
      <c r="B63" s="53" t="s">
        <v>15</v>
      </c>
      <c r="C63" s="54" t="s">
        <v>3777</v>
      </c>
      <c r="D63" s="55" t="s">
        <v>3778</v>
      </c>
      <c r="E63" s="54" t="s">
        <v>2026</v>
      </c>
      <c r="F63" s="54" t="s">
        <v>2755</v>
      </c>
      <c r="G63" s="54">
        <v>3</v>
      </c>
      <c r="H63" s="54">
        <v>3</v>
      </c>
      <c r="I63" s="54"/>
      <c r="J63" s="54"/>
      <c r="K63" s="54"/>
      <c r="L63" s="54"/>
      <c r="M63" s="54"/>
      <c r="N63" s="54"/>
      <c r="O63" s="54" t="s">
        <v>3779</v>
      </c>
    </row>
    <row r="64" spans="1:15" ht="30" x14ac:dyDescent="0.2">
      <c r="A64" s="53" t="s">
        <v>12</v>
      </c>
      <c r="B64" s="53" t="s">
        <v>15</v>
      </c>
      <c r="C64" s="54" t="s">
        <v>3780</v>
      </c>
      <c r="D64" s="55" t="s">
        <v>3781</v>
      </c>
      <c r="E64" s="54"/>
      <c r="F64" s="54" t="s">
        <v>3218</v>
      </c>
      <c r="G64" s="54">
        <v>2</v>
      </c>
      <c r="H64" s="54">
        <v>2</v>
      </c>
      <c r="I64" s="54"/>
      <c r="J64" s="54">
        <v>0</v>
      </c>
      <c r="K64" s="54"/>
      <c r="L64" s="54"/>
      <c r="M64" s="54"/>
      <c r="N64" s="54"/>
      <c r="O64" s="54" t="s">
        <v>3782</v>
      </c>
    </row>
    <row r="65" spans="1:15" ht="30" x14ac:dyDescent="0.2">
      <c r="A65" s="53" t="s">
        <v>12</v>
      </c>
      <c r="B65" s="53" t="s">
        <v>15</v>
      </c>
      <c r="C65" s="54" t="s">
        <v>3783</v>
      </c>
      <c r="D65" s="55" t="s">
        <v>3784</v>
      </c>
      <c r="E65" s="54"/>
      <c r="F65" s="54" t="s">
        <v>3785</v>
      </c>
      <c r="G65" s="54">
        <v>2</v>
      </c>
      <c r="H65" s="54">
        <v>2</v>
      </c>
      <c r="I65" s="54"/>
      <c r="J65" s="54">
        <v>0</v>
      </c>
      <c r="K65" s="54"/>
      <c r="L65" s="54"/>
      <c r="M65" s="54"/>
      <c r="N65" s="54"/>
      <c r="O65" s="54" t="s">
        <v>3517</v>
      </c>
    </row>
    <row r="66" spans="1:15" ht="15.75" x14ac:dyDescent="0.2">
      <c r="A66" s="53" t="s">
        <v>12</v>
      </c>
      <c r="B66" s="53" t="s">
        <v>15</v>
      </c>
      <c r="C66" s="54" t="s">
        <v>3786</v>
      </c>
      <c r="D66" s="55" t="s">
        <v>3787</v>
      </c>
      <c r="E66" s="54"/>
      <c r="F66" s="54" t="s">
        <v>3516</v>
      </c>
      <c r="G66" s="54">
        <v>2</v>
      </c>
      <c r="H66" s="54">
        <v>2</v>
      </c>
      <c r="I66" s="54"/>
      <c r="J66" s="54"/>
      <c r="K66" s="54"/>
      <c r="L66" s="54"/>
      <c r="M66" s="54"/>
      <c r="N66" s="54"/>
      <c r="O66" s="54" t="s">
        <v>3517</v>
      </c>
    </row>
    <row r="67" spans="1:15" ht="30" x14ac:dyDescent="0.2">
      <c r="A67" s="53" t="s">
        <v>12</v>
      </c>
      <c r="B67" s="53" t="s">
        <v>15</v>
      </c>
      <c r="C67" s="54" t="s">
        <v>3788</v>
      </c>
      <c r="D67" s="55" t="s">
        <v>3789</v>
      </c>
      <c r="E67" s="54"/>
      <c r="F67" s="54" t="s">
        <v>3516</v>
      </c>
      <c r="G67" s="54">
        <v>2</v>
      </c>
      <c r="H67" s="54">
        <v>2</v>
      </c>
      <c r="I67" s="54"/>
      <c r="J67" s="54"/>
      <c r="K67" s="54"/>
      <c r="L67" s="54"/>
      <c r="M67" s="54"/>
      <c r="N67" s="54"/>
      <c r="O67" s="54" t="s">
        <v>3517</v>
      </c>
    </row>
    <row r="68" spans="1:15" ht="30" x14ac:dyDescent="0.2">
      <c r="A68" s="53" t="s">
        <v>12</v>
      </c>
      <c r="B68" s="53" t="s">
        <v>15</v>
      </c>
      <c r="C68" s="54" t="s">
        <v>3790</v>
      </c>
      <c r="D68" s="55" t="s">
        <v>3791</v>
      </c>
      <c r="E68" s="54" t="s">
        <v>2026</v>
      </c>
      <c r="F68" s="54" t="s">
        <v>3106</v>
      </c>
      <c r="G68" s="54">
        <v>8</v>
      </c>
      <c r="H68" s="54">
        <v>8</v>
      </c>
      <c r="I68" s="54"/>
      <c r="J68" s="54"/>
      <c r="K68" s="54"/>
      <c r="L68" s="54"/>
      <c r="M68" s="54"/>
      <c r="N68" s="54"/>
      <c r="O68" s="54" t="s">
        <v>3792</v>
      </c>
    </row>
    <row r="69" spans="1:15" ht="15.75" x14ac:dyDescent="0.2">
      <c r="A69" s="53" t="s">
        <v>12</v>
      </c>
      <c r="B69" s="53" t="s">
        <v>15</v>
      </c>
      <c r="C69" s="54" t="s">
        <v>3793</v>
      </c>
      <c r="D69" s="55" t="s">
        <v>3794</v>
      </c>
      <c r="E69" s="54" t="s">
        <v>2026</v>
      </c>
      <c r="F69" s="54" t="s">
        <v>3597</v>
      </c>
      <c r="G69" s="54">
        <v>1</v>
      </c>
      <c r="H69" s="54">
        <v>1</v>
      </c>
      <c r="I69" s="54">
        <v>79200</v>
      </c>
      <c r="J69" s="54">
        <v>75600</v>
      </c>
      <c r="K69" s="54"/>
      <c r="L69" s="54"/>
      <c r="M69" s="54"/>
      <c r="N69" s="54"/>
      <c r="O69" s="54" t="s">
        <v>3323</v>
      </c>
    </row>
    <row r="70" spans="1:15" ht="15.75" x14ac:dyDescent="0.2">
      <c r="A70" s="53" t="s">
        <v>12</v>
      </c>
      <c r="B70" s="53" t="s">
        <v>15</v>
      </c>
      <c r="C70" s="54" t="s">
        <v>3795</v>
      </c>
      <c r="D70" s="55" t="s">
        <v>3796</v>
      </c>
      <c r="E70" s="54"/>
      <c r="F70" s="54"/>
      <c r="G70" s="54"/>
      <c r="H70" s="54"/>
      <c r="I70" s="54"/>
      <c r="J70" s="54">
        <v>0</v>
      </c>
      <c r="K70" s="54"/>
      <c r="L70" s="54"/>
      <c r="M70" s="54"/>
      <c r="N70" s="54"/>
      <c r="O70" s="54"/>
    </row>
    <row r="71" spans="1:15" ht="90" x14ac:dyDescent="0.2">
      <c r="A71" s="53" t="s">
        <v>12</v>
      </c>
      <c r="B71" s="53" t="s">
        <v>15</v>
      </c>
      <c r="C71" s="54" t="s">
        <v>3797</v>
      </c>
      <c r="D71" s="55" t="s">
        <v>3798</v>
      </c>
      <c r="E71" s="54" t="s">
        <v>899</v>
      </c>
      <c r="F71" s="54" t="s">
        <v>3004</v>
      </c>
      <c r="G71" s="54">
        <v>8</v>
      </c>
      <c r="H71" s="54">
        <v>8</v>
      </c>
      <c r="I71" s="54">
        <v>0</v>
      </c>
      <c r="J71" s="54">
        <v>0</v>
      </c>
      <c r="K71" s="54"/>
      <c r="L71" s="54"/>
      <c r="M71" s="54"/>
      <c r="N71" s="54"/>
      <c r="O71" s="54" t="s">
        <v>2839</v>
      </c>
    </row>
    <row r="72" spans="1:15" ht="105" x14ac:dyDescent="0.2">
      <c r="A72" s="53" t="s">
        <v>12</v>
      </c>
      <c r="B72" s="53" t="s">
        <v>16</v>
      </c>
      <c r="C72" s="54" t="s">
        <v>3799</v>
      </c>
      <c r="D72" s="55" t="s">
        <v>3800</v>
      </c>
      <c r="E72" s="54" t="s">
        <v>899</v>
      </c>
      <c r="F72" s="54" t="s">
        <v>3260</v>
      </c>
      <c r="G72" s="54">
        <v>3</v>
      </c>
      <c r="H72" s="54"/>
      <c r="I72" s="54"/>
      <c r="J72" s="54">
        <v>7200</v>
      </c>
      <c r="K72" s="54"/>
      <c r="L72" s="54"/>
      <c r="M72" s="54"/>
      <c r="N72" s="54"/>
      <c r="O72" s="54" t="s">
        <v>3801</v>
      </c>
    </row>
    <row r="73" spans="1:15" ht="75" x14ac:dyDescent="0.2">
      <c r="A73" s="53" t="s">
        <v>12</v>
      </c>
      <c r="B73" s="53" t="s">
        <v>15</v>
      </c>
      <c r="C73" s="54" t="s">
        <v>3802</v>
      </c>
      <c r="D73" s="55" t="s">
        <v>3803</v>
      </c>
      <c r="E73" s="54"/>
      <c r="F73" s="54" t="s">
        <v>3582</v>
      </c>
      <c r="G73" s="54">
        <v>13</v>
      </c>
      <c r="H73" s="54">
        <v>13</v>
      </c>
      <c r="I73" s="54">
        <v>0</v>
      </c>
      <c r="J73" s="54">
        <v>0</v>
      </c>
      <c r="K73" s="54"/>
      <c r="L73" s="54"/>
      <c r="M73" s="54">
        <v>1</v>
      </c>
      <c r="N73" s="54"/>
      <c r="O73" s="54" t="s">
        <v>2839</v>
      </c>
    </row>
    <row r="74" spans="1:15" ht="30" x14ac:dyDescent="0.2">
      <c r="A74" s="53" t="s">
        <v>12</v>
      </c>
      <c r="B74" s="53" t="s">
        <v>15</v>
      </c>
      <c r="C74" s="54" t="s">
        <v>3804</v>
      </c>
      <c r="D74" s="55" t="s">
        <v>3805</v>
      </c>
      <c r="E74" s="54"/>
      <c r="F74" s="54" t="s">
        <v>3693</v>
      </c>
      <c r="G74" s="54"/>
      <c r="H74" s="54"/>
      <c r="I74" s="54">
        <v>7200</v>
      </c>
      <c r="J74" s="54">
        <v>0</v>
      </c>
      <c r="K74" s="54"/>
      <c r="L74" s="54"/>
      <c r="M74" s="54"/>
      <c r="N74" s="54"/>
      <c r="O74" s="54" t="s">
        <v>3323</v>
      </c>
    </row>
    <row r="75" spans="1:15" ht="30" x14ac:dyDescent="0.2">
      <c r="A75" s="53" t="s">
        <v>12</v>
      </c>
      <c r="B75" s="53" t="s">
        <v>15</v>
      </c>
      <c r="C75" s="54" t="s">
        <v>3806</v>
      </c>
      <c r="D75" s="55" t="s">
        <v>3807</v>
      </c>
      <c r="E75" s="54"/>
      <c r="F75" s="54" t="s">
        <v>3693</v>
      </c>
      <c r="G75" s="54"/>
      <c r="H75" s="54"/>
      <c r="I75" s="54">
        <v>10800</v>
      </c>
      <c r="J75" s="54">
        <v>0</v>
      </c>
      <c r="K75" s="54"/>
      <c r="L75" s="54"/>
      <c r="M75" s="54"/>
      <c r="N75" s="54"/>
      <c r="O75" s="54" t="s">
        <v>3323</v>
      </c>
    </row>
    <row r="76" spans="1:15" ht="15.75" x14ac:dyDescent="0.2">
      <c r="A76" s="53" t="s">
        <v>12</v>
      </c>
      <c r="B76" s="53" t="s">
        <v>15</v>
      </c>
      <c r="C76" s="54" t="s">
        <v>3808</v>
      </c>
      <c r="D76" s="55" t="s">
        <v>3809</v>
      </c>
      <c r="E76" s="54"/>
      <c r="F76" s="54" t="s">
        <v>3693</v>
      </c>
      <c r="G76" s="54"/>
      <c r="H76" s="54"/>
      <c r="I76" s="54">
        <v>7200</v>
      </c>
      <c r="J76" s="54">
        <v>0</v>
      </c>
      <c r="K76" s="54"/>
      <c r="L76" s="54"/>
      <c r="M76" s="54"/>
      <c r="N76" s="54"/>
      <c r="O76" s="54" t="s">
        <v>3323</v>
      </c>
    </row>
    <row r="77" spans="1:15" ht="15.75" x14ac:dyDescent="0.2">
      <c r="A77" s="53" t="s">
        <v>12</v>
      </c>
      <c r="B77" s="53" t="s">
        <v>15</v>
      </c>
      <c r="C77" s="54" t="s">
        <v>3810</v>
      </c>
      <c r="D77" s="55" t="s">
        <v>3811</v>
      </c>
      <c r="E77" s="54"/>
      <c r="F77" s="54" t="s">
        <v>3812</v>
      </c>
      <c r="G77" s="54"/>
      <c r="H77" s="54"/>
      <c r="I77" s="54">
        <v>7200</v>
      </c>
      <c r="J77" s="54">
        <v>0</v>
      </c>
      <c r="K77" s="54"/>
      <c r="L77" s="54"/>
      <c r="M77" s="54"/>
      <c r="N77" s="54"/>
      <c r="O77" s="54" t="s">
        <v>3323</v>
      </c>
    </row>
    <row r="78" spans="1:15" ht="15.75" x14ac:dyDescent="0.2">
      <c r="A78" s="53" t="s">
        <v>12</v>
      </c>
      <c r="B78" s="53" t="s">
        <v>17</v>
      </c>
      <c r="C78" s="54" t="s">
        <v>3813</v>
      </c>
      <c r="D78" s="55" t="s">
        <v>3814</v>
      </c>
      <c r="E78" s="54"/>
      <c r="F78" s="54"/>
      <c r="G78" s="54">
        <v>5</v>
      </c>
      <c r="H78" s="54"/>
      <c r="I78" s="54"/>
      <c r="J78" s="54"/>
      <c r="K78" s="54"/>
      <c r="L78" s="54"/>
      <c r="M78" s="54"/>
      <c r="N78" s="54"/>
      <c r="O78" s="54" t="s">
        <v>3815</v>
      </c>
    </row>
    <row r="79" spans="1:15" ht="60" x14ac:dyDescent="0.2">
      <c r="A79" s="53" t="s">
        <v>12</v>
      </c>
      <c r="B79" s="53" t="s">
        <v>17</v>
      </c>
      <c r="C79" s="54" t="s">
        <v>3816</v>
      </c>
      <c r="D79" s="55" t="s">
        <v>3817</v>
      </c>
      <c r="E79" s="54"/>
      <c r="F79" s="54" t="s">
        <v>3818</v>
      </c>
      <c r="G79" s="54">
        <v>8</v>
      </c>
      <c r="H79" s="54"/>
      <c r="I79" s="54"/>
      <c r="J79" s="54"/>
      <c r="K79" s="54"/>
      <c r="L79" s="54"/>
      <c r="M79" s="54"/>
      <c r="N79" s="54"/>
      <c r="O79" s="54" t="s">
        <v>3819</v>
      </c>
    </row>
    <row r="80" spans="1:15" ht="45" x14ac:dyDescent="0.2">
      <c r="A80" s="53" t="s">
        <v>12</v>
      </c>
      <c r="B80" s="53" t="s">
        <v>15</v>
      </c>
      <c r="C80" s="54" t="s">
        <v>3820</v>
      </c>
      <c r="D80" s="55" t="s">
        <v>3675</v>
      </c>
      <c r="E80" s="54" t="s">
        <v>3105</v>
      </c>
      <c r="F80" s="54" t="s">
        <v>3238</v>
      </c>
      <c r="G80" s="54">
        <v>8</v>
      </c>
      <c r="H80" s="54">
        <v>8</v>
      </c>
      <c r="I80" s="54">
        <v>0</v>
      </c>
      <c r="J80" s="54">
        <v>0</v>
      </c>
      <c r="K80" s="54"/>
      <c r="L80" s="54"/>
      <c r="M80" s="54"/>
      <c r="N80" s="54"/>
      <c r="O80" s="54" t="s">
        <v>3821</v>
      </c>
    </row>
    <row r="81" spans="1:15" ht="15.75" x14ac:dyDescent="0.2">
      <c r="A81" s="53" t="s">
        <v>12</v>
      </c>
      <c r="B81" s="53" t="s">
        <v>15</v>
      </c>
      <c r="C81" s="54" t="s">
        <v>3822</v>
      </c>
      <c r="D81" s="55" t="s">
        <v>3823</v>
      </c>
      <c r="E81" s="54"/>
      <c r="F81" s="54"/>
      <c r="G81" s="54"/>
      <c r="H81" s="54"/>
      <c r="I81" s="54"/>
      <c r="J81" s="54">
        <v>0</v>
      </c>
      <c r="K81" s="54"/>
      <c r="L81" s="54"/>
      <c r="M81" s="54"/>
      <c r="N81" s="54"/>
      <c r="O81" s="54" t="s">
        <v>3824</v>
      </c>
    </row>
    <row r="82" spans="1:15" ht="15.75" x14ac:dyDescent="0.2">
      <c r="A82" s="53" t="s">
        <v>12</v>
      </c>
      <c r="B82" s="53" t="s">
        <v>15</v>
      </c>
      <c r="C82" s="54" t="s">
        <v>3825</v>
      </c>
      <c r="D82" s="55" t="s">
        <v>3826</v>
      </c>
      <c r="E82" s="54"/>
      <c r="F82" s="54" t="s">
        <v>3725</v>
      </c>
      <c r="G82" s="54"/>
      <c r="H82" s="54"/>
      <c r="I82" s="54">
        <v>0</v>
      </c>
      <c r="J82" s="54">
        <v>0</v>
      </c>
      <c r="K82" s="54"/>
      <c r="L82" s="54"/>
      <c r="M82" s="54"/>
      <c r="N82" s="54"/>
      <c r="O82" s="54" t="s">
        <v>3827</v>
      </c>
    </row>
    <row r="83" spans="1:15" ht="30" x14ac:dyDescent="0.2">
      <c r="A83" s="53" t="s">
        <v>12</v>
      </c>
      <c r="B83" s="53" t="s">
        <v>15</v>
      </c>
      <c r="C83" s="54" t="s">
        <v>3828</v>
      </c>
      <c r="D83" s="55" t="s">
        <v>3829</v>
      </c>
      <c r="E83" s="54" t="s">
        <v>3830</v>
      </c>
      <c r="F83" s="54" t="s">
        <v>3831</v>
      </c>
      <c r="G83" s="54">
        <v>8</v>
      </c>
      <c r="H83" s="54">
        <v>8</v>
      </c>
      <c r="I83" s="54"/>
      <c r="J83" s="54"/>
      <c r="K83" s="54"/>
      <c r="L83" s="54"/>
      <c r="M83" s="54"/>
      <c r="N83" s="54"/>
      <c r="O83" s="54" t="s">
        <v>3779</v>
      </c>
    </row>
    <row r="84" spans="1:15" ht="30" x14ac:dyDescent="0.2">
      <c r="A84" s="53" t="s">
        <v>12</v>
      </c>
      <c r="B84" s="53" t="s">
        <v>15</v>
      </c>
      <c r="C84" s="54" t="s">
        <v>3832</v>
      </c>
      <c r="D84" s="55" t="s">
        <v>3833</v>
      </c>
      <c r="E84" s="54" t="s">
        <v>3834</v>
      </c>
      <c r="F84" s="54" t="s">
        <v>3831</v>
      </c>
      <c r="G84" s="54">
        <v>13</v>
      </c>
      <c r="H84" s="54">
        <v>13</v>
      </c>
      <c r="I84" s="54"/>
      <c r="J84" s="54"/>
      <c r="K84" s="54"/>
      <c r="L84" s="54"/>
      <c r="M84" s="54"/>
      <c r="N84" s="54"/>
      <c r="O84" s="54" t="s">
        <v>3779</v>
      </c>
    </row>
    <row r="85" spans="1:15" ht="15.75" x14ac:dyDescent="0.2">
      <c r="A85" s="53" t="s">
        <v>12</v>
      </c>
      <c r="B85" s="53" t="s">
        <v>17</v>
      </c>
      <c r="C85" s="54" t="s">
        <v>3835</v>
      </c>
      <c r="D85" s="55" t="s">
        <v>3836</v>
      </c>
      <c r="E85" s="54"/>
      <c r="F85" s="54"/>
      <c r="G85" s="54">
        <v>8</v>
      </c>
      <c r="H85" s="54"/>
      <c r="I85" s="54">
        <v>259200</v>
      </c>
      <c r="J85" s="54">
        <v>205200</v>
      </c>
      <c r="K85" s="54"/>
      <c r="L85" s="54"/>
      <c r="M85" s="54"/>
      <c r="N85" s="54"/>
      <c r="O85" s="54" t="s">
        <v>1431</v>
      </c>
    </row>
    <row r="86" spans="1:15" ht="30" x14ac:dyDescent="0.2">
      <c r="A86" s="53" t="s">
        <v>12</v>
      </c>
      <c r="B86" s="53" t="s">
        <v>15</v>
      </c>
      <c r="C86" s="54" t="s">
        <v>3837</v>
      </c>
      <c r="D86" s="55" t="s">
        <v>3838</v>
      </c>
      <c r="E86" s="54" t="s">
        <v>2026</v>
      </c>
      <c r="F86" s="54" t="s">
        <v>3785</v>
      </c>
      <c r="G86" s="54">
        <v>2</v>
      </c>
      <c r="H86" s="54">
        <v>2</v>
      </c>
      <c r="I86" s="54">
        <v>0</v>
      </c>
      <c r="J86" s="54">
        <v>0</v>
      </c>
      <c r="K86" s="54"/>
      <c r="L86" s="54"/>
      <c r="M86" s="54"/>
      <c r="N86" s="54"/>
      <c r="O86" s="54" t="s">
        <v>3839</v>
      </c>
    </row>
    <row r="87" spans="1:15" ht="30" x14ac:dyDescent="0.2">
      <c r="A87" s="53" t="s">
        <v>12</v>
      </c>
      <c r="B87" s="53" t="s">
        <v>15</v>
      </c>
      <c r="C87" s="54" t="s">
        <v>3840</v>
      </c>
      <c r="D87" s="55" t="s">
        <v>3841</v>
      </c>
      <c r="E87" s="54"/>
      <c r="F87" s="54" t="s">
        <v>3831</v>
      </c>
      <c r="G87" s="54"/>
      <c r="H87" s="54"/>
      <c r="I87" s="54">
        <v>3600</v>
      </c>
      <c r="J87" s="54">
        <v>0</v>
      </c>
      <c r="K87" s="54"/>
      <c r="L87" s="54"/>
      <c r="M87" s="54"/>
      <c r="N87" s="54"/>
      <c r="O87" s="54"/>
    </row>
    <row r="88" spans="1:15" ht="15.75" x14ac:dyDescent="0.2">
      <c r="A88" s="53" t="s">
        <v>12</v>
      </c>
      <c r="B88" s="53" t="s">
        <v>15</v>
      </c>
      <c r="C88" s="54" t="s">
        <v>3842</v>
      </c>
      <c r="D88" s="55" t="s">
        <v>3843</v>
      </c>
      <c r="E88" s="54" t="s">
        <v>1550</v>
      </c>
      <c r="F88" s="54" t="s">
        <v>3748</v>
      </c>
      <c r="G88" s="54">
        <v>5</v>
      </c>
      <c r="H88" s="54">
        <v>5</v>
      </c>
      <c r="I88" s="54">
        <v>144000</v>
      </c>
      <c r="J88" s="54">
        <v>0</v>
      </c>
      <c r="K88" s="54"/>
      <c r="L88" s="54"/>
      <c r="M88" s="54"/>
      <c r="N88" s="54"/>
      <c r="O88" s="54" t="s">
        <v>3844</v>
      </c>
    </row>
    <row r="89" spans="1:15" ht="15.75" x14ac:dyDescent="0.2">
      <c r="A89" s="53" t="s">
        <v>12</v>
      </c>
      <c r="B89" s="53" t="s">
        <v>15</v>
      </c>
      <c r="C89" s="54" t="s">
        <v>3845</v>
      </c>
      <c r="D89" s="55" t="s">
        <v>3846</v>
      </c>
      <c r="E89" s="54" t="s">
        <v>1550</v>
      </c>
      <c r="F89" s="54" t="s">
        <v>3748</v>
      </c>
      <c r="G89" s="54">
        <v>5</v>
      </c>
      <c r="H89" s="54">
        <v>5</v>
      </c>
      <c r="I89" s="54">
        <v>144000</v>
      </c>
      <c r="J89" s="54">
        <v>86400</v>
      </c>
      <c r="K89" s="54"/>
      <c r="L89" s="54"/>
      <c r="M89" s="54"/>
      <c r="N89" s="54"/>
      <c r="O89" s="54" t="s">
        <v>3363</v>
      </c>
    </row>
    <row r="90" spans="1:15" ht="45" x14ac:dyDescent="0.2">
      <c r="A90" s="53" t="s">
        <v>12</v>
      </c>
      <c r="B90" s="53" t="s">
        <v>15</v>
      </c>
      <c r="C90" s="54" t="s">
        <v>3847</v>
      </c>
      <c r="D90" s="55" t="s">
        <v>3848</v>
      </c>
      <c r="E90" s="54" t="s">
        <v>899</v>
      </c>
      <c r="F90" s="54" t="s">
        <v>3849</v>
      </c>
      <c r="G90" s="54">
        <v>5</v>
      </c>
      <c r="H90" s="54">
        <v>5</v>
      </c>
      <c r="I90" s="54">
        <v>0</v>
      </c>
      <c r="J90" s="54">
        <v>0</v>
      </c>
      <c r="K90" s="54"/>
      <c r="L90" s="54"/>
      <c r="M90" s="54"/>
      <c r="N90" s="54"/>
      <c r="O90" s="54" t="s">
        <v>1485</v>
      </c>
    </row>
    <row r="91" spans="1:15" ht="15.75" x14ac:dyDescent="0.2">
      <c r="A91" s="53" t="s">
        <v>12</v>
      </c>
      <c r="B91" s="53" t="s">
        <v>15</v>
      </c>
      <c r="C91" s="54" t="s">
        <v>3850</v>
      </c>
      <c r="D91" s="55" t="s">
        <v>3851</v>
      </c>
      <c r="E91" s="54" t="s">
        <v>1550</v>
      </c>
      <c r="F91" s="54" t="s">
        <v>3748</v>
      </c>
      <c r="G91" s="54">
        <v>5</v>
      </c>
      <c r="H91" s="54">
        <v>5</v>
      </c>
      <c r="I91" s="54">
        <v>144000</v>
      </c>
      <c r="J91" s="54">
        <v>86400</v>
      </c>
      <c r="K91" s="54"/>
      <c r="L91" s="54"/>
      <c r="M91" s="54"/>
      <c r="N91" s="54"/>
      <c r="O91" s="54" t="s">
        <v>3852</v>
      </c>
    </row>
    <row r="92" spans="1:15" ht="15.75" x14ac:dyDescent="0.2">
      <c r="A92" s="53" t="s">
        <v>12</v>
      </c>
      <c r="B92" s="53" t="s">
        <v>15</v>
      </c>
      <c r="C92" s="54" t="s">
        <v>3853</v>
      </c>
      <c r="D92" s="55" t="s">
        <v>3854</v>
      </c>
      <c r="E92" s="54" t="s">
        <v>1550</v>
      </c>
      <c r="F92" s="54" t="s">
        <v>3748</v>
      </c>
      <c r="G92" s="54">
        <v>5</v>
      </c>
      <c r="H92" s="54">
        <v>5</v>
      </c>
      <c r="I92" s="54">
        <v>144000</v>
      </c>
      <c r="J92" s="54">
        <v>0</v>
      </c>
      <c r="K92" s="54"/>
      <c r="L92" s="54"/>
      <c r="M92" s="54"/>
      <c r="N92" s="54"/>
      <c r="O92" s="54" t="s">
        <v>3855</v>
      </c>
    </row>
    <row r="93" spans="1:15" ht="30" x14ac:dyDescent="0.2">
      <c r="A93" s="53" t="s">
        <v>12</v>
      </c>
      <c r="B93" s="53" t="s">
        <v>15</v>
      </c>
      <c r="C93" s="54" t="s">
        <v>3856</v>
      </c>
      <c r="D93" s="55" t="s">
        <v>3857</v>
      </c>
      <c r="E93" s="54" t="s">
        <v>1550</v>
      </c>
      <c r="F93" s="54" t="s">
        <v>3748</v>
      </c>
      <c r="G93" s="54">
        <v>5</v>
      </c>
      <c r="H93" s="54">
        <v>5</v>
      </c>
      <c r="I93" s="54">
        <v>144000</v>
      </c>
      <c r="J93" s="54">
        <v>86400</v>
      </c>
      <c r="K93" s="54"/>
      <c r="L93" s="54"/>
      <c r="M93" s="54"/>
      <c r="N93" s="54"/>
      <c r="O93" s="54" t="s">
        <v>3858</v>
      </c>
    </row>
    <row r="94" spans="1:15" ht="15.75" x14ac:dyDescent="0.2">
      <c r="A94" s="53" t="s">
        <v>12</v>
      </c>
      <c r="B94" s="53" t="s">
        <v>15</v>
      </c>
      <c r="C94" s="54" t="s">
        <v>3859</v>
      </c>
      <c r="D94" s="55" t="s">
        <v>3860</v>
      </c>
      <c r="E94" s="54" t="s">
        <v>1550</v>
      </c>
      <c r="F94" s="54" t="s">
        <v>3748</v>
      </c>
      <c r="G94" s="54">
        <v>2</v>
      </c>
      <c r="H94" s="54">
        <v>2</v>
      </c>
      <c r="I94" s="54">
        <v>57600</v>
      </c>
      <c r="J94" s="54">
        <v>0</v>
      </c>
      <c r="K94" s="54"/>
      <c r="L94" s="54"/>
      <c r="M94" s="54"/>
      <c r="N94" s="54"/>
      <c r="O94" s="54" t="s">
        <v>3363</v>
      </c>
    </row>
    <row r="95" spans="1:15" ht="15.75" x14ac:dyDescent="0.2">
      <c r="A95" s="53" t="s">
        <v>12</v>
      </c>
      <c r="B95" s="53" t="s">
        <v>15</v>
      </c>
      <c r="C95" s="54" t="s">
        <v>3861</v>
      </c>
      <c r="D95" s="55" t="s">
        <v>3862</v>
      </c>
      <c r="E95" s="54" t="s">
        <v>1550</v>
      </c>
      <c r="F95" s="54" t="s">
        <v>3748</v>
      </c>
      <c r="G95" s="54">
        <v>2</v>
      </c>
      <c r="H95" s="54">
        <v>2</v>
      </c>
      <c r="I95" s="54">
        <v>57600</v>
      </c>
      <c r="J95" s="54">
        <v>0</v>
      </c>
      <c r="K95" s="54"/>
      <c r="L95" s="54"/>
      <c r="M95" s="54"/>
      <c r="N95" s="54"/>
      <c r="O95" s="54" t="s">
        <v>3815</v>
      </c>
    </row>
    <row r="96" spans="1:15" ht="30" x14ac:dyDescent="0.2">
      <c r="A96" s="53" t="s">
        <v>12</v>
      </c>
      <c r="B96" s="53" t="s">
        <v>15</v>
      </c>
      <c r="C96" s="54" t="s">
        <v>3863</v>
      </c>
      <c r="D96" s="55" t="s">
        <v>3864</v>
      </c>
      <c r="E96" s="54" t="s">
        <v>3865</v>
      </c>
      <c r="F96" s="54" t="s">
        <v>3866</v>
      </c>
      <c r="G96" s="54">
        <v>8</v>
      </c>
      <c r="H96" s="54">
        <v>8</v>
      </c>
      <c r="I96" s="54">
        <v>288000</v>
      </c>
      <c r="J96" s="54">
        <v>144000</v>
      </c>
      <c r="K96" s="54"/>
      <c r="L96" s="54"/>
      <c r="M96" s="54"/>
      <c r="N96" s="54"/>
      <c r="O96" s="54" t="s">
        <v>3867</v>
      </c>
    </row>
    <row r="97" spans="1:15" ht="15.75" x14ac:dyDescent="0.2">
      <c r="A97" s="53" t="s">
        <v>12</v>
      </c>
      <c r="B97" s="53" t="s">
        <v>17</v>
      </c>
      <c r="C97" s="54" t="s">
        <v>3868</v>
      </c>
      <c r="D97" s="55" t="s">
        <v>3869</v>
      </c>
      <c r="E97" s="54" t="s">
        <v>1550</v>
      </c>
      <c r="F97" s="54" t="s">
        <v>3748</v>
      </c>
      <c r="G97" s="54">
        <v>3</v>
      </c>
      <c r="H97" s="54"/>
      <c r="I97" s="54">
        <v>86400</v>
      </c>
      <c r="J97" s="54">
        <v>0</v>
      </c>
      <c r="K97" s="54"/>
      <c r="L97" s="54"/>
      <c r="M97" s="54"/>
      <c r="N97" s="54"/>
      <c r="O97" s="54" t="s">
        <v>3363</v>
      </c>
    </row>
    <row r="98" spans="1:15" ht="15.75" x14ac:dyDescent="0.2">
      <c r="A98" s="53" t="s">
        <v>12</v>
      </c>
      <c r="B98" s="53" t="s">
        <v>15</v>
      </c>
      <c r="C98" s="54" t="s">
        <v>3870</v>
      </c>
      <c r="D98" s="55" t="s">
        <v>3871</v>
      </c>
      <c r="E98" s="54" t="s">
        <v>1550</v>
      </c>
      <c r="F98" s="54" t="s">
        <v>3748</v>
      </c>
      <c r="G98" s="54">
        <v>3</v>
      </c>
      <c r="H98" s="54">
        <v>3</v>
      </c>
      <c r="I98" s="54">
        <v>86400</v>
      </c>
      <c r="J98" s="54">
        <v>0</v>
      </c>
      <c r="K98" s="54"/>
      <c r="L98" s="54"/>
      <c r="M98" s="54"/>
      <c r="N98" s="54"/>
      <c r="O98" s="54" t="s">
        <v>3363</v>
      </c>
    </row>
    <row r="99" spans="1:15" ht="15.75" x14ac:dyDescent="0.2">
      <c r="A99" s="53" t="s">
        <v>12</v>
      </c>
      <c r="B99" s="53" t="s">
        <v>15</v>
      </c>
      <c r="C99" s="54" t="s">
        <v>3872</v>
      </c>
      <c r="D99" s="55" t="s">
        <v>3873</v>
      </c>
      <c r="E99" s="54" t="s">
        <v>1550</v>
      </c>
      <c r="F99" s="54" t="s">
        <v>3748</v>
      </c>
      <c r="G99" s="54">
        <v>13</v>
      </c>
      <c r="H99" s="54">
        <v>13</v>
      </c>
      <c r="I99" s="54">
        <v>288000</v>
      </c>
      <c r="J99" s="54">
        <v>288000</v>
      </c>
      <c r="K99" s="54"/>
      <c r="L99" s="54"/>
      <c r="M99" s="54"/>
      <c r="N99" s="54"/>
      <c r="O99" s="54" t="s">
        <v>3363</v>
      </c>
    </row>
    <row r="100" spans="1:15" ht="15.75" x14ac:dyDescent="0.2">
      <c r="A100" s="53" t="s">
        <v>12</v>
      </c>
      <c r="B100" s="53" t="s">
        <v>15</v>
      </c>
      <c r="C100" s="54" t="s">
        <v>3874</v>
      </c>
      <c r="D100" s="55" t="s">
        <v>3875</v>
      </c>
      <c r="E100" s="54" t="s">
        <v>1550</v>
      </c>
      <c r="F100" s="54" t="s">
        <v>3748</v>
      </c>
      <c r="G100" s="54">
        <v>1</v>
      </c>
      <c r="H100" s="54">
        <v>1</v>
      </c>
      <c r="I100" s="54">
        <v>28800</v>
      </c>
      <c r="J100" s="54">
        <v>28800</v>
      </c>
      <c r="K100" s="54"/>
      <c r="L100" s="54"/>
      <c r="M100" s="54"/>
      <c r="N100" s="54"/>
      <c r="O100" s="54" t="s">
        <v>3363</v>
      </c>
    </row>
    <row r="101" spans="1:15" ht="15.75" x14ac:dyDescent="0.2">
      <c r="A101" s="53" t="s">
        <v>12</v>
      </c>
      <c r="B101" s="53" t="s">
        <v>15</v>
      </c>
      <c r="C101" s="54" t="s">
        <v>3876</v>
      </c>
      <c r="D101" s="55" t="s">
        <v>3877</v>
      </c>
      <c r="E101" s="54" t="s">
        <v>1550</v>
      </c>
      <c r="F101" s="54" t="s">
        <v>3748</v>
      </c>
      <c r="G101" s="54"/>
      <c r="H101" s="54"/>
      <c r="I101" s="54"/>
      <c r="J101" s="54"/>
      <c r="K101" s="54"/>
      <c r="L101" s="54"/>
      <c r="M101" s="54"/>
      <c r="N101" s="54"/>
      <c r="O101" s="54" t="s">
        <v>1562</v>
      </c>
    </row>
    <row r="102" spans="1:15" ht="30" x14ac:dyDescent="0.2">
      <c r="A102" s="53" t="s">
        <v>12</v>
      </c>
      <c r="B102" s="53" t="s">
        <v>15</v>
      </c>
      <c r="C102" s="54" t="s">
        <v>3878</v>
      </c>
      <c r="D102" s="55" t="s">
        <v>3879</v>
      </c>
      <c r="E102" s="54"/>
      <c r="F102" s="54" t="s">
        <v>3831</v>
      </c>
      <c r="G102" s="54"/>
      <c r="H102" s="54"/>
      <c r="I102" s="54"/>
      <c r="J102" s="54"/>
      <c r="K102" s="54"/>
      <c r="L102" s="54"/>
      <c r="M102" s="54"/>
      <c r="N102" s="54"/>
      <c r="O102" s="54"/>
    </row>
    <row r="103" spans="1:15" ht="30" x14ac:dyDescent="0.2">
      <c r="A103" s="53" t="s">
        <v>12</v>
      </c>
      <c r="B103" s="53" t="s">
        <v>15</v>
      </c>
      <c r="C103" s="54" t="s">
        <v>3880</v>
      </c>
      <c r="D103" s="55" t="s">
        <v>3881</v>
      </c>
      <c r="E103" s="54"/>
      <c r="F103" s="54" t="s">
        <v>3831</v>
      </c>
      <c r="G103" s="54"/>
      <c r="H103" s="54"/>
      <c r="I103" s="54"/>
      <c r="J103" s="54">
        <v>0</v>
      </c>
      <c r="K103" s="54"/>
      <c r="L103" s="54"/>
      <c r="M103" s="54"/>
      <c r="N103" s="54"/>
      <c r="O103" s="54"/>
    </row>
    <row r="104" spans="1:15" ht="30" x14ac:dyDescent="0.2">
      <c r="A104" s="53" t="s">
        <v>12</v>
      </c>
      <c r="B104" s="53" t="s">
        <v>15</v>
      </c>
      <c r="C104" s="54" t="s">
        <v>3882</v>
      </c>
      <c r="D104" s="55" t="s">
        <v>3883</v>
      </c>
      <c r="E104" s="54"/>
      <c r="F104" s="54" t="s">
        <v>3725</v>
      </c>
      <c r="G104" s="54">
        <v>13</v>
      </c>
      <c r="H104" s="54">
        <v>13</v>
      </c>
      <c r="I104" s="54">
        <v>0</v>
      </c>
      <c r="J104" s="54">
        <v>0</v>
      </c>
      <c r="K104" s="54"/>
      <c r="L104" s="54"/>
      <c r="M104" s="54"/>
      <c r="N104" s="54"/>
      <c r="O104" s="54" t="s">
        <v>3884</v>
      </c>
    </row>
    <row r="105" spans="1:15" ht="15.75" x14ac:dyDescent="0.2">
      <c r="A105" s="53" t="s">
        <v>12</v>
      </c>
      <c r="B105" s="53" t="s">
        <v>15</v>
      </c>
      <c r="C105" s="54" t="s">
        <v>3885</v>
      </c>
      <c r="D105" s="55" t="s">
        <v>3886</v>
      </c>
      <c r="E105" s="54"/>
      <c r="F105" s="54" t="s">
        <v>3106</v>
      </c>
      <c r="G105" s="54">
        <v>8</v>
      </c>
      <c r="H105" s="54">
        <v>8</v>
      </c>
      <c r="I105" s="54"/>
      <c r="J105" s="54"/>
      <c r="K105" s="54"/>
      <c r="L105" s="54"/>
      <c r="M105" s="54"/>
      <c r="N105" s="54"/>
      <c r="O105" s="54" t="s">
        <v>1591</v>
      </c>
    </row>
    <row r="106" spans="1:15" ht="30" x14ac:dyDescent="0.2">
      <c r="A106" s="53" t="s">
        <v>12</v>
      </c>
      <c r="B106" s="53" t="s">
        <v>17</v>
      </c>
      <c r="C106" s="54" t="s">
        <v>3887</v>
      </c>
      <c r="D106" s="55" t="s">
        <v>3888</v>
      </c>
      <c r="E106" s="54" t="s">
        <v>2026</v>
      </c>
      <c r="F106" s="54" t="s">
        <v>2660</v>
      </c>
      <c r="G106" s="54">
        <v>5</v>
      </c>
      <c r="H106" s="54"/>
      <c r="I106" s="54"/>
      <c r="J106" s="54"/>
      <c r="K106" s="54"/>
      <c r="L106" s="54"/>
      <c r="M106" s="54"/>
      <c r="N106" s="54"/>
      <c r="O106" s="54" t="s">
        <v>3889</v>
      </c>
    </row>
    <row r="107" spans="1:15" ht="15.75" x14ac:dyDescent="0.2">
      <c r="A107" s="53" t="s">
        <v>12</v>
      </c>
      <c r="B107" s="53" t="s">
        <v>15</v>
      </c>
      <c r="C107" s="54" t="s">
        <v>3890</v>
      </c>
      <c r="D107" s="55" t="s">
        <v>3891</v>
      </c>
      <c r="E107" s="54" t="s">
        <v>2026</v>
      </c>
      <c r="F107" s="54" t="s">
        <v>3238</v>
      </c>
      <c r="G107" s="54"/>
      <c r="H107" s="54"/>
      <c r="I107" s="54"/>
      <c r="J107" s="54">
        <v>0</v>
      </c>
      <c r="K107" s="54"/>
      <c r="L107" s="54"/>
      <c r="M107" s="54"/>
      <c r="N107" s="54"/>
      <c r="O107" s="54" t="s">
        <v>3889</v>
      </c>
    </row>
    <row r="108" spans="1:15" ht="15.75" x14ac:dyDescent="0.2">
      <c r="A108" s="53" t="s">
        <v>12</v>
      </c>
      <c r="B108" s="53" t="s">
        <v>15</v>
      </c>
      <c r="C108" s="54" t="s">
        <v>3892</v>
      </c>
      <c r="D108" s="55" t="s">
        <v>3893</v>
      </c>
      <c r="E108" s="54" t="s">
        <v>2026</v>
      </c>
      <c r="F108" s="54" t="s">
        <v>3238</v>
      </c>
      <c r="G108" s="54"/>
      <c r="H108" s="54"/>
      <c r="I108" s="54"/>
      <c r="J108" s="54">
        <v>0</v>
      </c>
      <c r="K108" s="54"/>
      <c r="L108" s="54"/>
      <c r="M108" s="54"/>
      <c r="N108" s="54"/>
      <c r="O108" s="54" t="s">
        <v>3894</v>
      </c>
    </row>
    <row r="109" spans="1:15" ht="30" x14ac:dyDescent="0.2">
      <c r="A109" s="53" t="s">
        <v>12</v>
      </c>
      <c r="B109" s="53" t="s">
        <v>17</v>
      </c>
      <c r="C109" s="54" t="s">
        <v>3895</v>
      </c>
      <c r="D109" s="55" t="s">
        <v>3896</v>
      </c>
      <c r="E109" s="54" t="s">
        <v>2026</v>
      </c>
      <c r="F109" s="54" t="s">
        <v>2660</v>
      </c>
      <c r="G109" s="54">
        <v>5</v>
      </c>
      <c r="H109" s="54"/>
      <c r="I109" s="54"/>
      <c r="J109" s="54"/>
      <c r="K109" s="54"/>
      <c r="L109" s="54"/>
      <c r="M109" s="54"/>
      <c r="N109" s="54"/>
      <c r="O109" s="54" t="s">
        <v>3889</v>
      </c>
    </row>
    <row r="110" spans="1:15" ht="15.75" x14ac:dyDescent="0.2">
      <c r="A110" s="53" t="s">
        <v>12</v>
      </c>
      <c r="B110" s="53" t="s">
        <v>15</v>
      </c>
      <c r="C110" s="54" t="s">
        <v>3897</v>
      </c>
      <c r="D110" s="55" t="s">
        <v>3898</v>
      </c>
      <c r="E110" s="54" t="s">
        <v>3899</v>
      </c>
      <c r="F110" s="54" t="s">
        <v>3238</v>
      </c>
      <c r="G110" s="54"/>
      <c r="H110" s="54"/>
      <c r="I110" s="54"/>
      <c r="J110" s="54">
        <v>0</v>
      </c>
      <c r="K110" s="54"/>
      <c r="L110" s="54"/>
      <c r="M110" s="54"/>
      <c r="N110" s="54"/>
      <c r="O110" s="54" t="s">
        <v>3889</v>
      </c>
    </row>
    <row r="111" spans="1:15" ht="30" x14ac:dyDescent="0.2">
      <c r="A111" s="53" t="s">
        <v>12</v>
      </c>
      <c r="B111" s="53" t="s">
        <v>15</v>
      </c>
      <c r="C111" s="54" t="s">
        <v>3900</v>
      </c>
      <c r="D111" s="55" t="s">
        <v>3901</v>
      </c>
      <c r="E111" s="54" t="s">
        <v>2711</v>
      </c>
      <c r="F111" s="54" t="s">
        <v>3902</v>
      </c>
      <c r="G111" s="54">
        <v>13</v>
      </c>
      <c r="H111" s="54">
        <v>13</v>
      </c>
      <c r="I111" s="54">
        <v>50400</v>
      </c>
      <c r="J111" s="54">
        <v>21600</v>
      </c>
      <c r="K111" s="54"/>
      <c r="L111" s="54"/>
      <c r="M111" s="54"/>
      <c r="N111" s="54"/>
      <c r="O111" s="54" t="s">
        <v>3903</v>
      </c>
    </row>
    <row r="112" spans="1:15" ht="60" x14ac:dyDescent="0.2">
      <c r="A112" s="53" t="s">
        <v>12</v>
      </c>
      <c r="B112" s="53" t="s">
        <v>15</v>
      </c>
      <c r="C112" s="54" t="s">
        <v>3904</v>
      </c>
      <c r="D112" s="55" t="s">
        <v>3905</v>
      </c>
      <c r="E112" s="54" t="s">
        <v>2711</v>
      </c>
      <c r="F112" s="54" t="s">
        <v>3906</v>
      </c>
      <c r="G112" s="54">
        <v>8</v>
      </c>
      <c r="H112" s="54">
        <v>8</v>
      </c>
      <c r="I112" s="54"/>
      <c r="J112" s="54"/>
      <c r="K112" s="54"/>
      <c r="L112" s="54"/>
      <c r="M112" s="54"/>
      <c r="N112" s="54"/>
      <c r="O112" s="54" t="s">
        <v>3907</v>
      </c>
    </row>
    <row r="113" spans="1:15" ht="30" x14ac:dyDescent="0.2">
      <c r="A113" s="53" t="s">
        <v>12</v>
      </c>
      <c r="B113" s="53" t="s">
        <v>15</v>
      </c>
      <c r="C113" s="54" t="s">
        <v>3908</v>
      </c>
      <c r="D113" s="55" t="s">
        <v>3909</v>
      </c>
      <c r="E113" s="54" t="s">
        <v>2711</v>
      </c>
      <c r="F113" s="54" t="s">
        <v>3910</v>
      </c>
      <c r="G113" s="54">
        <v>13</v>
      </c>
      <c r="H113" s="54">
        <v>13</v>
      </c>
      <c r="I113" s="54">
        <v>3600</v>
      </c>
      <c r="J113" s="54">
        <v>3600</v>
      </c>
      <c r="K113" s="54"/>
      <c r="L113" s="54"/>
      <c r="M113" s="54"/>
      <c r="N113" s="54"/>
      <c r="O113" s="54" t="s">
        <v>3911</v>
      </c>
    </row>
    <row r="114" spans="1:15" ht="30" x14ac:dyDescent="0.2">
      <c r="A114" s="53" t="s">
        <v>12</v>
      </c>
      <c r="B114" s="53" t="s">
        <v>15</v>
      </c>
      <c r="C114" s="54" t="s">
        <v>3912</v>
      </c>
      <c r="D114" s="55" t="s">
        <v>3913</v>
      </c>
      <c r="E114" s="54" t="s">
        <v>3914</v>
      </c>
      <c r="F114" s="54" t="s">
        <v>3915</v>
      </c>
      <c r="G114" s="54">
        <v>8</v>
      </c>
      <c r="H114" s="54">
        <v>8</v>
      </c>
      <c r="I114" s="54">
        <v>10800</v>
      </c>
      <c r="J114" s="54">
        <v>0</v>
      </c>
      <c r="K114" s="54"/>
      <c r="L114" s="54"/>
      <c r="M114" s="54"/>
      <c r="N114" s="54"/>
      <c r="O114" s="54" t="s">
        <v>3916</v>
      </c>
    </row>
    <row r="115" spans="1:15" ht="90" x14ac:dyDescent="0.2">
      <c r="A115" s="53" t="s">
        <v>12</v>
      </c>
      <c r="B115" s="53" t="s">
        <v>16</v>
      </c>
      <c r="C115" s="54" t="s">
        <v>3917</v>
      </c>
      <c r="D115" s="55" t="s">
        <v>3918</v>
      </c>
      <c r="E115" s="54" t="s">
        <v>899</v>
      </c>
      <c r="F115" s="54" t="s">
        <v>3114</v>
      </c>
      <c r="G115" s="54">
        <v>5</v>
      </c>
      <c r="H115" s="54"/>
      <c r="I115" s="54">
        <v>0</v>
      </c>
      <c r="J115" s="54">
        <v>3600</v>
      </c>
      <c r="K115" s="54"/>
      <c r="L115" s="54"/>
      <c r="M115" s="54"/>
      <c r="N115" s="54"/>
      <c r="O115" s="54" t="s">
        <v>3919</v>
      </c>
    </row>
    <row r="116" spans="1:15" ht="30" x14ac:dyDescent="0.2">
      <c r="A116" s="53" t="s">
        <v>12</v>
      </c>
      <c r="B116" s="53" t="s">
        <v>15</v>
      </c>
      <c r="C116" s="54" t="s">
        <v>3920</v>
      </c>
      <c r="D116" s="55" t="s">
        <v>3921</v>
      </c>
      <c r="E116" s="54" t="s">
        <v>2711</v>
      </c>
      <c r="F116" s="54" t="s">
        <v>3106</v>
      </c>
      <c r="G116" s="54">
        <v>13</v>
      </c>
      <c r="H116" s="54">
        <v>13</v>
      </c>
      <c r="I116" s="54">
        <v>61200</v>
      </c>
      <c r="J116" s="54">
        <v>57600</v>
      </c>
      <c r="K116" s="54"/>
      <c r="L116" s="54"/>
      <c r="M116" s="54"/>
      <c r="N116" s="54"/>
      <c r="O116" s="54" t="s">
        <v>2829</v>
      </c>
    </row>
    <row r="117" spans="1:15" ht="30" x14ac:dyDescent="0.2">
      <c r="A117" s="53" t="s">
        <v>12</v>
      </c>
      <c r="B117" s="53" t="s">
        <v>15</v>
      </c>
      <c r="C117" s="54" t="s">
        <v>3922</v>
      </c>
      <c r="D117" s="55" t="s">
        <v>3923</v>
      </c>
      <c r="E117" s="54" t="s">
        <v>3924</v>
      </c>
      <c r="F117" s="54" t="s">
        <v>3831</v>
      </c>
      <c r="G117" s="54">
        <v>5</v>
      </c>
      <c r="H117" s="54">
        <v>5</v>
      </c>
      <c r="I117" s="54"/>
      <c r="J117" s="54"/>
      <c r="K117" s="54"/>
      <c r="L117" s="54"/>
      <c r="M117" s="54"/>
      <c r="N117" s="54"/>
      <c r="O117" s="54" t="s">
        <v>3819</v>
      </c>
    </row>
    <row r="118" spans="1:15" ht="15.75" x14ac:dyDescent="0.2">
      <c r="A118" s="53" t="s">
        <v>12</v>
      </c>
      <c r="B118" s="53" t="s">
        <v>17</v>
      </c>
      <c r="C118" s="54" t="s">
        <v>3925</v>
      </c>
      <c r="D118" s="55" t="s">
        <v>3926</v>
      </c>
      <c r="E118" s="54" t="s">
        <v>2026</v>
      </c>
      <c r="F118" s="54"/>
      <c r="G118" s="54">
        <v>2</v>
      </c>
      <c r="H118" s="54"/>
      <c r="I118" s="54"/>
      <c r="J118" s="54"/>
      <c r="K118" s="54"/>
      <c r="L118" s="54"/>
      <c r="M118" s="54"/>
      <c r="N118" s="54"/>
      <c r="O118" s="54" t="s">
        <v>3485</v>
      </c>
    </row>
    <row r="119" spans="1:15" ht="30" x14ac:dyDescent="0.2">
      <c r="A119" s="53" t="s">
        <v>12</v>
      </c>
      <c r="B119" s="53" t="s">
        <v>13</v>
      </c>
      <c r="C119" s="54" t="s">
        <v>3927</v>
      </c>
      <c r="D119" s="55" t="s">
        <v>3928</v>
      </c>
      <c r="E119" s="54" t="s">
        <v>2026</v>
      </c>
      <c r="F119" s="54"/>
      <c r="G119" s="54">
        <v>8</v>
      </c>
      <c r="H119" s="54"/>
      <c r="I119" s="54">
        <v>230400</v>
      </c>
      <c r="J119" s="54">
        <v>230400</v>
      </c>
      <c r="K119" s="54"/>
      <c r="L119" s="54"/>
      <c r="M119" s="54"/>
      <c r="N119" s="54"/>
      <c r="O119" s="54" t="s">
        <v>1431</v>
      </c>
    </row>
    <row r="120" spans="1:15" ht="75" x14ac:dyDescent="0.2">
      <c r="A120" s="53" t="s">
        <v>12</v>
      </c>
      <c r="B120" s="53" t="s">
        <v>14</v>
      </c>
      <c r="C120" s="54" t="s">
        <v>3929</v>
      </c>
      <c r="D120" s="55" t="s">
        <v>3930</v>
      </c>
      <c r="E120" s="54" t="s">
        <v>920</v>
      </c>
      <c r="F120" s="54" t="s">
        <v>2673</v>
      </c>
      <c r="G120" s="54">
        <v>2</v>
      </c>
      <c r="H120" s="54"/>
      <c r="I120" s="54"/>
      <c r="J120" s="54">
        <v>0</v>
      </c>
      <c r="K120" s="54"/>
      <c r="L120" s="54"/>
      <c r="M120" s="54"/>
      <c r="N120" s="54"/>
      <c r="O120" s="54" t="s">
        <v>1431</v>
      </c>
    </row>
    <row r="121" spans="1:15" ht="30" x14ac:dyDescent="0.2">
      <c r="A121" s="53" t="s">
        <v>12</v>
      </c>
      <c r="B121" s="53" t="s">
        <v>15</v>
      </c>
      <c r="C121" s="54" t="s">
        <v>3931</v>
      </c>
      <c r="D121" s="55" t="s">
        <v>3932</v>
      </c>
      <c r="E121" s="54"/>
      <c r="F121" s="54" t="s">
        <v>3831</v>
      </c>
      <c r="G121" s="54">
        <v>8</v>
      </c>
      <c r="H121" s="54">
        <v>8</v>
      </c>
      <c r="I121" s="54"/>
      <c r="J121" s="54">
        <v>0</v>
      </c>
      <c r="K121" s="54"/>
      <c r="L121" s="54"/>
      <c r="M121" s="54"/>
      <c r="N121" s="54"/>
      <c r="O121" s="54" t="s">
        <v>3819</v>
      </c>
    </row>
    <row r="122" spans="1:15" ht="15.75" x14ac:dyDescent="0.2">
      <c r="A122" s="53" t="s">
        <v>12</v>
      </c>
      <c r="B122" s="53" t="s">
        <v>15</v>
      </c>
      <c r="C122" s="54" t="s">
        <v>3933</v>
      </c>
      <c r="D122" s="55" t="s">
        <v>3934</v>
      </c>
      <c r="E122" s="54" t="s">
        <v>3935</v>
      </c>
      <c r="F122" s="54" t="s">
        <v>3693</v>
      </c>
      <c r="G122" s="54">
        <v>5</v>
      </c>
      <c r="H122" s="54">
        <v>5</v>
      </c>
      <c r="I122" s="54">
        <v>28800</v>
      </c>
      <c r="J122" s="54">
        <v>21600</v>
      </c>
      <c r="K122" s="54"/>
      <c r="L122" s="54"/>
      <c r="M122" s="54"/>
      <c r="N122" s="54"/>
      <c r="O122" s="54" t="s">
        <v>3936</v>
      </c>
    </row>
    <row r="123" spans="1:15" ht="15.75" x14ac:dyDescent="0.2">
      <c r="A123" s="53" t="s">
        <v>12</v>
      </c>
      <c r="B123" s="53" t="s">
        <v>15</v>
      </c>
      <c r="C123" s="54" t="s">
        <v>3937</v>
      </c>
      <c r="D123" s="55" t="s">
        <v>3938</v>
      </c>
      <c r="E123" s="54" t="s">
        <v>3935</v>
      </c>
      <c r="F123" s="54" t="s">
        <v>3693</v>
      </c>
      <c r="G123" s="54">
        <v>2</v>
      </c>
      <c r="H123" s="54">
        <v>2</v>
      </c>
      <c r="I123" s="54">
        <v>7200</v>
      </c>
      <c r="J123" s="54">
        <v>0</v>
      </c>
      <c r="K123" s="54"/>
      <c r="L123" s="54"/>
      <c r="M123" s="54"/>
      <c r="N123" s="54"/>
      <c r="O123" s="54" t="s">
        <v>3936</v>
      </c>
    </row>
    <row r="124" spans="1:15" ht="30" x14ac:dyDescent="0.2">
      <c r="A124" s="53" t="s">
        <v>12</v>
      </c>
      <c r="B124" s="53" t="s">
        <v>15</v>
      </c>
      <c r="C124" s="54" t="s">
        <v>3939</v>
      </c>
      <c r="D124" s="55" t="s">
        <v>3940</v>
      </c>
      <c r="E124" s="54"/>
      <c r="F124" s="54" t="s">
        <v>3693</v>
      </c>
      <c r="G124" s="54">
        <v>5</v>
      </c>
      <c r="H124" s="54">
        <v>5</v>
      </c>
      <c r="I124" s="54">
        <v>36000</v>
      </c>
      <c r="J124" s="54">
        <v>21600</v>
      </c>
      <c r="K124" s="54"/>
      <c r="L124" s="54"/>
      <c r="M124" s="54"/>
      <c r="N124" s="54"/>
      <c r="O124" s="54" t="s">
        <v>3936</v>
      </c>
    </row>
    <row r="125" spans="1:15" ht="30" x14ac:dyDescent="0.2">
      <c r="A125" s="53" t="s">
        <v>12</v>
      </c>
      <c r="B125" s="53" t="s">
        <v>15</v>
      </c>
      <c r="C125" s="54" t="s">
        <v>3941</v>
      </c>
      <c r="D125" s="55" t="s">
        <v>3942</v>
      </c>
      <c r="E125" s="54"/>
      <c r="F125" s="54" t="s">
        <v>3725</v>
      </c>
      <c r="G125" s="54">
        <v>13</v>
      </c>
      <c r="H125" s="54">
        <v>13</v>
      </c>
      <c r="I125" s="54"/>
      <c r="J125" s="54"/>
      <c r="K125" s="54"/>
      <c r="L125" s="54"/>
      <c r="M125" s="54"/>
      <c r="N125" s="54"/>
      <c r="O125" s="54" t="s">
        <v>3943</v>
      </c>
    </row>
    <row r="126" spans="1:15" ht="15.75" x14ac:dyDescent="0.2">
      <c r="A126" s="53" t="s">
        <v>12</v>
      </c>
      <c r="B126" s="53" t="s">
        <v>15</v>
      </c>
      <c r="C126" s="54" t="s">
        <v>3944</v>
      </c>
      <c r="D126" s="55" t="s">
        <v>3945</v>
      </c>
      <c r="E126" s="54"/>
      <c r="F126" s="54" t="s">
        <v>3725</v>
      </c>
      <c r="G126" s="54">
        <v>13</v>
      </c>
      <c r="H126" s="54">
        <v>13</v>
      </c>
      <c r="I126" s="54">
        <v>14400</v>
      </c>
      <c r="J126" s="54">
        <v>14400</v>
      </c>
      <c r="K126" s="54"/>
      <c r="L126" s="54"/>
      <c r="M126" s="54"/>
      <c r="N126" s="54"/>
      <c r="O126" s="54" t="s">
        <v>3946</v>
      </c>
    </row>
    <row r="127" spans="1:15" ht="15.75" x14ac:dyDescent="0.2">
      <c r="A127" s="53" t="s">
        <v>12</v>
      </c>
      <c r="B127" s="53" t="s">
        <v>15</v>
      </c>
      <c r="C127" s="54" t="s">
        <v>3947</v>
      </c>
      <c r="D127" s="55" t="s">
        <v>3948</v>
      </c>
      <c r="E127" s="54"/>
      <c r="F127" s="54" t="s">
        <v>3831</v>
      </c>
      <c r="G127" s="54">
        <v>8</v>
      </c>
      <c r="H127" s="54"/>
      <c r="I127" s="54">
        <v>0</v>
      </c>
      <c r="J127" s="54">
        <v>0</v>
      </c>
      <c r="K127" s="54"/>
      <c r="L127" s="54"/>
      <c r="M127" s="54"/>
      <c r="N127" s="54"/>
      <c r="O127" s="54" t="s">
        <v>3949</v>
      </c>
    </row>
    <row r="128" spans="1:15" ht="15.75" x14ac:dyDescent="0.2">
      <c r="A128" s="53" t="s">
        <v>12</v>
      </c>
      <c r="B128" s="53" t="s">
        <v>15</v>
      </c>
      <c r="C128" s="54" t="s">
        <v>3950</v>
      </c>
      <c r="D128" s="55" t="s">
        <v>3951</v>
      </c>
      <c r="E128" s="54" t="s">
        <v>3952</v>
      </c>
      <c r="F128" s="54" t="s">
        <v>3693</v>
      </c>
      <c r="G128" s="54">
        <v>8</v>
      </c>
      <c r="H128" s="54">
        <v>8</v>
      </c>
      <c r="I128" s="54">
        <v>122400</v>
      </c>
      <c r="J128" s="54">
        <v>61200</v>
      </c>
      <c r="K128" s="54"/>
      <c r="L128" s="54"/>
      <c r="M128" s="54"/>
      <c r="N128" s="54"/>
      <c r="O128" s="54" t="s">
        <v>3323</v>
      </c>
    </row>
    <row r="129" spans="1:15" ht="30" x14ac:dyDescent="0.2">
      <c r="A129" s="53" t="s">
        <v>12</v>
      </c>
      <c r="B129" s="53" t="s">
        <v>17</v>
      </c>
      <c r="C129" s="54" t="s">
        <v>3953</v>
      </c>
      <c r="D129" s="55" t="s">
        <v>3954</v>
      </c>
      <c r="E129" s="54"/>
      <c r="F129" s="54"/>
      <c r="G129" s="54">
        <v>2</v>
      </c>
      <c r="H129" s="54"/>
      <c r="I129" s="54">
        <v>7200</v>
      </c>
      <c r="J129" s="54">
        <v>0</v>
      </c>
      <c r="K129" s="54"/>
      <c r="L129" s="54"/>
      <c r="M129" s="54"/>
      <c r="N129" s="54"/>
      <c r="O129" s="54" t="s">
        <v>3544</v>
      </c>
    </row>
    <row r="130" spans="1:15" ht="30" x14ac:dyDescent="0.2">
      <c r="A130" s="53" t="s">
        <v>12</v>
      </c>
      <c r="B130" s="53" t="s">
        <v>15</v>
      </c>
      <c r="C130" s="54" t="s">
        <v>3955</v>
      </c>
      <c r="D130" s="55" t="s">
        <v>3956</v>
      </c>
      <c r="E130" s="54" t="s">
        <v>3952</v>
      </c>
      <c r="F130" s="54" t="s">
        <v>3693</v>
      </c>
      <c r="G130" s="54">
        <v>8</v>
      </c>
      <c r="H130" s="54">
        <v>8</v>
      </c>
      <c r="I130" s="54">
        <v>50400</v>
      </c>
      <c r="J130" s="54">
        <v>0</v>
      </c>
      <c r="K130" s="54"/>
      <c r="L130" s="54"/>
      <c r="M130" s="54"/>
      <c r="N130" s="54"/>
      <c r="O130" s="54" t="s">
        <v>3544</v>
      </c>
    </row>
    <row r="131" spans="1:15" ht="30" x14ac:dyDescent="0.2">
      <c r="A131" s="53" t="s">
        <v>12</v>
      </c>
      <c r="B131" s="53" t="s">
        <v>15</v>
      </c>
      <c r="C131" s="54" t="s">
        <v>3957</v>
      </c>
      <c r="D131" s="55" t="s">
        <v>3958</v>
      </c>
      <c r="E131" s="54"/>
      <c r="F131" s="54" t="s">
        <v>3693</v>
      </c>
      <c r="G131" s="54">
        <v>2</v>
      </c>
      <c r="H131" s="54">
        <v>2</v>
      </c>
      <c r="I131" s="54">
        <v>7200</v>
      </c>
      <c r="J131" s="54">
        <v>0</v>
      </c>
      <c r="K131" s="54"/>
      <c r="L131" s="54"/>
      <c r="M131" s="54"/>
      <c r="N131" s="54"/>
      <c r="O131" s="54" t="s">
        <v>3544</v>
      </c>
    </row>
    <row r="132" spans="1:15" ht="30" x14ac:dyDescent="0.2">
      <c r="A132" s="53" t="s">
        <v>12</v>
      </c>
      <c r="B132" s="53" t="s">
        <v>15</v>
      </c>
      <c r="C132" s="54" t="s">
        <v>3959</v>
      </c>
      <c r="D132" s="55" t="s">
        <v>3960</v>
      </c>
      <c r="E132" s="54"/>
      <c r="F132" s="54" t="s">
        <v>3693</v>
      </c>
      <c r="G132" s="54">
        <v>13</v>
      </c>
      <c r="H132" s="54">
        <v>13</v>
      </c>
      <c r="I132" s="54">
        <v>122400</v>
      </c>
      <c r="J132" s="54">
        <v>21600</v>
      </c>
      <c r="K132" s="54"/>
      <c r="L132" s="54"/>
      <c r="M132" s="54"/>
      <c r="N132" s="54"/>
      <c r="O132" s="54" t="s">
        <v>3323</v>
      </c>
    </row>
    <row r="133" spans="1:15" ht="30" x14ac:dyDescent="0.2">
      <c r="A133" s="53" t="s">
        <v>12</v>
      </c>
      <c r="B133" s="53" t="s">
        <v>15</v>
      </c>
      <c r="C133" s="54" t="s">
        <v>3961</v>
      </c>
      <c r="D133" s="55" t="s">
        <v>3962</v>
      </c>
      <c r="E133" s="54"/>
      <c r="F133" s="54" t="s">
        <v>3831</v>
      </c>
      <c r="G133" s="54">
        <v>3</v>
      </c>
      <c r="H133" s="54">
        <v>3</v>
      </c>
      <c r="I133" s="54">
        <v>0</v>
      </c>
      <c r="J133" s="54">
        <v>0</v>
      </c>
      <c r="K133" s="54"/>
      <c r="L133" s="54"/>
      <c r="M133" s="54"/>
      <c r="N133" s="54"/>
      <c r="O133" s="54" t="s">
        <v>3963</v>
      </c>
    </row>
    <row r="134" spans="1:15" ht="30" x14ac:dyDescent="0.2">
      <c r="A134" s="53" t="s">
        <v>12</v>
      </c>
      <c r="B134" s="53" t="s">
        <v>15</v>
      </c>
      <c r="C134" s="54" t="s">
        <v>3964</v>
      </c>
      <c r="D134" s="55" t="s">
        <v>3965</v>
      </c>
      <c r="E134" s="54"/>
      <c r="F134" s="54" t="s">
        <v>3705</v>
      </c>
      <c r="G134" s="54">
        <v>13</v>
      </c>
      <c r="H134" s="54">
        <v>13</v>
      </c>
      <c r="I134" s="54">
        <v>180</v>
      </c>
      <c r="J134" s="54">
        <v>180</v>
      </c>
      <c r="K134" s="54"/>
      <c r="L134" s="54"/>
      <c r="M134" s="54"/>
      <c r="N134" s="54"/>
      <c r="O134" s="54"/>
    </row>
    <row r="135" spans="1:15" ht="60" x14ac:dyDescent="0.2">
      <c r="A135" s="53" t="s">
        <v>12</v>
      </c>
      <c r="B135" s="53" t="s">
        <v>15</v>
      </c>
      <c r="C135" s="54" t="s">
        <v>3966</v>
      </c>
      <c r="D135" s="55" t="s">
        <v>3967</v>
      </c>
      <c r="E135" s="54" t="s">
        <v>899</v>
      </c>
      <c r="F135" s="54" t="s">
        <v>1771</v>
      </c>
      <c r="G135" s="54"/>
      <c r="H135" s="54"/>
      <c r="I135" s="54">
        <v>14520</v>
      </c>
      <c r="J135" s="54">
        <v>120</v>
      </c>
      <c r="K135" s="54"/>
      <c r="L135" s="54"/>
      <c r="M135" s="54"/>
      <c r="N135" s="54"/>
      <c r="O135" s="54" t="s">
        <v>995</v>
      </c>
    </row>
    <row r="136" spans="1:15" ht="30" x14ac:dyDescent="0.2">
      <c r="A136" s="53" t="s">
        <v>12</v>
      </c>
      <c r="B136" s="53" t="s">
        <v>15</v>
      </c>
      <c r="C136" s="54" t="s">
        <v>3968</v>
      </c>
      <c r="D136" s="55" t="s">
        <v>3969</v>
      </c>
      <c r="E136" s="54"/>
      <c r="F136" s="54" t="s">
        <v>3970</v>
      </c>
      <c r="G136" s="54"/>
      <c r="H136" s="54"/>
      <c r="I136" s="54">
        <v>0</v>
      </c>
      <c r="J136" s="54">
        <v>0</v>
      </c>
      <c r="K136" s="54"/>
      <c r="L136" s="54"/>
      <c r="M136" s="54"/>
      <c r="N136" s="54"/>
      <c r="O136" s="54"/>
    </row>
    <row r="137" spans="1:15" ht="105" x14ac:dyDescent="0.2">
      <c r="A137" s="53" t="s">
        <v>12</v>
      </c>
      <c r="B137" s="53" t="s">
        <v>16</v>
      </c>
      <c r="C137" s="54" t="s">
        <v>3971</v>
      </c>
      <c r="D137" s="55" t="s">
        <v>3972</v>
      </c>
      <c r="E137" s="54" t="s">
        <v>899</v>
      </c>
      <c r="F137" s="54" t="s">
        <v>3260</v>
      </c>
      <c r="G137" s="54">
        <v>8</v>
      </c>
      <c r="H137" s="54"/>
      <c r="I137" s="54">
        <v>0</v>
      </c>
      <c r="J137" s="54">
        <v>7200</v>
      </c>
      <c r="K137" s="54"/>
      <c r="L137" s="54"/>
      <c r="M137" s="54"/>
      <c r="N137" s="54"/>
      <c r="O137" s="54" t="s">
        <v>1047</v>
      </c>
    </row>
    <row r="138" spans="1:15" ht="30" x14ac:dyDescent="0.2">
      <c r="A138" s="53" t="s">
        <v>12</v>
      </c>
      <c r="B138" s="53" t="s">
        <v>15</v>
      </c>
      <c r="C138" s="54" t="s">
        <v>3973</v>
      </c>
      <c r="D138" s="55" t="s">
        <v>3974</v>
      </c>
      <c r="E138" s="54"/>
      <c r="F138" s="54"/>
      <c r="G138" s="54">
        <v>5</v>
      </c>
      <c r="H138" s="54">
        <v>5</v>
      </c>
      <c r="I138" s="54"/>
      <c r="J138" s="54">
        <v>0</v>
      </c>
      <c r="K138" s="54"/>
      <c r="L138" s="54"/>
      <c r="M138" s="54"/>
      <c r="N138" s="54"/>
      <c r="O138" s="54"/>
    </row>
    <row r="139" spans="1:15" ht="15.75" x14ac:dyDescent="0.2">
      <c r="A139" s="53" t="s">
        <v>12</v>
      </c>
      <c r="B139" s="53" t="s">
        <v>15</v>
      </c>
      <c r="C139" s="54" t="s">
        <v>3975</v>
      </c>
      <c r="D139" s="55" t="s">
        <v>3976</v>
      </c>
      <c r="E139" s="54"/>
      <c r="F139" s="54" t="s">
        <v>3831</v>
      </c>
      <c r="G139" s="54">
        <v>3</v>
      </c>
      <c r="H139" s="54">
        <v>3</v>
      </c>
      <c r="I139" s="54"/>
      <c r="J139" s="54">
        <v>0</v>
      </c>
      <c r="K139" s="54"/>
      <c r="L139" s="54"/>
      <c r="M139" s="54"/>
      <c r="N139" s="54"/>
      <c r="O139" s="54" t="s">
        <v>3977</v>
      </c>
    </row>
    <row r="140" spans="1:15" ht="15.75" x14ac:dyDescent="0.2">
      <c r="A140" s="53" t="s">
        <v>12</v>
      </c>
      <c r="B140" s="53" t="s">
        <v>15</v>
      </c>
      <c r="C140" s="54" t="s">
        <v>3978</v>
      </c>
      <c r="D140" s="55" t="s">
        <v>3979</v>
      </c>
      <c r="E140" s="54"/>
      <c r="F140" s="54" t="s">
        <v>3831</v>
      </c>
      <c r="G140" s="54">
        <v>13</v>
      </c>
      <c r="H140" s="54">
        <v>13</v>
      </c>
      <c r="I140" s="54"/>
      <c r="J140" s="54">
        <v>0</v>
      </c>
      <c r="K140" s="54"/>
      <c r="L140" s="54"/>
      <c r="M140" s="54"/>
      <c r="N140" s="54"/>
      <c r="O140" s="54" t="s">
        <v>3980</v>
      </c>
    </row>
    <row r="141" spans="1:15" ht="15.75" x14ac:dyDescent="0.2">
      <c r="A141" s="53" t="s">
        <v>12</v>
      </c>
      <c r="B141" s="53" t="s">
        <v>15</v>
      </c>
      <c r="C141" s="54" t="s">
        <v>3981</v>
      </c>
      <c r="D141" s="55" t="s">
        <v>3982</v>
      </c>
      <c r="E141" s="54"/>
      <c r="F141" s="54" t="s">
        <v>3831</v>
      </c>
      <c r="G141" s="54">
        <v>13</v>
      </c>
      <c r="H141" s="54">
        <v>13</v>
      </c>
      <c r="I141" s="54">
        <v>57600</v>
      </c>
      <c r="J141" s="54">
        <v>0</v>
      </c>
      <c r="K141" s="54"/>
      <c r="L141" s="54"/>
      <c r="M141" s="54"/>
      <c r="N141" s="54"/>
      <c r="O141" s="54" t="s">
        <v>3977</v>
      </c>
    </row>
    <row r="142" spans="1:15" ht="15.75" x14ac:dyDescent="0.2">
      <c r="A142" s="53" t="s">
        <v>12</v>
      </c>
      <c r="B142" s="53" t="s">
        <v>15</v>
      </c>
      <c r="C142" s="54" t="s">
        <v>3983</v>
      </c>
      <c r="D142" s="55" t="s">
        <v>3984</v>
      </c>
      <c r="E142" s="54"/>
      <c r="F142" s="54" t="s">
        <v>3985</v>
      </c>
      <c r="G142" s="54">
        <v>8</v>
      </c>
      <c r="H142" s="54">
        <v>8</v>
      </c>
      <c r="I142" s="54"/>
      <c r="J142" s="54"/>
      <c r="K142" s="54"/>
      <c r="L142" s="54"/>
      <c r="M142" s="54"/>
      <c r="N142" s="54"/>
      <c r="O142" s="54" t="s">
        <v>3986</v>
      </c>
    </row>
    <row r="143" spans="1:15" ht="30" x14ac:dyDescent="0.2">
      <c r="A143" s="53" t="s">
        <v>12</v>
      </c>
      <c r="B143" s="53" t="s">
        <v>15</v>
      </c>
      <c r="C143" s="54" t="s">
        <v>3987</v>
      </c>
      <c r="D143" s="55" t="s">
        <v>3988</v>
      </c>
      <c r="E143" s="54" t="s">
        <v>1550</v>
      </c>
      <c r="F143" s="54"/>
      <c r="G143" s="54"/>
      <c r="H143" s="54"/>
      <c r="I143" s="54"/>
      <c r="J143" s="54"/>
      <c r="K143" s="54"/>
      <c r="L143" s="54"/>
      <c r="M143" s="54"/>
      <c r="N143" s="54"/>
      <c r="O143" s="54" t="s">
        <v>3989</v>
      </c>
    </row>
    <row r="144" spans="1:15" ht="30" x14ac:dyDescent="0.2">
      <c r="A144" s="53" t="s">
        <v>12</v>
      </c>
      <c r="B144" s="53" t="s">
        <v>15</v>
      </c>
      <c r="C144" s="54" t="s">
        <v>3990</v>
      </c>
      <c r="D144" s="55" t="s">
        <v>3991</v>
      </c>
      <c r="E144" s="54" t="s">
        <v>1550</v>
      </c>
      <c r="F144" s="54"/>
      <c r="G144" s="54"/>
      <c r="H144" s="54"/>
      <c r="I144" s="54"/>
      <c r="J144" s="54"/>
      <c r="K144" s="54"/>
      <c r="L144" s="54"/>
      <c r="M144" s="54"/>
      <c r="N144" s="54"/>
      <c r="O144" s="54" t="s">
        <v>3989</v>
      </c>
    </row>
    <row r="145" spans="1:15" ht="30" x14ac:dyDescent="0.2">
      <c r="A145" s="53" t="s">
        <v>12</v>
      </c>
      <c r="B145" s="53" t="s">
        <v>15</v>
      </c>
      <c r="C145" s="54" t="s">
        <v>3992</v>
      </c>
      <c r="D145" s="55" t="s">
        <v>3993</v>
      </c>
      <c r="E145" s="54" t="s">
        <v>2026</v>
      </c>
      <c r="F145" s="54"/>
      <c r="G145" s="54"/>
      <c r="H145" s="54"/>
      <c r="I145" s="54"/>
      <c r="J145" s="54"/>
      <c r="K145" s="54"/>
      <c r="L145" s="54"/>
      <c r="M145" s="54"/>
      <c r="N145" s="54"/>
      <c r="O145" s="54" t="s">
        <v>3989</v>
      </c>
    </row>
    <row r="146" spans="1:15" ht="30" x14ac:dyDescent="0.2">
      <c r="A146" s="53" t="s">
        <v>12</v>
      </c>
      <c r="B146" s="53" t="s">
        <v>15</v>
      </c>
      <c r="C146" s="54" t="s">
        <v>3994</v>
      </c>
      <c r="D146" s="55" t="s">
        <v>3995</v>
      </c>
      <c r="E146" s="54" t="s">
        <v>1550</v>
      </c>
      <c r="F146" s="54"/>
      <c r="G146" s="54"/>
      <c r="H146" s="54"/>
      <c r="I146" s="54"/>
      <c r="J146" s="54"/>
      <c r="K146" s="54"/>
      <c r="L146" s="54"/>
      <c r="M146" s="54"/>
      <c r="N146" s="54"/>
      <c r="O146" s="54" t="s">
        <v>3989</v>
      </c>
    </row>
    <row r="147" spans="1:15" ht="30" x14ac:dyDescent="0.2">
      <c r="A147" s="53" t="s">
        <v>12</v>
      </c>
      <c r="B147" s="53" t="s">
        <v>15</v>
      </c>
      <c r="C147" s="54" t="s">
        <v>3996</v>
      </c>
      <c r="D147" s="55" t="s">
        <v>3997</v>
      </c>
      <c r="E147" s="54" t="s">
        <v>899</v>
      </c>
      <c r="F147" s="54" t="s">
        <v>1324</v>
      </c>
      <c r="G147" s="54"/>
      <c r="H147" s="54"/>
      <c r="I147" s="54"/>
      <c r="J147" s="54"/>
      <c r="K147" s="54"/>
      <c r="L147" s="54"/>
      <c r="M147" s="54"/>
      <c r="N147" s="54"/>
      <c r="O147" s="54" t="s">
        <v>3989</v>
      </c>
    </row>
    <row r="148" spans="1:15" ht="45" x14ac:dyDescent="0.2">
      <c r="A148" s="53" t="s">
        <v>12</v>
      </c>
      <c r="B148" s="53" t="s">
        <v>15</v>
      </c>
      <c r="C148" s="54" t="s">
        <v>3998</v>
      </c>
      <c r="D148" s="55" t="s">
        <v>3999</v>
      </c>
      <c r="E148" s="54" t="s">
        <v>1550</v>
      </c>
      <c r="F148" s="54"/>
      <c r="G148" s="54"/>
      <c r="H148" s="54"/>
      <c r="I148" s="54"/>
      <c r="J148" s="54"/>
      <c r="K148" s="54"/>
      <c r="L148" s="54"/>
      <c r="M148" s="54"/>
      <c r="N148" s="54"/>
      <c r="O148" s="54" t="s">
        <v>3989</v>
      </c>
    </row>
    <row r="149" spans="1:15" ht="30" x14ac:dyDescent="0.2">
      <c r="A149" s="53" t="s">
        <v>12</v>
      </c>
      <c r="B149" s="53" t="s">
        <v>15</v>
      </c>
      <c r="C149" s="54" t="s">
        <v>4000</v>
      </c>
      <c r="D149" s="55" t="s">
        <v>4001</v>
      </c>
      <c r="E149" s="54" t="s">
        <v>1550</v>
      </c>
      <c r="F149" s="54"/>
      <c r="G149" s="54"/>
      <c r="H149" s="54"/>
      <c r="I149" s="54"/>
      <c r="J149" s="54"/>
      <c r="K149" s="54"/>
      <c r="L149" s="54"/>
      <c r="M149" s="54"/>
      <c r="N149" s="54"/>
      <c r="O149" s="54" t="s">
        <v>3989</v>
      </c>
    </row>
    <row r="150" spans="1:15" ht="30" x14ac:dyDescent="0.2">
      <c r="A150" s="53" t="s">
        <v>12</v>
      </c>
      <c r="B150" s="53" t="s">
        <v>15</v>
      </c>
      <c r="C150" s="54" t="s">
        <v>4002</v>
      </c>
      <c r="D150" s="55" t="s">
        <v>4003</v>
      </c>
      <c r="E150" s="54" t="s">
        <v>1550</v>
      </c>
      <c r="F150" s="54"/>
      <c r="G150" s="54"/>
      <c r="H150" s="54"/>
      <c r="I150" s="54"/>
      <c r="J150" s="54"/>
      <c r="K150" s="54"/>
      <c r="L150" s="54"/>
      <c r="M150" s="54"/>
      <c r="N150" s="54"/>
      <c r="O150" s="54" t="s">
        <v>3989</v>
      </c>
    </row>
    <row r="151" spans="1:15" ht="30" x14ac:dyDescent="0.2">
      <c r="A151" s="53" t="s">
        <v>12</v>
      </c>
      <c r="B151" s="53" t="s">
        <v>15</v>
      </c>
      <c r="C151" s="54" t="s">
        <v>4004</v>
      </c>
      <c r="D151" s="55" t="s">
        <v>4005</v>
      </c>
      <c r="E151" s="54" t="s">
        <v>899</v>
      </c>
      <c r="F151" s="54" t="s">
        <v>1324</v>
      </c>
      <c r="G151" s="54"/>
      <c r="H151" s="54"/>
      <c r="I151" s="54"/>
      <c r="J151" s="54"/>
      <c r="K151" s="54"/>
      <c r="L151" s="54"/>
      <c r="M151" s="54"/>
      <c r="N151" s="54"/>
      <c r="O151" s="54"/>
    </row>
    <row r="152" spans="1:15" ht="15.75" x14ac:dyDescent="0.2">
      <c r="A152" s="53" t="s">
        <v>12</v>
      </c>
      <c r="B152" s="53" t="s">
        <v>15</v>
      </c>
      <c r="C152" s="54" t="s">
        <v>4006</v>
      </c>
      <c r="D152" s="55" t="s">
        <v>4007</v>
      </c>
      <c r="E152" s="54"/>
      <c r="F152" s="54" t="s">
        <v>3831</v>
      </c>
      <c r="G152" s="54">
        <v>8</v>
      </c>
      <c r="H152" s="54">
        <v>8</v>
      </c>
      <c r="I152" s="54">
        <v>14400</v>
      </c>
      <c r="J152" s="54">
        <v>0</v>
      </c>
      <c r="K152" s="54"/>
      <c r="L152" s="54"/>
      <c r="M152" s="54"/>
      <c r="N152" s="54"/>
      <c r="O152" s="54" t="s">
        <v>3824</v>
      </c>
    </row>
    <row r="153" spans="1:15" ht="30" x14ac:dyDescent="0.2">
      <c r="A153" s="53" t="s">
        <v>12</v>
      </c>
      <c r="B153" s="53" t="s">
        <v>15</v>
      </c>
      <c r="C153" s="54" t="s">
        <v>4008</v>
      </c>
      <c r="D153" s="55" t="s">
        <v>4009</v>
      </c>
      <c r="E153" s="54" t="s">
        <v>1550</v>
      </c>
      <c r="F153" s="54"/>
      <c r="G153" s="54"/>
      <c r="H153" s="54"/>
      <c r="I153" s="54"/>
      <c r="J153" s="54"/>
      <c r="K153" s="54"/>
      <c r="L153" s="54"/>
      <c r="M153" s="54"/>
      <c r="N153" s="54"/>
      <c r="O153" s="54"/>
    </row>
    <row r="154" spans="1:15" ht="30" x14ac:dyDescent="0.2">
      <c r="A154" s="53" t="s">
        <v>12</v>
      </c>
      <c r="B154" s="53" t="s">
        <v>15</v>
      </c>
      <c r="C154" s="54" t="s">
        <v>4010</v>
      </c>
      <c r="D154" s="55" t="s">
        <v>4011</v>
      </c>
      <c r="E154" s="54"/>
      <c r="F154" s="54" t="s">
        <v>3831</v>
      </c>
      <c r="G154" s="54">
        <v>5</v>
      </c>
      <c r="H154" s="54">
        <v>5</v>
      </c>
      <c r="I154" s="54"/>
      <c r="J154" s="54">
        <v>0</v>
      </c>
      <c r="K154" s="54"/>
      <c r="L154" s="54"/>
      <c r="M154" s="54"/>
      <c r="N154" s="54"/>
      <c r="O154" s="54"/>
    </row>
    <row r="155" spans="1:15" ht="30" x14ac:dyDescent="0.2">
      <c r="A155" s="53" t="s">
        <v>12</v>
      </c>
      <c r="B155" s="53" t="s">
        <v>15</v>
      </c>
      <c r="C155" s="54" t="s">
        <v>4012</v>
      </c>
      <c r="D155" s="55" t="s">
        <v>4013</v>
      </c>
      <c r="E155" s="54" t="s">
        <v>4014</v>
      </c>
      <c r="F155" s="54" t="s">
        <v>3831</v>
      </c>
      <c r="G155" s="54">
        <v>13</v>
      </c>
      <c r="H155" s="54">
        <v>13</v>
      </c>
      <c r="I155" s="54"/>
      <c r="J155" s="54"/>
      <c r="K155" s="54"/>
      <c r="L155" s="54"/>
      <c r="M155" s="54"/>
      <c r="N155" s="54"/>
      <c r="O155" s="54" t="s">
        <v>4015</v>
      </c>
    </row>
    <row r="156" spans="1:15" ht="30" x14ac:dyDescent="0.2">
      <c r="A156" s="53" t="s">
        <v>12</v>
      </c>
      <c r="B156" s="53" t="s">
        <v>15</v>
      </c>
      <c r="C156" s="54" t="s">
        <v>4016</v>
      </c>
      <c r="D156" s="55" t="s">
        <v>4017</v>
      </c>
      <c r="E156" s="54"/>
      <c r="F156" s="54" t="s">
        <v>3985</v>
      </c>
      <c r="G156" s="54"/>
      <c r="H156" s="54"/>
      <c r="I156" s="54"/>
      <c r="J156" s="54">
        <v>0</v>
      </c>
      <c r="K156" s="54"/>
      <c r="L156" s="54"/>
      <c r="M156" s="54"/>
      <c r="N156" s="54"/>
      <c r="O156" s="54"/>
    </row>
    <row r="157" spans="1:15" ht="15.75" x14ac:dyDescent="0.2">
      <c r="A157" s="53" t="s">
        <v>12</v>
      </c>
      <c r="B157" s="53" t="s">
        <v>15</v>
      </c>
      <c r="C157" s="54" t="s">
        <v>4018</v>
      </c>
      <c r="D157" s="55" t="s">
        <v>4019</v>
      </c>
      <c r="E157" s="54" t="s">
        <v>4014</v>
      </c>
      <c r="F157" s="54" t="s">
        <v>3831</v>
      </c>
      <c r="G157" s="54">
        <v>13</v>
      </c>
      <c r="H157" s="54">
        <v>13</v>
      </c>
      <c r="I157" s="54"/>
      <c r="J157" s="54"/>
      <c r="K157" s="54"/>
      <c r="L157" s="54"/>
      <c r="M157" s="54"/>
      <c r="N157" s="54"/>
      <c r="O157" s="54" t="s">
        <v>4020</v>
      </c>
    </row>
    <row r="158" spans="1:15" ht="30" x14ac:dyDescent="0.2">
      <c r="A158" s="53" t="s">
        <v>12</v>
      </c>
      <c r="B158" s="53" t="s">
        <v>15</v>
      </c>
      <c r="C158" s="54" t="s">
        <v>4021</v>
      </c>
      <c r="D158" s="55" t="s">
        <v>4022</v>
      </c>
      <c r="E158" s="54" t="s">
        <v>1550</v>
      </c>
      <c r="F158" s="54" t="s">
        <v>4023</v>
      </c>
      <c r="G158" s="54">
        <v>5</v>
      </c>
      <c r="H158" s="54">
        <v>5</v>
      </c>
      <c r="I158" s="54"/>
      <c r="J158" s="54">
        <v>0</v>
      </c>
      <c r="K158" s="54"/>
      <c r="L158" s="54"/>
      <c r="M158" s="54"/>
      <c r="N158" s="54"/>
      <c r="O158" s="54" t="s">
        <v>3819</v>
      </c>
    </row>
    <row r="159" spans="1:15" ht="30" x14ac:dyDescent="0.2">
      <c r="A159" s="53" t="s">
        <v>12</v>
      </c>
      <c r="B159" s="53" t="s">
        <v>15</v>
      </c>
      <c r="C159" s="54" t="s">
        <v>4024</v>
      </c>
      <c r="D159" s="55" t="s">
        <v>4025</v>
      </c>
      <c r="E159" s="54" t="s">
        <v>2026</v>
      </c>
      <c r="F159" s="54"/>
      <c r="G159" s="54"/>
      <c r="H159" s="54"/>
      <c r="I159" s="54"/>
      <c r="J159" s="54"/>
      <c r="K159" s="54"/>
      <c r="L159" s="54"/>
      <c r="M159" s="54"/>
      <c r="N159" s="54"/>
      <c r="O159" s="54" t="s">
        <v>4026</v>
      </c>
    </row>
    <row r="160" spans="1:15" ht="45" x14ac:dyDescent="0.2">
      <c r="A160" s="53" t="s">
        <v>12</v>
      </c>
      <c r="B160" s="53" t="s">
        <v>17</v>
      </c>
      <c r="C160" s="54" t="s">
        <v>4027</v>
      </c>
      <c r="D160" s="55" t="s">
        <v>4028</v>
      </c>
      <c r="E160" s="54" t="s">
        <v>2711</v>
      </c>
      <c r="F160" s="54" t="s">
        <v>3641</v>
      </c>
      <c r="G160" s="54">
        <v>13</v>
      </c>
      <c r="H160" s="54"/>
      <c r="I160" s="54"/>
      <c r="J160" s="54">
        <v>0</v>
      </c>
      <c r="K160" s="54"/>
      <c r="L160" s="54"/>
      <c r="M160" s="54"/>
      <c r="N160" s="54"/>
      <c r="O160" s="54" t="s">
        <v>2550</v>
      </c>
    </row>
    <row r="161" spans="1:15" ht="105" x14ac:dyDescent="0.2">
      <c r="A161" s="53" t="s">
        <v>12</v>
      </c>
      <c r="B161" s="53" t="s">
        <v>16</v>
      </c>
      <c r="C161" s="54" t="s">
        <v>4029</v>
      </c>
      <c r="D161" s="55" t="s">
        <v>4030</v>
      </c>
      <c r="E161" s="54" t="s">
        <v>899</v>
      </c>
      <c r="F161" s="54" t="s">
        <v>3260</v>
      </c>
      <c r="G161" s="54">
        <v>3</v>
      </c>
      <c r="H161" s="54"/>
      <c r="I161" s="54"/>
      <c r="J161" s="54">
        <v>0</v>
      </c>
      <c r="K161" s="54"/>
      <c r="L161" s="54"/>
      <c r="M161" s="54"/>
      <c r="N161" s="54"/>
      <c r="O161" s="54" t="s">
        <v>4031</v>
      </c>
    </row>
    <row r="162" spans="1:15" ht="105" x14ac:dyDescent="0.2">
      <c r="A162" s="53" t="s">
        <v>12</v>
      </c>
      <c r="B162" s="53" t="s">
        <v>16</v>
      </c>
      <c r="C162" s="54" t="s">
        <v>4032</v>
      </c>
      <c r="D162" s="55" t="s">
        <v>4033</v>
      </c>
      <c r="E162" s="54" t="s">
        <v>899</v>
      </c>
      <c r="F162" s="54" t="s">
        <v>3260</v>
      </c>
      <c r="G162" s="54">
        <v>3</v>
      </c>
      <c r="H162" s="54"/>
      <c r="I162" s="54">
        <v>0</v>
      </c>
      <c r="J162" s="54">
        <v>0</v>
      </c>
      <c r="K162" s="54"/>
      <c r="L162" s="54"/>
      <c r="M162" s="54"/>
      <c r="N162" s="54"/>
      <c r="O162" s="54" t="s">
        <v>2839</v>
      </c>
    </row>
    <row r="163" spans="1:15" ht="15.75" x14ac:dyDescent="0.2">
      <c r="A163" s="53" t="s">
        <v>12</v>
      </c>
      <c r="B163" s="53" t="s">
        <v>15</v>
      </c>
      <c r="C163" s="54" t="s">
        <v>4034</v>
      </c>
      <c r="D163" s="55" t="s">
        <v>4035</v>
      </c>
      <c r="E163" s="54" t="s">
        <v>3952</v>
      </c>
      <c r="F163" s="54" t="s">
        <v>3693</v>
      </c>
      <c r="G163" s="54">
        <v>3</v>
      </c>
      <c r="H163" s="54">
        <v>3</v>
      </c>
      <c r="I163" s="54">
        <v>10800</v>
      </c>
      <c r="J163" s="54">
        <v>3600</v>
      </c>
      <c r="K163" s="54"/>
      <c r="L163" s="54"/>
      <c r="M163" s="54"/>
      <c r="N163" s="54"/>
      <c r="O163" s="54" t="s">
        <v>3323</v>
      </c>
    </row>
    <row r="164" spans="1:15" ht="45" x14ac:dyDescent="0.2">
      <c r="A164" s="53" t="s">
        <v>12</v>
      </c>
      <c r="B164" s="53" t="s">
        <v>15</v>
      </c>
      <c r="C164" s="54" t="s">
        <v>4036</v>
      </c>
      <c r="D164" s="55" t="s">
        <v>4037</v>
      </c>
      <c r="E164" s="54"/>
      <c r="F164" s="54" t="s">
        <v>3373</v>
      </c>
      <c r="G164" s="54">
        <v>2</v>
      </c>
      <c r="H164" s="54">
        <v>2</v>
      </c>
      <c r="I164" s="54"/>
      <c r="J164" s="54">
        <v>0</v>
      </c>
      <c r="K164" s="54"/>
      <c r="L164" s="54"/>
      <c r="M164" s="54">
        <v>1</v>
      </c>
      <c r="N164" s="54"/>
      <c r="O164" s="54" t="s">
        <v>1569</v>
      </c>
    </row>
    <row r="165" spans="1:15" ht="105" x14ac:dyDescent="0.2">
      <c r="A165" s="53" t="s">
        <v>12</v>
      </c>
      <c r="B165" s="53" t="s">
        <v>16</v>
      </c>
      <c r="C165" s="54" t="s">
        <v>4038</v>
      </c>
      <c r="D165" s="55" t="s">
        <v>4039</v>
      </c>
      <c r="E165" s="54" t="s">
        <v>899</v>
      </c>
      <c r="F165" s="54" t="s">
        <v>3260</v>
      </c>
      <c r="G165" s="54">
        <v>2</v>
      </c>
      <c r="H165" s="54"/>
      <c r="I165" s="54"/>
      <c r="J165" s="54">
        <v>0</v>
      </c>
      <c r="K165" s="54"/>
      <c r="L165" s="54"/>
      <c r="M165" s="54">
        <v>1</v>
      </c>
      <c r="N165" s="54"/>
      <c r="O165" s="54" t="s">
        <v>2839</v>
      </c>
    </row>
    <row r="166" spans="1:15" ht="15.75" x14ac:dyDescent="0.2">
      <c r="A166" s="53" t="s">
        <v>12</v>
      </c>
      <c r="B166" s="53" t="s">
        <v>15</v>
      </c>
      <c r="C166" s="54" t="s">
        <v>4040</v>
      </c>
      <c r="D166" s="55" t="s">
        <v>4041</v>
      </c>
      <c r="E166" s="54"/>
      <c r="F166" s="54" t="s">
        <v>2755</v>
      </c>
      <c r="G166" s="54">
        <v>20</v>
      </c>
      <c r="H166" s="54">
        <v>20</v>
      </c>
      <c r="I166" s="54">
        <v>3600</v>
      </c>
      <c r="J166" s="54">
        <v>3600</v>
      </c>
      <c r="K166" s="54"/>
      <c r="L166" s="54"/>
      <c r="M166" s="54"/>
      <c r="N166" s="54"/>
      <c r="O166" s="54" t="s">
        <v>3824</v>
      </c>
    </row>
    <row r="167" spans="1:15" ht="15.75" x14ac:dyDescent="0.2">
      <c r="A167" s="53" t="s">
        <v>12</v>
      </c>
      <c r="B167" s="53" t="s">
        <v>15</v>
      </c>
      <c r="C167" s="54" t="s">
        <v>4042</v>
      </c>
      <c r="D167" s="55" t="s">
        <v>4043</v>
      </c>
      <c r="E167" s="54" t="s">
        <v>899</v>
      </c>
      <c r="F167" s="54" t="s">
        <v>1324</v>
      </c>
      <c r="G167" s="54"/>
      <c r="H167" s="54"/>
      <c r="I167" s="54"/>
      <c r="J167" s="54"/>
      <c r="K167" s="54"/>
      <c r="L167" s="54"/>
      <c r="M167" s="54"/>
      <c r="N167" s="54"/>
      <c r="O167" s="54" t="s">
        <v>1975</v>
      </c>
    </row>
    <row r="168" spans="1:15" ht="15.75" x14ac:dyDescent="0.2">
      <c r="A168" s="53" t="s">
        <v>12</v>
      </c>
      <c r="B168" s="53" t="s">
        <v>15</v>
      </c>
      <c r="C168" s="54" t="s">
        <v>4044</v>
      </c>
      <c r="D168" s="55" t="s">
        <v>4045</v>
      </c>
      <c r="E168" s="54" t="s">
        <v>899</v>
      </c>
      <c r="F168" s="54" t="s">
        <v>1752</v>
      </c>
      <c r="G168" s="54"/>
      <c r="H168" s="54"/>
      <c r="I168" s="54"/>
      <c r="J168" s="54"/>
      <c r="K168" s="54"/>
      <c r="L168" s="54"/>
      <c r="M168" s="54"/>
      <c r="N168" s="54"/>
      <c r="O168" s="54" t="s">
        <v>1975</v>
      </c>
    </row>
    <row r="169" spans="1:15" ht="45" x14ac:dyDescent="0.2">
      <c r="A169" s="53" t="s">
        <v>12</v>
      </c>
      <c r="B169" s="53" t="s">
        <v>15</v>
      </c>
      <c r="C169" s="54" t="s">
        <v>4046</v>
      </c>
      <c r="D169" s="55" t="s">
        <v>4047</v>
      </c>
      <c r="E169" s="54" t="s">
        <v>899</v>
      </c>
      <c r="F169" s="54" t="s">
        <v>1324</v>
      </c>
      <c r="G169" s="54"/>
      <c r="H169" s="54"/>
      <c r="I169" s="54"/>
      <c r="J169" s="54"/>
      <c r="K169" s="54"/>
      <c r="L169" s="54"/>
      <c r="M169" s="54"/>
      <c r="N169" s="54"/>
      <c r="O169" s="54" t="s">
        <v>1975</v>
      </c>
    </row>
    <row r="170" spans="1:15" ht="15.75" x14ac:dyDescent="0.2">
      <c r="A170" s="53" t="s">
        <v>12</v>
      </c>
      <c r="B170" s="53" t="s">
        <v>15</v>
      </c>
      <c r="C170" s="54" t="s">
        <v>4048</v>
      </c>
      <c r="D170" s="55" t="s">
        <v>4049</v>
      </c>
      <c r="E170" s="54" t="s">
        <v>899</v>
      </c>
      <c r="F170" s="54" t="s">
        <v>1324</v>
      </c>
      <c r="G170" s="54"/>
      <c r="H170" s="54"/>
      <c r="I170" s="54"/>
      <c r="J170" s="54"/>
      <c r="K170" s="54"/>
      <c r="L170" s="54"/>
      <c r="M170" s="54"/>
      <c r="N170" s="54"/>
      <c r="O170" s="54" t="s">
        <v>1975</v>
      </c>
    </row>
    <row r="171" spans="1:15" ht="30" x14ac:dyDescent="0.2">
      <c r="A171" s="53" t="s">
        <v>12</v>
      </c>
      <c r="B171" s="53" t="s">
        <v>15</v>
      </c>
      <c r="C171" s="54" t="s">
        <v>4050</v>
      </c>
      <c r="D171" s="55" t="s">
        <v>3178</v>
      </c>
      <c r="E171" s="54"/>
      <c r="F171" s="54" t="s">
        <v>1701</v>
      </c>
      <c r="G171" s="54"/>
      <c r="H171" s="54"/>
      <c r="I171" s="54"/>
      <c r="J171" s="54"/>
      <c r="K171" s="54"/>
      <c r="L171" s="54"/>
      <c r="M171" s="54"/>
      <c r="N171" s="54"/>
      <c r="O171" s="54" t="s">
        <v>4051</v>
      </c>
    </row>
    <row r="172" spans="1:15" ht="30" x14ac:dyDescent="0.2">
      <c r="A172" s="53" t="s">
        <v>12</v>
      </c>
      <c r="B172" s="53" t="s">
        <v>15</v>
      </c>
      <c r="C172" s="54" t="s">
        <v>4052</v>
      </c>
      <c r="D172" s="55" t="s">
        <v>4053</v>
      </c>
      <c r="E172" s="54" t="s">
        <v>899</v>
      </c>
      <c r="F172" s="54" t="s">
        <v>1324</v>
      </c>
      <c r="G172" s="54"/>
      <c r="H172" s="54"/>
      <c r="I172" s="54"/>
      <c r="J172" s="54"/>
      <c r="K172" s="54"/>
      <c r="L172" s="54"/>
      <c r="M172" s="54"/>
      <c r="N172" s="54"/>
      <c r="O172" s="54" t="s">
        <v>4054</v>
      </c>
    </row>
    <row r="173" spans="1:15" ht="30" x14ac:dyDescent="0.2">
      <c r="A173" s="53" t="s">
        <v>12</v>
      </c>
      <c r="B173" s="53" t="s">
        <v>15</v>
      </c>
      <c r="C173" s="54" t="s">
        <v>4055</v>
      </c>
      <c r="D173" s="55" t="s">
        <v>4056</v>
      </c>
      <c r="E173" s="54" t="s">
        <v>899</v>
      </c>
      <c r="F173" s="54" t="s">
        <v>1324</v>
      </c>
      <c r="G173" s="54"/>
      <c r="H173" s="54"/>
      <c r="I173" s="54"/>
      <c r="J173" s="54"/>
      <c r="K173" s="54"/>
      <c r="L173" s="54"/>
      <c r="M173" s="54"/>
      <c r="N173" s="54"/>
      <c r="O173" s="54" t="s">
        <v>4057</v>
      </c>
    </row>
    <row r="174" spans="1:15" ht="15.75" x14ac:dyDescent="0.2">
      <c r="A174" s="53" t="s">
        <v>12</v>
      </c>
      <c r="B174" s="53" t="s">
        <v>15</v>
      </c>
      <c r="C174" s="54" t="s">
        <v>4058</v>
      </c>
      <c r="D174" s="55" t="s">
        <v>4059</v>
      </c>
      <c r="E174" s="54" t="s">
        <v>899</v>
      </c>
      <c r="F174" s="54" t="s">
        <v>1324</v>
      </c>
      <c r="G174" s="54"/>
      <c r="H174" s="54"/>
      <c r="I174" s="54"/>
      <c r="J174" s="54"/>
      <c r="K174" s="54"/>
      <c r="L174" s="54"/>
      <c r="M174" s="54"/>
      <c r="N174" s="54"/>
      <c r="O174" s="54" t="s">
        <v>4026</v>
      </c>
    </row>
    <row r="175" spans="1:15" ht="30" x14ac:dyDescent="0.2">
      <c r="A175" s="53" t="s">
        <v>12</v>
      </c>
      <c r="B175" s="53" t="s">
        <v>15</v>
      </c>
      <c r="C175" s="54" t="s">
        <v>4060</v>
      </c>
      <c r="D175" s="55" t="s">
        <v>4061</v>
      </c>
      <c r="E175" s="54" t="s">
        <v>920</v>
      </c>
      <c r="F175" s="54" t="s">
        <v>1701</v>
      </c>
      <c r="G175" s="54"/>
      <c r="H175" s="54"/>
      <c r="I175" s="54"/>
      <c r="J175" s="54"/>
      <c r="K175" s="54"/>
      <c r="L175" s="54"/>
      <c r="M175" s="54"/>
      <c r="N175" s="54"/>
      <c r="O175" s="54" t="s">
        <v>4026</v>
      </c>
    </row>
    <row r="176" spans="1:15" ht="15.75" x14ac:dyDescent="0.2">
      <c r="A176" s="53" t="s">
        <v>12</v>
      </c>
      <c r="B176" s="53" t="s">
        <v>15</v>
      </c>
      <c r="C176" s="54" t="s">
        <v>4062</v>
      </c>
      <c r="D176" s="55" t="s">
        <v>4063</v>
      </c>
      <c r="E176" s="54" t="s">
        <v>899</v>
      </c>
      <c r="F176" s="54" t="s">
        <v>1324</v>
      </c>
      <c r="G176" s="54"/>
      <c r="H176" s="54"/>
      <c r="I176" s="54"/>
      <c r="J176" s="54"/>
      <c r="K176" s="54"/>
      <c r="L176" s="54"/>
      <c r="M176" s="54"/>
      <c r="N176" s="54"/>
      <c r="O176" s="54" t="s">
        <v>4026</v>
      </c>
    </row>
    <row r="177" spans="1:15" ht="15.75" x14ac:dyDescent="0.2">
      <c r="A177" s="53" t="s">
        <v>12</v>
      </c>
      <c r="B177" s="53" t="s">
        <v>15</v>
      </c>
      <c r="C177" s="54" t="s">
        <v>4064</v>
      </c>
      <c r="D177" s="55" t="s">
        <v>4065</v>
      </c>
      <c r="E177" s="54" t="s">
        <v>899</v>
      </c>
      <c r="F177" s="54" t="s">
        <v>1324</v>
      </c>
      <c r="G177" s="54"/>
      <c r="H177" s="54"/>
      <c r="I177" s="54"/>
      <c r="J177" s="54"/>
      <c r="K177" s="54"/>
      <c r="L177" s="54"/>
      <c r="M177" s="54"/>
      <c r="N177" s="54"/>
      <c r="O177" s="54" t="s">
        <v>4026</v>
      </c>
    </row>
    <row r="178" spans="1:15" ht="30" x14ac:dyDescent="0.2">
      <c r="A178" s="53" t="s">
        <v>12</v>
      </c>
      <c r="B178" s="53" t="s">
        <v>13</v>
      </c>
      <c r="C178" s="54" t="s">
        <v>4066</v>
      </c>
      <c r="D178" s="55" t="s">
        <v>4067</v>
      </c>
      <c r="E178" s="54" t="s">
        <v>4068</v>
      </c>
      <c r="F178" s="54"/>
      <c r="G178" s="54"/>
      <c r="H178" s="54"/>
      <c r="I178" s="54"/>
      <c r="J178" s="54"/>
      <c r="K178" s="54"/>
      <c r="L178" s="54"/>
      <c r="M178" s="54"/>
      <c r="N178" s="54"/>
      <c r="O178" s="54" t="s">
        <v>4026</v>
      </c>
    </row>
    <row r="179" spans="1:15" ht="15.75" x14ac:dyDescent="0.2">
      <c r="A179" s="53" t="s">
        <v>12</v>
      </c>
      <c r="B179" s="53" t="s">
        <v>15</v>
      </c>
      <c r="C179" s="54" t="s">
        <v>4069</v>
      </c>
      <c r="D179" s="55" t="s">
        <v>4070</v>
      </c>
      <c r="E179" s="54" t="s">
        <v>2026</v>
      </c>
      <c r="F179" s="54"/>
      <c r="G179" s="54"/>
      <c r="H179" s="54"/>
      <c r="I179" s="54"/>
      <c r="J179" s="54"/>
      <c r="K179" s="54"/>
      <c r="L179" s="54"/>
      <c r="M179" s="54"/>
      <c r="N179" s="54"/>
      <c r="O179" s="54" t="s">
        <v>4026</v>
      </c>
    </row>
    <row r="180" spans="1:15" ht="30" x14ac:dyDescent="0.2">
      <c r="A180" s="53" t="s">
        <v>12</v>
      </c>
      <c r="B180" s="53" t="s">
        <v>15</v>
      </c>
      <c r="C180" s="54" t="s">
        <v>4071</v>
      </c>
      <c r="D180" s="55" t="s">
        <v>4072</v>
      </c>
      <c r="E180" s="54" t="s">
        <v>899</v>
      </c>
      <c r="F180" s="54" t="s">
        <v>1324</v>
      </c>
      <c r="G180" s="54"/>
      <c r="H180" s="54"/>
      <c r="I180" s="54"/>
      <c r="J180" s="54"/>
      <c r="K180" s="54"/>
      <c r="L180" s="54"/>
      <c r="M180" s="54"/>
      <c r="N180" s="54"/>
      <c r="O180" s="54" t="s">
        <v>4026</v>
      </c>
    </row>
    <row r="181" spans="1:15" ht="30" x14ac:dyDescent="0.2">
      <c r="A181" s="53" t="s">
        <v>12</v>
      </c>
      <c r="B181" s="53" t="s">
        <v>15</v>
      </c>
      <c r="C181" s="54" t="s">
        <v>4073</v>
      </c>
      <c r="D181" s="55" t="s">
        <v>4074</v>
      </c>
      <c r="E181" s="54" t="s">
        <v>1550</v>
      </c>
      <c r="F181" s="54"/>
      <c r="G181" s="54"/>
      <c r="H181" s="54"/>
      <c r="I181" s="54"/>
      <c r="J181" s="54"/>
      <c r="K181" s="54"/>
      <c r="L181" s="54"/>
      <c r="M181" s="54"/>
      <c r="N181" s="54"/>
      <c r="O181" s="54" t="s">
        <v>4075</v>
      </c>
    </row>
    <row r="182" spans="1:15" ht="30" x14ac:dyDescent="0.2">
      <c r="A182" s="53" t="s">
        <v>12</v>
      </c>
      <c r="B182" s="53" t="s">
        <v>15</v>
      </c>
      <c r="C182" s="54" t="s">
        <v>4076</v>
      </c>
      <c r="D182" s="55" t="s">
        <v>4077</v>
      </c>
      <c r="E182" s="54" t="s">
        <v>4078</v>
      </c>
      <c r="F182" s="54" t="s">
        <v>4079</v>
      </c>
      <c r="G182" s="54">
        <v>5</v>
      </c>
      <c r="H182" s="54">
        <v>5</v>
      </c>
      <c r="I182" s="54"/>
      <c r="J182" s="54"/>
      <c r="K182" s="54"/>
      <c r="L182" s="54"/>
      <c r="M182" s="54"/>
      <c r="N182" s="54"/>
      <c r="O182" s="54" t="s">
        <v>4080</v>
      </c>
    </row>
    <row r="183" spans="1:15" ht="30" x14ac:dyDescent="0.2">
      <c r="A183" s="53" t="s">
        <v>12</v>
      </c>
      <c r="B183" s="53" t="s">
        <v>15</v>
      </c>
      <c r="C183" s="54" t="s">
        <v>4081</v>
      </c>
      <c r="D183" s="55" t="s">
        <v>4082</v>
      </c>
      <c r="E183" s="54" t="s">
        <v>4083</v>
      </c>
      <c r="F183" s="54" t="s">
        <v>4079</v>
      </c>
      <c r="G183" s="54">
        <v>1</v>
      </c>
      <c r="H183" s="54">
        <v>1</v>
      </c>
      <c r="I183" s="54"/>
      <c r="J183" s="54"/>
      <c r="K183" s="54"/>
      <c r="L183" s="54"/>
      <c r="M183" s="54"/>
      <c r="N183" s="54"/>
      <c r="O183" s="54"/>
    </row>
    <row r="184" spans="1:15" ht="30" x14ac:dyDescent="0.2">
      <c r="A184" s="53" t="s">
        <v>12</v>
      </c>
      <c r="B184" s="53" t="s">
        <v>15</v>
      </c>
      <c r="C184" s="54" t="s">
        <v>4084</v>
      </c>
      <c r="D184" s="55" t="s">
        <v>4085</v>
      </c>
      <c r="E184" s="54" t="s">
        <v>4083</v>
      </c>
      <c r="F184" s="54" t="s">
        <v>4079</v>
      </c>
      <c r="G184" s="54">
        <v>3</v>
      </c>
      <c r="H184" s="54">
        <v>3</v>
      </c>
      <c r="I184" s="54"/>
      <c r="J184" s="54"/>
      <c r="K184" s="54"/>
      <c r="L184" s="54"/>
      <c r="M184" s="54"/>
      <c r="N184" s="54"/>
      <c r="O184" s="54"/>
    </row>
    <row r="185" spans="1:15" ht="30" x14ac:dyDescent="0.2">
      <c r="A185" s="53" t="s">
        <v>12</v>
      </c>
      <c r="B185" s="53" t="s">
        <v>15</v>
      </c>
      <c r="C185" s="54" t="s">
        <v>4086</v>
      </c>
      <c r="D185" s="55" t="s">
        <v>4087</v>
      </c>
      <c r="E185" s="54"/>
      <c r="F185" s="54" t="s">
        <v>3831</v>
      </c>
      <c r="G185" s="54">
        <v>1</v>
      </c>
      <c r="H185" s="54"/>
      <c r="I185" s="54">
        <v>0</v>
      </c>
      <c r="J185" s="54">
        <v>0</v>
      </c>
      <c r="K185" s="54"/>
      <c r="L185" s="54"/>
      <c r="M185" s="54"/>
      <c r="N185" s="54"/>
      <c r="O185" s="54" t="s">
        <v>3963</v>
      </c>
    </row>
    <row r="186" spans="1:15" ht="30" x14ac:dyDescent="0.2">
      <c r="A186" s="53" t="s">
        <v>12</v>
      </c>
      <c r="B186" s="53" t="s">
        <v>15</v>
      </c>
      <c r="C186" s="54" t="s">
        <v>4088</v>
      </c>
      <c r="D186" s="55" t="s">
        <v>4089</v>
      </c>
      <c r="E186" s="54" t="s">
        <v>1550</v>
      </c>
      <c r="F186" s="54" t="s">
        <v>4090</v>
      </c>
      <c r="G186" s="54">
        <v>5</v>
      </c>
      <c r="H186" s="54">
        <v>5</v>
      </c>
      <c r="I186" s="54">
        <v>86400</v>
      </c>
      <c r="J186" s="54">
        <v>0</v>
      </c>
      <c r="K186" s="54"/>
      <c r="L186" s="54"/>
      <c r="M186" s="54"/>
      <c r="N186" s="54"/>
      <c r="O186" s="54" t="s">
        <v>4091</v>
      </c>
    </row>
    <row r="187" spans="1:15" ht="30" x14ac:dyDescent="0.2">
      <c r="A187" s="53" t="s">
        <v>12</v>
      </c>
      <c r="B187" s="53" t="s">
        <v>15</v>
      </c>
      <c r="C187" s="54" t="s">
        <v>4092</v>
      </c>
      <c r="D187" s="55" t="s">
        <v>4093</v>
      </c>
      <c r="E187" s="54" t="s">
        <v>4094</v>
      </c>
      <c r="F187" s="54" t="s">
        <v>3831</v>
      </c>
      <c r="G187" s="54"/>
      <c r="H187" s="54"/>
      <c r="I187" s="54"/>
      <c r="J187" s="54"/>
      <c r="K187" s="54"/>
      <c r="L187" s="54"/>
      <c r="M187" s="54"/>
      <c r="N187" s="54"/>
      <c r="O187" s="54" t="s">
        <v>3963</v>
      </c>
    </row>
    <row r="188" spans="1:15" ht="30" x14ac:dyDescent="0.2">
      <c r="A188" s="53" t="s">
        <v>12</v>
      </c>
      <c r="B188" s="53" t="s">
        <v>17</v>
      </c>
      <c r="C188" s="54" t="s">
        <v>4095</v>
      </c>
      <c r="D188" s="55" t="s">
        <v>4096</v>
      </c>
      <c r="E188" s="54"/>
      <c r="F188" s="54" t="s">
        <v>3831</v>
      </c>
      <c r="G188" s="54">
        <v>3</v>
      </c>
      <c r="H188" s="54"/>
      <c r="I188" s="54">
        <v>7200</v>
      </c>
      <c r="J188" s="54">
        <v>7200</v>
      </c>
      <c r="K188" s="54"/>
      <c r="L188" s="54"/>
      <c r="M188" s="54"/>
      <c r="N188" s="54"/>
      <c r="O188" s="54" t="s">
        <v>3963</v>
      </c>
    </row>
    <row r="189" spans="1:15" ht="60" x14ac:dyDescent="0.2">
      <c r="A189" s="53" t="s">
        <v>12</v>
      </c>
      <c r="B189" s="53" t="s">
        <v>16</v>
      </c>
      <c r="C189" s="54" t="s">
        <v>4097</v>
      </c>
      <c r="D189" s="55" t="s">
        <v>4098</v>
      </c>
      <c r="E189" s="54" t="s">
        <v>899</v>
      </c>
      <c r="F189" s="54" t="s">
        <v>2536</v>
      </c>
      <c r="G189" s="54">
        <v>8</v>
      </c>
      <c r="H189" s="54"/>
      <c r="I189" s="54">
        <v>374640</v>
      </c>
      <c r="J189" s="54">
        <v>174600</v>
      </c>
      <c r="K189" s="54"/>
      <c r="L189" s="54"/>
      <c r="M189" s="54"/>
      <c r="N189" s="54"/>
      <c r="O189" s="54" t="s">
        <v>4099</v>
      </c>
    </row>
    <row r="190" spans="1:15" ht="15.75" x14ac:dyDescent="0.2">
      <c r="A190" s="53" t="s">
        <v>12</v>
      </c>
      <c r="B190" s="53" t="s">
        <v>15</v>
      </c>
      <c r="C190" s="54" t="s">
        <v>4100</v>
      </c>
      <c r="D190" s="55" t="s">
        <v>4101</v>
      </c>
      <c r="E190" s="54"/>
      <c r="F190" s="54" t="s">
        <v>3985</v>
      </c>
      <c r="G190" s="54"/>
      <c r="H190" s="54"/>
      <c r="I190" s="54"/>
      <c r="J190" s="54"/>
      <c r="K190" s="54"/>
      <c r="L190" s="54"/>
      <c r="M190" s="54"/>
      <c r="N190" s="54"/>
      <c r="O190" s="54" t="s">
        <v>4102</v>
      </c>
    </row>
    <row r="191" spans="1:15" ht="60" x14ac:dyDescent="0.2">
      <c r="A191" s="53" t="s">
        <v>12</v>
      </c>
      <c r="B191" s="53" t="s">
        <v>16</v>
      </c>
      <c r="C191" s="54" t="s">
        <v>4103</v>
      </c>
      <c r="D191" s="55" t="s">
        <v>4104</v>
      </c>
      <c r="E191" s="54" t="s">
        <v>899</v>
      </c>
      <c r="F191" s="54" t="s">
        <v>2536</v>
      </c>
      <c r="G191" s="54">
        <v>3</v>
      </c>
      <c r="H191" s="54"/>
      <c r="I191" s="54">
        <v>0</v>
      </c>
      <c r="J191" s="54">
        <v>0</v>
      </c>
      <c r="K191" s="54"/>
      <c r="L191" s="54"/>
      <c r="M191" s="54"/>
      <c r="N191" s="54"/>
      <c r="O191" s="54" t="s">
        <v>4105</v>
      </c>
    </row>
    <row r="192" spans="1:15" ht="60" x14ac:dyDescent="0.2">
      <c r="A192" s="53" t="s">
        <v>12</v>
      </c>
      <c r="B192" s="53" t="s">
        <v>16</v>
      </c>
      <c r="C192" s="54" t="s">
        <v>4106</v>
      </c>
      <c r="D192" s="55" t="s">
        <v>4107</v>
      </c>
      <c r="E192" s="54" t="s">
        <v>4108</v>
      </c>
      <c r="F192" s="54" t="s">
        <v>2536</v>
      </c>
      <c r="G192" s="54">
        <v>5</v>
      </c>
      <c r="H192" s="54"/>
      <c r="I192" s="54">
        <v>0</v>
      </c>
      <c r="J192" s="54">
        <v>0</v>
      </c>
      <c r="K192" s="54"/>
      <c r="L192" s="54"/>
      <c r="M192" s="54"/>
      <c r="N192" s="54"/>
      <c r="O192" s="54" t="s">
        <v>4109</v>
      </c>
    </row>
    <row r="193" spans="1:15" ht="75" x14ac:dyDescent="0.2">
      <c r="A193" s="53" t="s">
        <v>12</v>
      </c>
      <c r="B193" s="53" t="s">
        <v>16</v>
      </c>
      <c r="C193" s="54" t="s">
        <v>4110</v>
      </c>
      <c r="D193" s="55" t="s">
        <v>4111</v>
      </c>
      <c r="E193" s="54" t="s">
        <v>920</v>
      </c>
      <c r="F193" s="54" t="s">
        <v>4112</v>
      </c>
      <c r="G193" s="54">
        <v>5</v>
      </c>
      <c r="H193" s="54"/>
      <c r="I193" s="54">
        <v>0</v>
      </c>
      <c r="J193" s="54">
        <v>0</v>
      </c>
      <c r="K193" s="54"/>
      <c r="L193" s="54"/>
      <c r="M193" s="54"/>
      <c r="N193" s="54"/>
      <c r="O193" s="54" t="s">
        <v>1412</v>
      </c>
    </row>
    <row r="194" spans="1:15" ht="30" x14ac:dyDescent="0.2">
      <c r="A194" s="53" t="s">
        <v>12</v>
      </c>
      <c r="B194" s="53" t="s">
        <v>15</v>
      </c>
      <c r="C194" s="54" t="s">
        <v>4113</v>
      </c>
      <c r="D194" s="55" t="s">
        <v>4114</v>
      </c>
      <c r="E194" s="54" t="s">
        <v>1550</v>
      </c>
      <c r="F194" s="54" t="s">
        <v>3831</v>
      </c>
      <c r="G194" s="54">
        <v>5</v>
      </c>
      <c r="H194" s="54">
        <v>5</v>
      </c>
      <c r="I194" s="54"/>
      <c r="J194" s="54"/>
      <c r="K194" s="54"/>
      <c r="L194" s="54"/>
      <c r="M194" s="54"/>
      <c r="N194" s="54"/>
      <c r="O194" s="54" t="s">
        <v>4115</v>
      </c>
    </row>
    <row r="195" spans="1:15" ht="15.75" x14ac:dyDescent="0.2">
      <c r="A195" s="53" t="s">
        <v>12</v>
      </c>
      <c r="B195" s="53" t="s">
        <v>15</v>
      </c>
      <c r="C195" s="54" t="s">
        <v>4116</v>
      </c>
      <c r="D195" s="55" t="s">
        <v>4117</v>
      </c>
      <c r="E195" s="54" t="s">
        <v>1550</v>
      </c>
      <c r="F195" s="54" t="s">
        <v>3725</v>
      </c>
      <c r="G195" s="54">
        <v>8</v>
      </c>
      <c r="H195" s="54">
        <v>8</v>
      </c>
      <c r="I195" s="54"/>
      <c r="J195" s="54">
        <v>0</v>
      </c>
      <c r="K195" s="54"/>
      <c r="L195" s="54"/>
      <c r="M195" s="54"/>
      <c r="N195" s="54"/>
      <c r="O195" s="54" t="s">
        <v>4118</v>
      </c>
    </row>
    <row r="196" spans="1:15" ht="30" x14ac:dyDescent="0.2">
      <c r="A196" s="53" t="s">
        <v>12</v>
      </c>
      <c r="B196" s="53" t="s">
        <v>13</v>
      </c>
      <c r="C196" s="54" t="s">
        <v>4119</v>
      </c>
      <c r="D196" s="55" t="s">
        <v>4120</v>
      </c>
      <c r="E196" s="54"/>
      <c r="F196" s="54"/>
      <c r="G196" s="54"/>
      <c r="H196" s="54"/>
      <c r="I196" s="54"/>
      <c r="J196" s="54"/>
      <c r="K196" s="54"/>
      <c r="L196" s="54"/>
      <c r="M196" s="54"/>
      <c r="N196" s="54"/>
      <c r="O196" s="54" t="s">
        <v>1562</v>
      </c>
    </row>
    <row r="197" spans="1:15" ht="30" x14ac:dyDescent="0.2">
      <c r="A197" s="53" t="s">
        <v>12</v>
      </c>
      <c r="B197" s="53" t="s">
        <v>15</v>
      </c>
      <c r="C197" s="54" t="s">
        <v>4121</v>
      </c>
      <c r="D197" s="55" t="s">
        <v>4122</v>
      </c>
      <c r="E197" s="54"/>
      <c r="F197" s="54" t="s">
        <v>4079</v>
      </c>
      <c r="G197" s="54"/>
      <c r="H197" s="54"/>
      <c r="I197" s="54">
        <v>0</v>
      </c>
      <c r="J197" s="54">
        <v>0</v>
      </c>
      <c r="K197" s="54"/>
      <c r="L197" s="54"/>
      <c r="M197" s="54"/>
      <c r="N197" s="54"/>
      <c r="O197" s="54"/>
    </row>
    <row r="198" spans="1:15" ht="30" x14ac:dyDescent="0.2">
      <c r="A198" s="53" t="s">
        <v>12</v>
      </c>
      <c r="B198" s="53" t="s">
        <v>15</v>
      </c>
      <c r="C198" s="54" t="s">
        <v>4123</v>
      </c>
      <c r="D198" s="55" t="s">
        <v>4124</v>
      </c>
      <c r="E198" s="54"/>
      <c r="F198" s="54" t="s">
        <v>4079</v>
      </c>
      <c r="G198" s="54"/>
      <c r="H198" s="54"/>
      <c r="I198" s="54">
        <v>0</v>
      </c>
      <c r="J198" s="54">
        <v>0</v>
      </c>
      <c r="K198" s="54"/>
      <c r="L198" s="54"/>
      <c r="M198" s="54"/>
      <c r="N198" s="54"/>
      <c r="O198" s="54"/>
    </row>
    <row r="199" spans="1:15" ht="15.75" x14ac:dyDescent="0.2">
      <c r="A199" s="53" t="s">
        <v>12</v>
      </c>
      <c r="B199" s="53" t="s">
        <v>15</v>
      </c>
      <c r="C199" s="54" t="s">
        <v>4125</v>
      </c>
      <c r="D199" s="55" t="s">
        <v>4126</v>
      </c>
      <c r="E199" s="54"/>
      <c r="F199" s="54" t="s">
        <v>4079</v>
      </c>
      <c r="G199" s="54"/>
      <c r="H199" s="54"/>
      <c r="I199" s="54">
        <v>0</v>
      </c>
      <c r="J199" s="54">
        <v>0</v>
      </c>
      <c r="K199" s="54"/>
      <c r="L199" s="54"/>
      <c r="M199" s="54"/>
      <c r="N199" s="54"/>
      <c r="O199" s="54"/>
    </row>
    <row r="200" spans="1:15" ht="30" x14ac:dyDescent="0.2">
      <c r="A200" s="53" t="s">
        <v>12</v>
      </c>
      <c r="B200" s="53" t="s">
        <v>15</v>
      </c>
      <c r="C200" s="54" t="s">
        <v>4127</v>
      </c>
      <c r="D200" s="55" t="s">
        <v>4128</v>
      </c>
      <c r="E200" s="54"/>
      <c r="F200" s="54" t="s">
        <v>4079</v>
      </c>
      <c r="G200" s="54"/>
      <c r="H200" s="54"/>
      <c r="I200" s="54">
        <v>0</v>
      </c>
      <c r="J200" s="54">
        <v>0</v>
      </c>
      <c r="K200" s="54"/>
      <c r="L200" s="54"/>
      <c r="M200" s="54"/>
      <c r="N200" s="54"/>
      <c r="O200" s="54"/>
    </row>
    <row r="201" spans="1:15" ht="30" x14ac:dyDescent="0.2">
      <c r="A201" s="53" t="s">
        <v>12</v>
      </c>
      <c r="B201" s="53" t="s">
        <v>15</v>
      </c>
      <c r="C201" s="54" t="s">
        <v>4129</v>
      </c>
      <c r="D201" s="55" t="s">
        <v>4130</v>
      </c>
      <c r="E201" s="54"/>
      <c r="F201" s="54" t="s">
        <v>4079</v>
      </c>
      <c r="G201" s="54"/>
      <c r="H201" s="54"/>
      <c r="I201" s="54">
        <v>0</v>
      </c>
      <c r="J201" s="54">
        <v>0</v>
      </c>
      <c r="K201" s="54"/>
      <c r="L201" s="54"/>
      <c r="M201" s="54"/>
      <c r="N201" s="54"/>
      <c r="O201" s="54"/>
    </row>
    <row r="202" spans="1:15" ht="30" x14ac:dyDescent="0.2">
      <c r="A202" s="53" t="s">
        <v>12</v>
      </c>
      <c r="B202" s="53" t="s">
        <v>15</v>
      </c>
      <c r="C202" s="54" t="s">
        <v>4131</v>
      </c>
      <c r="D202" s="55" t="s">
        <v>4132</v>
      </c>
      <c r="E202" s="54" t="s">
        <v>1550</v>
      </c>
      <c r="F202" s="54" t="s">
        <v>4079</v>
      </c>
      <c r="G202" s="54"/>
      <c r="H202" s="54"/>
      <c r="I202" s="54"/>
      <c r="J202" s="54"/>
      <c r="K202" s="54"/>
      <c r="L202" s="54"/>
      <c r="M202" s="54"/>
      <c r="N202" s="54"/>
      <c r="O202" s="54" t="s">
        <v>3889</v>
      </c>
    </row>
    <row r="203" spans="1:15" ht="30" x14ac:dyDescent="0.2">
      <c r="A203" s="53" t="s">
        <v>12</v>
      </c>
      <c r="B203" s="53" t="s">
        <v>15</v>
      </c>
      <c r="C203" s="54" t="s">
        <v>4133</v>
      </c>
      <c r="D203" s="55" t="s">
        <v>4134</v>
      </c>
      <c r="E203" s="54" t="s">
        <v>4083</v>
      </c>
      <c r="F203" s="54" t="s">
        <v>4079</v>
      </c>
      <c r="G203" s="54">
        <v>13</v>
      </c>
      <c r="H203" s="54">
        <v>13</v>
      </c>
      <c r="I203" s="54"/>
      <c r="J203" s="54"/>
      <c r="K203" s="54"/>
      <c r="L203" s="54"/>
      <c r="M203" s="54"/>
      <c r="N203" s="54"/>
      <c r="O203" s="54"/>
    </row>
    <row r="204" spans="1:15" ht="60" x14ac:dyDescent="0.2">
      <c r="A204" s="53" t="s">
        <v>12</v>
      </c>
      <c r="B204" s="53" t="s">
        <v>16</v>
      </c>
      <c r="C204" s="54" t="s">
        <v>4135</v>
      </c>
      <c r="D204" s="55" t="s">
        <v>4136</v>
      </c>
      <c r="E204" s="54" t="s">
        <v>899</v>
      </c>
      <c r="F204" s="54" t="s">
        <v>2536</v>
      </c>
      <c r="G204" s="54">
        <v>5</v>
      </c>
      <c r="H204" s="54"/>
      <c r="I204" s="54">
        <v>0</v>
      </c>
      <c r="J204" s="54">
        <v>0</v>
      </c>
      <c r="K204" s="54"/>
      <c r="L204" s="54"/>
      <c r="M204" s="54"/>
      <c r="N204" s="54"/>
      <c r="O204" s="54" t="s">
        <v>4137</v>
      </c>
    </row>
    <row r="205" spans="1:15" ht="60" x14ac:dyDescent="0.2">
      <c r="A205" s="53" t="s">
        <v>12</v>
      </c>
      <c r="B205" s="53" t="s">
        <v>16</v>
      </c>
      <c r="C205" s="54" t="s">
        <v>4138</v>
      </c>
      <c r="D205" s="55" t="s">
        <v>4139</v>
      </c>
      <c r="E205" s="54" t="s">
        <v>4108</v>
      </c>
      <c r="F205" s="54" t="s">
        <v>2536</v>
      </c>
      <c r="G205" s="54">
        <v>5</v>
      </c>
      <c r="H205" s="54"/>
      <c r="I205" s="54">
        <v>0</v>
      </c>
      <c r="J205" s="54">
        <v>0</v>
      </c>
      <c r="K205" s="54"/>
      <c r="L205" s="54"/>
      <c r="M205" s="54"/>
      <c r="N205" s="54"/>
      <c r="O205" s="54" t="s">
        <v>4140</v>
      </c>
    </row>
    <row r="206" spans="1:15" ht="60" x14ac:dyDescent="0.2">
      <c r="A206" s="53" t="s">
        <v>12</v>
      </c>
      <c r="B206" s="53" t="s">
        <v>16</v>
      </c>
      <c r="C206" s="54" t="s">
        <v>4141</v>
      </c>
      <c r="D206" s="55" t="s">
        <v>4142</v>
      </c>
      <c r="E206" s="54" t="s">
        <v>4108</v>
      </c>
      <c r="F206" s="54" t="s">
        <v>2536</v>
      </c>
      <c r="G206" s="54">
        <v>3</v>
      </c>
      <c r="H206" s="54"/>
      <c r="I206" s="54">
        <v>0</v>
      </c>
      <c r="J206" s="54">
        <v>12600</v>
      </c>
      <c r="K206" s="54"/>
      <c r="L206" s="54"/>
      <c r="M206" s="54"/>
      <c r="N206" s="54"/>
      <c r="O206" s="54" t="s">
        <v>4143</v>
      </c>
    </row>
    <row r="207" spans="1:15" ht="30" x14ac:dyDescent="0.2">
      <c r="A207" s="53" t="s">
        <v>12</v>
      </c>
      <c r="B207" s="53" t="s">
        <v>15</v>
      </c>
      <c r="C207" s="54" t="s">
        <v>4144</v>
      </c>
      <c r="D207" s="55" t="s">
        <v>4145</v>
      </c>
      <c r="E207" s="54"/>
      <c r="F207" s="54" t="s">
        <v>3831</v>
      </c>
      <c r="G207" s="54">
        <v>3</v>
      </c>
      <c r="H207" s="54"/>
      <c r="I207" s="54">
        <v>0</v>
      </c>
      <c r="J207" s="54">
        <v>0</v>
      </c>
      <c r="K207" s="54"/>
      <c r="L207" s="54"/>
      <c r="M207" s="54"/>
      <c r="N207" s="54"/>
      <c r="O207" s="54" t="s">
        <v>3963</v>
      </c>
    </row>
    <row r="208" spans="1:15" ht="15.75" x14ac:dyDescent="0.2">
      <c r="A208" s="53" t="s">
        <v>12</v>
      </c>
      <c r="B208" s="53" t="s">
        <v>13</v>
      </c>
      <c r="C208" s="54" t="s">
        <v>4146</v>
      </c>
      <c r="D208" s="55" t="s">
        <v>4147</v>
      </c>
      <c r="E208" s="54"/>
      <c r="F208" s="54"/>
      <c r="G208" s="54"/>
      <c r="H208" s="54"/>
      <c r="I208" s="54"/>
      <c r="J208" s="54">
        <v>14400</v>
      </c>
      <c r="K208" s="54"/>
      <c r="L208" s="54"/>
      <c r="M208" s="54"/>
      <c r="N208" s="54"/>
      <c r="O208" s="54"/>
    </row>
    <row r="209" spans="1:15" ht="15.75" x14ac:dyDescent="0.2">
      <c r="A209" s="53" t="s">
        <v>12</v>
      </c>
      <c r="B209" s="53" t="s">
        <v>15</v>
      </c>
      <c r="C209" s="54" t="s">
        <v>4148</v>
      </c>
      <c r="D209" s="55" t="s">
        <v>4149</v>
      </c>
      <c r="E209" s="54" t="s">
        <v>1550</v>
      </c>
      <c r="F209" s="54" t="s">
        <v>3985</v>
      </c>
      <c r="G209" s="54"/>
      <c r="H209" s="54"/>
      <c r="I209" s="54">
        <v>57600</v>
      </c>
      <c r="J209" s="54">
        <v>57600</v>
      </c>
      <c r="K209" s="54"/>
      <c r="L209" s="54"/>
      <c r="M209" s="54"/>
      <c r="N209" s="54"/>
      <c r="O209" s="54" t="s">
        <v>4150</v>
      </c>
    </row>
    <row r="210" spans="1:15" ht="15.75" x14ac:dyDescent="0.2">
      <c r="A210" s="53" t="s">
        <v>12</v>
      </c>
      <c r="B210" s="53" t="s">
        <v>17</v>
      </c>
      <c r="C210" s="54" t="s">
        <v>4151</v>
      </c>
      <c r="D210" s="55" t="s">
        <v>4152</v>
      </c>
      <c r="E210" s="54"/>
      <c r="F210" s="54" t="s">
        <v>3831</v>
      </c>
      <c r="G210" s="54"/>
      <c r="H210" s="54"/>
      <c r="I210" s="54"/>
      <c r="J210" s="54"/>
      <c r="K210" s="54"/>
      <c r="L210" s="54"/>
      <c r="M210" s="54"/>
      <c r="N210" s="54"/>
      <c r="O210" s="54" t="s">
        <v>3963</v>
      </c>
    </row>
    <row r="211" spans="1:15" ht="30" x14ac:dyDescent="0.2">
      <c r="A211" s="53" t="s">
        <v>12</v>
      </c>
      <c r="B211" s="53" t="s">
        <v>15</v>
      </c>
      <c r="C211" s="54" t="s">
        <v>4153</v>
      </c>
      <c r="D211" s="55" t="s">
        <v>4154</v>
      </c>
      <c r="E211" s="54" t="s">
        <v>1550</v>
      </c>
      <c r="F211" s="54" t="s">
        <v>4155</v>
      </c>
      <c r="G211" s="54">
        <v>3</v>
      </c>
      <c r="H211" s="54">
        <v>3</v>
      </c>
      <c r="I211" s="54">
        <v>43200</v>
      </c>
      <c r="J211" s="54">
        <v>0</v>
      </c>
      <c r="K211" s="54"/>
      <c r="L211" s="54"/>
      <c r="M211" s="54"/>
      <c r="N211" s="54"/>
      <c r="O211" s="54" t="s">
        <v>4156</v>
      </c>
    </row>
    <row r="212" spans="1:15" ht="60" x14ac:dyDescent="0.2">
      <c r="A212" s="53" t="s">
        <v>12</v>
      </c>
      <c r="B212" s="53" t="s">
        <v>15</v>
      </c>
      <c r="C212" s="54" t="s">
        <v>4157</v>
      </c>
      <c r="D212" s="55" t="s">
        <v>4158</v>
      </c>
      <c r="E212" s="54" t="s">
        <v>899</v>
      </c>
      <c r="F212" s="54" t="s">
        <v>2714</v>
      </c>
      <c r="G212" s="54">
        <v>3</v>
      </c>
      <c r="H212" s="54">
        <v>3</v>
      </c>
      <c r="I212" s="54"/>
      <c r="J212" s="54"/>
      <c r="K212" s="54"/>
      <c r="L212" s="54"/>
      <c r="M212" s="54">
        <v>1</v>
      </c>
      <c r="N212" s="54"/>
      <c r="O212" s="54" t="s">
        <v>4159</v>
      </c>
    </row>
    <row r="213" spans="1:15" ht="105" x14ac:dyDescent="0.2">
      <c r="A213" s="53" t="s">
        <v>12</v>
      </c>
      <c r="B213" s="53" t="s">
        <v>16</v>
      </c>
      <c r="C213" s="54" t="s">
        <v>4160</v>
      </c>
      <c r="D213" s="55" t="s">
        <v>4161</v>
      </c>
      <c r="E213" s="54" t="s">
        <v>899</v>
      </c>
      <c r="F213" s="54" t="s">
        <v>3260</v>
      </c>
      <c r="G213" s="54">
        <v>3</v>
      </c>
      <c r="H213" s="54"/>
      <c r="I213" s="54"/>
      <c r="J213" s="54">
        <v>0</v>
      </c>
      <c r="K213" s="54"/>
      <c r="L213" s="54"/>
      <c r="M213" s="54">
        <v>1</v>
      </c>
      <c r="N213" s="54"/>
      <c r="O213" s="54" t="s">
        <v>2553</v>
      </c>
    </row>
    <row r="214" spans="1:15" ht="30" x14ac:dyDescent="0.2">
      <c r="A214" s="53" t="s">
        <v>12</v>
      </c>
      <c r="B214" s="53" t="s">
        <v>15</v>
      </c>
      <c r="C214" s="54" t="s">
        <v>4162</v>
      </c>
      <c r="D214" s="55" t="s">
        <v>4163</v>
      </c>
      <c r="E214" s="54"/>
      <c r="F214" s="54" t="s">
        <v>3985</v>
      </c>
      <c r="G214" s="54"/>
      <c r="H214" s="54"/>
      <c r="I214" s="54">
        <v>14400</v>
      </c>
      <c r="J214" s="54">
        <v>0</v>
      </c>
      <c r="K214" s="54"/>
      <c r="L214" s="54"/>
      <c r="M214" s="54"/>
      <c r="N214" s="54"/>
      <c r="O214" s="54"/>
    </row>
    <row r="215" spans="1:15" ht="30" x14ac:dyDescent="0.2">
      <c r="A215" s="53" t="s">
        <v>12</v>
      </c>
      <c r="B215" s="53" t="s">
        <v>15</v>
      </c>
      <c r="C215" s="54" t="s">
        <v>4164</v>
      </c>
      <c r="D215" s="55" t="s">
        <v>4165</v>
      </c>
      <c r="E215" s="54" t="s">
        <v>1550</v>
      </c>
      <c r="F215" s="54" t="s">
        <v>4090</v>
      </c>
      <c r="G215" s="54"/>
      <c r="H215" s="54"/>
      <c r="I215" s="54">
        <v>14400</v>
      </c>
      <c r="J215" s="54">
        <v>0</v>
      </c>
      <c r="K215" s="54"/>
      <c r="L215" s="54"/>
      <c r="M215" s="54"/>
      <c r="N215" s="54"/>
      <c r="O215" s="54" t="s">
        <v>4166</v>
      </c>
    </row>
    <row r="216" spans="1:15" ht="30" x14ac:dyDescent="0.2">
      <c r="A216" s="53" t="s">
        <v>12</v>
      </c>
      <c r="B216" s="53" t="s">
        <v>13</v>
      </c>
      <c r="C216" s="54" t="s">
        <v>4167</v>
      </c>
      <c r="D216" s="55" t="s">
        <v>4168</v>
      </c>
      <c r="E216" s="54"/>
      <c r="F216" s="54"/>
      <c r="G216" s="54">
        <v>2</v>
      </c>
      <c r="H216" s="54"/>
      <c r="I216" s="54"/>
      <c r="J216" s="54"/>
      <c r="K216" s="54"/>
      <c r="L216" s="54"/>
      <c r="M216" s="54"/>
      <c r="N216" s="54"/>
      <c r="O216" s="54"/>
    </row>
    <row r="217" spans="1:15" ht="30" x14ac:dyDescent="0.2">
      <c r="A217" s="53" t="s">
        <v>12</v>
      </c>
      <c r="B217" s="53" t="s">
        <v>15</v>
      </c>
      <c r="C217" s="54" t="s">
        <v>4169</v>
      </c>
      <c r="D217" s="55" t="s">
        <v>4170</v>
      </c>
      <c r="E217" s="54" t="s">
        <v>1550</v>
      </c>
      <c r="F217" s="54" t="s">
        <v>4090</v>
      </c>
      <c r="G217" s="54">
        <v>8</v>
      </c>
      <c r="H217" s="54">
        <v>8</v>
      </c>
      <c r="I217" s="54">
        <v>86400</v>
      </c>
      <c r="J217" s="54">
        <v>57600</v>
      </c>
      <c r="K217" s="54"/>
      <c r="L217" s="54"/>
      <c r="M217" s="54"/>
      <c r="N217" s="54"/>
      <c r="O217" s="54" t="s">
        <v>4171</v>
      </c>
    </row>
    <row r="218" spans="1:15" ht="30" x14ac:dyDescent="0.2">
      <c r="A218" s="53" t="s">
        <v>12</v>
      </c>
      <c r="B218" s="53" t="s">
        <v>15</v>
      </c>
      <c r="C218" s="54" t="s">
        <v>4172</v>
      </c>
      <c r="D218" s="55" t="s">
        <v>4173</v>
      </c>
      <c r="E218" s="54" t="s">
        <v>920</v>
      </c>
      <c r="F218" s="54" t="s">
        <v>1024</v>
      </c>
      <c r="G218" s="54">
        <v>8</v>
      </c>
      <c r="H218" s="54">
        <v>8</v>
      </c>
      <c r="I218" s="54">
        <v>144000</v>
      </c>
      <c r="J218" s="54">
        <v>0</v>
      </c>
      <c r="K218" s="54"/>
      <c r="L218" s="54"/>
      <c r="M218" s="54"/>
      <c r="N218" s="54"/>
      <c r="O218" s="54"/>
    </row>
    <row r="219" spans="1:15" ht="45" x14ac:dyDescent="0.2">
      <c r="A219" s="53" t="s">
        <v>12</v>
      </c>
      <c r="B219" s="53" t="s">
        <v>15</v>
      </c>
      <c r="C219" s="54" t="s">
        <v>4174</v>
      </c>
      <c r="D219" s="55" t="s">
        <v>4175</v>
      </c>
      <c r="E219" s="54" t="s">
        <v>1550</v>
      </c>
      <c r="F219" s="54" t="s">
        <v>4176</v>
      </c>
      <c r="G219" s="54">
        <v>13</v>
      </c>
      <c r="H219" s="54">
        <v>13</v>
      </c>
      <c r="I219" s="54">
        <v>144000</v>
      </c>
      <c r="J219" s="54">
        <v>0</v>
      </c>
      <c r="K219" s="54"/>
      <c r="L219" s="54"/>
      <c r="M219" s="54"/>
      <c r="N219" s="54"/>
      <c r="O219" s="54" t="s">
        <v>4177</v>
      </c>
    </row>
    <row r="220" spans="1:15" ht="15.75" x14ac:dyDescent="0.2">
      <c r="A220" s="53" t="s">
        <v>12</v>
      </c>
      <c r="B220" s="53" t="s">
        <v>15</v>
      </c>
      <c r="C220" s="54" t="s">
        <v>4178</v>
      </c>
      <c r="D220" s="55" t="s">
        <v>4179</v>
      </c>
      <c r="E220" s="54" t="s">
        <v>4083</v>
      </c>
      <c r="F220" s="54" t="s">
        <v>4079</v>
      </c>
      <c r="G220" s="54"/>
      <c r="H220" s="54"/>
      <c r="I220" s="54"/>
      <c r="J220" s="54">
        <v>0</v>
      </c>
      <c r="K220" s="54"/>
      <c r="L220" s="54"/>
      <c r="M220" s="54"/>
      <c r="N220" s="54"/>
      <c r="O220" s="54" t="s">
        <v>2811</v>
      </c>
    </row>
    <row r="221" spans="1:15" ht="45" x14ac:dyDescent="0.2">
      <c r="A221" s="53" t="s">
        <v>12</v>
      </c>
      <c r="B221" s="53" t="s">
        <v>15</v>
      </c>
      <c r="C221" s="54" t="s">
        <v>4180</v>
      </c>
      <c r="D221" s="55" t="s">
        <v>4181</v>
      </c>
      <c r="E221" s="54"/>
      <c r="F221" s="54" t="s">
        <v>3218</v>
      </c>
      <c r="G221" s="54">
        <v>13</v>
      </c>
      <c r="H221" s="54">
        <v>13</v>
      </c>
      <c r="I221" s="54">
        <v>0</v>
      </c>
      <c r="J221" s="54">
        <v>0</v>
      </c>
      <c r="K221" s="54"/>
      <c r="L221" s="54"/>
      <c r="M221" s="54">
        <v>1</v>
      </c>
      <c r="N221" s="54"/>
      <c r="O221" s="54" t="s">
        <v>4182</v>
      </c>
    </row>
    <row r="222" spans="1:15" ht="75" x14ac:dyDescent="0.2">
      <c r="A222" s="53" t="s">
        <v>12</v>
      </c>
      <c r="B222" s="53" t="s">
        <v>15</v>
      </c>
      <c r="C222" s="54" t="s">
        <v>4183</v>
      </c>
      <c r="D222" s="55" t="s">
        <v>4184</v>
      </c>
      <c r="E222" s="54"/>
      <c r="F222" s="54" t="s">
        <v>3582</v>
      </c>
      <c r="G222" s="54">
        <v>5</v>
      </c>
      <c r="H222" s="54">
        <v>5</v>
      </c>
      <c r="I222" s="54">
        <v>0</v>
      </c>
      <c r="J222" s="54">
        <v>0</v>
      </c>
      <c r="K222" s="54"/>
      <c r="L222" s="54"/>
      <c r="M222" s="54">
        <v>1</v>
      </c>
      <c r="N222" s="54"/>
      <c r="O222" s="54" t="s">
        <v>2839</v>
      </c>
    </row>
    <row r="223" spans="1:15" ht="15.75" x14ac:dyDescent="0.2">
      <c r="A223" s="53" t="s">
        <v>12</v>
      </c>
      <c r="B223" s="53" t="s">
        <v>15</v>
      </c>
      <c r="C223" s="54" t="s">
        <v>4185</v>
      </c>
      <c r="D223" s="55" t="s">
        <v>4186</v>
      </c>
      <c r="E223" s="54"/>
      <c r="F223" s="54" t="s">
        <v>4079</v>
      </c>
      <c r="G223" s="54">
        <v>13</v>
      </c>
      <c r="H223" s="54">
        <v>13</v>
      </c>
      <c r="I223" s="54"/>
      <c r="J223" s="54">
        <v>0</v>
      </c>
      <c r="K223" s="54"/>
      <c r="L223" s="54"/>
      <c r="M223" s="54"/>
      <c r="N223" s="54"/>
      <c r="O223" s="54"/>
    </row>
    <row r="224" spans="1:15" ht="30" x14ac:dyDescent="0.2">
      <c r="A224" s="53" t="s">
        <v>12</v>
      </c>
      <c r="B224" s="53" t="s">
        <v>15</v>
      </c>
      <c r="C224" s="54" t="s">
        <v>4187</v>
      </c>
      <c r="D224" s="55" t="s">
        <v>4188</v>
      </c>
      <c r="E224" s="54" t="s">
        <v>1550</v>
      </c>
      <c r="F224" s="54" t="s">
        <v>4189</v>
      </c>
      <c r="G224" s="54">
        <v>1</v>
      </c>
      <c r="H224" s="54">
        <v>1</v>
      </c>
      <c r="I224" s="54">
        <v>21600</v>
      </c>
      <c r="J224" s="54">
        <v>0</v>
      </c>
      <c r="K224" s="54"/>
      <c r="L224" s="54"/>
      <c r="M224" s="54"/>
      <c r="N224" s="54"/>
      <c r="O224" s="54" t="s">
        <v>3562</v>
      </c>
    </row>
    <row r="225" spans="1:15" ht="75" x14ac:dyDescent="0.2">
      <c r="A225" s="53" t="s">
        <v>12</v>
      </c>
      <c r="B225" s="53" t="s">
        <v>15</v>
      </c>
      <c r="C225" s="54" t="s">
        <v>4190</v>
      </c>
      <c r="D225" s="55" t="s">
        <v>4191</v>
      </c>
      <c r="E225" s="54"/>
      <c r="F225" s="54" t="s">
        <v>3582</v>
      </c>
      <c r="G225" s="54">
        <v>5</v>
      </c>
      <c r="H225" s="54">
        <v>5</v>
      </c>
      <c r="I225" s="54"/>
      <c r="J225" s="54">
        <v>0</v>
      </c>
      <c r="K225" s="54"/>
      <c r="L225" s="54"/>
      <c r="M225" s="54">
        <v>1</v>
      </c>
      <c r="N225" s="54"/>
      <c r="O225" s="54" t="s">
        <v>2839</v>
      </c>
    </row>
    <row r="226" spans="1:15" ht="15.75" x14ac:dyDescent="0.2">
      <c r="A226" s="53" t="s">
        <v>12</v>
      </c>
      <c r="B226" s="53" t="s">
        <v>15</v>
      </c>
      <c r="C226" s="54" t="s">
        <v>4192</v>
      </c>
      <c r="D226" s="55" t="s">
        <v>4193</v>
      </c>
      <c r="E226" s="54" t="s">
        <v>3952</v>
      </c>
      <c r="F226" s="54" t="s">
        <v>3693</v>
      </c>
      <c r="G226" s="54">
        <v>2</v>
      </c>
      <c r="H226" s="54">
        <v>2</v>
      </c>
      <c r="I226" s="54">
        <v>10800</v>
      </c>
      <c r="J226" s="54">
        <v>3600</v>
      </c>
      <c r="K226" s="54"/>
      <c r="L226" s="54"/>
      <c r="M226" s="54"/>
      <c r="N226" s="54"/>
      <c r="O226" s="54" t="s">
        <v>3323</v>
      </c>
    </row>
    <row r="227" spans="1:15" ht="15.75" x14ac:dyDescent="0.2">
      <c r="A227" s="53" t="s">
        <v>12</v>
      </c>
      <c r="B227" s="53" t="s">
        <v>15</v>
      </c>
      <c r="C227" s="54" t="s">
        <v>4194</v>
      </c>
      <c r="D227" s="55" t="s">
        <v>4195</v>
      </c>
      <c r="E227" s="54" t="s">
        <v>4196</v>
      </c>
      <c r="F227" s="54" t="s">
        <v>4197</v>
      </c>
      <c r="G227" s="54"/>
      <c r="H227" s="54"/>
      <c r="I227" s="54">
        <v>36000</v>
      </c>
      <c r="J227" s="54">
        <v>21600</v>
      </c>
      <c r="K227" s="54"/>
      <c r="L227" s="54"/>
      <c r="M227" s="54"/>
      <c r="N227" s="54"/>
      <c r="O227" s="54"/>
    </row>
    <row r="228" spans="1:15" ht="15.75" x14ac:dyDescent="0.2">
      <c r="A228" s="53" t="s">
        <v>12</v>
      </c>
      <c r="B228" s="53" t="s">
        <v>17</v>
      </c>
      <c r="C228" s="54" t="s">
        <v>4198</v>
      </c>
      <c r="D228" s="55" t="s">
        <v>4199</v>
      </c>
      <c r="E228" s="54"/>
      <c r="F228" s="54"/>
      <c r="G228" s="54"/>
      <c r="H228" s="54"/>
      <c r="I228" s="54"/>
      <c r="J228" s="54"/>
      <c r="K228" s="54"/>
      <c r="L228" s="54"/>
      <c r="M228" s="54"/>
      <c r="N228" s="54"/>
      <c r="O228" s="54"/>
    </row>
    <row r="229" spans="1:15" ht="30" x14ac:dyDescent="0.2">
      <c r="A229" s="53" t="s">
        <v>12</v>
      </c>
      <c r="B229" s="53" t="s">
        <v>15</v>
      </c>
      <c r="C229" s="54" t="s">
        <v>4200</v>
      </c>
      <c r="D229" s="55" t="s">
        <v>4201</v>
      </c>
      <c r="E229" s="54"/>
      <c r="F229" s="54" t="s">
        <v>4079</v>
      </c>
      <c r="G229" s="54"/>
      <c r="H229" s="54"/>
      <c r="I229" s="54"/>
      <c r="J229" s="54">
        <v>0</v>
      </c>
      <c r="K229" s="54"/>
      <c r="L229" s="54"/>
      <c r="M229" s="54"/>
      <c r="N229" s="54"/>
      <c r="O229" s="54" t="s">
        <v>3963</v>
      </c>
    </row>
    <row r="230" spans="1:15" ht="45" x14ac:dyDescent="0.2">
      <c r="A230" s="53" t="s">
        <v>12</v>
      </c>
      <c r="B230" s="53" t="s">
        <v>15</v>
      </c>
      <c r="C230" s="54" t="s">
        <v>4202</v>
      </c>
      <c r="D230" s="55" t="s">
        <v>4203</v>
      </c>
      <c r="E230" s="54"/>
      <c r="F230" s="54" t="s">
        <v>3373</v>
      </c>
      <c r="G230" s="54">
        <v>5</v>
      </c>
      <c r="H230" s="54"/>
      <c r="I230" s="54"/>
      <c r="J230" s="54">
        <v>0</v>
      </c>
      <c r="K230" s="54"/>
      <c r="L230" s="54"/>
      <c r="M230" s="54"/>
      <c r="N230" s="54"/>
      <c r="O230" s="54" t="s">
        <v>1723</v>
      </c>
    </row>
    <row r="231" spans="1:15" ht="15.75" x14ac:dyDescent="0.2">
      <c r="A231" s="53" t="s">
        <v>12</v>
      </c>
      <c r="B231" s="53" t="s">
        <v>15</v>
      </c>
      <c r="C231" s="54" t="s">
        <v>4204</v>
      </c>
      <c r="D231" s="55" t="s">
        <v>4205</v>
      </c>
      <c r="E231" s="54" t="s">
        <v>4206</v>
      </c>
      <c r="F231" s="54" t="s">
        <v>4079</v>
      </c>
      <c r="G231" s="54"/>
      <c r="H231" s="54"/>
      <c r="I231" s="54"/>
      <c r="J231" s="54"/>
      <c r="K231" s="54"/>
      <c r="L231" s="54"/>
      <c r="M231" s="54"/>
      <c r="N231" s="54"/>
      <c r="O231" s="54"/>
    </row>
    <row r="232" spans="1:15" ht="15.75" x14ac:dyDescent="0.2">
      <c r="A232" s="53" t="s">
        <v>12</v>
      </c>
      <c r="B232" s="53" t="s">
        <v>15</v>
      </c>
      <c r="C232" s="54" t="s">
        <v>4207</v>
      </c>
      <c r="D232" s="55" t="s">
        <v>4208</v>
      </c>
      <c r="E232" s="54" t="s">
        <v>4209</v>
      </c>
      <c r="F232" s="54" t="s">
        <v>4079</v>
      </c>
      <c r="G232" s="54">
        <v>8</v>
      </c>
      <c r="H232" s="54">
        <v>8</v>
      </c>
      <c r="I232" s="54"/>
      <c r="J232" s="54">
        <v>0</v>
      </c>
      <c r="K232" s="54"/>
      <c r="L232" s="54"/>
      <c r="M232" s="54"/>
      <c r="N232" s="54"/>
      <c r="O232" s="54" t="s">
        <v>4210</v>
      </c>
    </row>
    <row r="233" spans="1:15" ht="30" x14ac:dyDescent="0.2">
      <c r="A233" s="53" t="s">
        <v>12</v>
      </c>
      <c r="B233" s="53" t="s">
        <v>15</v>
      </c>
      <c r="C233" s="54" t="s">
        <v>4211</v>
      </c>
      <c r="D233" s="55" t="s">
        <v>4212</v>
      </c>
      <c r="E233" s="54"/>
      <c r="F233" s="54" t="s">
        <v>4079</v>
      </c>
      <c r="G233" s="54">
        <v>20</v>
      </c>
      <c r="H233" s="54">
        <v>20</v>
      </c>
      <c r="I233" s="54"/>
      <c r="J233" s="54"/>
      <c r="K233" s="54"/>
      <c r="L233" s="54"/>
      <c r="M233" s="54"/>
      <c r="N233" s="54"/>
      <c r="O233" s="54" t="s">
        <v>4210</v>
      </c>
    </row>
    <row r="234" spans="1:15" ht="105" x14ac:dyDescent="0.2">
      <c r="A234" s="53" t="s">
        <v>12</v>
      </c>
      <c r="B234" s="53" t="s">
        <v>16</v>
      </c>
      <c r="C234" s="54" t="s">
        <v>4213</v>
      </c>
      <c r="D234" s="55" t="s">
        <v>4214</v>
      </c>
      <c r="E234" s="54" t="s">
        <v>899</v>
      </c>
      <c r="F234" s="54" t="s">
        <v>3260</v>
      </c>
      <c r="G234" s="54">
        <v>2</v>
      </c>
      <c r="H234" s="54"/>
      <c r="I234" s="54">
        <v>0</v>
      </c>
      <c r="J234" s="54">
        <v>0</v>
      </c>
      <c r="K234" s="54"/>
      <c r="L234" s="54"/>
      <c r="M234" s="54"/>
      <c r="N234" s="54"/>
      <c r="O234" s="54" t="s">
        <v>1336</v>
      </c>
    </row>
    <row r="235" spans="1:15" ht="30" x14ac:dyDescent="0.2">
      <c r="A235" s="53" t="s">
        <v>12</v>
      </c>
      <c r="B235" s="53" t="s">
        <v>15</v>
      </c>
      <c r="C235" s="54" t="s">
        <v>4215</v>
      </c>
      <c r="D235" s="55" t="s">
        <v>4216</v>
      </c>
      <c r="E235" s="54"/>
      <c r="F235" s="54" t="s">
        <v>4090</v>
      </c>
      <c r="G235" s="54"/>
      <c r="H235" s="54"/>
      <c r="I235" s="54">
        <v>57600</v>
      </c>
      <c r="J235" s="54">
        <v>32400</v>
      </c>
      <c r="K235" s="54"/>
      <c r="L235" s="54"/>
      <c r="M235" s="54"/>
      <c r="N235" s="54"/>
      <c r="O235" s="54"/>
    </row>
    <row r="236" spans="1:15" ht="30" x14ac:dyDescent="0.2">
      <c r="A236" s="53" t="s">
        <v>12</v>
      </c>
      <c r="B236" s="53" t="s">
        <v>15</v>
      </c>
      <c r="C236" s="54" t="s">
        <v>4217</v>
      </c>
      <c r="D236" s="55" t="s">
        <v>4218</v>
      </c>
      <c r="E236" s="54"/>
      <c r="F236" s="54" t="s">
        <v>4219</v>
      </c>
      <c r="G236" s="54">
        <v>8</v>
      </c>
      <c r="H236" s="54">
        <v>8</v>
      </c>
      <c r="I236" s="54"/>
      <c r="J236" s="54"/>
      <c r="K236" s="54"/>
      <c r="L236" s="54"/>
      <c r="M236" s="54"/>
      <c r="N236" s="54"/>
      <c r="O236" s="54" t="s">
        <v>4220</v>
      </c>
    </row>
    <row r="237" spans="1:15" ht="30" x14ac:dyDescent="0.2">
      <c r="A237" s="53" t="s">
        <v>12</v>
      </c>
      <c r="B237" s="53" t="s">
        <v>13</v>
      </c>
      <c r="C237" s="54" t="s">
        <v>4221</v>
      </c>
      <c r="D237" s="55" t="s">
        <v>4222</v>
      </c>
      <c r="E237" s="54"/>
      <c r="F237" s="54"/>
      <c r="G237" s="54"/>
      <c r="H237" s="54"/>
      <c r="I237" s="54"/>
      <c r="J237" s="54"/>
      <c r="K237" s="54"/>
      <c r="L237" s="54"/>
      <c r="M237" s="54"/>
      <c r="N237" s="54"/>
      <c r="O237" s="54" t="s">
        <v>4223</v>
      </c>
    </row>
    <row r="238" spans="1:15" ht="15.75" x14ac:dyDescent="0.2">
      <c r="A238" s="53" t="s">
        <v>12</v>
      </c>
      <c r="B238" s="53" t="s">
        <v>13</v>
      </c>
      <c r="C238" s="54" t="s">
        <v>4224</v>
      </c>
      <c r="D238" s="55" t="s">
        <v>4225</v>
      </c>
      <c r="E238" s="54"/>
      <c r="F238" s="54" t="s">
        <v>4226</v>
      </c>
      <c r="G238" s="54">
        <v>5</v>
      </c>
      <c r="H238" s="54"/>
      <c r="I238" s="54">
        <v>57600</v>
      </c>
      <c r="J238" s="54">
        <v>57600</v>
      </c>
      <c r="K238" s="54"/>
      <c r="L238" s="54"/>
      <c r="M238" s="54"/>
      <c r="N238" s="54"/>
      <c r="O238" s="54" t="s">
        <v>4227</v>
      </c>
    </row>
    <row r="239" spans="1:15" ht="30" x14ac:dyDescent="0.2">
      <c r="A239" s="53" t="s">
        <v>12</v>
      </c>
      <c r="B239" s="53" t="s">
        <v>15</v>
      </c>
      <c r="C239" s="54" t="s">
        <v>4228</v>
      </c>
      <c r="D239" s="55" t="s">
        <v>4229</v>
      </c>
      <c r="E239" s="54" t="s">
        <v>4209</v>
      </c>
      <c r="F239" s="54" t="s">
        <v>4079</v>
      </c>
      <c r="G239" s="54"/>
      <c r="H239" s="54"/>
      <c r="I239" s="54"/>
      <c r="J239" s="54"/>
      <c r="K239" s="54"/>
      <c r="L239" s="54"/>
      <c r="M239" s="54"/>
      <c r="N239" s="54"/>
      <c r="O239" s="54"/>
    </row>
    <row r="240" spans="1:15" ht="30" x14ac:dyDescent="0.2">
      <c r="A240" s="53" t="s">
        <v>12</v>
      </c>
      <c r="B240" s="53" t="s">
        <v>17</v>
      </c>
      <c r="C240" s="54" t="s">
        <v>4230</v>
      </c>
      <c r="D240" s="55" t="s">
        <v>4231</v>
      </c>
      <c r="E240" s="54"/>
      <c r="F240" s="54"/>
      <c r="G240" s="54">
        <v>2</v>
      </c>
      <c r="H240" s="54"/>
      <c r="I240" s="54"/>
      <c r="J240" s="54"/>
      <c r="K240" s="54"/>
      <c r="L240" s="54"/>
      <c r="M240" s="54"/>
      <c r="N240" s="54"/>
      <c r="O240" s="54"/>
    </row>
    <row r="241" spans="1:15" ht="60" x14ac:dyDescent="0.2">
      <c r="A241" s="53" t="s">
        <v>12</v>
      </c>
      <c r="B241" s="53" t="s">
        <v>16</v>
      </c>
      <c r="C241" s="54" t="s">
        <v>4232</v>
      </c>
      <c r="D241" s="55" t="s">
        <v>4233</v>
      </c>
      <c r="E241" s="54" t="s">
        <v>899</v>
      </c>
      <c r="F241" s="54" t="s">
        <v>2536</v>
      </c>
      <c r="G241" s="54">
        <v>3</v>
      </c>
      <c r="H241" s="54"/>
      <c r="I241" s="54">
        <v>0</v>
      </c>
      <c r="J241" s="54">
        <v>0</v>
      </c>
      <c r="K241" s="54"/>
      <c r="L241" s="54"/>
      <c r="M241" s="54"/>
      <c r="N241" s="54"/>
      <c r="O241" s="54" t="s">
        <v>4234</v>
      </c>
    </row>
    <row r="242" spans="1:15" ht="60" x14ac:dyDescent="0.2">
      <c r="A242" s="53" t="s">
        <v>12</v>
      </c>
      <c r="B242" s="53" t="s">
        <v>16</v>
      </c>
      <c r="C242" s="54" t="s">
        <v>4235</v>
      </c>
      <c r="D242" s="55" t="s">
        <v>4236</v>
      </c>
      <c r="E242" s="54" t="s">
        <v>899</v>
      </c>
      <c r="F242" s="54" t="s">
        <v>2536</v>
      </c>
      <c r="G242" s="54">
        <v>3</v>
      </c>
      <c r="H242" s="54"/>
      <c r="I242" s="54">
        <v>720</v>
      </c>
      <c r="J242" s="54">
        <v>0</v>
      </c>
      <c r="K242" s="54"/>
      <c r="L242" s="54"/>
      <c r="M242" s="54"/>
      <c r="N242" s="54"/>
      <c r="O242" s="54" t="s">
        <v>4237</v>
      </c>
    </row>
    <row r="243" spans="1:15" ht="60" x14ac:dyDescent="0.2">
      <c r="A243" s="53" t="s">
        <v>12</v>
      </c>
      <c r="B243" s="53" t="s">
        <v>16</v>
      </c>
      <c r="C243" s="54" t="s">
        <v>4238</v>
      </c>
      <c r="D243" s="55" t="s">
        <v>4239</v>
      </c>
      <c r="E243" s="54" t="s">
        <v>899</v>
      </c>
      <c r="F243" s="54" t="s">
        <v>2536</v>
      </c>
      <c r="G243" s="54">
        <v>3</v>
      </c>
      <c r="H243" s="54"/>
      <c r="I243" s="54">
        <v>0</v>
      </c>
      <c r="J243" s="54">
        <v>0</v>
      </c>
      <c r="K243" s="54"/>
      <c r="L243" s="54"/>
      <c r="M243" s="54"/>
      <c r="N243" s="54"/>
      <c r="O243" s="54" t="s">
        <v>4140</v>
      </c>
    </row>
    <row r="244" spans="1:15" ht="30" x14ac:dyDescent="0.2">
      <c r="A244" s="53" t="s">
        <v>12</v>
      </c>
      <c r="B244" s="53" t="s">
        <v>13</v>
      </c>
      <c r="C244" s="54" t="s">
        <v>4240</v>
      </c>
      <c r="D244" s="55" t="s">
        <v>4241</v>
      </c>
      <c r="E244" s="54" t="s">
        <v>2059</v>
      </c>
      <c r="F244" s="54" t="s">
        <v>4242</v>
      </c>
      <c r="G244" s="54">
        <v>13</v>
      </c>
      <c r="H244" s="54"/>
      <c r="I244" s="54">
        <v>57600</v>
      </c>
      <c r="J244" s="54">
        <v>57600</v>
      </c>
      <c r="K244" s="54"/>
      <c r="L244" s="54"/>
      <c r="M244" s="54"/>
      <c r="N244" s="54"/>
      <c r="O244" s="54" t="s">
        <v>1591</v>
      </c>
    </row>
    <row r="245" spans="1:15" ht="30" x14ac:dyDescent="0.2">
      <c r="A245" s="53" t="s">
        <v>12</v>
      </c>
      <c r="B245" s="53" t="s">
        <v>15</v>
      </c>
      <c r="C245" s="54" t="s">
        <v>4243</v>
      </c>
      <c r="D245" s="55" t="s">
        <v>4244</v>
      </c>
      <c r="E245" s="54" t="s">
        <v>1550</v>
      </c>
      <c r="F245" s="54" t="s">
        <v>4155</v>
      </c>
      <c r="G245" s="54">
        <v>2</v>
      </c>
      <c r="H245" s="54">
        <v>2</v>
      </c>
      <c r="I245" s="54">
        <v>32400</v>
      </c>
      <c r="J245" s="54">
        <v>18000</v>
      </c>
      <c r="K245" s="54"/>
      <c r="L245" s="54"/>
      <c r="M245" s="54"/>
      <c r="N245" s="54"/>
      <c r="O245" s="54"/>
    </row>
    <row r="246" spans="1:15" ht="60" x14ac:dyDescent="0.2">
      <c r="A246" s="53" t="s">
        <v>12</v>
      </c>
      <c r="B246" s="53" t="s">
        <v>17</v>
      </c>
      <c r="C246" s="54" t="s">
        <v>4245</v>
      </c>
      <c r="D246" s="55" t="s">
        <v>4246</v>
      </c>
      <c r="E246" s="54" t="s">
        <v>3656</v>
      </c>
      <c r="F246" s="54" t="s">
        <v>2536</v>
      </c>
      <c r="G246" s="54">
        <v>3</v>
      </c>
      <c r="H246" s="54"/>
      <c r="I246" s="54">
        <v>57600</v>
      </c>
      <c r="J246" s="54">
        <v>57600</v>
      </c>
      <c r="K246" s="54"/>
      <c r="L246" s="54"/>
      <c r="M246" s="54"/>
      <c r="N246" s="54"/>
      <c r="O246" s="54" t="s">
        <v>4247</v>
      </c>
    </row>
    <row r="247" spans="1:15" ht="30" x14ac:dyDescent="0.2">
      <c r="A247" s="53" t="s">
        <v>12</v>
      </c>
      <c r="B247" s="53" t="s">
        <v>15</v>
      </c>
      <c r="C247" s="54" t="s">
        <v>4248</v>
      </c>
      <c r="D247" s="55" t="s">
        <v>4249</v>
      </c>
      <c r="E247" s="54" t="s">
        <v>1550</v>
      </c>
      <c r="F247" s="54" t="s">
        <v>4090</v>
      </c>
      <c r="G247" s="54">
        <v>13</v>
      </c>
      <c r="H247" s="54">
        <v>13</v>
      </c>
      <c r="I247" s="54">
        <v>86400</v>
      </c>
      <c r="J247" s="54">
        <v>0</v>
      </c>
      <c r="K247" s="54"/>
      <c r="L247" s="54"/>
      <c r="M247" s="54"/>
      <c r="N247" s="54"/>
      <c r="O247" s="54"/>
    </row>
    <row r="248" spans="1:15" ht="30" x14ac:dyDescent="0.2">
      <c r="A248" s="53" t="s">
        <v>12</v>
      </c>
      <c r="B248" s="53" t="s">
        <v>15</v>
      </c>
      <c r="C248" s="54" t="s">
        <v>4250</v>
      </c>
      <c r="D248" s="55" t="s">
        <v>4251</v>
      </c>
      <c r="E248" s="54" t="s">
        <v>1550</v>
      </c>
      <c r="F248" s="54" t="s">
        <v>4090</v>
      </c>
      <c r="G248" s="54">
        <v>13</v>
      </c>
      <c r="H248" s="54">
        <v>13</v>
      </c>
      <c r="I248" s="54">
        <v>230400</v>
      </c>
      <c r="J248" s="54">
        <v>0</v>
      </c>
      <c r="K248" s="54"/>
      <c r="L248" s="54"/>
      <c r="M248" s="54"/>
      <c r="N248" s="54"/>
      <c r="O248" s="54"/>
    </row>
    <row r="249" spans="1:15" ht="30" x14ac:dyDescent="0.2">
      <c r="A249" s="53" t="s">
        <v>12</v>
      </c>
      <c r="B249" s="53" t="s">
        <v>15</v>
      </c>
      <c r="C249" s="54" t="s">
        <v>4252</v>
      </c>
      <c r="D249" s="55" t="s">
        <v>4253</v>
      </c>
      <c r="E249" s="54" t="s">
        <v>920</v>
      </c>
      <c r="F249" s="54" t="s">
        <v>2426</v>
      </c>
      <c r="G249" s="54">
        <v>8</v>
      </c>
      <c r="H249" s="54">
        <v>8</v>
      </c>
      <c r="I249" s="54">
        <v>115200</v>
      </c>
      <c r="J249" s="54">
        <v>0</v>
      </c>
      <c r="K249" s="54"/>
      <c r="L249" s="54"/>
      <c r="M249" s="54"/>
      <c r="N249" s="54"/>
      <c r="O249" s="54" t="s">
        <v>4247</v>
      </c>
    </row>
    <row r="250" spans="1:15" ht="75" x14ac:dyDescent="0.2">
      <c r="A250" s="53" t="s">
        <v>12</v>
      </c>
      <c r="B250" s="53" t="s">
        <v>15</v>
      </c>
      <c r="C250" s="54" t="s">
        <v>4254</v>
      </c>
      <c r="D250" s="55" t="s">
        <v>4255</v>
      </c>
      <c r="E250" s="54"/>
      <c r="F250" s="54" t="s">
        <v>3582</v>
      </c>
      <c r="G250" s="54"/>
      <c r="H250" s="54"/>
      <c r="I250" s="54">
        <v>0</v>
      </c>
      <c r="J250" s="54">
        <v>0</v>
      </c>
      <c r="K250" s="54"/>
      <c r="L250" s="54"/>
      <c r="M250" s="54"/>
      <c r="N250" s="54"/>
      <c r="O250" s="54"/>
    </row>
    <row r="251" spans="1:15" ht="45" x14ac:dyDescent="0.2">
      <c r="A251" s="53" t="s">
        <v>12</v>
      </c>
      <c r="B251" s="53" t="s">
        <v>17</v>
      </c>
      <c r="C251" s="54" t="s">
        <v>4256</v>
      </c>
      <c r="D251" s="55" t="s">
        <v>4257</v>
      </c>
      <c r="E251" s="54"/>
      <c r="F251" s="54" t="s">
        <v>4090</v>
      </c>
      <c r="G251" s="54"/>
      <c r="H251" s="54"/>
      <c r="I251" s="54"/>
      <c r="J251" s="54"/>
      <c r="K251" s="54"/>
      <c r="L251" s="54"/>
      <c r="M251" s="54"/>
      <c r="N251" s="54"/>
      <c r="O251" s="54" t="s">
        <v>4258</v>
      </c>
    </row>
    <row r="252" spans="1:15" ht="30" x14ac:dyDescent="0.2">
      <c r="A252" s="53" t="s">
        <v>12</v>
      </c>
      <c r="B252" s="53" t="s">
        <v>15</v>
      </c>
      <c r="C252" s="54" t="s">
        <v>4259</v>
      </c>
      <c r="D252" s="55" t="s">
        <v>4260</v>
      </c>
      <c r="E252" s="54" t="s">
        <v>3924</v>
      </c>
      <c r="F252" s="54" t="s">
        <v>4079</v>
      </c>
      <c r="G252" s="54"/>
      <c r="H252" s="54"/>
      <c r="I252" s="54"/>
      <c r="J252" s="54">
        <v>0</v>
      </c>
      <c r="K252" s="54"/>
      <c r="L252" s="54"/>
      <c r="M252" s="54"/>
      <c r="N252" s="54"/>
      <c r="O252" s="54"/>
    </row>
    <row r="253" spans="1:15" ht="30" x14ac:dyDescent="0.2">
      <c r="A253" s="53" t="s">
        <v>12</v>
      </c>
      <c r="B253" s="53" t="s">
        <v>15</v>
      </c>
      <c r="C253" s="54" t="s">
        <v>4261</v>
      </c>
      <c r="D253" s="55" t="s">
        <v>4262</v>
      </c>
      <c r="E253" s="54" t="s">
        <v>1550</v>
      </c>
      <c r="F253" s="54" t="s">
        <v>4155</v>
      </c>
      <c r="G253" s="54">
        <v>1</v>
      </c>
      <c r="H253" s="54">
        <v>1</v>
      </c>
      <c r="I253" s="54">
        <v>25200</v>
      </c>
      <c r="J253" s="54">
        <v>13200</v>
      </c>
      <c r="K253" s="54"/>
      <c r="L253" s="54"/>
      <c r="M253" s="54"/>
      <c r="N253" s="54"/>
      <c r="O253" s="54"/>
    </row>
    <row r="254" spans="1:15" ht="60" x14ac:dyDescent="0.2">
      <c r="A254" s="53" t="s">
        <v>12</v>
      </c>
      <c r="B254" s="53" t="s">
        <v>17</v>
      </c>
      <c r="C254" s="54" t="s">
        <v>4263</v>
      </c>
      <c r="D254" s="55" t="s">
        <v>4264</v>
      </c>
      <c r="E254" s="54" t="s">
        <v>3656</v>
      </c>
      <c r="F254" s="54" t="s">
        <v>2536</v>
      </c>
      <c r="G254" s="54">
        <v>13</v>
      </c>
      <c r="H254" s="54"/>
      <c r="I254" s="54">
        <v>172800</v>
      </c>
      <c r="J254" s="54">
        <v>172800</v>
      </c>
      <c r="K254" s="54"/>
      <c r="L254" s="54"/>
      <c r="M254" s="54"/>
      <c r="N254" s="54"/>
      <c r="O254" s="54" t="s">
        <v>3690</v>
      </c>
    </row>
    <row r="255" spans="1:15" ht="60" x14ac:dyDescent="0.2">
      <c r="A255" s="53" t="s">
        <v>12</v>
      </c>
      <c r="B255" s="53" t="s">
        <v>17</v>
      </c>
      <c r="C255" s="54" t="s">
        <v>4265</v>
      </c>
      <c r="D255" s="55" t="s">
        <v>4266</v>
      </c>
      <c r="E255" s="54" t="s">
        <v>3656</v>
      </c>
      <c r="F255" s="54" t="s">
        <v>2536</v>
      </c>
      <c r="G255" s="54">
        <v>13</v>
      </c>
      <c r="H255" s="54"/>
      <c r="I255" s="54">
        <v>144000</v>
      </c>
      <c r="J255" s="54">
        <v>28800</v>
      </c>
      <c r="K255" s="54"/>
      <c r="L255" s="54"/>
      <c r="M255" s="54"/>
      <c r="N255" s="54"/>
      <c r="O255" s="54" t="s">
        <v>3690</v>
      </c>
    </row>
    <row r="256" spans="1:15" ht="15.75" x14ac:dyDescent="0.2">
      <c r="A256" s="53" t="s">
        <v>12</v>
      </c>
      <c r="B256" s="53" t="s">
        <v>15</v>
      </c>
      <c r="C256" s="54" t="s">
        <v>4267</v>
      </c>
      <c r="D256" s="55" t="s">
        <v>4268</v>
      </c>
      <c r="E256" s="54" t="s">
        <v>1550</v>
      </c>
      <c r="F256" s="54"/>
      <c r="G256" s="54">
        <v>5</v>
      </c>
      <c r="H256" s="54">
        <v>5</v>
      </c>
      <c r="I256" s="54">
        <v>28800</v>
      </c>
      <c r="J256" s="54">
        <v>28800</v>
      </c>
      <c r="K256" s="54"/>
      <c r="L256" s="54"/>
      <c r="M256" s="54"/>
      <c r="N256" s="54"/>
      <c r="O256" s="54" t="s">
        <v>3690</v>
      </c>
    </row>
    <row r="257" spans="1:15" ht="30" x14ac:dyDescent="0.2">
      <c r="A257" s="53" t="s">
        <v>12</v>
      </c>
      <c r="B257" s="53" t="s">
        <v>15</v>
      </c>
      <c r="C257" s="54" t="s">
        <v>4269</v>
      </c>
      <c r="D257" s="55" t="s">
        <v>4270</v>
      </c>
      <c r="E257" s="54" t="s">
        <v>2026</v>
      </c>
      <c r="F257" s="54" t="s">
        <v>3218</v>
      </c>
      <c r="G257" s="54">
        <v>5</v>
      </c>
      <c r="H257" s="54">
        <v>5</v>
      </c>
      <c r="I257" s="54">
        <v>86400</v>
      </c>
      <c r="J257" s="54">
        <v>14400</v>
      </c>
      <c r="K257" s="54"/>
      <c r="L257" s="54"/>
      <c r="M257" s="54"/>
      <c r="N257" s="54"/>
      <c r="O257" s="54" t="s">
        <v>4271</v>
      </c>
    </row>
    <row r="258" spans="1:15" ht="15.75" x14ac:dyDescent="0.2">
      <c r="A258" s="53" t="s">
        <v>12</v>
      </c>
      <c r="B258" s="53" t="s">
        <v>15</v>
      </c>
      <c r="C258" s="54" t="s">
        <v>4272</v>
      </c>
      <c r="D258" s="55" t="s">
        <v>4273</v>
      </c>
      <c r="E258" s="54"/>
      <c r="F258" s="54" t="s">
        <v>3693</v>
      </c>
      <c r="G258" s="54">
        <v>3</v>
      </c>
      <c r="H258" s="54">
        <v>3</v>
      </c>
      <c r="I258" s="54">
        <v>43200</v>
      </c>
      <c r="J258" s="54">
        <v>0</v>
      </c>
      <c r="K258" s="54"/>
      <c r="L258" s="54"/>
      <c r="M258" s="54"/>
      <c r="N258" s="54"/>
      <c r="O258" s="54" t="s">
        <v>3323</v>
      </c>
    </row>
    <row r="259" spans="1:15" ht="15.75" x14ac:dyDescent="0.2">
      <c r="A259" s="53" t="s">
        <v>12</v>
      </c>
      <c r="B259" s="53" t="s">
        <v>15</v>
      </c>
      <c r="C259" s="54" t="s">
        <v>4274</v>
      </c>
      <c r="D259" s="55" t="s">
        <v>4275</v>
      </c>
      <c r="E259" s="54"/>
      <c r="F259" s="54" t="s">
        <v>4197</v>
      </c>
      <c r="G259" s="54">
        <v>3</v>
      </c>
      <c r="H259" s="54">
        <v>3</v>
      </c>
      <c r="I259" s="54">
        <v>28080</v>
      </c>
      <c r="J259" s="54">
        <v>0</v>
      </c>
      <c r="K259" s="54"/>
      <c r="L259" s="54"/>
      <c r="M259" s="54"/>
      <c r="N259" s="54"/>
      <c r="O259" s="54" t="s">
        <v>3323</v>
      </c>
    </row>
    <row r="260" spans="1:15" ht="15.75" x14ac:dyDescent="0.2">
      <c r="A260" s="53" t="s">
        <v>12</v>
      </c>
      <c r="B260" s="53" t="s">
        <v>15</v>
      </c>
      <c r="C260" s="54" t="s">
        <v>4276</v>
      </c>
      <c r="D260" s="55" t="s">
        <v>4277</v>
      </c>
      <c r="E260" s="54"/>
      <c r="F260" s="54" t="s">
        <v>3812</v>
      </c>
      <c r="G260" s="54">
        <v>4</v>
      </c>
      <c r="H260" s="54">
        <v>4</v>
      </c>
      <c r="I260" s="54">
        <v>21600</v>
      </c>
      <c r="J260" s="54">
        <v>0</v>
      </c>
      <c r="K260" s="54"/>
      <c r="L260" s="54"/>
      <c r="M260" s="54"/>
      <c r="N260" s="54"/>
      <c r="O260" s="54" t="s">
        <v>3694</v>
      </c>
    </row>
    <row r="261" spans="1:15" ht="15.75" x14ac:dyDescent="0.2">
      <c r="A261" s="53" t="s">
        <v>12</v>
      </c>
      <c r="B261" s="53" t="s">
        <v>15</v>
      </c>
      <c r="C261" s="54" t="s">
        <v>4278</v>
      </c>
      <c r="D261" s="55" t="s">
        <v>4279</v>
      </c>
      <c r="E261" s="54"/>
      <c r="F261" s="54" t="s">
        <v>4197</v>
      </c>
      <c r="G261" s="54">
        <v>5</v>
      </c>
      <c r="H261" s="54">
        <v>5</v>
      </c>
      <c r="I261" s="54">
        <v>14040</v>
      </c>
      <c r="J261" s="54">
        <v>1080</v>
      </c>
      <c r="K261" s="54"/>
      <c r="L261" s="54"/>
      <c r="M261" s="54"/>
      <c r="N261" s="54"/>
      <c r="O261" s="54" t="s">
        <v>3694</v>
      </c>
    </row>
    <row r="262" spans="1:15" ht="30" x14ac:dyDescent="0.2">
      <c r="A262" s="53" t="s">
        <v>12</v>
      </c>
      <c r="B262" s="53" t="s">
        <v>15</v>
      </c>
      <c r="C262" s="54" t="s">
        <v>4280</v>
      </c>
      <c r="D262" s="55" t="s">
        <v>4281</v>
      </c>
      <c r="E262" s="54"/>
      <c r="F262" s="54" t="s">
        <v>4282</v>
      </c>
      <c r="G262" s="54"/>
      <c r="H262" s="54"/>
      <c r="I262" s="54"/>
      <c r="J262" s="54"/>
      <c r="K262" s="54"/>
      <c r="L262" s="54"/>
      <c r="M262" s="54"/>
      <c r="N262" s="54"/>
      <c r="O262" s="54" t="s">
        <v>4283</v>
      </c>
    </row>
    <row r="263" spans="1:15" ht="30" x14ac:dyDescent="0.2">
      <c r="A263" s="53" t="s">
        <v>12</v>
      </c>
      <c r="B263" s="53" t="s">
        <v>15</v>
      </c>
      <c r="C263" s="54" t="s">
        <v>4284</v>
      </c>
      <c r="D263" s="55" t="s">
        <v>4285</v>
      </c>
      <c r="E263" s="54"/>
      <c r="F263" s="54" t="s">
        <v>3985</v>
      </c>
      <c r="G263" s="54">
        <v>3</v>
      </c>
      <c r="H263" s="54">
        <v>3</v>
      </c>
      <c r="I263" s="54"/>
      <c r="J263" s="54">
        <v>0</v>
      </c>
      <c r="K263" s="54"/>
      <c r="L263" s="54"/>
      <c r="M263" s="54"/>
      <c r="N263" s="54"/>
      <c r="O263" s="54" t="s">
        <v>4286</v>
      </c>
    </row>
    <row r="264" spans="1:15" ht="15.75" x14ac:dyDescent="0.2">
      <c r="A264" s="53" t="s">
        <v>12</v>
      </c>
      <c r="B264" s="53" t="s">
        <v>15</v>
      </c>
      <c r="C264" s="54" t="s">
        <v>4287</v>
      </c>
      <c r="D264" s="55" t="s">
        <v>4288</v>
      </c>
      <c r="E264" s="54"/>
      <c r="F264" s="54" t="s">
        <v>4197</v>
      </c>
      <c r="G264" s="54">
        <v>5</v>
      </c>
      <c r="H264" s="54">
        <v>5</v>
      </c>
      <c r="I264" s="54">
        <v>14400</v>
      </c>
      <c r="J264" s="54">
        <v>0</v>
      </c>
      <c r="K264" s="54"/>
      <c r="L264" s="54"/>
      <c r="M264" s="54"/>
      <c r="N264" s="54"/>
      <c r="O264" s="54" t="s">
        <v>3699</v>
      </c>
    </row>
    <row r="265" spans="1:15" ht="30" x14ac:dyDescent="0.2">
      <c r="A265" s="53" t="s">
        <v>12</v>
      </c>
      <c r="B265" s="53" t="s">
        <v>17</v>
      </c>
      <c r="C265" s="54" t="s">
        <v>4289</v>
      </c>
      <c r="D265" s="55" t="s">
        <v>4290</v>
      </c>
      <c r="E265" s="54"/>
      <c r="F265" s="54" t="s">
        <v>4291</v>
      </c>
      <c r="G265" s="54">
        <v>3</v>
      </c>
      <c r="H265" s="54"/>
      <c r="I265" s="54"/>
      <c r="J265" s="54"/>
      <c r="K265" s="54"/>
      <c r="L265" s="54"/>
      <c r="M265" s="54"/>
      <c r="N265" s="54"/>
      <c r="O265" s="54" t="s">
        <v>1591</v>
      </c>
    </row>
    <row r="266" spans="1:15" ht="15.75" x14ac:dyDescent="0.2">
      <c r="A266" s="53" t="s">
        <v>12</v>
      </c>
      <c r="B266" s="53" t="s">
        <v>15</v>
      </c>
      <c r="C266" s="54" t="s">
        <v>4292</v>
      </c>
      <c r="D266" s="55" t="s">
        <v>4293</v>
      </c>
      <c r="E266" s="54"/>
      <c r="F266" s="54" t="s">
        <v>4294</v>
      </c>
      <c r="G266" s="54">
        <v>3</v>
      </c>
      <c r="H266" s="54">
        <v>3</v>
      </c>
      <c r="I266" s="54">
        <v>10080</v>
      </c>
      <c r="J266" s="54">
        <v>0</v>
      </c>
      <c r="K266" s="54"/>
      <c r="L266" s="54"/>
      <c r="M266" s="54"/>
      <c r="N266" s="54"/>
      <c r="O266" s="54" t="s">
        <v>3699</v>
      </c>
    </row>
    <row r="267" spans="1:15" ht="15.75" x14ac:dyDescent="0.2">
      <c r="A267" s="53" t="s">
        <v>12</v>
      </c>
      <c r="B267" s="53" t="s">
        <v>15</v>
      </c>
      <c r="C267" s="54" t="s">
        <v>4295</v>
      </c>
      <c r="D267" s="55" t="s">
        <v>4296</v>
      </c>
      <c r="E267" s="54"/>
      <c r="F267" s="54" t="s">
        <v>4297</v>
      </c>
      <c r="G267" s="54">
        <v>0</v>
      </c>
      <c r="H267" s="54">
        <v>0</v>
      </c>
      <c r="I267" s="54">
        <v>3600</v>
      </c>
      <c r="J267" s="54">
        <v>0</v>
      </c>
      <c r="K267" s="54"/>
      <c r="L267" s="54"/>
      <c r="M267" s="54"/>
      <c r="N267" s="54"/>
      <c r="O267" s="54" t="s">
        <v>4298</v>
      </c>
    </row>
    <row r="268" spans="1:15" ht="15.75" x14ac:dyDescent="0.2">
      <c r="A268" s="53" t="s">
        <v>12</v>
      </c>
      <c r="B268" s="53" t="s">
        <v>13</v>
      </c>
      <c r="C268" s="54" t="s">
        <v>4299</v>
      </c>
      <c r="D268" s="55" t="s">
        <v>4300</v>
      </c>
      <c r="E268" s="54"/>
      <c r="F268" s="54" t="s">
        <v>4197</v>
      </c>
      <c r="G268" s="54"/>
      <c r="H268" s="54"/>
      <c r="I268" s="54">
        <v>86400</v>
      </c>
      <c r="J268" s="54">
        <v>86400</v>
      </c>
      <c r="K268" s="54"/>
      <c r="L268" s="54"/>
      <c r="M268" s="54"/>
      <c r="N268" s="54"/>
      <c r="O268" s="54" t="s">
        <v>4301</v>
      </c>
    </row>
    <row r="269" spans="1:15" ht="30" x14ac:dyDescent="0.2">
      <c r="A269" s="53" t="s">
        <v>12</v>
      </c>
      <c r="B269" s="53" t="s">
        <v>15</v>
      </c>
      <c r="C269" s="54" t="s">
        <v>4302</v>
      </c>
      <c r="D269" s="55" t="s">
        <v>4303</v>
      </c>
      <c r="E269" s="54"/>
      <c r="F269" s="54" t="s">
        <v>4297</v>
      </c>
      <c r="G269" s="54"/>
      <c r="H269" s="54"/>
      <c r="I269" s="54"/>
      <c r="J269" s="54"/>
      <c r="K269" s="54"/>
      <c r="L269" s="54"/>
      <c r="M269" s="54"/>
      <c r="N269" s="54"/>
      <c r="O269" s="54"/>
    </row>
    <row r="270" spans="1:15" ht="30" x14ac:dyDescent="0.2">
      <c r="A270" s="53" t="s">
        <v>12</v>
      </c>
      <c r="B270" s="53" t="s">
        <v>13</v>
      </c>
      <c r="C270" s="54" t="s">
        <v>4304</v>
      </c>
      <c r="D270" s="55" t="s">
        <v>4305</v>
      </c>
      <c r="E270" s="54"/>
      <c r="F270" s="54"/>
      <c r="G270" s="54"/>
      <c r="H270" s="54"/>
      <c r="I270" s="54"/>
      <c r="J270" s="54"/>
      <c r="K270" s="54"/>
      <c r="L270" s="54"/>
      <c r="M270" s="54"/>
      <c r="N270" s="54"/>
      <c r="O270" s="54"/>
    </row>
    <row r="271" spans="1:15" ht="15.75" x14ac:dyDescent="0.2">
      <c r="A271" s="53" t="s">
        <v>12</v>
      </c>
      <c r="B271" s="53" t="s">
        <v>13</v>
      </c>
      <c r="C271" s="54" t="s">
        <v>4306</v>
      </c>
      <c r="D271" s="55" t="s">
        <v>4307</v>
      </c>
      <c r="E271" s="54"/>
      <c r="F271" s="54"/>
      <c r="G271" s="54"/>
      <c r="H271" s="54"/>
      <c r="I271" s="54">
        <v>86400</v>
      </c>
      <c r="J271" s="54">
        <v>86400</v>
      </c>
      <c r="K271" s="54"/>
      <c r="L271" s="54"/>
      <c r="M271" s="54"/>
      <c r="N271" s="54"/>
      <c r="O271" s="54" t="s">
        <v>4223</v>
      </c>
    </row>
    <row r="272" spans="1:15" ht="90" x14ac:dyDescent="0.2">
      <c r="A272" s="53" t="s">
        <v>12</v>
      </c>
      <c r="B272" s="53" t="s">
        <v>15</v>
      </c>
      <c r="C272" s="54" t="s">
        <v>4308</v>
      </c>
      <c r="D272" s="55" t="s">
        <v>4309</v>
      </c>
      <c r="E272" s="54" t="s">
        <v>899</v>
      </c>
      <c r="F272" s="54" t="s">
        <v>3358</v>
      </c>
      <c r="G272" s="54">
        <v>5</v>
      </c>
      <c r="H272" s="54">
        <v>5</v>
      </c>
      <c r="I272" s="54">
        <v>0</v>
      </c>
      <c r="J272" s="54">
        <v>0</v>
      </c>
      <c r="K272" s="54"/>
      <c r="L272" s="54"/>
      <c r="M272" s="54">
        <v>1</v>
      </c>
      <c r="N272" s="54"/>
      <c r="O272" s="54" t="s">
        <v>4310</v>
      </c>
    </row>
    <row r="273" spans="1:15" ht="15.75" x14ac:dyDescent="0.2">
      <c r="A273" s="53" t="s">
        <v>12</v>
      </c>
      <c r="B273" s="53" t="s">
        <v>15</v>
      </c>
      <c r="C273" s="54" t="s">
        <v>4311</v>
      </c>
      <c r="D273" s="55" t="s">
        <v>4312</v>
      </c>
      <c r="E273" s="54" t="s">
        <v>1550</v>
      </c>
      <c r="F273" s="54" t="s">
        <v>4313</v>
      </c>
      <c r="G273" s="54"/>
      <c r="H273" s="54"/>
      <c r="I273" s="54"/>
      <c r="J273" s="54"/>
      <c r="K273" s="54"/>
      <c r="L273" s="54"/>
      <c r="M273" s="54"/>
      <c r="N273" s="54"/>
      <c r="O273" s="54" t="s">
        <v>4314</v>
      </c>
    </row>
    <row r="274" spans="1:15" ht="15.75" x14ac:dyDescent="0.2">
      <c r="A274" s="53" t="s">
        <v>12</v>
      </c>
      <c r="B274" s="53" t="s">
        <v>15</v>
      </c>
      <c r="C274" s="54" t="s">
        <v>4315</v>
      </c>
      <c r="D274" s="55" t="s">
        <v>4316</v>
      </c>
      <c r="E274" s="54" t="s">
        <v>1550</v>
      </c>
      <c r="F274" s="54" t="s">
        <v>4313</v>
      </c>
      <c r="G274" s="54"/>
      <c r="H274" s="54"/>
      <c r="I274" s="54"/>
      <c r="J274" s="54"/>
      <c r="K274" s="54"/>
      <c r="L274" s="54"/>
      <c r="M274" s="54"/>
      <c r="N274" s="54"/>
      <c r="O274" s="54" t="s">
        <v>4317</v>
      </c>
    </row>
    <row r="275" spans="1:15" ht="30" x14ac:dyDescent="0.2">
      <c r="A275" s="53" t="s">
        <v>12</v>
      </c>
      <c r="B275" s="53" t="s">
        <v>15</v>
      </c>
      <c r="C275" s="54" t="s">
        <v>4318</v>
      </c>
      <c r="D275" s="55" t="s">
        <v>4319</v>
      </c>
      <c r="E275" s="54"/>
      <c r="F275" s="54" t="s">
        <v>4320</v>
      </c>
      <c r="G275" s="54">
        <v>20</v>
      </c>
      <c r="H275" s="54">
        <v>20</v>
      </c>
      <c r="I275" s="54">
        <v>36000</v>
      </c>
      <c r="J275" s="54">
        <v>36000</v>
      </c>
      <c r="K275" s="54"/>
      <c r="L275" s="54"/>
      <c r="M275" s="54"/>
      <c r="N275" s="54"/>
      <c r="O275" s="54" t="s">
        <v>4321</v>
      </c>
    </row>
    <row r="276" spans="1:15" ht="15.75" x14ac:dyDescent="0.2">
      <c r="A276" s="53" t="s">
        <v>12</v>
      </c>
      <c r="B276" s="53" t="s">
        <v>15</v>
      </c>
      <c r="C276" s="54" t="s">
        <v>4322</v>
      </c>
      <c r="D276" s="55" t="s">
        <v>4323</v>
      </c>
      <c r="E276" s="54"/>
      <c r="F276" s="54" t="s">
        <v>4324</v>
      </c>
      <c r="G276" s="54">
        <v>2</v>
      </c>
      <c r="H276" s="54">
        <v>2</v>
      </c>
      <c r="I276" s="54">
        <v>0</v>
      </c>
      <c r="J276" s="54">
        <v>0</v>
      </c>
      <c r="K276" s="54"/>
      <c r="L276" s="54"/>
      <c r="M276" s="54"/>
      <c r="N276" s="54"/>
      <c r="O276" s="54"/>
    </row>
    <row r="277" spans="1:15" ht="30" x14ac:dyDescent="0.2">
      <c r="A277" s="53" t="s">
        <v>12</v>
      </c>
      <c r="B277" s="53" t="s">
        <v>15</v>
      </c>
      <c r="C277" s="54" t="s">
        <v>4325</v>
      </c>
      <c r="D277" s="55" t="s">
        <v>4326</v>
      </c>
      <c r="E277" s="54"/>
      <c r="F277" s="54" t="s">
        <v>4282</v>
      </c>
      <c r="G277" s="54">
        <v>1</v>
      </c>
      <c r="H277" s="54">
        <v>1</v>
      </c>
      <c r="I277" s="54"/>
      <c r="J277" s="54"/>
      <c r="K277" s="54"/>
      <c r="L277" s="54"/>
      <c r="M277" s="54"/>
      <c r="N277" s="54"/>
      <c r="O277" s="54" t="s">
        <v>4327</v>
      </c>
    </row>
    <row r="278" spans="1:15" ht="30" x14ac:dyDescent="0.2">
      <c r="A278" s="53" t="s">
        <v>12</v>
      </c>
      <c r="B278" s="53" t="s">
        <v>15</v>
      </c>
      <c r="C278" s="54" t="s">
        <v>4328</v>
      </c>
      <c r="D278" s="55" t="s">
        <v>4329</v>
      </c>
      <c r="E278" s="54"/>
      <c r="F278" s="54" t="s">
        <v>4330</v>
      </c>
      <c r="G278" s="54">
        <v>1</v>
      </c>
      <c r="H278" s="54">
        <v>1</v>
      </c>
      <c r="I278" s="54"/>
      <c r="J278" s="54"/>
      <c r="K278" s="54"/>
      <c r="L278" s="54"/>
      <c r="M278" s="54"/>
      <c r="N278" s="54"/>
      <c r="O278" s="54" t="s">
        <v>4331</v>
      </c>
    </row>
    <row r="279" spans="1:15" ht="60" x14ac:dyDescent="0.2">
      <c r="A279" s="53" t="s">
        <v>12</v>
      </c>
      <c r="B279" s="53" t="s">
        <v>17</v>
      </c>
      <c r="C279" s="54" t="s">
        <v>4332</v>
      </c>
      <c r="D279" s="55" t="s">
        <v>4333</v>
      </c>
      <c r="E279" s="54" t="s">
        <v>4334</v>
      </c>
      <c r="F279" s="54" t="s">
        <v>4335</v>
      </c>
      <c r="G279" s="54">
        <v>13</v>
      </c>
      <c r="H279" s="54"/>
      <c r="I279" s="54"/>
      <c r="J279" s="54"/>
      <c r="K279" s="54"/>
      <c r="L279" s="54"/>
      <c r="M279" s="54"/>
      <c r="N279" s="54"/>
      <c r="O279" s="54" t="s">
        <v>4336</v>
      </c>
    </row>
    <row r="280" spans="1:15" ht="90" x14ac:dyDescent="0.2">
      <c r="A280" s="53" t="s">
        <v>12</v>
      </c>
      <c r="B280" s="53" t="s">
        <v>17</v>
      </c>
      <c r="C280" s="54" t="s">
        <v>4337</v>
      </c>
      <c r="D280" s="55" t="s">
        <v>4338</v>
      </c>
      <c r="E280" s="54" t="s">
        <v>920</v>
      </c>
      <c r="F280" s="54" t="s">
        <v>4339</v>
      </c>
      <c r="G280" s="54">
        <v>8</v>
      </c>
      <c r="H280" s="54"/>
      <c r="I280" s="54"/>
      <c r="J280" s="54"/>
      <c r="K280" s="54"/>
      <c r="L280" s="54"/>
      <c r="M280" s="54"/>
      <c r="N280" s="54"/>
      <c r="O280" s="54" t="s">
        <v>4340</v>
      </c>
    </row>
    <row r="281" spans="1:15" ht="15.75" x14ac:dyDescent="0.2">
      <c r="A281" s="53" t="s">
        <v>12</v>
      </c>
      <c r="B281" s="53" t="s">
        <v>15</v>
      </c>
      <c r="C281" s="54" t="s">
        <v>4341</v>
      </c>
      <c r="D281" s="55" t="s">
        <v>4342</v>
      </c>
      <c r="E281" s="54"/>
      <c r="F281" s="54" t="s">
        <v>4291</v>
      </c>
      <c r="G281" s="54"/>
      <c r="H281" s="54"/>
      <c r="I281" s="54"/>
      <c r="J281" s="54">
        <v>0</v>
      </c>
      <c r="K281" s="54"/>
      <c r="L281" s="54"/>
      <c r="M281" s="54"/>
      <c r="N281" s="54"/>
      <c r="O281" s="54"/>
    </row>
    <row r="282" spans="1:15" ht="15.75" x14ac:dyDescent="0.2">
      <c r="A282" s="53" t="s">
        <v>12</v>
      </c>
      <c r="B282" s="53" t="s">
        <v>15</v>
      </c>
      <c r="C282" s="54" t="s">
        <v>4343</v>
      </c>
      <c r="D282" s="55" t="s">
        <v>4344</v>
      </c>
      <c r="E282" s="54" t="s">
        <v>2026</v>
      </c>
      <c r="F282" s="54"/>
      <c r="G282" s="54"/>
      <c r="H282" s="54"/>
      <c r="I282" s="54"/>
      <c r="J282" s="54"/>
      <c r="K282" s="54"/>
      <c r="L282" s="54"/>
      <c r="M282" s="54"/>
      <c r="N282" s="54"/>
      <c r="O282" s="54" t="s">
        <v>4345</v>
      </c>
    </row>
    <row r="283" spans="1:15" ht="30" x14ac:dyDescent="0.2">
      <c r="A283" s="53" t="s">
        <v>12</v>
      </c>
      <c r="B283" s="53" t="s">
        <v>15</v>
      </c>
      <c r="C283" s="54" t="s">
        <v>4346</v>
      </c>
      <c r="D283" s="55" t="s">
        <v>4347</v>
      </c>
      <c r="E283" s="54"/>
      <c r="F283" s="54" t="s">
        <v>3985</v>
      </c>
      <c r="G283" s="54"/>
      <c r="H283" s="54"/>
      <c r="I283" s="54"/>
      <c r="J283" s="54"/>
      <c r="K283" s="54"/>
      <c r="L283" s="54"/>
      <c r="M283" s="54"/>
      <c r="N283" s="54"/>
      <c r="O283" s="54"/>
    </row>
    <row r="284" spans="1:15" ht="30" x14ac:dyDescent="0.2">
      <c r="A284" s="53" t="s">
        <v>12</v>
      </c>
      <c r="B284" s="53" t="s">
        <v>17</v>
      </c>
      <c r="C284" s="54" t="s">
        <v>4348</v>
      </c>
      <c r="D284" s="55" t="s">
        <v>4349</v>
      </c>
      <c r="E284" s="54"/>
      <c r="F284" s="54" t="s">
        <v>3985</v>
      </c>
      <c r="G284" s="54"/>
      <c r="H284" s="54"/>
      <c r="I284" s="54"/>
      <c r="J284" s="54"/>
      <c r="K284" s="54"/>
      <c r="L284" s="54"/>
      <c r="M284" s="54"/>
      <c r="N284" s="54"/>
      <c r="O284" s="54"/>
    </row>
    <row r="285" spans="1:15" ht="15.75" x14ac:dyDescent="0.2">
      <c r="A285" s="53" t="s">
        <v>12</v>
      </c>
      <c r="B285" s="53" t="s">
        <v>17</v>
      </c>
      <c r="C285" s="54" t="s">
        <v>4350</v>
      </c>
      <c r="D285" s="55" t="s">
        <v>4351</v>
      </c>
      <c r="E285" s="54"/>
      <c r="F285" s="54" t="s">
        <v>3985</v>
      </c>
      <c r="G285" s="54"/>
      <c r="H285" s="54"/>
      <c r="I285" s="54"/>
      <c r="J285" s="54"/>
      <c r="K285" s="54"/>
      <c r="L285" s="54"/>
      <c r="M285" s="54"/>
      <c r="N285" s="54"/>
      <c r="O285" s="54"/>
    </row>
    <row r="286" spans="1:15" ht="150" x14ac:dyDescent="0.2">
      <c r="A286" s="53" t="s">
        <v>12</v>
      </c>
      <c r="B286" s="53" t="s">
        <v>17</v>
      </c>
      <c r="C286" s="54" t="s">
        <v>4352</v>
      </c>
      <c r="D286" s="55" t="s">
        <v>4353</v>
      </c>
      <c r="E286" s="54" t="s">
        <v>4108</v>
      </c>
      <c r="F286" s="54" t="s">
        <v>4354</v>
      </c>
      <c r="G286" s="54">
        <v>3</v>
      </c>
      <c r="H286" s="54"/>
      <c r="I286" s="54"/>
      <c r="J286" s="54"/>
      <c r="K286" s="54"/>
      <c r="L286" s="54"/>
      <c r="M286" s="54"/>
      <c r="N286" s="54"/>
      <c r="O286" s="54" t="s">
        <v>4355</v>
      </c>
    </row>
    <row r="287" spans="1:15" ht="60" x14ac:dyDescent="0.2">
      <c r="A287" s="53" t="s">
        <v>12</v>
      </c>
      <c r="B287" s="53" t="s">
        <v>15</v>
      </c>
      <c r="C287" s="54" t="s">
        <v>4356</v>
      </c>
      <c r="D287" s="55" t="s">
        <v>4357</v>
      </c>
      <c r="E287" s="54"/>
      <c r="F287" s="54" t="s">
        <v>4358</v>
      </c>
      <c r="G287" s="54">
        <v>2</v>
      </c>
      <c r="H287" s="54">
        <v>2</v>
      </c>
      <c r="I287" s="54"/>
      <c r="J287" s="54">
        <v>0</v>
      </c>
      <c r="K287" s="54"/>
      <c r="L287" s="54"/>
      <c r="M287" s="54"/>
      <c r="N287" s="54"/>
      <c r="O287" s="54" t="s">
        <v>4355</v>
      </c>
    </row>
    <row r="288" spans="1:15" ht="15.75" x14ac:dyDescent="0.2">
      <c r="A288" s="53" t="s">
        <v>12</v>
      </c>
      <c r="B288" s="53" t="s">
        <v>17</v>
      </c>
      <c r="C288" s="54" t="s">
        <v>4359</v>
      </c>
      <c r="D288" s="55" t="s">
        <v>4360</v>
      </c>
      <c r="E288" s="54"/>
      <c r="F288" s="54" t="s">
        <v>3985</v>
      </c>
      <c r="G288" s="54"/>
      <c r="H288" s="54"/>
      <c r="I288" s="54"/>
      <c r="J288" s="54"/>
      <c r="K288" s="54"/>
      <c r="L288" s="54"/>
      <c r="M288" s="54"/>
      <c r="N288" s="54"/>
      <c r="O288" s="54"/>
    </row>
    <row r="289" spans="1:15" ht="15.75" x14ac:dyDescent="0.2">
      <c r="A289" s="53" t="s">
        <v>12</v>
      </c>
      <c r="B289" s="53" t="s">
        <v>15</v>
      </c>
      <c r="C289" s="54" t="s">
        <v>4361</v>
      </c>
      <c r="D289" s="55" t="s">
        <v>4362</v>
      </c>
      <c r="E289" s="54" t="s">
        <v>4083</v>
      </c>
      <c r="F289" s="54" t="s">
        <v>4079</v>
      </c>
      <c r="G289" s="54"/>
      <c r="H289" s="54"/>
      <c r="I289" s="54"/>
      <c r="J289" s="54">
        <v>1800</v>
      </c>
      <c r="K289" s="54"/>
      <c r="L289" s="54"/>
      <c r="M289" s="54"/>
      <c r="N289" s="54"/>
      <c r="O289" s="54"/>
    </row>
    <row r="290" spans="1:15" ht="30" x14ac:dyDescent="0.2">
      <c r="A290" s="53" t="s">
        <v>12</v>
      </c>
      <c r="B290" s="53" t="s">
        <v>15</v>
      </c>
      <c r="C290" s="54" t="s">
        <v>4363</v>
      </c>
      <c r="D290" s="55" t="s">
        <v>4364</v>
      </c>
      <c r="E290" s="54" t="s">
        <v>1550</v>
      </c>
      <c r="F290" s="54" t="s">
        <v>4365</v>
      </c>
      <c r="G290" s="54">
        <v>10</v>
      </c>
      <c r="H290" s="54">
        <v>10</v>
      </c>
      <c r="I290" s="54">
        <v>57600</v>
      </c>
      <c r="J290" s="54">
        <v>57600</v>
      </c>
      <c r="K290" s="54"/>
      <c r="L290" s="54"/>
      <c r="M290" s="54"/>
      <c r="N290" s="54"/>
      <c r="O290" s="54" t="s">
        <v>3819</v>
      </c>
    </row>
    <row r="291" spans="1:15" ht="15.75" x14ac:dyDescent="0.2">
      <c r="A291" s="53" t="s">
        <v>12</v>
      </c>
      <c r="B291" s="53" t="s">
        <v>15</v>
      </c>
      <c r="C291" s="54" t="s">
        <v>4366</v>
      </c>
      <c r="D291" s="55" t="s">
        <v>4367</v>
      </c>
      <c r="E291" s="54"/>
      <c r="F291" s="54" t="s">
        <v>4294</v>
      </c>
      <c r="G291" s="54">
        <v>5</v>
      </c>
      <c r="H291" s="54">
        <v>5</v>
      </c>
      <c r="I291" s="54">
        <v>93600</v>
      </c>
      <c r="J291" s="54">
        <v>0</v>
      </c>
      <c r="K291" s="54"/>
      <c r="L291" s="54"/>
      <c r="M291" s="54"/>
      <c r="N291" s="54"/>
      <c r="O291" s="54" t="s">
        <v>4368</v>
      </c>
    </row>
    <row r="292" spans="1:15" ht="30" x14ac:dyDescent="0.2">
      <c r="A292" s="53" t="s">
        <v>12</v>
      </c>
      <c r="B292" s="53" t="s">
        <v>15</v>
      </c>
      <c r="C292" s="54" t="s">
        <v>4369</v>
      </c>
      <c r="D292" s="55" t="s">
        <v>4370</v>
      </c>
      <c r="E292" s="54" t="s">
        <v>2026</v>
      </c>
      <c r="F292" s="54" t="s">
        <v>4371</v>
      </c>
      <c r="G292" s="54">
        <v>5</v>
      </c>
      <c r="H292" s="54">
        <v>5</v>
      </c>
      <c r="I292" s="54">
        <v>57600</v>
      </c>
      <c r="J292" s="54">
        <v>0</v>
      </c>
      <c r="K292" s="54"/>
      <c r="L292" s="54"/>
      <c r="M292" s="54"/>
      <c r="N292" s="54"/>
      <c r="O292" s="54" t="s">
        <v>2811</v>
      </c>
    </row>
    <row r="293" spans="1:15" ht="45" x14ac:dyDescent="0.2">
      <c r="A293" s="53" t="s">
        <v>12</v>
      </c>
      <c r="B293" s="53" t="s">
        <v>15</v>
      </c>
      <c r="C293" s="54" t="s">
        <v>4372</v>
      </c>
      <c r="D293" s="55" t="s">
        <v>4373</v>
      </c>
      <c r="E293" s="54"/>
      <c r="F293" s="54" t="s">
        <v>4374</v>
      </c>
      <c r="G293" s="54">
        <v>2</v>
      </c>
      <c r="H293" s="54">
        <v>2</v>
      </c>
      <c r="I293" s="54"/>
      <c r="J293" s="54"/>
      <c r="K293" s="54"/>
      <c r="L293" s="54"/>
      <c r="M293" s="54"/>
      <c r="N293" s="54"/>
      <c r="O293" s="54" t="s">
        <v>4375</v>
      </c>
    </row>
    <row r="294" spans="1:15" ht="30" x14ac:dyDescent="0.2">
      <c r="A294" s="53" t="s">
        <v>12</v>
      </c>
      <c r="B294" s="53" t="s">
        <v>15</v>
      </c>
      <c r="C294" s="54" t="s">
        <v>4376</v>
      </c>
      <c r="D294" s="55" t="s">
        <v>4377</v>
      </c>
      <c r="E294" s="54"/>
      <c r="F294" s="54" t="s">
        <v>4090</v>
      </c>
      <c r="G294" s="54">
        <v>2</v>
      </c>
      <c r="H294" s="54">
        <v>2</v>
      </c>
      <c r="I294" s="54"/>
      <c r="J294" s="54">
        <v>0</v>
      </c>
      <c r="K294" s="54"/>
      <c r="L294" s="54"/>
      <c r="M294" s="54"/>
      <c r="N294" s="54"/>
      <c r="O294" s="54" t="s">
        <v>4378</v>
      </c>
    </row>
    <row r="295" spans="1:15" ht="60" x14ac:dyDescent="0.2">
      <c r="A295" s="53" t="s">
        <v>12</v>
      </c>
      <c r="B295" s="53" t="s">
        <v>16</v>
      </c>
      <c r="C295" s="54" t="s">
        <v>4379</v>
      </c>
      <c r="D295" s="55" t="s">
        <v>4380</v>
      </c>
      <c r="E295" s="54" t="s">
        <v>899</v>
      </c>
      <c r="F295" s="54" t="s">
        <v>2536</v>
      </c>
      <c r="G295" s="54">
        <v>2</v>
      </c>
      <c r="H295" s="54"/>
      <c r="I295" s="54"/>
      <c r="J295" s="54">
        <v>0</v>
      </c>
      <c r="K295" s="54"/>
      <c r="L295" s="54"/>
      <c r="M295" s="54"/>
      <c r="N295" s="54"/>
      <c r="O295" s="54" t="s">
        <v>4381</v>
      </c>
    </row>
    <row r="296" spans="1:15" ht="30" x14ac:dyDescent="0.2">
      <c r="A296" s="53" t="s">
        <v>12</v>
      </c>
      <c r="B296" s="53" t="s">
        <v>15</v>
      </c>
      <c r="C296" s="54" t="s">
        <v>4382</v>
      </c>
      <c r="D296" s="55" t="s">
        <v>4383</v>
      </c>
      <c r="E296" s="54" t="s">
        <v>1550</v>
      </c>
      <c r="F296" s="54" t="s">
        <v>4282</v>
      </c>
      <c r="G296" s="54">
        <v>3</v>
      </c>
      <c r="H296" s="54">
        <v>3</v>
      </c>
      <c r="I296" s="54">
        <v>0</v>
      </c>
      <c r="J296" s="54">
        <v>0</v>
      </c>
      <c r="K296" s="54"/>
      <c r="L296" s="54"/>
      <c r="M296" s="54"/>
      <c r="N296" s="54"/>
      <c r="O296" s="54" t="s">
        <v>4384</v>
      </c>
    </row>
    <row r="297" spans="1:15" ht="30" x14ac:dyDescent="0.2">
      <c r="A297" s="53" t="s">
        <v>12</v>
      </c>
      <c r="B297" s="53" t="s">
        <v>15</v>
      </c>
      <c r="C297" s="54" t="s">
        <v>4385</v>
      </c>
      <c r="D297" s="55" t="s">
        <v>4386</v>
      </c>
      <c r="E297" s="54"/>
      <c r="F297" s="54" t="s">
        <v>4282</v>
      </c>
      <c r="G297" s="54"/>
      <c r="H297" s="54"/>
      <c r="I297" s="54">
        <v>0</v>
      </c>
      <c r="J297" s="54">
        <v>23400</v>
      </c>
      <c r="K297" s="54"/>
      <c r="L297" s="54"/>
      <c r="M297" s="54"/>
      <c r="N297" s="54"/>
      <c r="O297" s="54" t="s">
        <v>4384</v>
      </c>
    </row>
    <row r="298" spans="1:15" ht="15.75" x14ac:dyDescent="0.2">
      <c r="A298" s="53" t="s">
        <v>12</v>
      </c>
      <c r="B298" s="53" t="s">
        <v>15</v>
      </c>
      <c r="C298" s="54" t="s">
        <v>4387</v>
      </c>
      <c r="D298" s="55" t="s">
        <v>4388</v>
      </c>
      <c r="E298" s="54" t="s">
        <v>3865</v>
      </c>
      <c r="F298" s="54" t="s">
        <v>2530</v>
      </c>
      <c r="G298" s="54">
        <v>13</v>
      </c>
      <c r="H298" s="54">
        <v>13</v>
      </c>
      <c r="I298" s="54">
        <v>219600</v>
      </c>
      <c r="J298" s="54">
        <v>0</v>
      </c>
      <c r="K298" s="54"/>
      <c r="L298" s="54"/>
      <c r="M298" s="54"/>
      <c r="N298" s="54"/>
      <c r="O298" s="54" t="s">
        <v>4389</v>
      </c>
    </row>
    <row r="299" spans="1:15" ht="30" x14ac:dyDescent="0.2">
      <c r="A299" s="53" t="s">
        <v>12</v>
      </c>
      <c r="B299" s="53" t="s">
        <v>13</v>
      </c>
      <c r="C299" s="54" t="s">
        <v>4390</v>
      </c>
      <c r="D299" s="55" t="s">
        <v>4391</v>
      </c>
      <c r="E299" s="54" t="s">
        <v>1391</v>
      </c>
      <c r="F299" s="54" t="s">
        <v>884</v>
      </c>
      <c r="G299" s="54">
        <v>8</v>
      </c>
      <c r="H299" s="54"/>
      <c r="I299" s="54">
        <v>28800</v>
      </c>
      <c r="J299" s="54">
        <v>28800</v>
      </c>
      <c r="K299" s="54"/>
      <c r="L299" s="54"/>
      <c r="M299" s="54"/>
      <c r="N299" s="54"/>
      <c r="O299" s="54" t="s">
        <v>4392</v>
      </c>
    </row>
    <row r="300" spans="1:15" ht="15.75" x14ac:dyDescent="0.2">
      <c r="A300" s="53" t="s">
        <v>12</v>
      </c>
      <c r="B300" s="53" t="s">
        <v>15</v>
      </c>
      <c r="C300" s="54" t="s">
        <v>4393</v>
      </c>
      <c r="D300" s="55" t="s">
        <v>4394</v>
      </c>
      <c r="E300" s="54" t="s">
        <v>1550</v>
      </c>
      <c r="F300" s="54" t="s">
        <v>3693</v>
      </c>
      <c r="G300" s="54"/>
      <c r="H300" s="54"/>
      <c r="I300" s="54">
        <v>57600</v>
      </c>
      <c r="J300" s="54">
        <v>0</v>
      </c>
      <c r="K300" s="54"/>
      <c r="L300" s="54"/>
      <c r="M300" s="54"/>
      <c r="N300" s="54"/>
      <c r="O300" s="54" t="s">
        <v>4389</v>
      </c>
    </row>
    <row r="301" spans="1:15" ht="30" x14ac:dyDescent="0.2">
      <c r="A301" s="53" t="s">
        <v>12</v>
      </c>
      <c r="B301" s="53" t="s">
        <v>15</v>
      </c>
      <c r="C301" s="54" t="s">
        <v>4395</v>
      </c>
      <c r="D301" s="55" t="s">
        <v>4396</v>
      </c>
      <c r="E301" s="54" t="s">
        <v>1550</v>
      </c>
      <c r="F301" s="54" t="s">
        <v>3693</v>
      </c>
      <c r="G301" s="54"/>
      <c r="H301" s="54"/>
      <c r="I301" s="54">
        <v>46800</v>
      </c>
      <c r="J301" s="54">
        <v>0</v>
      </c>
      <c r="K301" s="54"/>
      <c r="L301" s="54"/>
      <c r="M301" s="54"/>
      <c r="N301" s="54"/>
      <c r="O301" s="54" t="s">
        <v>4389</v>
      </c>
    </row>
    <row r="302" spans="1:15" ht="45" x14ac:dyDescent="0.2">
      <c r="A302" s="53" t="s">
        <v>12</v>
      </c>
      <c r="B302" s="53" t="s">
        <v>15</v>
      </c>
      <c r="C302" s="54" t="s">
        <v>4397</v>
      </c>
      <c r="D302" s="55" t="s">
        <v>4398</v>
      </c>
      <c r="E302" s="54"/>
      <c r="F302" s="54" t="s">
        <v>4176</v>
      </c>
      <c r="G302" s="54">
        <v>1</v>
      </c>
      <c r="H302" s="54">
        <v>1</v>
      </c>
      <c r="I302" s="54"/>
      <c r="J302" s="54">
        <v>0</v>
      </c>
      <c r="K302" s="54"/>
      <c r="L302" s="54"/>
      <c r="M302" s="54"/>
      <c r="N302" s="54"/>
      <c r="O302" s="54" t="s">
        <v>4399</v>
      </c>
    </row>
    <row r="303" spans="1:15" ht="15.75" x14ac:dyDescent="0.2">
      <c r="A303" s="53" t="s">
        <v>12</v>
      </c>
      <c r="B303" s="53" t="s">
        <v>15</v>
      </c>
      <c r="C303" s="54" t="s">
        <v>4400</v>
      </c>
      <c r="D303" s="55" t="s">
        <v>4401</v>
      </c>
      <c r="E303" s="54" t="s">
        <v>1550</v>
      </c>
      <c r="F303" s="54" t="s">
        <v>3985</v>
      </c>
      <c r="G303" s="54">
        <v>0</v>
      </c>
      <c r="H303" s="54">
        <v>0</v>
      </c>
      <c r="I303" s="54">
        <v>54000</v>
      </c>
      <c r="J303" s="54">
        <v>0</v>
      </c>
      <c r="K303" s="54"/>
      <c r="L303" s="54"/>
      <c r="M303" s="54"/>
      <c r="N303" s="54"/>
      <c r="O303" s="54" t="s">
        <v>4402</v>
      </c>
    </row>
    <row r="304" spans="1:15" ht="15.75" x14ac:dyDescent="0.2">
      <c r="A304" s="53" t="s">
        <v>12</v>
      </c>
      <c r="B304" s="53" t="s">
        <v>15</v>
      </c>
      <c r="C304" s="54" t="s">
        <v>4403</v>
      </c>
      <c r="D304" s="55" t="s">
        <v>4404</v>
      </c>
      <c r="E304" s="54" t="s">
        <v>1550</v>
      </c>
      <c r="F304" s="54" t="s">
        <v>4197</v>
      </c>
      <c r="G304" s="54">
        <v>5</v>
      </c>
      <c r="H304" s="54">
        <v>5</v>
      </c>
      <c r="I304" s="54">
        <v>136800</v>
      </c>
      <c r="J304" s="54">
        <v>0</v>
      </c>
      <c r="K304" s="54"/>
      <c r="L304" s="54"/>
      <c r="M304" s="54"/>
      <c r="N304" s="54"/>
      <c r="O304" s="54" t="s">
        <v>4389</v>
      </c>
    </row>
    <row r="305" spans="1:15" ht="30" x14ac:dyDescent="0.2">
      <c r="A305" s="53" t="s">
        <v>12</v>
      </c>
      <c r="B305" s="53" t="s">
        <v>13</v>
      </c>
      <c r="C305" s="54" t="s">
        <v>4405</v>
      </c>
      <c r="D305" s="55" t="s">
        <v>4406</v>
      </c>
      <c r="E305" s="54" t="s">
        <v>1550</v>
      </c>
      <c r="F305" s="54" t="s">
        <v>4407</v>
      </c>
      <c r="G305" s="54">
        <v>0</v>
      </c>
      <c r="H305" s="54"/>
      <c r="I305" s="54">
        <v>25200</v>
      </c>
      <c r="J305" s="54">
        <v>1800</v>
      </c>
      <c r="K305" s="54"/>
      <c r="L305" s="54"/>
      <c r="M305" s="54"/>
      <c r="N305" s="54"/>
      <c r="O305" s="54" t="s">
        <v>1544</v>
      </c>
    </row>
    <row r="306" spans="1:15" ht="15.75" x14ac:dyDescent="0.2">
      <c r="A306" s="53" t="s">
        <v>12</v>
      </c>
      <c r="B306" s="53" t="s">
        <v>15</v>
      </c>
      <c r="C306" s="54" t="s">
        <v>4408</v>
      </c>
      <c r="D306" s="55" t="s">
        <v>4409</v>
      </c>
      <c r="E306" s="54"/>
      <c r="F306" s="54"/>
      <c r="G306" s="54">
        <v>13</v>
      </c>
      <c r="H306" s="54"/>
      <c r="I306" s="54">
        <v>104400</v>
      </c>
      <c r="J306" s="54">
        <v>0</v>
      </c>
      <c r="K306" s="54"/>
      <c r="L306" s="54"/>
      <c r="M306" s="54"/>
      <c r="N306" s="54"/>
      <c r="O306" s="54" t="s">
        <v>4368</v>
      </c>
    </row>
    <row r="307" spans="1:15" ht="75" x14ac:dyDescent="0.2">
      <c r="A307" s="53" t="s">
        <v>12</v>
      </c>
      <c r="B307" s="53" t="s">
        <v>15</v>
      </c>
      <c r="C307" s="54" t="s">
        <v>4410</v>
      </c>
      <c r="D307" s="55" t="s">
        <v>4411</v>
      </c>
      <c r="E307" s="54"/>
      <c r="F307" s="54" t="s">
        <v>3582</v>
      </c>
      <c r="G307" s="54"/>
      <c r="H307" s="54"/>
      <c r="I307" s="54">
        <v>0</v>
      </c>
      <c r="J307" s="54">
        <v>0</v>
      </c>
      <c r="K307" s="54"/>
      <c r="L307" s="54"/>
      <c r="M307" s="54"/>
      <c r="N307" s="54"/>
      <c r="O307" s="54"/>
    </row>
    <row r="308" spans="1:15" ht="90" x14ac:dyDescent="0.2">
      <c r="A308" s="53" t="s">
        <v>12</v>
      </c>
      <c r="B308" s="53" t="s">
        <v>15</v>
      </c>
      <c r="C308" s="54" t="s">
        <v>4412</v>
      </c>
      <c r="D308" s="55" t="s">
        <v>4413</v>
      </c>
      <c r="E308" s="54" t="s">
        <v>899</v>
      </c>
      <c r="F308" s="54" t="s">
        <v>3358</v>
      </c>
      <c r="G308" s="54">
        <v>8</v>
      </c>
      <c r="H308" s="54">
        <v>8</v>
      </c>
      <c r="I308" s="54"/>
      <c r="J308" s="54">
        <v>0</v>
      </c>
      <c r="K308" s="54"/>
      <c r="L308" s="54"/>
      <c r="M308" s="54">
        <v>1</v>
      </c>
      <c r="N308" s="54"/>
      <c r="O308" s="54" t="s">
        <v>4414</v>
      </c>
    </row>
    <row r="309" spans="1:15" ht="15.75" x14ac:dyDescent="0.2">
      <c r="A309" s="53" t="s">
        <v>12</v>
      </c>
      <c r="B309" s="53" t="s">
        <v>15</v>
      </c>
      <c r="C309" s="54" t="s">
        <v>4415</v>
      </c>
      <c r="D309" s="55" t="s">
        <v>4416</v>
      </c>
      <c r="E309" s="54" t="s">
        <v>1550</v>
      </c>
      <c r="F309" s="54" t="s">
        <v>3812</v>
      </c>
      <c r="G309" s="54"/>
      <c r="H309" s="54"/>
      <c r="I309" s="54">
        <v>57600</v>
      </c>
      <c r="J309" s="54">
        <v>0</v>
      </c>
      <c r="K309" s="54"/>
      <c r="L309" s="54"/>
      <c r="M309" s="54"/>
      <c r="N309" s="54"/>
      <c r="O309" s="54" t="s">
        <v>4389</v>
      </c>
    </row>
    <row r="310" spans="1:15" ht="30" x14ac:dyDescent="0.2">
      <c r="A310" s="53" t="s">
        <v>12</v>
      </c>
      <c r="B310" s="53" t="s">
        <v>15</v>
      </c>
      <c r="C310" s="54" t="s">
        <v>4417</v>
      </c>
      <c r="D310" s="55" t="s">
        <v>4418</v>
      </c>
      <c r="E310" s="54"/>
      <c r="F310" s="54" t="s">
        <v>3693</v>
      </c>
      <c r="G310" s="54"/>
      <c r="H310" s="54"/>
      <c r="I310" s="54">
        <v>0</v>
      </c>
      <c r="J310" s="54">
        <v>0</v>
      </c>
      <c r="K310" s="54"/>
      <c r="L310" s="54"/>
      <c r="M310" s="54"/>
      <c r="N310" s="54"/>
      <c r="O310" s="54"/>
    </row>
    <row r="311" spans="1:15" ht="15.75" x14ac:dyDescent="0.2">
      <c r="A311" s="53" t="s">
        <v>12</v>
      </c>
      <c r="B311" s="53" t="s">
        <v>15</v>
      </c>
      <c r="C311" s="54" t="s">
        <v>4419</v>
      </c>
      <c r="D311" s="55" t="s">
        <v>4420</v>
      </c>
      <c r="E311" s="54"/>
      <c r="F311" s="54" t="s">
        <v>3693</v>
      </c>
      <c r="G311" s="54"/>
      <c r="H311" s="54"/>
      <c r="I311" s="54">
        <v>0</v>
      </c>
      <c r="J311" s="54">
        <v>0</v>
      </c>
      <c r="K311" s="54"/>
      <c r="L311" s="54"/>
      <c r="M311" s="54"/>
      <c r="N311" s="54"/>
      <c r="O311" s="54"/>
    </row>
    <row r="312" spans="1:15" ht="15.75" x14ac:dyDescent="0.2">
      <c r="A312" s="53" t="s">
        <v>12</v>
      </c>
      <c r="B312" s="53" t="s">
        <v>15</v>
      </c>
      <c r="C312" s="54" t="s">
        <v>4421</v>
      </c>
      <c r="D312" s="55" t="s">
        <v>4422</v>
      </c>
      <c r="E312" s="54"/>
      <c r="F312" s="54" t="s">
        <v>3693</v>
      </c>
      <c r="G312" s="54"/>
      <c r="H312" s="54"/>
      <c r="I312" s="54">
        <v>122400</v>
      </c>
      <c r="J312" s="54">
        <v>0</v>
      </c>
      <c r="K312" s="54"/>
      <c r="L312" s="54"/>
      <c r="M312" s="54"/>
      <c r="N312" s="54"/>
      <c r="O312" s="54" t="s">
        <v>4389</v>
      </c>
    </row>
    <row r="313" spans="1:15" ht="15.75" x14ac:dyDescent="0.2">
      <c r="A313" s="53" t="s">
        <v>12</v>
      </c>
      <c r="B313" s="53" t="s">
        <v>15</v>
      </c>
      <c r="C313" s="54" t="s">
        <v>4423</v>
      </c>
      <c r="D313" s="55" t="s">
        <v>4424</v>
      </c>
      <c r="E313" s="54" t="s">
        <v>1399</v>
      </c>
      <c r="F313" s="54" t="s">
        <v>1816</v>
      </c>
      <c r="G313" s="54">
        <v>5</v>
      </c>
      <c r="H313" s="54">
        <v>5</v>
      </c>
      <c r="I313" s="54">
        <v>32400</v>
      </c>
      <c r="J313" s="54">
        <v>28800</v>
      </c>
      <c r="K313" s="54"/>
      <c r="L313" s="54"/>
      <c r="M313" s="54"/>
      <c r="N313" s="54"/>
      <c r="O313" s="54" t="s">
        <v>983</v>
      </c>
    </row>
    <row r="314" spans="1:15" ht="15.75" x14ac:dyDescent="0.2">
      <c r="A314" s="53" t="s">
        <v>12</v>
      </c>
      <c r="B314" s="53" t="s">
        <v>15</v>
      </c>
      <c r="C314" s="54" t="s">
        <v>4425</v>
      </c>
      <c r="D314" s="55" t="s">
        <v>4426</v>
      </c>
      <c r="E314" s="54" t="s">
        <v>2026</v>
      </c>
      <c r="F314" s="54" t="s">
        <v>2866</v>
      </c>
      <c r="G314" s="54"/>
      <c r="H314" s="54"/>
      <c r="I314" s="54">
        <v>28800</v>
      </c>
      <c r="J314" s="54">
        <v>28800</v>
      </c>
      <c r="K314" s="54"/>
      <c r="L314" s="54"/>
      <c r="M314" s="54"/>
      <c r="N314" s="54"/>
      <c r="O314" s="54" t="s">
        <v>4389</v>
      </c>
    </row>
    <row r="315" spans="1:15" ht="15.75" x14ac:dyDescent="0.2">
      <c r="A315" s="53" t="s">
        <v>12</v>
      </c>
      <c r="B315" s="53" t="s">
        <v>15</v>
      </c>
      <c r="C315" s="54" t="s">
        <v>4427</v>
      </c>
      <c r="D315" s="55" t="s">
        <v>4428</v>
      </c>
      <c r="E315" s="54"/>
      <c r="F315" s="54" t="s">
        <v>3693</v>
      </c>
      <c r="G315" s="54"/>
      <c r="H315" s="54"/>
      <c r="I315" s="54">
        <v>28800</v>
      </c>
      <c r="J315" s="54">
        <v>0</v>
      </c>
      <c r="K315" s="54"/>
      <c r="L315" s="54"/>
      <c r="M315" s="54"/>
      <c r="N315" s="54"/>
      <c r="O315" s="54" t="s">
        <v>4389</v>
      </c>
    </row>
    <row r="316" spans="1:15" ht="15.75" x14ac:dyDescent="0.2">
      <c r="A316" s="53" t="s">
        <v>12</v>
      </c>
      <c r="B316" s="53" t="s">
        <v>15</v>
      </c>
      <c r="C316" s="54" t="s">
        <v>4429</v>
      </c>
      <c r="D316" s="55" t="s">
        <v>4430</v>
      </c>
      <c r="E316" s="54"/>
      <c r="F316" s="54" t="s">
        <v>4294</v>
      </c>
      <c r="G316" s="54">
        <v>13</v>
      </c>
      <c r="H316" s="54">
        <v>12</v>
      </c>
      <c r="I316" s="54">
        <v>28800</v>
      </c>
      <c r="J316" s="54">
        <v>0</v>
      </c>
      <c r="K316" s="54"/>
      <c r="L316" s="54"/>
      <c r="M316" s="54"/>
      <c r="N316" s="54"/>
      <c r="O316" s="54" t="s">
        <v>4389</v>
      </c>
    </row>
    <row r="317" spans="1:15" ht="15.75" x14ac:dyDescent="0.2">
      <c r="A317" s="53" t="s">
        <v>12</v>
      </c>
      <c r="B317" s="53" t="s">
        <v>15</v>
      </c>
      <c r="C317" s="54" t="s">
        <v>4431</v>
      </c>
      <c r="D317" s="55" t="s">
        <v>4432</v>
      </c>
      <c r="E317" s="54"/>
      <c r="F317" s="54"/>
      <c r="G317" s="54"/>
      <c r="H317" s="54"/>
      <c r="I317" s="54"/>
      <c r="J317" s="54"/>
      <c r="K317" s="54"/>
      <c r="L317" s="54"/>
      <c r="M317" s="54"/>
      <c r="N317" s="54"/>
      <c r="O317" s="54" t="s">
        <v>4389</v>
      </c>
    </row>
    <row r="318" spans="1:15" ht="15.75" x14ac:dyDescent="0.2">
      <c r="A318" s="53" t="s">
        <v>12</v>
      </c>
      <c r="B318" s="53" t="s">
        <v>15</v>
      </c>
      <c r="C318" s="54" t="s">
        <v>4433</v>
      </c>
      <c r="D318" s="55" t="s">
        <v>4434</v>
      </c>
      <c r="E318" s="54"/>
      <c r="F318" s="54" t="s">
        <v>4320</v>
      </c>
      <c r="G318" s="54">
        <v>0</v>
      </c>
      <c r="H318" s="54">
        <v>0</v>
      </c>
      <c r="I318" s="54">
        <v>10800</v>
      </c>
      <c r="J318" s="54">
        <v>3600</v>
      </c>
      <c r="K318" s="54"/>
      <c r="L318" s="54"/>
      <c r="M318" s="54"/>
      <c r="N318" s="54"/>
      <c r="O318" s="54"/>
    </row>
    <row r="319" spans="1:15" ht="15.75" x14ac:dyDescent="0.2">
      <c r="A319" s="53" t="s">
        <v>12</v>
      </c>
      <c r="B319" s="53" t="s">
        <v>17</v>
      </c>
      <c r="C319" s="54" t="s">
        <v>4435</v>
      </c>
      <c r="D319" s="55" t="s">
        <v>4436</v>
      </c>
      <c r="E319" s="54"/>
      <c r="F319" s="54"/>
      <c r="G319" s="54">
        <v>13</v>
      </c>
      <c r="H319" s="54"/>
      <c r="I319" s="54"/>
      <c r="J319" s="54"/>
      <c r="K319" s="54"/>
      <c r="L319" s="54"/>
      <c r="M319" s="54"/>
      <c r="N319" s="54"/>
      <c r="O319" s="54" t="s">
        <v>1591</v>
      </c>
    </row>
    <row r="320" spans="1:15" ht="30" x14ac:dyDescent="0.2">
      <c r="A320" s="53" t="s">
        <v>12</v>
      </c>
      <c r="B320" s="53" t="s">
        <v>15</v>
      </c>
      <c r="C320" s="54" t="s">
        <v>4437</v>
      </c>
      <c r="D320" s="55" t="s">
        <v>4438</v>
      </c>
      <c r="E320" s="54" t="s">
        <v>1550</v>
      </c>
      <c r="F320" s="54" t="s">
        <v>3985</v>
      </c>
      <c r="G320" s="54">
        <v>2</v>
      </c>
      <c r="H320" s="54">
        <v>0</v>
      </c>
      <c r="I320" s="54">
        <v>7320</v>
      </c>
      <c r="J320" s="54">
        <v>14400</v>
      </c>
      <c r="K320" s="54"/>
      <c r="L320" s="54"/>
      <c r="M320" s="54"/>
      <c r="N320" s="54"/>
      <c r="O320" s="54" t="s">
        <v>3819</v>
      </c>
    </row>
    <row r="321" spans="1:15" ht="30" x14ac:dyDescent="0.2">
      <c r="A321" s="53" t="s">
        <v>12</v>
      </c>
      <c r="B321" s="53" t="s">
        <v>15</v>
      </c>
      <c r="C321" s="54" t="s">
        <v>4439</v>
      </c>
      <c r="D321" s="55" t="s">
        <v>4440</v>
      </c>
      <c r="E321" s="54"/>
      <c r="F321" s="54" t="s">
        <v>4297</v>
      </c>
      <c r="G321" s="54">
        <v>1</v>
      </c>
      <c r="H321" s="54">
        <v>1</v>
      </c>
      <c r="I321" s="54"/>
      <c r="J321" s="54"/>
      <c r="K321" s="54"/>
      <c r="L321" s="54"/>
      <c r="M321" s="54"/>
      <c r="N321" s="54"/>
      <c r="O321" s="54"/>
    </row>
    <row r="322" spans="1:15" ht="15.75" x14ac:dyDescent="0.2">
      <c r="A322" s="53" t="s">
        <v>12</v>
      </c>
      <c r="B322" s="53" t="s">
        <v>15</v>
      </c>
      <c r="C322" s="54" t="s">
        <v>4441</v>
      </c>
      <c r="D322" s="55" t="s">
        <v>4442</v>
      </c>
      <c r="E322" s="54"/>
      <c r="F322" s="54"/>
      <c r="G322" s="54"/>
      <c r="H322" s="54"/>
      <c r="I322" s="54"/>
      <c r="J322" s="54">
        <v>0</v>
      </c>
      <c r="K322" s="54"/>
      <c r="L322" s="54"/>
      <c r="M322" s="54"/>
      <c r="N322" s="54"/>
      <c r="O322" s="54"/>
    </row>
    <row r="323" spans="1:15" ht="15.75" x14ac:dyDescent="0.2">
      <c r="A323" s="53" t="s">
        <v>12</v>
      </c>
      <c r="B323" s="53" t="s">
        <v>15</v>
      </c>
      <c r="C323" s="54" t="s">
        <v>4443</v>
      </c>
      <c r="D323" s="55" t="s">
        <v>4444</v>
      </c>
      <c r="E323" s="54"/>
      <c r="F323" s="54"/>
      <c r="G323" s="54"/>
      <c r="H323" s="54"/>
      <c r="I323" s="54"/>
      <c r="J323" s="54">
        <v>0</v>
      </c>
      <c r="K323" s="54"/>
      <c r="L323" s="54"/>
      <c r="M323" s="54"/>
      <c r="N323" s="54"/>
      <c r="O323" s="54"/>
    </row>
    <row r="324" spans="1:15" ht="45" x14ac:dyDescent="0.2">
      <c r="A324" s="53" t="s">
        <v>12</v>
      </c>
      <c r="B324" s="53" t="s">
        <v>13</v>
      </c>
      <c r="C324" s="54" t="s">
        <v>4445</v>
      </c>
      <c r="D324" s="55" t="s">
        <v>4446</v>
      </c>
      <c r="E324" s="54"/>
      <c r="F324" s="54"/>
      <c r="G324" s="54"/>
      <c r="H324" s="54"/>
      <c r="I324" s="54">
        <v>36000</v>
      </c>
      <c r="J324" s="54">
        <v>36000</v>
      </c>
      <c r="K324" s="54"/>
      <c r="L324" s="54"/>
      <c r="M324" s="54"/>
      <c r="N324" s="54"/>
      <c r="O324" s="54"/>
    </row>
    <row r="325" spans="1:15" ht="90" x14ac:dyDescent="0.2">
      <c r="A325" s="53" t="s">
        <v>12</v>
      </c>
      <c r="B325" s="53" t="s">
        <v>15</v>
      </c>
      <c r="C325" s="54" t="s">
        <v>4447</v>
      </c>
      <c r="D325" s="55" t="s">
        <v>4448</v>
      </c>
      <c r="E325" s="54" t="s">
        <v>899</v>
      </c>
      <c r="F325" s="54" t="s">
        <v>3358</v>
      </c>
      <c r="G325" s="54">
        <v>3</v>
      </c>
      <c r="H325" s="54">
        <v>3</v>
      </c>
      <c r="I325" s="54"/>
      <c r="J325" s="54">
        <v>7200</v>
      </c>
      <c r="K325" s="54"/>
      <c r="L325" s="54"/>
      <c r="M325" s="54">
        <v>1</v>
      </c>
      <c r="N325" s="54"/>
      <c r="O325" s="54" t="s">
        <v>4449</v>
      </c>
    </row>
    <row r="326" spans="1:15" ht="15.75" x14ac:dyDescent="0.2">
      <c r="A326" s="53" t="s">
        <v>12</v>
      </c>
      <c r="B326" s="53" t="s">
        <v>15</v>
      </c>
      <c r="C326" s="54" t="s">
        <v>4450</v>
      </c>
      <c r="D326" s="55" t="s">
        <v>4451</v>
      </c>
      <c r="E326" s="54" t="s">
        <v>4452</v>
      </c>
      <c r="F326" s="54" t="s">
        <v>3693</v>
      </c>
      <c r="G326" s="54">
        <v>13</v>
      </c>
      <c r="H326" s="54">
        <v>13</v>
      </c>
      <c r="I326" s="54">
        <v>50400</v>
      </c>
      <c r="J326" s="54">
        <v>43200</v>
      </c>
      <c r="K326" s="54"/>
      <c r="L326" s="54"/>
      <c r="M326" s="54"/>
      <c r="N326" s="54"/>
      <c r="O326" s="54" t="s">
        <v>3323</v>
      </c>
    </row>
    <row r="327" spans="1:15" ht="15.75" x14ac:dyDescent="0.2">
      <c r="A327" s="53" t="s">
        <v>12</v>
      </c>
      <c r="B327" s="53" t="s">
        <v>15</v>
      </c>
      <c r="C327" s="54" t="s">
        <v>4453</v>
      </c>
      <c r="D327" s="55" t="s">
        <v>4454</v>
      </c>
      <c r="E327" s="54" t="s">
        <v>4455</v>
      </c>
      <c r="F327" s="54" t="s">
        <v>3693</v>
      </c>
      <c r="G327" s="54">
        <v>8</v>
      </c>
      <c r="H327" s="54">
        <v>8</v>
      </c>
      <c r="I327" s="54">
        <v>7200</v>
      </c>
      <c r="J327" s="54">
        <v>7200</v>
      </c>
      <c r="K327" s="54"/>
      <c r="L327" s="54"/>
      <c r="M327" s="54"/>
      <c r="N327" s="54"/>
      <c r="O327" s="54" t="s">
        <v>3323</v>
      </c>
    </row>
    <row r="328" spans="1:15" ht="15.75" x14ac:dyDescent="0.2">
      <c r="A328" s="53" t="s">
        <v>12</v>
      </c>
      <c r="B328" s="53" t="s">
        <v>15</v>
      </c>
      <c r="C328" s="54" t="s">
        <v>4456</v>
      </c>
      <c r="D328" s="55" t="s">
        <v>4457</v>
      </c>
      <c r="E328" s="54" t="s">
        <v>3935</v>
      </c>
      <c r="F328" s="54" t="s">
        <v>3693</v>
      </c>
      <c r="G328" s="54">
        <v>1</v>
      </c>
      <c r="H328" s="54">
        <v>1</v>
      </c>
      <c r="I328" s="54">
        <v>82800</v>
      </c>
      <c r="J328" s="54">
        <v>72000</v>
      </c>
      <c r="K328" s="54"/>
      <c r="L328" s="54"/>
      <c r="M328" s="54"/>
      <c r="N328" s="54"/>
      <c r="O328" s="54" t="s">
        <v>3323</v>
      </c>
    </row>
    <row r="329" spans="1:15" ht="15.75" x14ac:dyDescent="0.2">
      <c r="A329" s="53" t="s">
        <v>12</v>
      </c>
      <c r="B329" s="53" t="s">
        <v>15</v>
      </c>
      <c r="C329" s="54" t="s">
        <v>4458</v>
      </c>
      <c r="D329" s="55" t="s">
        <v>4459</v>
      </c>
      <c r="E329" s="54" t="s">
        <v>3952</v>
      </c>
      <c r="F329" s="54" t="s">
        <v>3693</v>
      </c>
      <c r="G329" s="54">
        <v>5</v>
      </c>
      <c r="H329" s="54">
        <v>5</v>
      </c>
      <c r="I329" s="54">
        <v>46800</v>
      </c>
      <c r="J329" s="54">
        <v>46800</v>
      </c>
      <c r="K329" s="54"/>
      <c r="L329" s="54"/>
      <c r="M329" s="54"/>
      <c r="N329" s="54"/>
      <c r="O329" s="54" t="s">
        <v>3323</v>
      </c>
    </row>
    <row r="330" spans="1:15" ht="15.75" x14ac:dyDescent="0.2">
      <c r="A330" s="53" t="s">
        <v>12</v>
      </c>
      <c r="B330" s="53" t="s">
        <v>15</v>
      </c>
      <c r="C330" s="54" t="s">
        <v>4460</v>
      </c>
      <c r="D330" s="55" t="s">
        <v>4461</v>
      </c>
      <c r="E330" s="54" t="s">
        <v>3952</v>
      </c>
      <c r="F330" s="54" t="s">
        <v>3693</v>
      </c>
      <c r="G330" s="54">
        <v>8</v>
      </c>
      <c r="H330" s="54">
        <v>8</v>
      </c>
      <c r="I330" s="54">
        <v>126000</v>
      </c>
      <c r="J330" s="54">
        <v>72000</v>
      </c>
      <c r="K330" s="54"/>
      <c r="L330" s="54"/>
      <c r="M330" s="54"/>
      <c r="N330" s="54"/>
      <c r="O330" s="54" t="s">
        <v>3323</v>
      </c>
    </row>
    <row r="331" spans="1:15" ht="15.75" x14ac:dyDescent="0.2">
      <c r="A331" s="53" t="s">
        <v>12</v>
      </c>
      <c r="B331" s="53" t="s">
        <v>15</v>
      </c>
      <c r="C331" s="54" t="s">
        <v>4462</v>
      </c>
      <c r="D331" s="55" t="s">
        <v>4463</v>
      </c>
      <c r="E331" s="54" t="s">
        <v>4196</v>
      </c>
      <c r="F331" s="54" t="s">
        <v>3693</v>
      </c>
      <c r="G331" s="54">
        <v>1</v>
      </c>
      <c r="H331" s="54">
        <v>1</v>
      </c>
      <c r="I331" s="54">
        <v>144000</v>
      </c>
      <c r="J331" s="54">
        <v>115200</v>
      </c>
      <c r="K331" s="54"/>
      <c r="L331" s="54"/>
      <c r="M331" s="54"/>
      <c r="N331" s="54"/>
      <c r="O331" s="54" t="s">
        <v>3323</v>
      </c>
    </row>
    <row r="332" spans="1:15" ht="30" x14ac:dyDescent="0.2">
      <c r="A332" s="53" t="s">
        <v>12</v>
      </c>
      <c r="B332" s="53" t="s">
        <v>15</v>
      </c>
      <c r="C332" s="54" t="s">
        <v>4464</v>
      </c>
      <c r="D332" s="55" t="s">
        <v>4465</v>
      </c>
      <c r="E332" s="54"/>
      <c r="F332" s="54" t="s">
        <v>4291</v>
      </c>
      <c r="G332" s="54"/>
      <c r="H332" s="54"/>
      <c r="I332" s="54">
        <v>0</v>
      </c>
      <c r="J332" s="54">
        <v>0</v>
      </c>
      <c r="K332" s="54"/>
      <c r="L332" s="54"/>
      <c r="M332" s="54"/>
      <c r="N332" s="54"/>
      <c r="O332" s="54" t="s">
        <v>4466</v>
      </c>
    </row>
    <row r="333" spans="1:15" ht="30" x14ac:dyDescent="0.2">
      <c r="A333" s="53" t="s">
        <v>12</v>
      </c>
      <c r="B333" s="53" t="s">
        <v>15</v>
      </c>
      <c r="C333" s="54" t="s">
        <v>4467</v>
      </c>
      <c r="D333" s="55" t="s">
        <v>4468</v>
      </c>
      <c r="E333" s="54"/>
      <c r="F333" s="54" t="s">
        <v>4282</v>
      </c>
      <c r="G333" s="54"/>
      <c r="H333" s="54"/>
      <c r="I333" s="54"/>
      <c r="J333" s="54">
        <v>0</v>
      </c>
      <c r="K333" s="54"/>
      <c r="L333" s="54"/>
      <c r="M333" s="54"/>
      <c r="N333" s="54"/>
      <c r="O333" s="54" t="s">
        <v>4384</v>
      </c>
    </row>
    <row r="334" spans="1:15" ht="30" x14ac:dyDescent="0.2">
      <c r="A334" s="53" t="s">
        <v>12</v>
      </c>
      <c r="B334" s="53" t="s">
        <v>15</v>
      </c>
      <c r="C334" s="54" t="s">
        <v>4469</v>
      </c>
      <c r="D334" s="55" t="s">
        <v>4470</v>
      </c>
      <c r="E334" s="54"/>
      <c r="F334" s="54" t="s">
        <v>4282</v>
      </c>
      <c r="G334" s="54"/>
      <c r="H334" s="54"/>
      <c r="I334" s="54"/>
      <c r="J334" s="54"/>
      <c r="K334" s="54"/>
      <c r="L334" s="54"/>
      <c r="M334" s="54"/>
      <c r="N334" s="54"/>
      <c r="O334" s="54" t="s">
        <v>4384</v>
      </c>
    </row>
    <row r="335" spans="1:15" ht="90" x14ac:dyDescent="0.2">
      <c r="A335" s="53" t="s">
        <v>12</v>
      </c>
      <c r="B335" s="53" t="s">
        <v>15</v>
      </c>
      <c r="C335" s="54" t="s">
        <v>4471</v>
      </c>
      <c r="D335" s="55" t="s">
        <v>4472</v>
      </c>
      <c r="E335" s="54" t="s">
        <v>899</v>
      </c>
      <c r="F335" s="54" t="s">
        <v>3358</v>
      </c>
      <c r="G335" s="54">
        <v>3</v>
      </c>
      <c r="H335" s="54">
        <v>3</v>
      </c>
      <c r="I335" s="54"/>
      <c r="J335" s="54">
        <v>0</v>
      </c>
      <c r="K335" s="54"/>
      <c r="L335" s="54"/>
      <c r="M335" s="54">
        <v>1</v>
      </c>
      <c r="N335" s="54"/>
      <c r="O335" s="54" t="s">
        <v>4473</v>
      </c>
    </row>
    <row r="336" spans="1:15" ht="90" x14ac:dyDescent="0.2">
      <c r="A336" s="53" t="s">
        <v>12</v>
      </c>
      <c r="B336" s="53" t="s">
        <v>16</v>
      </c>
      <c r="C336" s="54" t="s">
        <v>4474</v>
      </c>
      <c r="D336" s="55" t="s">
        <v>4475</v>
      </c>
      <c r="E336" s="54" t="s">
        <v>899</v>
      </c>
      <c r="F336" s="54" t="s">
        <v>3114</v>
      </c>
      <c r="G336" s="54">
        <v>5</v>
      </c>
      <c r="H336" s="54"/>
      <c r="I336" s="54"/>
      <c r="J336" s="54">
        <v>0</v>
      </c>
      <c r="K336" s="54"/>
      <c r="L336" s="54"/>
      <c r="M336" s="54">
        <v>1</v>
      </c>
      <c r="N336" s="54"/>
      <c r="O336" s="54" t="s">
        <v>4476</v>
      </c>
    </row>
    <row r="337" spans="1:15" ht="105" x14ac:dyDescent="0.2">
      <c r="A337" s="53" t="s">
        <v>12</v>
      </c>
      <c r="B337" s="53" t="s">
        <v>16</v>
      </c>
      <c r="C337" s="54" t="s">
        <v>4477</v>
      </c>
      <c r="D337" s="55" t="s">
        <v>4478</v>
      </c>
      <c r="E337" s="54" t="s">
        <v>899</v>
      </c>
      <c r="F337" s="54" t="s">
        <v>3260</v>
      </c>
      <c r="G337" s="54">
        <v>5</v>
      </c>
      <c r="H337" s="54"/>
      <c r="I337" s="54"/>
      <c r="J337" s="54">
        <v>0</v>
      </c>
      <c r="K337" s="54"/>
      <c r="L337" s="54"/>
      <c r="M337" s="54">
        <v>1</v>
      </c>
      <c r="N337" s="54"/>
      <c r="O337" s="54" t="s">
        <v>4479</v>
      </c>
    </row>
    <row r="338" spans="1:15" ht="60" x14ac:dyDescent="0.2">
      <c r="A338" s="53" t="s">
        <v>12</v>
      </c>
      <c r="B338" s="53" t="s">
        <v>16</v>
      </c>
      <c r="C338" s="54" t="s">
        <v>4480</v>
      </c>
      <c r="D338" s="55" t="s">
        <v>4481</v>
      </c>
      <c r="E338" s="54" t="s">
        <v>899</v>
      </c>
      <c r="F338" s="54" t="s">
        <v>2536</v>
      </c>
      <c r="G338" s="54">
        <v>5</v>
      </c>
      <c r="H338" s="54"/>
      <c r="I338" s="54"/>
      <c r="J338" s="54">
        <v>0</v>
      </c>
      <c r="K338" s="54"/>
      <c r="L338" s="54"/>
      <c r="M338" s="54">
        <v>1</v>
      </c>
      <c r="N338" s="54"/>
      <c r="O338" s="54" t="s">
        <v>1449</v>
      </c>
    </row>
    <row r="339" spans="1:15" ht="60" x14ac:dyDescent="0.2">
      <c r="A339" s="53" t="s">
        <v>12</v>
      </c>
      <c r="B339" s="53" t="s">
        <v>15</v>
      </c>
      <c r="C339" s="54" t="s">
        <v>4482</v>
      </c>
      <c r="D339" s="55" t="s">
        <v>4483</v>
      </c>
      <c r="E339" s="54" t="s">
        <v>899</v>
      </c>
      <c r="F339" s="54" t="s">
        <v>2714</v>
      </c>
      <c r="G339" s="54"/>
      <c r="H339" s="54"/>
      <c r="I339" s="54"/>
      <c r="J339" s="54">
        <v>28800</v>
      </c>
      <c r="K339" s="54"/>
      <c r="L339" s="54"/>
      <c r="M339" s="54">
        <v>2</v>
      </c>
      <c r="N339" s="54"/>
      <c r="O339" s="54" t="s">
        <v>4484</v>
      </c>
    </row>
    <row r="340" spans="1:15" ht="60" x14ac:dyDescent="0.2">
      <c r="A340" s="53" t="s">
        <v>12</v>
      </c>
      <c r="B340" s="53" t="s">
        <v>16</v>
      </c>
      <c r="C340" s="54" t="s">
        <v>4485</v>
      </c>
      <c r="D340" s="55" t="s">
        <v>4486</v>
      </c>
      <c r="E340" s="54" t="s">
        <v>899</v>
      </c>
      <c r="F340" s="54" t="s">
        <v>2536</v>
      </c>
      <c r="G340" s="54"/>
      <c r="H340" s="54"/>
      <c r="I340" s="54"/>
      <c r="J340" s="54">
        <v>0</v>
      </c>
      <c r="K340" s="54"/>
      <c r="L340" s="54"/>
      <c r="M340" s="54">
        <v>2</v>
      </c>
      <c r="N340" s="54"/>
      <c r="O340" s="54" t="s">
        <v>4487</v>
      </c>
    </row>
    <row r="341" spans="1:15" ht="45" x14ac:dyDescent="0.2">
      <c r="A341" s="53" t="s">
        <v>12</v>
      </c>
      <c r="B341" s="53" t="s">
        <v>13</v>
      </c>
      <c r="C341" s="54" t="s">
        <v>4488</v>
      </c>
      <c r="D341" s="55" t="s">
        <v>4489</v>
      </c>
      <c r="E341" s="54"/>
      <c r="F341" s="54"/>
      <c r="G341" s="54"/>
      <c r="H341" s="54"/>
      <c r="I341" s="54"/>
      <c r="J341" s="54"/>
      <c r="K341" s="54"/>
      <c r="L341" s="54"/>
      <c r="M341" s="54">
        <v>1</v>
      </c>
      <c r="N341" s="54"/>
      <c r="O341" s="54" t="s">
        <v>4490</v>
      </c>
    </row>
    <row r="342" spans="1:15" ht="60" x14ac:dyDescent="0.2">
      <c r="A342" s="53" t="s">
        <v>12</v>
      </c>
      <c r="B342" s="53" t="s">
        <v>16</v>
      </c>
      <c r="C342" s="54" t="s">
        <v>4491</v>
      </c>
      <c r="D342" s="55" t="s">
        <v>4492</v>
      </c>
      <c r="E342" s="54" t="s">
        <v>899</v>
      </c>
      <c r="F342" s="54" t="s">
        <v>2536</v>
      </c>
      <c r="G342" s="54">
        <v>2</v>
      </c>
      <c r="H342" s="54"/>
      <c r="I342" s="54"/>
      <c r="J342" s="54"/>
      <c r="K342" s="54"/>
      <c r="L342" s="54"/>
      <c r="M342" s="54">
        <v>1</v>
      </c>
      <c r="N342" s="54"/>
      <c r="O342" s="54" t="s">
        <v>4493</v>
      </c>
    </row>
    <row r="343" spans="1:15" ht="60" x14ac:dyDescent="0.2">
      <c r="A343" s="53" t="s">
        <v>12</v>
      </c>
      <c r="B343" s="53" t="s">
        <v>15</v>
      </c>
      <c r="C343" s="54" t="s">
        <v>4494</v>
      </c>
      <c r="D343" s="55" t="s">
        <v>4495</v>
      </c>
      <c r="E343" s="54"/>
      <c r="F343" s="54" t="s">
        <v>3249</v>
      </c>
      <c r="G343" s="54">
        <v>13</v>
      </c>
      <c r="H343" s="54">
        <v>13</v>
      </c>
      <c r="I343" s="54"/>
      <c r="J343" s="54">
        <v>0</v>
      </c>
      <c r="K343" s="54"/>
      <c r="L343" s="54"/>
      <c r="M343" s="54">
        <v>1</v>
      </c>
      <c r="N343" s="54"/>
      <c r="O343" s="54" t="s">
        <v>4496</v>
      </c>
    </row>
    <row r="344" spans="1:15" ht="45" x14ac:dyDescent="0.2">
      <c r="A344" s="53" t="s">
        <v>12</v>
      </c>
      <c r="B344" s="53" t="s">
        <v>15</v>
      </c>
      <c r="C344" s="54" t="s">
        <v>4497</v>
      </c>
      <c r="D344" s="55" t="s">
        <v>4498</v>
      </c>
      <c r="E344" s="54"/>
      <c r="F344" s="54" t="s">
        <v>3373</v>
      </c>
      <c r="G344" s="54">
        <v>8</v>
      </c>
      <c r="H344" s="54">
        <v>8</v>
      </c>
      <c r="I344" s="54"/>
      <c r="J344" s="54">
        <v>0</v>
      </c>
      <c r="K344" s="54"/>
      <c r="L344" s="54"/>
      <c r="M344" s="54">
        <v>1</v>
      </c>
      <c r="N344" s="54"/>
      <c r="O344" s="54" t="s">
        <v>4499</v>
      </c>
    </row>
    <row r="345" spans="1:15" ht="75" x14ac:dyDescent="0.2">
      <c r="A345" s="53" t="s">
        <v>12</v>
      </c>
      <c r="B345" s="53" t="s">
        <v>15</v>
      </c>
      <c r="C345" s="54" t="s">
        <v>4500</v>
      </c>
      <c r="D345" s="55" t="s">
        <v>4501</v>
      </c>
      <c r="E345" s="54"/>
      <c r="F345" s="54" t="s">
        <v>3582</v>
      </c>
      <c r="G345" s="54">
        <v>13</v>
      </c>
      <c r="H345" s="54">
        <v>13</v>
      </c>
      <c r="I345" s="54">
        <v>0</v>
      </c>
      <c r="J345" s="54">
        <v>0</v>
      </c>
      <c r="K345" s="54"/>
      <c r="L345" s="54"/>
      <c r="M345" s="54">
        <v>1</v>
      </c>
      <c r="N345" s="54"/>
      <c r="O345" s="54" t="s">
        <v>3286</v>
      </c>
    </row>
    <row r="346" spans="1:15" ht="75" x14ac:dyDescent="0.2">
      <c r="A346" s="53" t="s">
        <v>12</v>
      </c>
      <c r="B346" s="53" t="s">
        <v>15</v>
      </c>
      <c r="C346" s="54" t="s">
        <v>4502</v>
      </c>
      <c r="D346" s="55" t="s">
        <v>4503</v>
      </c>
      <c r="E346" s="54"/>
      <c r="F346" s="54" t="s">
        <v>3582</v>
      </c>
      <c r="G346" s="54">
        <v>13</v>
      </c>
      <c r="H346" s="54">
        <v>13</v>
      </c>
      <c r="I346" s="54">
        <v>28800</v>
      </c>
      <c r="J346" s="54">
        <v>21600</v>
      </c>
      <c r="K346" s="54"/>
      <c r="L346" s="54"/>
      <c r="M346" s="54">
        <v>1</v>
      </c>
      <c r="N346" s="54"/>
      <c r="O346" s="54" t="s">
        <v>4504</v>
      </c>
    </row>
    <row r="347" spans="1:15" ht="105" x14ac:dyDescent="0.2">
      <c r="A347" s="53" t="s">
        <v>12</v>
      </c>
      <c r="B347" s="53" t="s">
        <v>16</v>
      </c>
      <c r="C347" s="54" t="s">
        <v>4505</v>
      </c>
      <c r="D347" s="55" t="s">
        <v>4506</v>
      </c>
      <c r="E347" s="54" t="s">
        <v>899</v>
      </c>
      <c r="F347" s="54" t="s">
        <v>3260</v>
      </c>
      <c r="G347" s="54">
        <v>5</v>
      </c>
      <c r="H347" s="54"/>
      <c r="I347" s="54">
        <v>0</v>
      </c>
      <c r="J347" s="54">
        <v>0</v>
      </c>
      <c r="K347" s="54"/>
      <c r="L347" s="54"/>
      <c r="M347" s="54">
        <v>1</v>
      </c>
      <c r="N347" s="54"/>
      <c r="O347" s="54" t="s">
        <v>3334</v>
      </c>
    </row>
    <row r="348" spans="1:15" ht="75" x14ac:dyDescent="0.2">
      <c r="A348" s="53" t="s">
        <v>12</v>
      </c>
      <c r="B348" s="53" t="s">
        <v>15</v>
      </c>
      <c r="C348" s="54" t="s">
        <v>4507</v>
      </c>
      <c r="D348" s="55" t="s">
        <v>4508</v>
      </c>
      <c r="E348" s="54"/>
      <c r="F348" s="54" t="s">
        <v>3582</v>
      </c>
      <c r="G348" s="54">
        <v>13</v>
      </c>
      <c r="H348" s="54">
        <v>13</v>
      </c>
      <c r="I348" s="54">
        <v>0</v>
      </c>
      <c r="J348" s="54">
        <v>9000</v>
      </c>
      <c r="K348" s="54"/>
      <c r="L348" s="54"/>
      <c r="M348" s="54">
        <v>1</v>
      </c>
      <c r="N348" s="54"/>
      <c r="O348" s="54" t="s">
        <v>4509</v>
      </c>
    </row>
    <row r="349" spans="1:15" ht="105" x14ac:dyDescent="0.2">
      <c r="A349" s="53" t="s">
        <v>12</v>
      </c>
      <c r="B349" s="53" t="s">
        <v>16</v>
      </c>
      <c r="C349" s="54" t="s">
        <v>4510</v>
      </c>
      <c r="D349" s="55" t="s">
        <v>4511</v>
      </c>
      <c r="E349" s="54" t="s">
        <v>899</v>
      </c>
      <c r="F349" s="54" t="s">
        <v>3260</v>
      </c>
      <c r="G349" s="54">
        <v>3</v>
      </c>
      <c r="H349" s="54"/>
      <c r="I349" s="54">
        <v>0</v>
      </c>
      <c r="J349" s="54">
        <v>0</v>
      </c>
      <c r="K349" s="54"/>
      <c r="L349" s="54"/>
      <c r="M349" s="54">
        <v>1</v>
      </c>
      <c r="N349" s="54"/>
      <c r="O349" s="54" t="s">
        <v>4512</v>
      </c>
    </row>
    <row r="350" spans="1:15" ht="105" x14ac:dyDescent="0.2">
      <c r="A350" s="53" t="s">
        <v>12</v>
      </c>
      <c r="B350" s="53" t="s">
        <v>16</v>
      </c>
      <c r="C350" s="54" t="s">
        <v>4513</v>
      </c>
      <c r="D350" s="55" t="s">
        <v>4514</v>
      </c>
      <c r="E350" s="54" t="s">
        <v>899</v>
      </c>
      <c r="F350" s="54" t="s">
        <v>3260</v>
      </c>
      <c r="G350" s="54">
        <v>13</v>
      </c>
      <c r="H350" s="54"/>
      <c r="I350" s="54">
        <v>0</v>
      </c>
      <c r="J350" s="54">
        <v>0</v>
      </c>
      <c r="K350" s="54"/>
      <c r="L350" s="54"/>
      <c r="M350" s="54">
        <v>1</v>
      </c>
      <c r="N350" s="54"/>
      <c r="O350" s="54" t="s">
        <v>4515</v>
      </c>
    </row>
    <row r="351" spans="1:15" ht="30" x14ac:dyDescent="0.2">
      <c r="A351" s="53" t="s">
        <v>12</v>
      </c>
      <c r="B351" s="53" t="s">
        <v>15</v>
      </c>
      <c r="C351" s="54" t="s">
        <v>4516</v>
      </c>
      <c r="D351" s="55" t="s">
        <v>4517</v>
      </c>
      <c r="E351" s="54"/>
      <c r="F351" s="54"/>
      <c r="G351" s="54"/>
      <c r="H351" s="54"/>
      <c r="I351" s="54"/>
      <c r="J351" s="54">
        <v>0</v>
      </c>
      <c r="K351" s="54"/>
      <c r="L351" s="54"/>
      <c r="M351" s="54"/>
      <c r="N351" s="54"/>
      <c r="O351" s="54"/>
    </row>
    <row r="352" spans="1:15" ht="30" x14ac:dyDescent="0.2">
      <c r="A352" s="53" t="s">
        <v>12</v>
      </c>
      <c r="B352" s="53" t="s">
        <v>15</v>
      </c>
      <c r="C352" s="54" t="s">
        <v>4518</v>
      </c>
      <c r="D352" s="55" t="s">
        <v>4519</v>
      </c>
      <c r="E352" s="54"/>
      <c r="F352" s="54"/>
      <c r="G352" s="54"/>
      <c r="H352" s="54"/>
      <c r="I352" s="54"/>
      <c r="J352" s="54">
        <v>0</v>
      </c>
      <c r="K352" s="54"/>
      <c r="L352" s="54"/>
      <c r="M352" s="54"/>
      <c r="N352" s="54"/>
      <c r="O352" s="54"/>
    </row>
    <row r="353" spans="1:15" ht="90" x14ac:dyDescent="0.2">
      <c r="A353" s="53" t="s">
        <v>12</v>
      </c>
      <c r="B353" s="53" t="s">
        <v>15</v>
      </c>
      <c r="C353" s="54" t="s">
        <v>4520</v>
      </c>
      <c r="D353" s="55" t="s">
        <v>4521</v>
      </c>
      <c r="E353" s="54" t="s">
        <v>899</v>
      </c>
      <c r="F353" s="54" t="s">
        <v>3358</v>
      </c>
      <c r="G353" s="54">
        <v>1</v>
      </c>
      <c r="H353" s="54">
        <v>1</v>
      </c>
      <c r="I353" s="54">
        <v>0</v>
      </c>
      <c r="J353" s="54">
        <v>0</v>
      </c>
      <c r="K353" s="54"/>
      <c r="L353" s="54"/>
      <c r="M353" s="54"/>
      <c r="N353" s="54"/>
      <c r="O353" s="54" t="s">
        <v>4522</v>
      </c>
    </row>
    <row r="354" spans="1:15" ht="75" x14ac:dyDescent="0.2">
      <c r="A354" s="53" t="s">
        <v>12</v>
      </c>
      <c r="B354" s="53" t="s">
        <v>15</v>
      </c>
      <c r="C354" s="54" t="s">
        <v>4523</v>
      </c>
      <c r="D354" s="55" t="s">
        <v>4524</v>
      </c>
      <c r="E354" s="54"/>
      <c r="F354" s="54" t="s">
        <v>3582</v>
      </c>
      <c r="G354" s="54">
        <v>1</v>
      </c>
      <c r="H354" s="54">
        <v>1</v>
      </c>
      <c r="I354" s="54">
        <v>0</v>
      </c>
      <c r="J354" s="54">
        <v>10800</v>
      </c>
      <c r="K354" s="54"/>
      <c r="L354" s="54"/>
      <c r="M354" s="54"/>
      <c r="N354" s="54"/>
      <c r="O354" s="54" t="s">
        <v>4525</v>
      </c>
    </row>
    <row r="355" spans="1:15" ht="15.75" x14ac:dyDescent="0.2">
      <c r="A355" s="53" t="s">
        <v>12</v>
      </c>
      <c r="B355" s="53" t="s">
        <v>13</v>
      </c>
      <c r="C355" s="54" t="s">
        <v>4526</v>
      </c>
      <c r="D355" s="55" t="s">
        <v>4527</v>
      </c>
      <c r="E355" s="54"/>
      <c r="F355" s="54"/>
      <c r="G355" s="54">
        <v>1</v>
      </c>
      <c r="H355" s="54"/>
      <c r="I355" s="54">
        <v>0</v>
      </c>
      <c r="J355" s="54">
        <v>0</v>
      </c>
      <c r="K355" s="54"/>
      <c r="L355" s="54"/>
      <c r="M355" s="54"/>
      <c r="N355" s="54"/>
      <c r="O355" s="54"/>
    </row>
    <row r="356" spans="1:15" ht="15.75" x14ac:dyDescent="0.2">
      <c r="A356" s="53" t="s">
        <v>12</v>
      </c>
      <c r="B356" s="53" t="s">
        <v>15</v>
      </c>
      <c r="C356" s="54" t="s">
        <v>4528</v>
      </c>
      <c r="D356" s="55" t="s">
        <v>4529</v>
      </c>
      <c r="E356" s="54"/>
      <c r="F356" s="54" t="s">
        <v>4530</v>
      </c>
      <c r="G356" s="54">
        <v>0</v>
      </c>
      <c r="H356" s="54">
        <v>0</v>
      </c>
      <c r="I356" s="54">
        <v>300</v>
      </c>
      <c r="J356" s="54">
        <v>300</v>
      </c>
      <c r="K356" s="54"/>
      <c r="L356" s="54"/>
      <c r="M356" s="54"/>
      <c r="N356" s="54"/>
      <c r="O356" s="54" t="s">
        <v>4531</v>
      </c>
    </row>
    <row r="357" spans="1:15" ht="75" x14ac:dyDescent="0.2">
      <c r="A357" s="53" t="s">
        <v>12</v>
      </c>
      <c r="B357" s="53" t="s">
        <v>15</v>
      </c>
      <c r="C357" s="54" t="s">
        <v>4532</v>
      </c>
      <c r="D357" s="55" t="s">
        <v>4533</v>
      </c>
      <c r="E357" s="54"/>
      <c r="F357" s="54" t="s">
        <v>3582</v>
      </c>
      <c r="G357" s="54">
        <v>5</v>
      </c>
      <c r="H357" s="54">
        <v>5</v>
      </c>
      <c r="I357" s="54">
        <v>0</v>
      </c>
      <c r="J357" s="54">
        <v>0</v>
      </c>
      <c r="K357" s="54"/>
      <c r="L357" s="54"/>
      <c r="M357" s="54"/>
      <c r="N357" s="54"/>
      <c r="O357" s="54" t="s">
        <v>4534</v>
      </c>
    </row>
    <row r="358" spans="1:15" ht="30" x14ac:dyDescent="0.2">
      <c r="A358" s="53" t="s">
        <v>12</v>
      </c>
      <c r="B358" s="53" t="s">
        <v>15</v>
      </c>
      <c r="C358" s="54" t="s">
        <v>4535</v>
      </c>
      <c r="D358" s="55" t="s">
        <v>4536</v>
      </c>
      <c r="E358" s="54"/>
      <c r="F358" s="54" t="s">
        <v>4291</v>
      </c>
      <c r="G358" s="54">
        <v>5</v>
      </c>
      <c r="H358" s="54">
        <v>5</v>
      </c>
      <c r="I358" s="54"/>
      <c r="J358" s="54">
        <v>0</v>
      </c>
      <c r="K358" s="54"/>
      <c r="L358" s="54"/>
      <c r="M358" s="54"/>
      <c r="N358" s="54"/>
      <c r="O358" s="54" t="s">
        <v>4210</v>
      </c>
    </row>
    <row r="359" spans="1:15" ht="30" x14ac:dyDescent="0.2">
      <c r="A359" s="53" t="s">
        <v>12</v>
      </c>
      <c r="B359" s="53" t="s">
        <v>15</v>
      </c>
      <c r="C359" s="54" t="s">
        <v>4537</v>
      </c>
      <c r="D359" s="55" t="s">
        <v>4538</v>
      </c>
      <c r="E359" s="54"/>
      <c r="F359" s="54"/>
      <c r="G359" s="54"/>
      <c r="H359" s="54"/>
      <c r="I359" s="54"/>
      <c r="J359" s="54">
        <v>0</v>
      </c>
      <c r="K359" s="54"/>
      <c r="L359" s="54"/>
      <c r="M359" s="54"/>
      <c r="N359" s="54"/>
      <c r="O359" s="54" t="s">
        <v>4210</v>
      </c>
    </row>
    <row r="360" spans="1:15" ht="30" x14ac:dyDescent="0.2">
      <c r="A360" s="53" t="s">
        <v>12</v>
      </c>
      <c r="B360" s="53" t="s">
        <v>15</v>
      </c>
      <c r="C360" s="54" t="s">
        <v>4539</v>
      </c>
      <c r="D360" s="55" t="s">
        <v>4540</v>
      </c>
      <c r="E360" s="54"/>
      <c r="F360" s="54" t="s">
        <v>4541</v>
      </c>
      <c r="G360" s="54">
        <v>3</v>
      </c>
      <c r="H360" s="54">
        <v>3</v>
      </c>
      <c r="I360" s="54"/>
      <c r="J360" s="54">
        <v>0</v>
      </c>
      <c r="K360" s="54"/>
      <c r="L360" s="54"/>
      <c r="M360" s="54"/>
      <c r="N360" s="54"/>
      <c r="O360" s="54" t="s">
        <v>4542</v>
      </c>
    </row>
    <row r="361" spans="1:15" ht="30" x14ac:dyDescent="0.2">
      <c r="A361" s="53" t="s">
        <v>12</v>
      </c>
      <c r="B361" s="53" t="s">
        <v>15</v>
      </c>
      <c r="C361" s="54" t="s">
        <v>4543</v>
      </c>
      <c r="D361" s="55" t="s">
        <v>4544</v>
      </c>
      <c r="E361" s="54" t="s">
        <v>1550</v>
      </c>
      <c r="F361" s="54" t="s">
        <v>4541</v>
      </c>
      <c r="G361" s="54">
        <v>13</v>
      </c>
      <c r="H361" s="54">
        <v>13</v>
      </c>
      <c r="I361" s="54"/>
      <c r="J361" s="54">
        <v>0</v>
      </c>
      <c r="K361" s="54"/>
      <c r="L361" s="54"/>
      <c r="M361" s="54"/>
      <c r="N361" s="54"/>
      <c r="O361" s="54" t="s">
        <v>4545</v>
      </c>
    </row>
    <row r="362" spans="1:15" ht="15.75" x14ac:dyDescent="0.2">
      <c r="A362" s="53" t="s">
        <v>12</v>
      </c>
      <c r="B362" s="53" t="s">
        <v>15</v>
      </c>
      <c r="C362" s="54" t="s">
        <v>4546</v>
      </c>
      <c r="D362" s="55" t="s">
        <v>4547</v>
      </c>
      <c r="E362" s="54" t="s">
        <v>1550</v>
      </c>
      <c r="F362" s="54" t="s">
        <v>4297</v>
      </c>
      <c r="G362" s="54">
        <v>3</v>
      </c>
      <c r="H362" s="54">
        <v>3</v>
      </c>
      <c r="I362" s="54"/>
      <c r="J362" s="54">
        <v>0</v>
      </c>
      <c r="K362" s="54"/>
      <c r="L362" s="54"/>
      <c r="M362" s="54"/>
      <c r="N362" s="54"/>
      <c r="O362" s="54" t="s">
        <v>4548</v>
      </c>
    </row>
    <row r="363" spans="1:15" ht="15.75" x14ac:dyDescent="0.2">
      <c r="A363" s="53" t="s">
        <v>12</v>
      </c>
      <c r="B363" s="53" t="s">
        <v>15</v>
      </c>
      <c r="C363" s="54" t="s">
        <v>4549</v>
      </c>
      <c r="D363" s="55" t="s">
        <v>4550</v>
      </c>
      <c r="E363" s="54" t="s">
        <v>1550</v>
      </c>
      <c r="F363" s="54" t="s">
        <v>3985</v>
      </c>
      <c r="G363" s="54">
        <v>13</v>
      </c>
      <c r="H363" s="54">
        <v>13</v>
      </c>
      <c r="I363" s="54"/>
      <c r="J363" s="54">
        <v>0</v>
      </c>
      <c r="K363" s="54"/>
      <c r="L363" s="54"/>
      <c r="M363" s="54"/>
      <c r="N363" s="54"/>
      <c r="O363" s="54" t="s">
        <v>4551</v>
      </c>
    </row>
    <row r="364" spans="1:15" ht="30" x14ac:dyDescent="0.2">
      <c r="A364" s="53" t="s">
        <v>12</v>
      </c>
      <c r="B364" s="53" t="s">
        <v>15</v>
      </c>
      <c r="C364" s="54" t="s">
        <v>4552</v>
      </c>
      <c r="D364" s="55" t="s">
        <v>4553</v>
      </c>
      <c r="E364" s="54" t="s">
        <v>1550</v>
      </c>
      <c r="F364" s="54" t="s">
        <v>4297</v>
      </c>
      <c r="G364" s="54">
        <v>8</v>
      </c>
      <c r="H364" s="54">
        <v>8</v>
      </c>
      <c r="I364" s="54">
        <v>28800</v>
      </c>
      <c r="J364" s="54">
        <v>28800</v>
      </c>
      <c r="K364" s="54"/>
      <c r="L364" s="54"/>
      <c r="M364" s="54"/>
      <c r="N364" s="54"/>
      <c r="O364" s="54" t="s">
        <v>4545</v>
      </c>
    </row>
    <row r="365" spans="1:15" ht="15.75" x14ac:dyDescent="0.2">
      <c r="A365" s="53" t="s">
        <v>12</v>
      </c>
      <c r="B365" s="53" t="s">
        <v>15</v>
      </c>
      <c r="C365" s="54" t="s">
        <v>4554</v>
      </c>
      <c r="D365" s="55" t="s">
        <v>4555</v>
      </c>
      <c r="E365" s="54" t="s">
        <v>1550</v>
      </c>
      <c r="F365" s="54" t="s">
        <v>4297</v>
      </c>
      <c r="G365" s="54">
        <v>8</v>
      </c>
      <c r="H365" s="54">
        <v>8</v>
      </c>
      <c r="I365" s="54">
        <v>28800</v>
      </c>
      <c r="J365" s="54">
        <v>0</v>
      </c>
      <c r="K365" s="54"/>
      <c r="L365" s="54"/>
      <c r="M365" s="54"/>
      <c r="N365" s="54"/>
      <c r="O365" s="54" t="s">
        <v>4548</v>
      </c>
    </row>
    <row r="366" spans="1:15" ht="30" x14ac:dyDescent="0.2">
      <c r="A366" s="53" t="s">
        <v>12</v>
      </c>
      <c r="B366" s="53" t="s">
        <v>15</v>
      </c>
      <c r="C366" s="54" t="s">
        <v>4556</v>
      </c>
      <c r="D366" s="55" t="s">
        <v>4557</v>
      </c>
      <c r="E366" s="54" t="s">
        <v>4558</v>
      </c>
      <c r="F366" s="54" t="s">
        <v>4559</v>
      </c>
      <c r="G366" s="54">
        <v>3</v>
      </c>
      <c r="H366" s="54">
        <v>3</v>
      </c>
      <c r="I366" s="54"/>
      <c r="J366" s="54"/>
      <c r="K366" s="54"/>
      <c r="L366" s="54"/>
      <c r="M366" s="54"/>
      <c r="N366" s="54"/>
      <c r="O366" s="54" t="s">
        <v>1562</v>
      </c>
    </row>
    <row r="367" spans="1:15" ht="30" x14ac:dyDescent="0.2">
      <c r="A367" s="53" t="s">
        <v>12</v>
      </c>
      <c r="B367" s="53" t="s">
        <v>15</v>
      </c>
      <c r="C367" s="54" t="s">
        <v>4560</v>
      </c>
      <c r="D367" s="55" t="s">
        <v>4561</v>
      </c>
      <c r="E367" s="54" t="s">
        <v>4558</v>
      </c>
      <c r="F367" s="54" t="s">
        <v>4559</v>
      </c>
      <c r="G367" s="54"/>
      <c r="H367" s="54"/>
      <c r="I367" s="54"/>
      <c r="J367" s="54"/>
      <c r="K367" s="54"/>
      <c r="L367" s="54"/>
      <c r="M367" s="54"/>
      <c r="N367" s="54"/>
      <c r="O367" s="54" t="s">
        <v>1562</v>
      </c>
    </row>
    <row r="368" spans="1:15" ht="30" x14ac:dyDescent="0.2">
      <c r="A368" s="53" t="s">
        <v>12</v>
      </c>
      <c r="B368" s="53" t="s">
        <v>15</v>
      </c>
      <c r="C368" s="54" t="s">
        <v>4562</v>
      </c>
      <c r="D368" s="55" t="s">
        <v>4563</v>
      </c>
      <c r="E368" s="54" t="s">
        <v>4564</v>
      </c>
      <c r="F368" s="54" t="s">
        <v>4565</v>
      </c>
      <c r="G368" s="54">
        <v>2</v>
      </c>
      <c r="H368" s="54">
        <v>2</v>
      </c>
      <c r="I368" s="54">
        <v>57600</v>
      </c>
      <c r="J368" s="54">
        <v>0</v>
      </c>
      <c r="K368" s="54"/>
      <c r="L368" s="54"/>
      <c r="M368" s="54"/>
      <c r="N368" s="54"/>
      <c r="O368" s="54" t="s">
        <v>1562</v>
      </c>
    </row>
    <row r="369" spans="1:15" ht="30" x14ac:dyDescent="0.2">
      <c r="A369" s="53" t="s">
        <v>12</v>
      </c>
      <c r="B369" s="53" t="s">
        <v>15</v>
      </c>
      <c r="C369" s="54" t="s">
        <v>4566</v>
      </c>
      <c r="D369" s="55" t="s">
        <v>4567</v>
      </c>
      <c r="E369" s="54" t="s">
        <v>1550</v>
      </c>
      <c r="F369" s="54" t="s">
        <v>4541</v>
      </c>
      <c r="G369" s="54">
        <v>13</v>
      </c>
      <c r="H369" s="54">
        <v>13</v>
      </c>
      <c r="I369" s="54">
        <v>28800</v>
      </c>
      <c r="J369" s="54">
        <v>25200</v>
      </c>
      <c r="K369" s="54"/>
      <c r="L369" s="54"/>
      <c r="M369" s="54"/>
      <c r="N369" s="54"/>
      <c r="O369" s="54" t="s">
        <v>4568</v>
      </c>
    </row>
    <row r="370" spans="1:15" ht="30" x14ac:dyDescent="0.2">
      <c r="A370" s="53" t="s">
        <v>12</v>
      </c>
      <c r="B370" s="53" t="s">
        <v>15</v>
      </c>
      <c r="C370" s="54" t="s">
        <v>4569</v>
      </c>
      <c r="D370" s="55" t="s">
        <v>4570</v>
      </c>
      <c r="E370" s="54" t="s">
        <v>1550</v>
      </c>
      <c r="F370" s="54" t="s">
        <v>4541</v>
      </c>
      <c r="G370" s="54">
        <v>8</v>
      </c>
      <c r="H370" s="54">
        <v>8</v>
      </c>
      <c r="I370" s="54"/>
      <c r="J370" s="54">
        <v>0</v>
      </c>
      <c r="K370" s="54"/>
      <c r="L370" s="54"/>
      <c r="M370" s="54"/>
      <c r="N370" s="54"/>
      <c r="O370" s="54" t="s">
        <v>4568</v>
      </c>
    </row>
    <row r="371" spans="1:15" ht="30" x14ac:dyDescent="0.2">
      <c r="A371" s="53" t="s">
        <v>12</v>
      </c>
      <c r="B371" s="53" t="s">
        <v>15</v>
      </c>
      <c r="C371" s="54" t="s">
        <v>4571</v>
      </c>
      <c r="D371" s="55" t="s">
        <v>4572</v>
      </c>
      <c r="E371" s="54"/>
      <c r="F371" s="54" t="s">
        <v>4282</v>
      </c>
      <c r="G371" s="54"/>
      <c r="H371" s="54"/>
      <c r="I371" s="54"/>
      <c r="J371" s="54"/>
      <c r="K371" s="54"/>
      <c r="L371" s="54"/>
      <c r="M371" s="54"/>
      <c r="N371" s="54"/>
      <c r="O371" s="54" t="s">
        <v>4573</v>
      </c>
    </row>
    <row r="372" spans="1:15" ht="15.75" x14ac:dyDescent="0.2">
      <c r="A372" s="53" t="s">
        <v>12</v>
      </c>
      <c r="B372" s="53" t="s">
        <v>15</v>
      </c>
      <c r="C372" s="54" t="s">
        <v>4574</v>
      </c>
      <c r="D372" s="55" t="s">
        <v>4575</v>
      </c>
      <c r="E372" s="54" t="s">
        <v>1550</v>
      </c>
      <c r="F372" s="54" t="s">
        <v>4297</v>
      </c>
      <c r="G372" s="54">
        <v>5</v>
      </c>
      <c r="H372" s="54">
        <v>5</v>
      </c>
      <c r="I372" s="54"/>
      <c r="J372" s="54"/>
      <c r="K372" s="54"/>
      <c r="L372" s="54"/>
      <c r="M372" s="54"/>
      <c r="N372" s="54"/>
      <c r="O372" s="54" t="s">
        <v>3986</v>
      </c>
    </row>
    <row r="373" spans="1:15" ht="30" x14ac:dyDescent="0.2">
      <c r="A373" s="53" t="s">
        <v>12</v>
      </c>
      <c r="B373" s="53" t="s">
        <v>15</v>
      </c>
      <c r="C373" s="54" t="s">
        <v>4576</v>
      </c>
      <c r="D373" s="55" t="s">
        <v>4577</v>
      </c>
      <c r="E373" s="54"/>
      <c r="F373" s="54" t="s">
        <v>4282</v>
      </c>
      <c r="G373" s="54"/>
      <c r="H373" s="54"/>
      <c r="I373" s="54"/>
      <c r="J373" s="54">
        <v>0</v>
      </c>
      <c r="K373" s="54"/>
      <c r="L373" s="54"/>
      <c r="M373" s="54"/>
      <c r="N373" s="54"/>
      <c r="O373" s="54" t="s">
        <v>4384</v>
      </c>
    </row>
    <row r="374" spans="1:15" ht="15.75" x14ac:dyDescent="0.2">
      <c r="A374" s="53" t="s">
        <v>12</v>
      </c>
      <c r="B374" s="53" t="s">
        <v>15</v>
      </c>
      <c r="C374" s="54" t="s">
        <v>4578</v>
      </c>
      <c r="D374" s="55" t="s">
        <v>4579</v>
      </c>
      <c r="E374" s="54"/>
      <c r="F374" s="54" t="s">
        <v>4197</v>
      </c>
      <c r="G374" s="54"/>
      <c r="H374" s="54"/>
      <c r="I374" s="54"/>
      <c r="J374" s="54"/>
      <c r="K374" s="54"/>
      <c r="L374" s="54"/>
      <c r="M374" s="54"/>
      <c r="N374" s="54"/>
      <c r="O374" s="54" t="s">
        <v>4580</v>
      </c>
    </row>
    <row r="375" spans="1:15" ht="30" x14ac:dyDescent="0.2">
      <c r="A375" s="53" t="s">
        <v>12</v>
      </c>
      <c r="B375" s="53" t="s">
        <v>15</v>
      </c>
      <c r="C375" s="54" t="s">
        <v>4581</v>
      </c>
      <c r="D375" s="55" t="s">
        <v>4582</v>
      </c>
      <c r="E375" s="54"/>
      <c r="F375" s="54" t="s">
        <v>4330</v>
      </c>
      <c r="G375" s="54">
        <v>1</v>
      </c>
      <c r="H375" s="54">
        <v>1</v>
      </c>
      <c r="I375" s="54">
        <v>0</v>
      </c>
      <c r="J375" s="54">
        <v>0</v>
      </c>
      <c r="K375" s="54"/>
      <c r="L375" s="54"/>
      <c r="M375" s="54"/>
      <c r="N375" s="54"/>
      <c r="O375" s="54" t="s">
        <v>4583</v>
      </c>
    </row>
    <row r="376" spans="1:15" ht="30" x14ac:dyDescent="0.2">
      <c r="A376" s="53" t="s">
        <v>12</v>
      </c>
      <c r="B376" s="53" t="s">
        <v>15</v>
      </c>
      <c r="C376" s="54" t="s">
        <v>4584</v>
      </c>
      <c r="D376" s="55" t="s">
        <v>4585</v>
      </c>
      <c r="E376" s="54"/>
      <c r="F376" s="54" t="s">
        <v>4291</v>
      </c>
      <c r="G376" s="54">
        <v>3</v>
      </c>
      <c r="H376" s="54">
        <v>3</v>
      </c>
      <c r="I376" s="54"/>
      <c r="J376" s="54"/>
      <c r="K376" s="54"/>
      <c r="L376" s="54"/>
      <c r="M376" s="54"/>
      <c r="N376" s="54"/>
      <c r="O376" s="54"/>
    </row>
    <row r="377" spans="1:15" ht="15.75" x14ac:dyDescent="0.2">
      <c r="A377" s="53" t="s">
        <v>12</v>
      </c>
      <c r="B377" s="53" t="s">
        <v>15</v>
      </c>
      <c r="C377" s="54" t="s">
        <v>4586</v>
      </c>
      <c r="D377" s="55" t="s">
        <v>4587</v>
      </c>
      <c r="E377" s="54"/>
      <c r="F377" s="54" t="s">
        <v>3812</v>
      </c>
      <c r="G377" s="54"/>
      <c r="H377" s="54"/>
      <c r="I377" s="54"/>
      <c r="J377" s="54"/>
      <c r="K377" s="54"/>
      <c r="L377" s="54"/>
      <c r="M377" s="54"/>
      <c r="N377" s="54"/>
      <c r="O377" s="54" t="s">
        <v>4588</v>
      </c>
    </row>
    <row r="378" spans="1:15" ht="30" x14ac:dyDescent="0.2">
      <c r="A378" s="53" t="s">
        <v>12</v>
      </c>
      <c r="B378" s="53" t="s">
        <v>15</v>
      </c>
      <c r="C378" s="54" t="s">
        <v>4589</v>
      </c>
      <c r="D378" s="55" t="s">
        <v>4590</v>
      </c>
      <c r="E378" s="54" t="s">
        <v>4591</v>
      </c>
      <c r="F378" s="54"/>
      <c r="G378" s="54"/>
      <c r="H378" s="54"/>
      <c r="I378" s="54"/>
      <c r="J378" s="54">
        <v>0</v>
      </c>
      <c r="K378" s="54"/>
      <c r="L378" s="54"/>
      <c r="M378" s="54"/>
      <c r="N378" s="54"/>
      <c r="O378" s="54"/>
    </row>
    <row r="379" spans="1:15" ht="45" x14ac:dyDescent="0.2">
      <c r="A379" s="53" t="s">
        <v>12</v>
      </c>
      <c r="B379" s="53" t="s">
        <v>15</v>
      </c>
      <c r="C379" s="54" t="s">
        <v>4592</v>
      </c>
      <c r="D379" s="55" t="s">
        <v>4593</v>
      </c>
      <c r="E379" s="54"/>
      <c r="F379" s="54" t="s">
        <v>2282</v>
      </c>
      <c r="G379" s="54">
        <v>8</v>
      </c>
      <c r="H379" s="54">
        <v>8</v>
      </c>
      <c r="I379" s="54"/>
      <c r="J379" s="54"/>
      <c r="K379" s="54"/>
      <c r="L379" s="54"/>
      <c r="M379" s="54"/>
      <c r="N379" s="54"/>
      <c r="O379" s="54" t="s">
        <v>4594</v>
      </c>
    </row>
    <row r="380" spans="1:15" ht="30" x14ac:dyDescent="0.2">
      <c r="A380" s="53" t="s">
        <v>12</v>
      </c>
      <c r="B380" s="53" t="s">
        <v>15</v>
      </c>
      <c r="C380" s="54" t="s">
        <v>4595</v>
      </c>
      <c r="D380" s="55" t="s">
        <v>4596</v>
      </c>
      <c r="E380" s="54" t="s">
        <v>2026</v>
      </c>
      <c r="F380" s="54" t="s">
        <v>4597</v>
      </c>
      <c r="G380" s="54">
        <v>5</v>
      </c>
      <c r="H380" s="54">
        <v>5</v>
      </c>
      <c r="I380" s="54"/>
      <c r="J380" s="54"/>
      <c r="K380" s="54"/>
      <c r="L380" s="54"/>
      <c r="M380" s="54"/>
      <c r="N380" s="54"/>
      <c r="O380" s="54" t="s">
        <v>4598</v>
      </c>
    </row>
    <row r="381" spans="1:15" ht="30" x14ac:dyDescent="0.2">
      <c r="A381" s="53" t="s">
        <v>12</v>
      </c>
      <c r="B381" s="53" t="s">
        <v>15</v>
      </c>
      <c r="C381" s="54" t="s">
        <v>4599</v>
      </c>
      <c r="D381" s="55" t="s">
        <v>4600</v>
      </c>
      <c r="E381" s="54" t="s">
        <v>2026</v>
      </c>
      <c r="F381" s="54" t="s">
        <v>4597</v>
      </c>
      <c r="G381" s="54">
        <v>5</v>
      </c>
      <c r="H381" s="54">
        <v>5</v>
      </c>
      <c r="I381" s="54"/>
      <c r="J381" s="54"/>
      <c r="K381" s="54"/>
      <c r="L381" s="54"/>
      <c r="M381" s="54"/>
      <c r="N381" s="54"/>
      <c r="O381" s="54" t="s">
        <v>4598</v>
      </c>
    </row>
    <row r="382" spans="1:15" ht="45" x14ac:dyDescent="0.2">
      <c r="A382" s="53" t="s">
        <v>12</v>
      </c>
      <c r="B382" s="53" t="s">
        <v>14</v>
      </c>
      <c r="C382" s="54" t="s">
        <v>4601</v>
      </c>
      <c r="D382" s="55" t="s">
        <v>4602</v>
      </c>
      <c r="E382" s="54"/>
      <c r="F382" s="54" t="s">
        <v>4603</v>
      </c>
      <c r="G382" s="54">
        <v>8</v>
      </c>
      <c r="H382" s="54"/>
      <c r="I382" s="54"/>
      <c r="J382" s="54"/>
      <c r="K382" s="54"/>
      <c r="L382" s="54"/>
      <c r="M382" s="54"/>
      <c r="N382" s="54"/>
      <c r="O382" s="54" t="s">
        <v>4604</v>
      </c>
    </row>
    <row r="383" spans="1:15" ht="15.75" x14ac:dyDescent="0.2">
      <c r="A383" s="53" t="s">
        <v>12</v>
      </c>
      <c r="B383" s="53" t="s">
        <v>15</v>
      </c>
      <c r="C383" s="54" t="s">
        <v>4605</v>
      </c>
      <c r="D383" s="55" t="s">
        <v>4606</v>
      </c>
      <c r="E383" s="54"/>
      <c r="F383" s="54"/>
      <c r="G383" s="54">
        <v>8</v>
      </c>
      <c r="H383" s="54">
        <v>8</v>
      </c>
      <c r="I383" s="54">
        <v>3600</v>
      </c>
      <c r="J383" s="54">
        <v>3600</v>
      </c>
      <c r="K383" s="54"/>
      <c r="L383" s="54"/>
      <c r="M383" s="54"/>
      <c r="N383" s="54"/>
      <c r="O383" s="54"/>
    </row>
    <row r="384" spans="1:15" ht="15.75" x14ac:dyDescent="0.2">
      <c r="A384" s="53" t="s">
        <v>12</v>
      </c>
      <c r="B384" s="53" t="s">
        <v>15</v>
      </c>
      <c r="C384" s="54" t="s">
        <v>4607</v>
      </c>
      <c r="D384" s="55" t="s">
        <v>4608</v>
      </c>
      <c r="E384" s="54"/>
      <c r="F384" s="54" t="s">
        <v>4197</v>
      </c>
      <c r="G384" s="54"/>
      <c r="H384" s="54"/>
      <c r="I384" s="54"/>
      <c r="J384" s="54"/>
      <c r="K384" s="54"/>
      <c r="L384" s="54"/>
      <c r="M384" s="54"/>
      <c r="N384" s="54"/>
      <c r="O384" s="54" t="s">
        <v>4609</v>
      </c>
    </row>
    <row r="385" spans="1:15" ht="15.75" x14ac:dyDescent="0.2">
      <c r="A385" s="53" t="s">
        <v>12</v>
      </c>
      <c r="B385" s="53" t="s">
        <v>15</v>
      </c>
      <c r="C385" s="54" t="s">
        <v>4610</v>
      </c>
      <c r="D385" s="55" t="s">
        <v>4611</v>
      </c>
      <c r="E385" s="54" t="s">
        <v>1550</v>
      </c>
      <c r="F385" s="54" t="s">
        <v>3831</v>
      </c>
      <c r="G385" s="54">
        <v>3</v>
      </c>
      <c r="H385" s="54">
        <v>3</v>
      </c>
      <c r="I385" s="54"/>
      <c r="J385" s="54"/>
      <c r="K385" s="54"/>
      <c r="L385" s="54"/>
      <c r="M385" s="54"/>
      <c r="N385" s="54"/>
      <c r="O385" s="54" t="s">
        <v>4118</v>
      </c>
    </row>
    <row r="386" spans="1:15" ht="15.75" x14ac:dyDescent="0.2">
      <c r="A386" s="53" t="s">
        <v>12</v>
      </c>
      <c r="B386" s="53" t="s">
        <v>15</v>
      </c>
      <c r="C386" s="54" t="s">
        <v>4612</v>
      </c>
      <c r="D386" s="55" t="s">
        <v>4613</v>
      </c>
      <c r="E386" s="54" t="s">
        <v>4591</v>
      </c>
      <c r="F386" s="54"/>
      <c r="G386" s="54">
        <v>8</v>
      </c>
      <c r="H386" s="54">
        <v>8</v>
      </c>
      <c r="I386" s="54">
        <v>3600</v>
      </c>
      <c r="J386" s="54">
        <v>3600</v>
      </c>
      <c r="K386" s="54"/>
      <c r="L386" s="54"/>
      <c r="M386" s="54"/>
      <c r="N386" s="54"/>
      <c r="O386" s="54"/>
    </row>
    <row r="387" spans="1:15" ht="30" x14ac:dyDescent="0.2">
      <c r="A387" s="53" t="s">
        <v>12</v>
      </c>
      <c r="B387" s="53" t="s">
        <v>15</v>
      </c>
      <c r="C387" s="54" t="s">
        <v>4614</v>
      </c>
      <c r="D387" s="55" t="s">
        <v>4615</v>
      </c>
      <c r="E387" s="54" t="s">
        <v>2026</v>
      </c>
      <c r="F387" s="54" t="s">
        <v>4616</v>
      </c>
      <c r="G387" s="54">
        <v>13</v>
      </c>
      <c r="H387" s="54">
        <v>13</v>
      </c>
      <c r="I387" s="54"/>
      <c r="J387" s="54"/>
      <c r="K387" s="54"/>
      <c r="L387" s="54"/>
      <c r="M387" s="54"/>
      <c r="N387" s="54"/>
      <c r="O387" s="54" t="s">
        <v>3889</v>
      </c>
    </row>
    <row r="388" spans="1:15" ht="15.75" x14ac:dyDescent="0.2">
      <c r="A388" s="53" t="s">
        <v>12</v>
      </c>
      <c r="B388" s="53" t="s">
        <v>15</v>
      </c>
      <c r="C388" s="54" t="s">
        <v>4617</v>
      </c>
      <c r="D388" s="55" t="s">
        <v>4618</v>
      </c>
      <c r="E388" s="54"/>
      <c r="F388" s="54"/>
      <c r="G388" s="54"/>
      <c r="H388" s="54"/>
      <c r="I388" s="54"/>
      <c r="J388" s="54">
        <v>0</v>
      </c>
      <c r="K388" s="54"/>
      <c r="L388" s="54"/>
      <c r="M388" s="54"/>
      <c r="N388" s="54"/>
      <c r="O388" s="54"/>
    </row>
    <row r="389" spans="1:15" ht="30" x14ac:dyDescent="0.2">
      <c r="A389" s="53" t="s">
        <v>12</v>
      </c>
      <c r="B389" s="53" t="s">
        <v>15</v>
      </c>
      <c r="C389" s="54" t="s">
        <v>4619</v>
      </c>
      <c r="D389" s="55" t="s">
        <v>4620</v>
      </c>
      <c r="E389" s="54"/>
      <c r="F389" s="54"/>
      <c r="G389" s="54">
        <v>1</v>
      </c>
      <c r="H389" s="54"/>
      <c r="I389" s="54"/>
      <c r="J389" s="54"/>
      <c r="K389" s="54"/>
      <c r="L389" s="54"/>
      <c r="M389" s="54"/>
      <c r="N389" s="54"/>
      <c r="O389" s="54" t="s">
        <v>4368</v>
      </c>
    </row>
    <row r="390" spans="1:15" ht="30" x14ac:dyDescent="0.2">
      <c r="A390" s="53" t="s">
        <v>12</v>
      </c>
      <c r="B390" s="53" t="s">
        <v>15</v>
      </c>
      <c r="C390" s="54" t="s">
        <v>4621</v>
      </c>
      <c r="D390" s="55" t="s">
        <v>4622</v>
      </c>
      <c r="E390" s="54"/>
      <c r="F390" s="54"/>
      <c r="G390" s="54">
        <v>5</v>
      </c>
      <c r="H390" s="54"/>
      <c r="I390" s="54"/>
      <c r="J390" s="54"/>
      <c r="K390" s="54"/>
      <c r="L390" s="54"/>
      <c r="M390" s="54"/>
      <c r="N390" s="54"/>
      <c r="O390" s="54"/>
    </row>
    <row r="391" spans="1:15" ht="15.75" x14ac:dyDescent="0.2">
      <c r="A391" s="53" t="s">
        <v>12</v>
      </c>
      <c r="B391" s="53" t="s">
        <v>15</v>
      </c>
      <c r="C391" s="54" t="s">
        <v>4623</v>
      </c>
      <c r="D391" s="55" t="s">
        <v>4624</v>
      </c>
      <c r="E391" s="54"/>
      <c r="F391" s="54"/>
      <c r="G391" s="54">
        <v>8</v>
      </c>
      <c r="H391" s="54">
        <v>8</v>
      </c>
      <c r="I391" s="54"/>
      <c r="J391" s="54">
        <v>0</v>
      </c>
      <c r="K391" s="54"/>
      <c r="L391" s="54"/>
      <c r="M391" s="54"/>
      <c r="N391" s="54"/>
      <c r="O391" s="54" t="s">
        <v>4625</v>
      </c>
    </row>
    <row r="392" spans="1:15" ht="15.75" x14ac:dyDescent="0.2">
      <c r="A392" s="53" t="s">
        <v>12</v>
      </c>
      <c r="B392" s="53" t="s">
        <v>15</v>
      </c>
      <c r="C392" s="54" t="s">
        <v>4626</v>
      </c>
      <c r="D392" s="55" t="s">
        <v>4627</v>
      </c>
      <c r="E392" s="54" t="s">
        <v>4628</v>
      </c>
      <c r="F392" s="54" t="s">
        <v>4291</v>
      </c>
      <c r="G392" s="54"/>
      <c r="H392" s="54"/>
      <c r="I392" s="54">
        <v>0</v>
      </c>
      <c r="J392" s="54">
        <v>0</v>
      </c>
      <c r="K392" s="54"/>
      <c r="L392" s="54"/>
      <c r="M392" s="54"/>
      <c r="N392" s="54"/>
      <c r="O392" s="54" t="s">
        <v>4210</v>
      </c>
    </row>
    <row r="393" spans="1:15" ht="15.75" x14ac:dyDescent="0.2">
      <c r="A393" s="53" t="s">
        <v>12</v>
      </c>
      <c r="B393" s="53" t="s">
        <v>15</v>
      </c>
      <c r="C393" s="54" t="s">
        <v>4629</v>
      </c>
      <c r="D393" s="55" t="s">
        <v>4630</v>
      </c>
      <c r="E393" s="54"/>
      <c r="F393" s="54" t="s">
        <v>4631</v>
      </c>
      <c r="G393" s="54"/>
      <c r="H393" s="54"/>
      <c r="I393" s="54">
        <v>0</v>
      </c>
      <c r="J393" s="54">
        <v>0</v>
      </c>
      <c r="K393" s="54"/>
      <c r="L393" s="54"/>
      <c r="M393" s="54"/>
      <c r="N393" s="54"/>
      <c r="O393" s="54" t="s">
        <v>4210</v>
      </c>
    </row>
    <row r="394" spans="1:15" ht="15.75" x14ac:dyDescent="0.2">
      <c r="A394" s="53" t="s">
        <v>12</v>
      </c>
      <c r="B394" s="53" t="s">
        <v>15</v>
      </c>
      <c r="C394" s="54" t="s">
        <v>4632</v>
      </c>
      <c r="D394" s="55" t="s">
        <v>4633</v>
      </c>
      <c r="E394" s="54" t="s">
        <v>4628</v>
      </c>
      <c r="F394" s="54" t="s">
        <v>4291</v>
      </c>
      <c r="G394" s="54"/>
      <c r="H394" s="54"/>
      <c r="I394" s="54">
        <v>0</v>
      </c>
      <c r="J394" s="54">
        <v>0</v>
      </c>
      <c r="K394" s="54"/>
      <c r="L394" s="54"/>
      <c r="M394" s="54"/>
      <c r="N394" s="54"/>
      <c r="O394" s="54" t="s">
        <v>4210</v>
      </c>
    </row>
    <row r="395" spans="1:15" ht="15.75" x14ac:dyDescent="0.2">
      <c r="A395" s="53" t="s">
        <v>12</v>
      </c>
      <c r="B395" s="53" t="s">
        <v>15</v>
      </c>
      <c r="C395" s="54" t="s">
        <v>4634</v>
      </c>
      <c r="D395" s="55" t="s">
        <v>4635</v>
      </c>
      <c r="E395" s="54" t="s">
        <v>4628</v>
      </c>
      <c r="F395" s="54" t="s">
        <v>4291</v>
      </c>
      <c r="G395" s="54"/>
      <c r="H395" s="54"/>
      <c r="I395" s="54">
        <v>0</v>
      </c>
      <c r="J395" s="54">
        <v>0</v>
      </c>
      <c r="K395" s="54"/>
      <c r="L395" s="54"/>
      <c r="M395" s="54"/>
      <c r="N395" s="54"/>
      <c r="O395" s="54" t="s">
        <v>4210</v>
      </c>
    </row>
    <row r="396" spans="1:15" ht="15.75" x14ac:dyDescent="0.2">
      <c r="A396" s="53" t="s">
        <v>12</v>
      </c>
      <c r="B396" s="53" t="s">
        <v>15</v>
      </c>
      <c r="C396" s="54" t="s">
        <v>4636</v>
      </c>
      <c r="D396" s="55" t="s">
        <v>4637</v>
      </c>
      <c r="E396" s="54"/>
      <c r="F396" s="54" t="s">
        <v>4291</v>
      </c>
      <c r="G396" s="54">
        <v>3</v>
      </c>
      <c r="H396" s="54">
        <v>3</v>
      </c>
      <c r="I396" s="54">
        <v>0</v>
      </c>
      <c r="J396" s="54">
        <v>0</v>
      </c>
      <c r="K396" s="54"/>
      <c r="L396" s="54"/>
      <c r="M396" s="54"/>
      <c r="N396" s="54"/>
      <c r="O396" s="54" t="s">
        <v>4210</v>
      </c>
    </row>
    <row r="397" spans="1:15" ht="15.75" x14ac:dyDescent="0.2">
      <c r="A397" s="53" t="s">
        <v>12</v>
      </c>
      <c r="B397" s="53" t="s">
        <v>15</v>
      </c>
      <c r="C397" s="54" t="s">
        <v>4638</v>
      </c>
      <c r="D397" s="55" t="s">
        <v>4639</v>
      </c>
      <c r="E397" s="54"/>
      <c r="F397" s="54" t="s">
        <v>4291</v>
      </c>
      <c r="G397" s="54">
        <v>3</v>
      </c>
      <c r="H397" s="54">
        <v>3</v>
      </c>
      <c r="I397" s="54">
        <v>0</v>
      </c>
      <c r="J397" s="54">
        <v>0</v>
      </c>
      <c r="K397" s="54"/>
      <c r="L397" s="54"/>
      <c r="M397" s="54"/>
      <c r="N397" s="54"/>
      <c r="O397" s="54" t="s">
        <v>4210</v>
      </c>
    </row>
    <row r="398" spans="1:15" ht="15.75" x14ac:dyDescent="0.2">
      <c r="A398" s="53" t="s">
        <v>12</v>
      </c>
      <c r="B398" s="53" t="s">
        <v>15</v>
      </c>
      <c r="C398" s="54" t="s">
        <v>4640</v>
      </c>
      <c r="D398" s="55" t="s">
        <v>4641</v>
      </c>
      <c r="E398" s="54" t="s">
        <v>4628</v>
      </c>
      <c r="F398" s="54" t="s">
        <v>4291</v>
      </c>
      <c r="G398" s="54"/>
      <c r="H398" s="54"/>
      <c r="I398" s="54">
        <v>0</v>
      </c>
      <c r="J398" s="54">
        <v>0</v>
      </c>
      <c r="K398" s="54"/>
      <c r="L398" s="54"/>
      <c r="M398" s="54"/>
      <c r="N398" s="54"/>
      <c r="O398" s="54" t="s">
        <v>4210</v>
      </c>
    </row>
    <row r="399" spans="1:15" ht="30" x14ac:dyDescent="0.2">
      <c r="A399" s="53" t="s">
        <v>12</v>
      </c>
      <c r="B399" s="53" t="s">
        <v>15</v>
      </c>
      <c r="C399" s="54" t="s">
        <v>4642</v>
      </c>
      <c r="D399" s="55" t="s">
        <v>4643</v>
      </c>
      <c r="E399" s="54" t="s">
        <v>4209</v>
      </c>
      <c r="F399" s="54" t="s">
        <v>4320</v>
      </c>
      <c r="G399" s="54">
        <v>8</v>
      </c>
      <c r="H399" s="54">
        <v>8</v>
      </c>
      <c r="I399" s="54"/>
      <c r="J399" s="54"/>
      <c r="K399" s="54"/>
      <c r="L399" s="54"/>
      <c r="M399" s="54"/>
      <c r="N399" s="54"/>
      <c r="O399" s="54" t="s">
        <v>4210</v>
      </c>
    </row>
    <row r="400" spans="1:15" ht="15.75" x14ac:dyDescent="0.2">
      <c r="A400" s="53" t="s">
        <v>12</v>
      </c>
      <c r="B400" s="53" t="s">
        <v>15</v>
      </c>
      <c r="C400" s="54" t="s">
        <v>4644</v>
      </c>
      <c r="D400" s="55" t="s">
        <v>4645</v>
      </c>
      <c r="E400" s="54" t="s">
        <v>4628</v>
      </c>
      <c r="F400" s="54" t="s">
        <v>4291</v>
      </c>
      <c r="G400" s="54"/>
      <c r="H400" s="54"/>
      <c r="I400" s="54">
        <v>0</v>
      </c>
      <c r="J400" s="54">
        <v>0</v>
      </c>
      <c r="K400" s="54"/>
      <c r="L400" s="54"/>
      <c r="M400" s="54"/>
      <c r="N400" s="54"/>
      <c r="O400" s="54" t="s">
        <v>4210</v>
      </c>
    </row>
    <row r="401" spans="1:15" ht="30" x14ac:dyDescent="0.2">
      <c r="A401" s="53" t="s">
        <v>12</v>
      </c>
      <c r="B401" s="53" t="s">
        <v>106</v>
      </c>
      <c r="C401" s="54" t="s">
        <v>4646</v>
      </c>
      <c r="D401" s="55" t="s">
        <v>4647</v>
      </c>
      <c r="E401" s="54" t="s">
        <v>4558</v>
      </c>
      <c r="F401" s="54" t="s">
        <v>4559</v>
      </c>
      <c r="G401" s="54">
        <v>2</v>
      </c>
      <c r="H401" s="54"/>
      <c r="I401" s="54"/>
      <c r="J401" s="54">
        <v>0</v>
      </c>
      <c r="K401" s="54"/>
      <c r="L401" s="54"/>
      <c r="M401" s="54"/>
      <c r="N401" s="54"/>
      <c r="O401" s="54" t="s">
        <v>1562</v>
      </c>
    </row>
    <row r="402" spans="1:15" ht="60" x14ac:dyDescent="0.2">
      <c r="A402" s="53" t="s">
        <v>12</v>
      </c>
      <c r="B402" s="53" t="s">
        <v>13</v>
      </c>
      <c r="C402" s="54" t="s">
        <v>4648</v>
      </c>
      <c r="D402" s="55" t="s">
        <v>4649</v>
      </c>
      <c r="E402" s="54"/>
      <c r="F402" s="54"/>
      <c r="G402" s="54"/>
      <c r="H402" s="54"/>
      <c r="I402" s="54"/>
      <c r="J402" s="54"/>
      <c r="K402" s="54"/>
      <c r="L402" s="54"/>
      <c r="M402" s="54"/>
      <c r="N402" s="54"/>
      <c r="O402" s="54" t="s">
        <v>4650</v>
      </c>
    </row>
    <row r="403" spans="1:15" ht="15.75" x14ac:dyDescent="0.2">
      <c r="A403" s="53" t="s">
        <v>12</v>
      </c>
      <c r="B403" s="53" t="s">
        <v>15</v>
      </c>
      <c r="C403" s="54" t="s">
        <v>4651</v>
      </c>
      <c r="D403" s="55" t="s">
        <v>4652</v>
      </c>
      <c r="E403" s="54" t="s">
        <v>1550</v>
      </c>
      <c r="F403" s="54"/>
      <c r="G403" s="54">
        <v>3</v>
      </c>
      <c r="H403" s="54"/>
      <c r="I403" s="54"/>
      <c r="J403" s="54"/>
      <c r="K403" s="54"/>
      <c r="L403" s="54"/>
      <c r="M403" s="54"/>
      <c r="N403" s="54"/>
      <c r="O403" s="54"/>
    </row>
    <row r="404" spans="1:15" ht="30" x14ac:dyDescent="0.2">
      <c r="A404" s="53" t="s">
        <v>12</v>
      </c>
      <c r="B404" s="53" t="s">
        <v>15</v>
      </c>
      <c r="C404" s="54" t="s">
        <v>4653</v>
      </c>
      <c r="D404" s="55" t="s">
        <v>4654</v>
      </c>
      <c r="E404" s="54"/>
      <c r="F404" s="54"/>
      <c r="G404" s="54"/>
      <c r="H404" s="54"/>
      <c r="I404" s="54"/>
      <c r="J404" s="54">
        <v>0</v>
      </c>
      <c r="K404" s="54"/>
      <c r="L404" s="54"/>
      <c r="M404" s="54"/>
      <c r="N404" s="54"/>
      <c r="O404" s="54"/>
    </row>
    <row r="405" spans="1:15" ht="30" x14ac:dyDescent="0.2">
      <c r="A405" s="53" t="s">
        <v>12</v>
      </c>
      <c r="B405" s="53" t="s">
        <v>15</v>
      </c>
      <c r="C405" s="54" t="s">
        <v>4655</v>
      </c>
      <c r="D405" s="55" t="s">
        <v>4656</v>
      </c>
      <c r="E405" s="54"/>
      <c r="F405" s="54"/>
      <c r="G405" s="54"/>
      <c r="H405" s="54"/>
      <c r="I405" s="54"/>
      <c r="J405" s="54">
        <v>0</v>
      </c>
      <c r="K405" s="54"/>
      <c r="L405" s="54"/>
      <c r="M405" s="54"/>
      <c r="N405" s="54"/>
      <c r="O405" s="54"/>
    </row>
    <row r="406" spans="1:15" ht="15.75" x14ac:dyDescent="0.2">
      <c r="A406" s="53" t="s">
        <v>12</v>
      </c>
      <c r="B406" s="53" t="s">
        <v>15</v>
      </c>
      <c r="C406" s="54" t="s">
        <v>4657</v>
      </c>
      <c r="D406" s="55" t="s">
        <v>4658</v>
      </c>
      <c r="E406" s="54"/>
      <c r="F406" s="54"/>
      <c r="G406" s="54"/>
      <c r="H406" s="54"/>
      <c r="I406" s="54"/>
      <c r="J406" s="54">
        <v>0</v>
      </c>
      <c r="K406" s="54"/>
      <c r="L406" s="54"/>
      <c r="M406" s="54"/>
      <c r="N406" s="54"/>
      <c r="O406" s="54"/>
    </row>
    <row r="407" spans="1:15" ht="30" x14ac:dyDescent="0.2">
      <c r="A407" s="53" t="s">
        <v>12</v>
      </c>
      <c r="B407" s="53" t="s">
        <v>17</v>
      </c>
      <c r="C407" s="54" t="s">
        <v>4659</v>
      </c>
      <c r="D407" s="55" t="s">
        <v>4660</v>
      </c>
      <c r="E407" s="54"/>
      <c r="F407" s="54" t="s">
        <v>4541</v>
      </c>
      <c r="G407" s="54">
        <v>13</v>
      </c>
      <c r="H407" s="54"/>
      <c r="I407" s="54">
        <v>86400</v>
      </c>
      <c r="J407" s="54">
        <v>72000</v>
      </c>
      <c r="K407" s="54"/>
      <c r="L407" s="54"/>
      <c r="M407" s="54"/>
      <c r="N407" s="54"/>
      <c r="O407" s="54" t="s">
        <v>4661</v>
      </c>
    </row>
    <row r="408" spans="1:15" ht="30" x14ac:dyDescent="0.2">
      <c r="A408" s="53" t="s">
        <v>12</v>
      </c>
      <c r="B408" s="53" t="s">
        <v>15</v>
      </c>
      <c r="C408" s="54" t="s">
        <v>4662</v>
      </c>
      <c r="D408" s="55" t="s">
        <v>4663</v>
      </c>
      <c r="E408" s="54" t="s">
        <v>4664</v>
      </c>
      <c r="F408" s="54"/>
      <c r="G408" s="54"/>
      <c r="H408" s="54"/>
      <c r="I408" s="54">
        <v>0</v>
      </c>
      <c r="J408" s="54">
        <v>0</v>
      </c>
      <c r="K408" s="54"/>
      <c r="L408" s="54"/>
      <c r="M408" s="54"/>
      <c r="N408" s="54"/>
      <c r="O408" s="54" t="s">
        <v>4665</v>
      </c>
    </row>
    <row r="409" spans="1:15" ht="30" x14ac:dyDescent="0.2">
      <c r="A409" s="53" t="s">
        <v>12</v>
      </c>
      <c r="B409" s="53" t="s">
        <v>15</v>
      </c>
      <c r="C409" s="54" t="s">
        <v>4666</v>
      </c>
      <c r="D409" s="55" t="s">
        <v>4667</v>
      </c>
      <c r="E409" s="54"/>
      <c r="F409" s="54" t="s">
        <v>4282</v>
      </c>
      <c r="G409" s="54">
        <v>1</v>
      </c>
      <c r="H409" s="54">
        <v>1</v>
      </c>
      <c r="I409" s="54"/>
      <c r="J409" s="54"/>
      <c r="K409" s="54"/>
      <c r="L409" s="54"/>
      <c r="M409" s="54"/>
      <c r="N409" s="54"/>
      <c r="O409" s="54" t="s">
        <v>4668</v>
      </c>
    </row>
    <row r="410" spans="1:15" ht="30" x14ac:dyDescent="0.2">
      <c r="A410" s="53" t="s">
        <v>12</v>
      </c>
      <c r="B410" s="53" t="s">
        <v>15</v>
      </c>
      <c r="C410" s="54" t="s">
        <v>4669</v>
      </c>
      <c r="D410" s="55" t="s">
        <v>4670</v>
      </c>
      <c r="E410" s="54"/>
      <c r="F410" s="54" t="s">
        <v>4282</v>
      </c>
      <c r="G410" s="54"/>
      <c r="H410" s="54"/>
      <c r="I410" s="54"/>
      <c r="J410" s="54"/>
      <c r="K410" s="54"/>
      <c r="L410" s="54"/>
      <c r="M410" s="54"/>
      <c r="N410" s="54"/>
      <c r="O410" s="54" t="s">
        <v>2564</v>
      </c>
    </row>
    <row r="411" spans="1:15" ht="45" x14ac:dyDescent="0.2">
      <c r="A411" s="53" t="s">
        <v>12</v>
      </c>
      <c r="B411" s="53" t="s">
        <v>15</v>
      </c>
      <c r="C411" s="54" t="s">
        <v>4671</v>
      </c>
      <c r="D411" s="55" t="s">
        <v>4672</v>
      </c>
      <c r="E411" s="54"/>
      <c r="F411" s="54" t="s">
        <v>4176</v>
      </c>
      <c r="G411" s="54">
        <v>2</v>
      </c>
      <c r="H411" s="54">
        <v>2</v>
      </c>
      <c r="I411" s="54"/>
      <c r="J411" s="54"/>
      <c r="K411" s="54"/>
      <c r="L411" s="54"/>
      <c r="M411" s="54"/>
      <c r="N411" s="54"/>
      <c r="O411" s="54" t="s">
        <v>2564</v>
      </c>
    </row>
    <row r="412" spans="1:15" ht="30" x14ac:dyDescent="0.2">
      <c r="A412" s="53" t="s">
        <v>12</v>
      </c>
      <c r="B412" s="53" t="s">
        <v>15</v>
      </c>
      <c r="C412" s="54" t="s">
        <v>4673</v>
      </c>
      <c r="D412" s="55" t="s">
        <v>4674</v>
      </c>
      <c r="E412" s="54"/>
      <c r="F412" s="54" t="s">
        <v>4631</v>
      </c>
      <c r="G412" s="54"/>
      <c r="H412" s="54"/>
      <c r="I412" s="54"/>
      <c r="J412" s="54">
        <v>0</v>
      </c>
      <c r="K412" s="54"/>
      <c r="L412" s="54"/>
      <c r="M412" s="54"/>
      <c r="N412" s="54"/>
      <c r="O412" s="54"/>
    </row>
    <row r="413" spans="1:15" ht="30" x14ac:dyDescent="0.2">
      <c r="A413" s="53" t="s">
        <v>12</v>
      </c>
      <c r="B413" s="53" t="s">
        <v>15</v>
      </c>
      <c r="C413" s="54" t="s">
        <v>4675</v>
      </c>
      <c r="D413" s="55" t="s">
        <v>4676</v>
      </c>
      <c r="E413" s="54"/>
      <c r="F413" s="54" t="s">
        <v>4282</v>
      </c>
      <c r="G413" s="54">
        <v>8</v>
      </c>
      <c r="H413" s="54">
        <v>8</v>
      </c>
      <c r="I413" s="54"/>
      <c r="J413" s="54"/>
      <c r="K413" s="54"/>
      <c r="L413" s="54"/>
      <c r="M413" s="54"/>
      <c r="N413" s="54"/>
      <c r="O413" s="54" t="s">
        <v>4677</v>
      </c>
    </row>
    <row r="414" spans="1:15" ht="30" x14ac:dyDescent="0.2">
      <c r="A414" s="53" t="s">
        <v>12</v>
      </c>
      <c r="B414" s="53" t="s">
        <v>15</v>
      </c>
      <c r="C414" s="54" t="s">
        <v>4678</v>
      </c>
      <c r="D414" s="55" t="s">
        <v>4679</v>
      </c>
      <c r="E414" s="54"/>
      <c r="F414" s="54" t="s">
        <v>4282</v>
      </c>
      <c r="G414" s="54">
        <v>8</v>
      </c>
      <c r="H414" s="54">
        <v>8</v>
      </c>
      <c r="I414" s="54"/>
      <c r="J414" s="54"/>
      <c r="K414" s="54"/>
      <c r="L414" s="54"/>
      <c r="M414" s="54"/>
      <c r="N414" s="54"/>
      <c r="O414" s="54" t="s">
        <v>4680</v>
      </c>
    </row>
    <row r="415" spans="1:15" ht="15.75" x14ac:dyDescent="0.2">
      <c r="A415" s="53" t="s">
        <v>12</v>
      </c>
      <c r="B415" s="53" t="s">
        <v>15</v>
      </c>
      <c r="C415" s="54" t="s">
        <v>4681</v>
      </c>
      <c r="D415" s="55" t="s">
        <v>4682</v>
      </c>
      <c r="E415" s="54" t="s">
        <v>1550</v>
      </c>
      <c r="F415" s="54"/>
      <c r="G415" s="54">
        <v>2</v>
      </c>
      <c r="H415" s="54">
        <v>2</v>
      </c>
      <c r="I415" s="54">
        <v>7200</v>
      </c>
      <c r="J415" s="54">
        <v>0</v>
      </c>
      <c r="K415" s="54"/>
      <c r="L415" s="54"/>
      <c r="M415" s="54"/>
      <c r="N415" s="54"/>
      <c r="O415" s="54" t="s">
        <v>3819</v>
      </c>
    </row>
    <row r="416" spans="1:15" ht="15.75" x14ac:dyDescent="0.2">
      <c r="A416" s="53" t="s">
        <v>12</v>
      </c>
      <c r="B416" s="53" t="s">
        <v>15</v>
      </c>
      <c r="C416" s="54" t="s">
        <v>4683</v>
      </c>
      <c r="D416" s="55" t="s">
        <v>4684</v>
      </c>
      <c r="E416" s="54" t="s">
        <v>1550</v>
      </c>
      <c r="F416" s="54" t="s">
        <v>3985</v>
      </c>
      <c r="G416" s="54">
        <v>8</v>
      </c>
      <c r="H416" s="54">
        <v>8</v>
      </c>
      <c r="I416" s="54">
        <v>57600</v>
      </c>
      <c r="J416" s="54">
        <v>57600</v>
      </c>
      <c r="K416" s="54"/>
      <c r="L416" s="54"/>
      <c r="M416" s="54"/>
      <c r="N416" s="54"/>
      <c r="O416" s="54" t="s">
        <v>4685</v>
      </c>
    </row>
    <row r="417" spans="1:15" ht="30" x14ac:dyDescent="0.2">
      <c r="A417" s="53" t="s">
        <v>12</v>
      </c>
      <c r="B417" s="53" t="s">
        <v>15</v>
      </c>
      <c r="C417" s="54" t="s">
        <v>4686</v>
      </c>
      <c r="D417" s="55" t="s">
        <v>4687</v>
      </c>
      <c r="E417" s="54" t="s">
        <v>2711</v>
      </c>
      <c r="F417" s="54"/>
      <c r="G417" s="54">
        <v>1</v>
      </c>
      <c r="H417" s="54">
        <v>1</v>
      </c>
      <c r="I417" s="54">
        <v>7200</v>
      </c>
      <c r="J417" s="54">
        <v>3600</v>
      </c>
      <c r="K417" s="54"/>
      <c r="L417" s="54"/>
      <c r="M417" s="54"/>
      <c r="N417" s="54"/>
      <c r="O417" s="54" t="s">
        <v>4688</v>
      </c>
    </row>
    <row r="418" spans="1:15" ht="75" x14ac:dyDescent="0.2">
      <c r="A418" s="53" t="s">
        <v>12</v>
      </c>
      <c r="B418" s="53" t="s">
        <v>15</v>
      </c>
      <c r="C418" s="54" t="s">
        <v>4689</v>
      </c>
      <c r="D418" s="55" t="s">
        <v>4690</v>
      </c>
      <c r="E418" s="54"/>
      <c r="F418" s="54" t="s">
        <v>3582</v>
      </c>
      <c r="G418" s="54">
        <v>5</v>
      </c>
      <c r="H418" s="54">
        <v>5</v>
      </c>
      <c r="I418" s="54"/>
      <c r="J418" s="54">
        <v>0</v>
      </c>
      <c r="K418" s="54"/>
      <c r="L418" s="54"/>
      <c r="M418" s="54"/>
      <c r="N418" s="54"/>
      <c r="O418" s="54" t="s">
        <v>4691</v>
      </c>
    </row>
    <row r="419" spans="1:15" ht="15.75" x14ac:dyDescent="0.2">
      <c r="A419" s="53" t="s">
        <v>12</v>
      </c>
      <c r="B419" s="53" t="s">
        <v>15</v>
      </c>
      <c r="C419" s="54" t="s">
        <v>4692</v>
      </c>
      <c r="D419" s="55" t="s">
        <v>4693</v>
      </c>
      <c r="E419" s="54"/>
      <c r="F419" s="54"/>
      <c r="G419" s="54"/>
      <c r="H419" s="54"/>
      <c r="I419" s="54"/>
      <c r="J419" s="54">
        <v>0</v>
      </c>
      <c r="K419" s="54"/>
      <c r="L419" s="54"/>
      <c r="M419" s="54"/>
      <c r="N419" s="54"/>
      <c r="O419" s="54"/>
    </row>
    <row r="420" spans="1:15" ht="30" x14ac:dyDescent="0.2">
      <c r="A420" s="53" t="s">
        <v>12</v>
      </c>
      <c r="B420" s="53" t="s">
        <v>15</v>
      </c>
      <c r="C420" s="54" t="s">
        <v>4694</v>
      </c>
      <c r="D420" s="55" t="s">
        <v>4695</v>
      </c>
      <c r="E420" s="54" t="s">
        <v>4196</v>
      </c>
      <c r="F420" s="54" t="s">
        <v>4197</v>
      </c>
      <c r="G420" s="54">
        <v>8</v>
      </c>
      <c r="H420" s="54">
        <v>8</v>
      </c>
      <c r="I420" s="54">
        <v>79200</v>
      </c>
      <c r="J420" s="54">
        <v>14400</v>
      </c>
      <c r="K420" s="54"/>
      <c r="L420" s="54"/>
      <c r="M420" s="54"/>
      <c r="N420" s="54"/>
      <c r="O420" s="54" t="s">
        <v>3694</v>
      </c>
    </row>
    <row r="421" spans="1:15" ht="15.75" x14ac:dyDescent="0.2">
      <c r="A421" s="53" t="s">
        <v>12</v>
      </c>
      <c r="B421" s="53" t="s">
        <v>15</v>
      </c>
      <c r="C421" s="54" t="s">
        <v>4696</v>
      </c>
      <c r="D421" s="55" t="s">
        <v>4697</v>
      </c>
      <c r="E421" s="54"/>
      <c r="F421" s="54" t="s">
        <v>4320</v>
      </c>
      <c r="G421" s="54">
        <v>8</v>
      </c>
      <c r="H421" s="54">
        <v>8</v>
      </c>
      <c r="I421" s="54">
        <v>28800</v>
      </c>
      <c r="J421" s="54">
        <v>0</v>
      </c>
      <c r="K421" s="54"/>
      <c r="L421" s="54"/>
      <c r="M421" s="54"/>
      <c r="N421" s="54"/>
      <c r="O421" s="54"/>
    </row>
    <row r="422" spans="1:15" ht="30" x14ac:dyDescent="0.2">
      <c r="A422" s="53" t="s">
        <v>12</v>
      </c>
      <c r="B422" s="53" t="s">
        <v>15</v>
      </c>
      <c r="C422" s="54" t="s">
        <v>4698</v>
      </c>
      <c r="D422" s="55" t="s">
        <v>4699</v>
      </c>
      <c r="E422" s="54" t="s">
        <v>4196</v>
      </c>
      <c r="F422" s="54" t="s">
        <v>4197</v>
      </c>
      <c r="G422" s="54">
        <v>13</v>
      </c>
      <c r="H422" s="54">
        <v>13</v>
      </c>
      <c r="I422" s="54">
        <v>144000</v>
      </c>
      <c r="J422" s="54">
        <v>28800</v>
      </c>
      <c r="K422" s="54"/>
      <c r="L422" s="54"/>
      <c r="M422" s="54"/>
      <c r="N422" s="54"/>
      <c r="O422" s="54" t="s">
        <v>3694</v>
      </c>
    </row>
    <row r="423" spans="1:15" ht="30" x14ac:dyDescent="0.2">
      <c r="A423" s="53" t="s">
        <v>12</v>
      </c>
      <c r="B423" s="53" t="s">
        <v>15</v>
      </c>
      <c r="C423" s="54" t="s">
        <v>4700</v>
      </c>
      <c r="D423" s="55" t="s">
        <v>4701</v>
      </c>
      <c r="E423" s="54"/>
      <c r="F423" s="54" t="s">
        <v>4291</v>
      </c>
      <c r="G423" s="54">
        <v>5</v>
      </c>
      <c r="H423" s="54">
        <v>5</v>
      </c>
      <c r="I423" s="54">
        <v>28800</v>
      </c>
      <c r="J423" s="54">
        <v>0</v>
      </c>
      <c r="K423" s="54"/>
      <c r="L423" s="54"/>
      <c r="M423" s="54"/>
      <c r="N423" s="54"/>
      <c r="O423" s="54"/>
    </row>
    <row r="424" spans="1:15" ht="30" x14ac:dyDescent="0.2">
      <c r="A424" s="53" t="s">
        <v>12</v>
      </c>
      <c r="B424" s="53" t="s">
        <v>15</v>
      </c>
      <c r="C424" s="54" t="s">
        <v>4702</v>
      </c>
      <c r="D424" s="55" t="s">
        <v>4703</v>
      </c>
      <c r="E424" s="54" t="s">
        <v>4196</v>
      </c>
      <c r="F424" s="54" t="s">
        <v>4197</v>
      </c>
      <c r="G424" s="54">
        <v>2</v>
      </c>
      <c r="H424" s="54">
        <v>2</v>
      </c>
      <c r="I424" s="54">
        <v>122400</v>
      </c>
      <c r="J424" s="54">
        <v>54000</v>
      </c>
      <c r="K424" s="54"/>
      <c r="L424" s="54"/>
      <c r="M424" s="54"/>
      <c r="N424" s="54"/>
      <c r="O424" s="54" t="s">
        <v>3694</v>
      </c>
    </row>
    <row r="425" spans="1:15" ht="30" x14ac:dyDescent="0.2">
      <c r="A425" s="53" t="s">
        <v>12</v>
      </c>
      <c r="B425" s="53" t="s">
        <v>15</v>
      </c>
      <c r="C425" s="54" t="s">
        <v>4704</v>
      </c>
      <c r="D425" s="55" t="s">
        <v>4705</v>
      </c>
      <c r="E425" s="54"/>
      <c r="F425" s="54"/>
      <c r="G425" s="54">
        <v>8</v>
      </c>
      <c r="H425" s="54">
        <v>8</v>
      </c>
      <c r="I425" s="54">
        <v>32400</v>
      </c>
      <c r="J425" s="54">
        <v>3600</v>
      </c>
      <c r="K425" s="54"/>
      <c r="L425" s="54"/>
      <c r="M425" s="54"/>
      <c r="N425" s="54"/>
      <c r="O425" s="54"/>
    </row>
    <row r="426" spans="1:15" ht="15.75" x14ac:dyDescent="0.2">
      <c r="A426" s="53" t="s">
        <v>12</v>
      </c>
      <c r="B426" s="53" t="s">
        <v>15</v>
      </c>
      <c r="C426" s="54" t="s">
        <v>4706</v>
      </c>
      <c r="D426" s="55" t="s">
        <v>4707</v>
      </c>
      <c r="E426" s="54"/>
      <c r="F426" s="54"/>
      <c r="G426" s="54">
        <v>13</v>
      </c>
      <c r="H426" s="54">
        <v>13</v>
      </c>
      <c r="I426" s="54">
        <v>0</v>
      </c>
      <c r="J426" s="54">
        <v>3600</v>
      </c>
      <c r="K426" s="54"/>
      <c r="L426" s="54"/>
      <c r="M426" s="54"/>
      <c r="N426" s="54"/>
      <c r="O426" s="54"/>
    </row>
    <row r="427" spans="1:15" ht="15.75" x14ac:dyDescent="0.2">
      <c r="A427" s="53" t="s">
        <v>12</v>
      </c>
      <c r="B427" s="53" t="s">
        <v>15</v>
      </c>
      <c r="C427" s="54" t="s">
        <v>4708</v>
      </c>
      <c r="D427" s="55" t="s">
        <v>4709</v>
      </c>
      <c r="E427" s="54"/>
      <c r="F427" s="54" t="s">
        <v>3812</v>
      </c>
      <c r="G427" s="54">
        <v>13</v>
      </c>
      <c r="H427" s="54">
        <v>13</v>
      </c>
      <c r="I427" s="54">
        <v>223200</v>
      </c>
      <c r="J427" s="54">
        <v>216000</v>
      </c>
      <c r="K427" s="54"/>
      <c r="L427" s="54"/>
      <c r="M427" s="54"/>
      <c r="N427" s="54"/>
      <c r="O427" s="54" t="s">
        <v>4710</v>
      </c>
    </row>
    <row r="428" spans="1:15" ht="15.75" x14ac:dyDescent="0.2">
      <c r="A428" s="53" t="s">
        <v>12</v>
      </c>
      <c r="B428" s="53" t="s">
        <v>15</v>
      </c>
      <c r="C428" s="54" t="s">
        <v>4711</v>
      </c>
      <c r="D428" s="55" t="s">
        <v>4712</v>
      </c>
      <c r="E428" s="54"/>
      <c r="F428" s="54" t="s">
        <v>4197</v>
      </c>
      <c r="G428" s="54">
        <v>5</v>
      </c>
      <c r="H428" s="54">
        <v>5</v>
      </c>
      <c r="I428" s="54">
        <v>36000</v>
      </c>
      <c r="J428" s="54">
        <v>28800</v>
      </c>
      <c r="K428" s="54"/>
      <c r="L428" s="54"/>
      <c r="M428" s="54"/>
      <c r="N428" s="54"/>
      <c r="O428" s="54" t="s">
        <v>4713</v>
      </c>
    </row>
    <row r="429" spans="1:15" ht="15.75" x14ac:dyDescent="0.2">
      <c r="A429" s="53" t="s">
        <v>12</v>
      </c>
      <c r="B429" s="53" t="s">
        <v>15</v>
      </c>
      <c r="C429" s="54" t="s">
        <v>4714</v>
      </c>
      <c r="D429" s="55" t="s">
        <v>4715</v>
      </c>
      <c r="E429" s="54" t="s">
        <v>1550</v>
      </c>
      <c r="F429" s="54"/>
      <c r="G429" s="54">
        <v>8</v>
      </c>
      <c r="H429" s="54">
        <v>8</v>
      </c>
      <c r="I429" s="54">
        <v>28800</v>
      </c>
      <c r="J429" s="54">
        <v>0</v>
      </c>
      <c r="K429" s="54"/>
      <c r="L429" s="54"/>
      <c r="M429" s="54"/>
      <c r="N429" s="54"/>
      <c r="O429" s="54" t="s">
        <v>3819</v>
      </c>
    </row>
    <row r="430" spans="1:15" ht="75" x14ac:dyDescent="0.2">
      <c r="A430" s="53" t="s">
        <v>12</v>
      </c>
      <c r="B430" s="53" t="s">
        <v>15</v>
      </c>
      <c r="C430" s="54" t="s">
        <v>4716</v>
      </c>
      <c r="D430" s="55" t="s">
        <v>4717</v>
      </c>
      <c r="E430" s="54"/>
      <c r="F430" s="54" t="s">
        <v>3582</v>
      </c>
      <c r="G430" s="54">
        <v>5</v>
      </c>
      <c r="H430" s="54">
        <v>5</v>
      </c>
      <c r="I430" s="54">
        <v>0</v>
      </c>
      <c r="J430" s="54">
        <v>0</v>
      </c>
      <c r="K430" s="54"/>
      <c r="L430" s="54"/>
      <c r="M430" s="54"/>
      <c r="N430" s="54"/>
      <c r="O430" s="54" t="s">
        <v>4718</v>
      </c>
    </row>
    <row r="431" spans="1:15" ht="15.75" x14ac:dyDescent="0.2">
      <c r="A431" s="53" t="s">
        <v>12</v>
      </c>
      <c r="B431" s="53" t="s">
        <v>15</v>
      </c>
      <c r="C431" s="54" t="s">
        <v>4719</v>
      </c>
      <c r="D431" s="55" t="s">
        <v>4720</v>
      </c>
      <c r="E431" s="54" t="s">
        <v>2711</v>
      </c>
      <c r="F431" s="54" t="s">
        <v>3106</v>
      </c>
      <c r="G431" s="54">
        <v>20</v>
      </c>
      <c r="H431" s="54">
        <v>20</v>
      </c>
      <c r="I431" s="54">
        <v>86400</v>
      </c>
      <c r="J431" s="54">
        <v>86400</v>
      </c>
      <c r="K431" s="54"/>
      <c r="L431" s="54"/>
      <c r="M431" s="54"/>
      <c r="N431" s="54"/>
      <c r="O431" s="54" t="s">
        <v>3239</v>
      </c>
    </row>
    <row r="432" spans="1:15" ht="15.75" x14ac:dyDescent="0.2">
      <c r="A432" s="53" t="s">
        <v>12</v>
      </c>
      <c r="B432" s="53" t="s">
        <v>15</v>
      </c>
      <c r="C432" s="54" t="s">
        <v>4721</v>
      </c>
      <c r="D432" s="55" t="s">
        <v>4722</v>
      </c>
      <c r="E432" s="54" t="s">
        <v>1550</v>
      </c>
      <c r="F432" s="54" t="s">
        <v>3831</v>
      </c>
      <c r="G432" s="54">
        <v>5</v>
      </c>
      <c r="H432" s="54">
        <v>5</v>
      </c>
      <c r="I432" s="54">
        <v>57600</v>
      </c>
      <c r="J432" s="54">
        <v>57600</v>
      </c>
      <c r="K432" s="54"/>
      <c r="L432" s="54"/>
      <c r="M432" s="54"/>
      <c r="N432" s="54"/>
      <c r="O432" s="54" t="s">
        <v>3986</v>
      </c>
    </row>
    <row r="433" spans="1:15" ht="30" x14ac:dyDescent="0.2">
      <c r="A433" s="53" t="s">
        <v>12</v>
      </c>
      <c r="B433" s="53" t="s">
        <v>13</v>
      </c>
      <c r="C433" s="54" t="s">
        <v>4723</v>
      </c>
      <c r="D433" s="55" t="s">
        <v>4724</v>
      </c>
      <c r="E433" s="54" t="s">
        <v>417</v>
      </c>
      <c r="F433" s="54"/>
      <c r="G433" s="54">
        <v>8</v>
      </c>
      <c r="H433" s="54"/>
      <c r="I433" s="54">
        <v>28800</v>
      </c>
      <c r="J433" s="54">
        <v>28800</v>
      </c>
      <c r="K433" s="54"/>
      <c r="L433" s="54"/>
      <c r="M433" s="54"/>
      <c r="N433" s="54"/>
      <c r="O433" s="54" t="s">
        <v>4725</v>
      </c>
    </row>
    <row r="434" spans="1:15" ht="30" x14ac:dyDescent="0.2">
      <c r="A434" s="53" t="s">
        <v>12</v>
      </c>
      <c r="B434" s="53" t="s">
        <v>13</v>
      </c>
      <c r="C434" s="54" t="s">
        <v>4726</v>
      </c>
      <c r="D434" s="55" t="s">
        <v>4727</v>
      </c>
      <c r="E434" s="54" t="s">
        <v>2026</v>
      </c>
      <c r="F434" s="54"/>
      <c r="G434" s="54">
        <v>5</v>
      </c>
      <c r="H434" s="54"/>
      <c r="I434" s="54">
        <v>57600</v>
      </c>
      <c r="J434" s="54">
        <v>28800</v>
      </c>
      <c r="K434" s="54"/>
      <c r="L434" s="54"/>
      <c r="M434" s="54"/>
      <c r="N434" s="54"/>
      <c r="O434" s="54" t="s">
        <v>4728</v>
      </c>
    </row>
    <row r="435" spans="1:15" ht="15.75" x14ac:dyDescent="0.2">
      <c r="A435" s="53" t="s">
        <v>12</v>
      </c>
      <c r="B435" s="53" t="s">
        <v>13</v>
      </c>
      <c r="C435" s="54" t="s">
        <v>4729</v>
      </c>
      <c r="D435" s="55" t="s">
        <v>4730</v>
      </c>
      <c r="E435" s="54" t="s">
        <v>2026</v>
      </c>
      <c r="F435" s="54"/>
      <c r="G435" s="54">
        <v>8</v>
      </c>
      <c r="H435" s="54"/>
      <c r="I435" s="54">
        <v>28800</v>
      </c>
      <c r="J435" s="54">
        <v>28800</v>
      </c>
      <c r="K435" s="54"/>
      <c r="L435" s="54"/>
      <c r="M435" s="54"/>
      <c r="N435" s="54"/>
      <c r="O435" s="54" t="s">
        <v>4731</v>
      </c>
    </row>
    <row r="436" spans="1:15" ht="15.75" x14ac:dyDescent="0.2">
      <c r="A436" s="53" t="s">
        <v>12</v>
      </c>
      <c r="B436" s="53" t="s">
        <v>15</v>
      </c>
      <c r="C436" s="54" t="s">
        <v>4732</v>
      </c>
      <c r="D436" s="55" t="s">
        <v>4733</v>
      </c>
      <c r="E436" s="54" t="s">
        <v>1550</v>
      </c>
      <c r="F436" s="54"/>
      <c r="G436" s="54">
        <v>5</v>
      </c>
      <c r="H436" s="54">
        <v>5</v>
      </c>
      <c r="I436" s="54">
        <v>28800</v>
      </c>
      <c r="J436" s="54">
        <v>28800</v>
      </c>
      <c r="K436" s="54"/>
      <c r="L436" s="54"/>
      <c r="M436" s="54"/>
      <c r="N436" s="54"/>
      <c r="O436" s="54" t="s">
        <v>4734</v>
      </c>
    </row>
    <row r="437" spans="1:15" ht="75" x14ac:dyDescent="0.2">
      <c r="A437" s="53" t="s">
        <v>12</v>
      </c>
      <c r="B437" s="53" t="s">
        <v>15</v>
      </c>
      <c r="C437" s="54" t="s">
        <v>4735</v>
      </c>
      <c r="D437" s="55" t="s">
        <v>4525</v>
      </c>
      <c r="E437" s="54"/>
      <c r="F437" s="54" t="s">
        <v>3582</v>
      </c>
      <c r="G437" s="54">
        <v>8</v>
      </c>
      <c r="H437" s="54">
        <v>8</v>
      </c>
      <c r="I437" s="54">
        <v>0</v>
      </c>
      <c r="J437" s="54">
        <v>0</v>
      </c>
      <c r="K437" s="54"/>
      <c r="L437" s="54"/>
      <c r="M437" s="54"/>
      <c r="N437" s="54"/>
      <c r="O437" s="54" t="s">
        <v>4736</v>
      </c>
    </row>
    <row r="438" spans="1:15" ht="105" x14ac:dyDescent="0.2">
      <c r="A438" s="53" t="s">
        <v>12</v>
      </c>
      <c r="B438" s="53" t="s">
        <v>16</v>
      </c>
      <c r="C438" s="54" t="s">
        <v>4737</v>
      </c>
      <c r="D438" s="55" t="s">
        <v>4738</v>
      </c>
      <c r="E438" s="54" t="s">
        <v>899</v>
      </c>
      <c r="F438" s="54" t="s">
        <v>2536</v>
      </c>
      <c r="G438" s="54">
        <v>3</v>
      </c>
      <c r="H438" s="54"/>
      <c r="I438" s="54">
        <v>0</v>
      </c>
      <c r="J438" s="54">
        <v>0</v>
      </c>
      <c r="K438" s="54"/>
      <c r="L438" s="54"/>
      <c r="M438" s="54"/>
      <c r="N438" s="54"/>
      <c r="O438" s="54" t="s">
        <v>4739</v>
      </c>
    </row>
    <row r="439" spans="1:15" ht="30" x14ac:dyDescent="0.2">
      <c r="A439" s="53" t="s">
        <v>12</v>
      </c>
      <c r="B439" s="53" t="s">
        <v>15</v>
      </c>
      <c r="C439" s="54" t="s">
        <v>4740</v>
      </c>
      <c r="D439" s="55" t="s">
        <v>4741</v>
      </c>
      <c r="E439" s="54"/>
      <c r="F439" s="54" t="s">
        <v>4330</v>
      </c>
      <c r="G439" s="54">
        <v>8</v>
      </c>
      <c r="H439" s="54">
        <v>8</v>
      </c>
      <c r="I439" s="54"/>
      <c r="J439" s="54">
        <v>0</v>
      </c>
      <c r="K439" s="54"/>
      <c r="L439" s="54"/>
      <c r="M439" s="54"/>
      <c r="N439" s="54"/>
      <c r="O439" s="54" t="s">
        <v>4742</v>
      </c>
    </row>
    <row r="440" spans="1:15" ht="60" x14ac:dyDescent="0.2">
      <c r="A440" s="53" t="s">
        <v>12</v>
      </c>
      <c r="B440" s="53" t="s">
        <v>15</v>
      </c>
      <c r="C440" s="54" t="s">
        <v>4743</v>
      </c>
      <c r="D440" s="55" t="s">
        <v>4744</v>
      </c>
      <c r="E440" s="54"/>
      <c r="F440" s="54" t="s">
        <v>4358</v>
      </c>
      <c r="G440" s="54"/>
      <c r="H440" s="54"/>
      <c r="I440" s="54">
        <v>7200</v>
      </c>
      <c r="J440" s="54">
        <v>1800</v>
      </c>
      <c r="K440" s="54"/>
      <c r="L440" s="54"/>
      <c r="M440" s="54"/>
      <c r="N440" s="54"/>
      <c r="O440" s="54" t="s">
        <v>4745</v>
      </c>
    </row>
    <row r="441" spans="1:15" ht="15.75" x14ac:dyDescent="0.2">
      <c r="A441" s="53" t="s">
        <v>12</v>
      </c>
      <c r="B441" s="53" t="s">
        <v>15</v>
      </c>
      <c r="C441" s="54" t="s">
        <v>4746</v>
      </c>
      <c r="D441" s="55" t="s">
        <v>4747</v>
      </c>
      <c r="E441" s="54"/>
      <c r="F441" s="54" t="s">
        <v>3985</v>
      </c>
      <c r="G441" s="54">
        <v>8</v>
      </c>
      <c r="H441" s="54">
        <v>8</v>
      </c>
      <c r="I441" s="54">
        <v>28800</v>
      </c>
      <c r="J441" s="54">
        <v>7200</v>
      </c>
      <c r="K441" s="54"/>
      <c r="L441" s="54"/>
      <c r="M441" s="54"/>
      <c r="N441" s="54"/>
      <c r="O441" s="54"/>
    </row>
    <row r="442" spans="1:15" ht="15.75" x14ac:dyDescent="0.2">
      <c r="A442" s="53" t="s">
        <v>12</v>
      </c>
      <c r="B442" s="53" t="s">
        <v>15</v>
      </c>
      <c r="C442" s="54" t="s">
        <v>4748</v>
      </c>
      <c r="D442" s="55" t="s">
        <v>4749</v>
      </c>
      <c r="E442" s="54" t="s">
        <v>2711</v>
      </c>
      <c r="F442" s="54" t="s">
        <v>3106</v>
      </c>
      <c r="G442" s="54">
        <v>20</v>
      </c>
      <c r="H442" s="54">
        <v>20</v>
      </c>
      <c r="I442" s="54">
        <v>16200</v>
      </c>
      <c r="J442" s="54">
        <v>16200</v>
      </c>
      <c r="K442" s="54"/>
      <c r="L442" s="54"/>
      <c r="M442" s="54"/>
      <c r="N442" s="54"/>
      <c r="O442" s="54" t="s">
        <v>3239</v>
      </c>
    </row>
    <row r="443" spans="1:15" ht="30" x14ac:dyDescent="0.2">
      <c r="A443" s="53" t="s">
        <v>12</v>
      </c>
      <c r="B443" s="53" t="s">
        <v>15</v>
      </c>
      <c r="C443" s="54" t="s">
        <v>4750</v>
      </c>
      <c r="D443" s="55" t="s">
        <v>4751</v>
      </c>
      <c r="E443" s="54" t="s">
        <v>4752</v>
      </c>
      <c r="F443" s="54" t="s">
        <v>4753</v>
      </c>
      <c r="G443" s="54"/>
      <c r="H443" s="54"/>
      <c r="I443" s="54"/>
      <c r="J443" s="54"/>
      <c r="K443" s="54"/>
      <c r="L443" s="54"/>
      <c r="M443" s="54"/>
      <c r="N443" s="54"/>
      <c r="O443" s="54" t="s">
        <v>4754</v>
      </c>
    </row>
    <row r="444" spans="1:15" ht="15.75" x14ac:dyDescent="0.2">
      <c r="A444" s="53" t="s">
        <v>12</v>
      </c>
      <c r="B444" s="53" t="s">
        <v>15</v>
      </c>
      <c r="C444" s="54" t="s">
        <v>4755</v>
      </c>
      <c r="D444" s="55" t="s">
        <v>4756</v>
      </c>
      <c r="E444" s="54"/>
      <c r="F444" s="54"/>
      <c r="G444" s="54"/>
      <c r="H444" s="54"/>
      <c r="I444" s="54"/>
      <c r="J444" s="54">
        <v>0</v>
      </c>
      <c r="K444" s="54"/>
      <c r="L444" s="54"/>
      <c r="M444" s="54"/>
      <c r="N444" s="54"/>
      <c r="O444" s="54"/>
    </row>
    <row r="445" spans="1:15" ht="30" x14ac:dyDescent="0.2">
      <c r="A445" s="53" t="s">
        <v>12</v>
      </c>
      <c r="B445" s="53" t="s">
        <v>13</v>
      </c>
      <c r="C445" s="54" t="s">
        <v>4757</v>
      </c>
      <c r="D445" s="55" t="s">
        <v>4758</v>
      </c>
      <c r="E445" s="54" t="s">
        <v>1550</v>
      </c>
      <c r="F445" s="54" t="s">
        <v>4759</v>
      </c>
      <c r="G445" s="54">
        <v>3</v>
      </c>
      <c r="H445" s="54"/>
      <c r="I445" s="54"/>
      <c r="J445" s="54"/>
      <c r="K445" s="54"/>
      <c r="L445" s="54"/>
      <c r="M445" s="54"/>
      <c r="N445" s="54"/>
      <c r="O445" s="54" t="s">
        <v>1544</v>
      </c>
    </row>
    <row r="446" spans="1:15" ht="30" x14ac:dyDescent="0.2">
      <c r="A446" s="53" t="s">
        <v>12</v>
      </c>
      <c r="B446" s="53" t="s">
        <v>13</v>
      </c>
      <c r="C446" s="54" t="s">
        <v>4760</v>
      </c>
      <c r="D446" s="55" t="s">
        <v>4761</v>
      </c>
      <c r="E446" s="54" t="s">
        <v>899</v>
      </c>
      <c r="F446" s="54" t="s">
        <v>4762</v>
      </c>
      <c r="G446" s="54">
        <v>2</v>
      </c>
      <c r="H446" s="54"/>
      <c r="I446" s="54"/>
      <c r="J446" s="54"/>
      <c r="K446" s="54"/>
      <c r="L446" s="54"/>
      <c r="M446" s="54"/>
      <c r="N446" s="54"/>
      <c r="O446" s="54" t="s">
        <v>1544</v>
      </c>
    </row>
    <row r="447" spans="1:15" ht="30" x14ac:dyDescent="0.2">
      <c r="A447" s="53" t="s">
        <v>12</v>
      </c>
      <c r="B447" s="53" t="s">
        <v>13</v>
      </c>
      <c r="C447" s="54" t="s">
        <v>4763</v>
      </c>
      <c r="D447" s="55" t="s">
        <v>4764</v>
      </c>
      <c r="E447" s="54" t="s">
        <v>899</v>
      </c>
      <c r="F447" s="54" t="s">
        <v>4765</v>
      </c>
      <c r="G447" s="54">
        <v>3</v>
      </c>
      <c r="H447" s="54"/>
      <c r="I447" s="54"/>
      <c r="J447" s="54"/>
      <c r="K447" s="54"/>
      <c r="L447" s="54"/>
      <c r="M447" s="54"/>
      <c r="N447" s="54"/>
      <c r="O447" s="54" t="s">
        <v>4766</v>
      </c>
    </row>
    <row r="448" spans="1:15" ht="15.75" x14ac:dyDescent="0.2">
      <c r="A448" s="53" t="s">
        <v>12</v>
      </c>
      <c r="B448" s="53" t="s">
        <v>15</v>
      </c>
      <c r="C448" s="54" t="s">
        <v>4767</v>
      </c>
      <c r="D448" s="55" t="s">
        <v>4768</v>
      </c>
      <c r="E448" s="54"/>
      <c r="F448" s="54" t="s">
        <v>4631</v>
      </c>
      <c r="G448" s="54"/>
      <c r="H448" s="54"/>
      <c r="I448" s="54"/>
      <c r="J448" s="54">
        <v>0</v>
      </c>
      <c r="K448" s="54"/>
      <c r="L448" s="54"/>
      <c r="M448" s="54"/>
      <c r="N448" s="54"/>
      <c r="O448" s="54" t="s">
        <v>4769</v>
      </c>
    </row>
    <row r="449" spans="1:15" ht="30" x14ac:dyDescent="0.2">
      <c r="A449" s="53" t="s">
        <v>12</v>
      </c>
      <c r="B449" s="53" t="s">
        <v>15</v>
      </c>
      <c r="C449" s="54" t="s">
        <v>4770</v>
      </c>
      <c r="D449" s="55" t="s">
        <v>4771</v>
      </c>
      <c r="E449" s="54" t="s">
        <v>4564</v>
      </c>
      <c r="F449" s="54" t="s">
        <v>4772</v>
      </c>
      <c r="G449" s="54">
        <v>3</v>
      </c>
      <c r="H449" s="54">
        <v>3</v>
      </c>
      <c r="I449" s="54">
        <v>0</v>
      </c>
      <c r="J449" s="54">
        <v>0</v>
      </c>
      <c r="K449" s="54"/>
      <c r="L449" s="54"/>
      <c r="M449" s="54"/>
      <c r="N449" s="54"/>
      <c r="O449" s="54" t="s">
        <v>3852</v>
      </c>
    </row>
    <row r="450" spans="1:15" x14ac:dyDescent="0.2">
      <c r="A450" s="70" t="s">
        <v>4773</v>
      </c>
      <c r="B450" s="71"/>
      <c r="C450" s="71"/>
      <c r="D450" s="71"/>
      <c r="E450" s="71"/>
      <c r="F450" s="71"/>
      <c r="G450" s="71"/>
      <c r="H450" s="71"/>
      <c r="I450" s="71"/>
      <c r="J450" s="71"/>
      <c r="K450" s="71"/>
      <c r="L450" s="71"/>
      <c r="M450" s="71"/>
      <c r="N450" s="71"/>
      <c r="O450" s="72"/>
    </row>
  </sheetData>
  <mergeCells count="4">
    <mergeCell ref="A1:O1"/>
    <mergeCell ref="A2:O2"/>
    <mergeCell ref="A3:O3"/>
    <mergeCell ref="A450:O450"/>
  </mergeCells>
  <hyperlinks>
    <hyperlink ref="A2" r:id="rId1"/>
    <hyperlink ref="D5" r:id="rId2"/>
    <hyperlink ref="D6" r:id="rId3"/>
    <hyperlink ref="D7" r:id="rId4"/>
    <hyperlink ref="D8" r:id="rId5"/>
    <hyperlink ref="D9" r:id="rId6"/>
    <hyperlink ref="D10" r:id="rId7"/>
    <hyperlink ref="D11" r:id="rId8"/>
    <hyperlink ref="D12" r:id="rId9"/>
    <hyperlink ref="D13" r:id="rId10"/>
    <hyperlink ref="D14" r:id="rId11"/>
    <hyperlink ref="D15" r:id="rId12"/>
    <hyperlink ref="D16" r:id="rId13"/>
    <hyperlink ref="D17" r:id="rId14"/>
    <hyperlink ref="D18" r:id="rId15"/>
    <hyperlink ref="D19" r:id="rId16"/>
    <hyperlink ref="D20" r:id="rId17"/>
    <hyperlink ref="D21" r:id="rId18"/>
    <hyperlink ref="D22" r:id="rId19"/>
    <hyperlink ref="D23" r:id="rId20"/>
    <hyperlink ref="D24" r:id="rId21"/>
    <hyperlink ref="D25" r:id="rId22"/>
    <hyperlink ref="D26" r:id="rId23"/>
    <hyperlink ref="D27" r:id="rId24"/>
    <hyperlink ref="D28" r:id="rId25"/>
    <hyperlink ref="D29" r:id="rId26"/>
    <hyperlink ref="D30" r:id="rId27"/>
    <hyperlink ref="D31" r:id="rId28"/>
    <hyperlink ref="D32" r:id="rId29"/>
    <hyperlink ref="D33" r:id="rId30"/>
    <hyperlink ref="D34" r:id="rId31"/>
    <hyperlink ref="D35" r:id="rId32"/>
    <hyperlink ref="D36" r:id="rId33"/>
    <hyperlink ref="D37" r:id="rId34"/>
    <hyperlink ref="D38" r:id="rId35"/>
    <hyperlink ref="D39" r:id="rId36"/>
    <hyperlink ref="D40" r:id="rId37"/>
    <hyperlink ref="D41" r:id="rId38"/>
    <hyperlink ref="D42" r:id="rId39"/>
    <hyperlink ref="D43" r:id="rId40"/>
    <hyperlink ref="D44" r:id="rId41"/>
    <hyperlink ref="D45" r:id="rId42"/>
    <hyperlink ref="D46" r:id="rId43"/>
    <hyperlink ref="D47" r:id="rId44"/>
    <hyperlink ref="D48" r:id="rId45"/>
    <hyperlink ref="D49" r:id="rId46"/>
    <hyperlink ref="D50" r:id="rId47"/>
    <hyperlink ref="D51" r:id="rId48"/>
    <hyperlink ref="D52" r:id="rId49"/>
    <hyperlink ref="D53" r:id="rId50"/>
    <hyperlink ref="D54" r:id="rId51"/>
    <hyperlink ref="D55" r:id="rId52"/>
    <hyperlink ref="D56" r:id="rId53"/>
    <hyperlink ref="D57" r:id="rId54"/>
    <hyperlink ref="D58" r:id="rId55"/>
    <hyperlink ref="D59" r:id="rId56"/>
    <hyperlink ref="D60" r:id="rId57"/>
    <hyperlink ref="D61" r:id="rId58"/>
    <hyperlink ref="D62" r:id="rId59"/>
    <hyperlink ref="D63" r:id="rId60"/>
    <hyperlink ref="D64" r:id="rId61"/>
    <hyperlink ref="D65" r:id="rId62"/>
    <hyperlink ref="D66" r:id="rId63"/>
    <hyperlink ref="D67" r:id="rId64"/>
    <hyperlink ref="D68" r:id="rId65"/>
    <hyperlink ref="D69" r:id="rId66"/>
    <hyperlink ref="D70" r:id="rId67"/>
    <hyperlink ref="D71" r:id="rId68"/>
    <hyperlink ref="D72" r:id="rId69"/>
    <hyperlink ref="D73" r:id="rId70"/>
    <hyperlink ref="D74" r:id="rId71"/>
    <hyperlink ref="D75" r:id="rId72"/>
    <hyperlink ref="D76" r:id="rId73"/>
    <hyperlink ref="D77" r:id="rId74"/>
    <hyperlink ref="D78" r:id="rId75"/>
    <hyperlink ref="D79" r:id="rId76"/>
    <hyperlink ref="D80" r:id="rId77"/>
    <hyperlink ref="D81" r:id="rId78"/>
    <hyperlink ref="D82" r:id="rId79"/>
    <hyperlink ref="D83" r:id="rId80"/>
    <hyperlink ref="D84" r:id="rId81"/>
    <hyperlink ref="D85" r:id="rId82"/>
    <hyperlink ref="D86" r:id="rId83"/>
    <hyperlink ref="D87" r:id="rId84"/>
    <hyperlink ref="D88" r:id="rId85"/>
    <hyperlink ref="D89" r:id="rId86"/>
    <hyperlink ref="D90" r:id="rId87"/>
    <hyperlink ref="D91" r:id="rId88"/>
    <hyperlink ref="D92" r:id="rId89"/>
    <hyperlink ref="D93" r:id="rId90"/>
    <hyperlink ref="D94" r:id="rId91"/>
    <hyperlink ref="D95" r:id="rId92"/>
    <hyperlink ref="D96" r:id="rId93"/>
    <hyperlink ref="D97" r:id="rId94"/>
    <hyperlink ref="D98" r:id="rId95"/>
    <hyperlink ref="D99" r:id="rId96"/>
    <hyperlink ref="D100" r:id="rId97"/>
    <hyperlink ref="D101" r:id="rId98"/>
    <hyperlink ref="D102" r:id="rId99"/>
    <hyperlink ref="D103" r:id="rId100"/>
    <hyperlink ref="D104" r:id="rId101"/>
    <hyperlink ref="D105" r:id="rId102"/>
    <hyperlink ref="D106" r:id="rId103"/>
    <hyperlink ref="D107" r:id="rId104"/>
    <hyperlink ref="D108" r:id="rId105"/>
    <hyperlink ref="D109" r:id="rId106"/>
    <hyperlink ref="D110" r:id="rId107"/>
    <hyperlink ref="D111" r:id="rId108"/>
    <hyperlink ref="D112" r:id="rId109"/>
    <hyperlink ref="D113" r:id="rId110"/>
    <hyperlink ref="D114" r:id="rId111"/>
    <hyperlink ref="D115" r:id="rId112"/>
    <hyperlink ref="D116" r:id="rId113"/>
    <hyperlink ref="D117" r:id="rId114"/>
    <hyperlink ref="D118" r:id="rId115"/>
    <hyperlink ref="D119" r:id="rId116"/>
    <hyperlink ref="D120" r:id="rId117"/>
    <hyperlink ref="D121" r:id="rId118"/>
    <hyperlink ref="D122" r:id="rId119"/>
    <hyperlink ref="D123" r:id="rId120"/>
    <hyperlink ref="D124" r:id="rId121"/>
    <hyperlink ref="D125" r:id="rId122"/>
    <hyperlink ref="D126" r:id="rId123"/>
    <hyperlink ref="D127" r:id="rId124"/>
    <hyperlink ref="D128" r:id="rId125"/>
    <hyperlink ref="D129" r:id="rId126"/>
    <hyperlink ref="D130" r:id="rId127"/>
    <hyperlink ref="D131" r:id="rId128"/>
    <hyperlink ref="D132" r:id="rId129"/>
    <hyperlink ref="D133" r:id="rId130"/>
    <hyperlink ref="D134" r:id="rId131"/>
    <hyperlink ref="D135" r:id="rId132"/>
    <hyperlink ref="D136" r:id="rId133"/>
    <hyperlink ref="D137" r:id="rId134"/>
    <hyperlink ref="D138" r:id="rId135"/>
    <hyperlink ref="D139" r:id="rId136"/>
    <hyperlink ref="D140" r:id="rId137"/>
    <hyperlink ref="D141" r:id="rId138"/>
    <hyperlink ref="D142" r:id="rId139"/>
    <hyperlink ref="D143" r:id="rId140"/>
    <hyperlink ref="D144" r:id="rId141"/>
    <hyperlink ref="D145" r:id="rId142"/>
    <hyperlink ref="D146" r:id="rId143"/>
    <hyperlink ref="D147" r:id="rId144"/>
    <hyperlink ref="D148" r:id="rId145"/>
    <hyperlink ref="D149" r:id="rId146"/>
    <hyperlink ref="D150" r:id="rId147"/>
    <hyperlink ref="D151" r:id="rId148"/>
    <hyperlink ref="D152" r:id="rId149"/>
    <hyperlink ref="D153" r:id="rId150"/>
    <hyperlink ref="D154" r:id="rId151"/>
    <hyperlink ref="D155" r:id="rId152"/>
    <hyperlink ref="D156" r:id="rId153"/>
    <hyperlink ref="D157" r:id="rId154"/>
    <hyperlink ref="D158" r:id="rId155"/>
    <hyperlink ref="D159" r:id="rId156"/>
    <hyperlink ref="D160" r:id="rId157"/>
    <hyperlink ref="D161" r:id="rId158"/>
    <hyperlink ref="D162" r:id="rId159"/>
    <hyperlink ref="D163" r:id="rId160"/>
    <hyperlink ref="D164" r:id="rId161"/>
    <hyperlink ref="D165" r:id="rId162"/>
    <hyperlink ref="D166" r:id="rId163"/>
    <hyperlink ref="D167" r:id="rId164"/>
    <hyperlink ref="D168" r:id="rId165"/>
    <hyperlink ref="D169" r:id="rId166"/>
    <hyperlink ref="D170" r:id="rId167"/>
    <hyperlink ref="D171" r:id="rId168"/>
    <hyperlink ref="D172" r:id="rId169"/>
    <hyperlink ref="D173" r:id="rId170"/>
    <hyperlink ref="D174" r:id="rId171"/>
    <hyperlink ref="D175" r:id="rId172"/>
    <hyperlink ref="D176" r:id="rId173"/>
    <hyperlink ref="D177" r:id="rId174"/>
    <hyperlink ref="D178" r:id="rId175"/>
    <hyperlink ref="D179" r:id="rId176"/>
    <hyperlink ref="D180" r:id="rId177"/>
    <hyperlink ref="D181" r:id="rId178"/>
    <hyperlink ref="D182" r:id="rId179"/>
    <hyperlink ref="D183" r:id="rId180"/>
    <hyperlink ref="D184" r:id="rId181"/>
    <hyperlink ref="D185" r:id="rId182"/>
    <hyperlink ref="D186" r:id="rId183"/>
    <hyperlink ref="D187" r:id="rId184"/>
    <hyperlink ref="D188" r:id="rId185"/>
    <hyperlink ref="D189" r:id="rId186"/>
    <hyperlink ref="D190" r:id="rId187"/>
    <hyperlink ref="D191" r:id="rId188"/>
    <hyperlink ref="D192" r:id="rId189"/>
    <hyperlink ref="D193" r:id="rId190"/>
    <hyperlink ref="D194" r:id="rId191"/>
    <hyperlink ref="D195" r:id="rId192"/>
    <hyperlink ref="D196" r:id="rId193"/>
    <hyperlink ref="D197" r:id="rId194"/>
    <hyperlink ref="D198" r:id="rId195"/>
    <hyperlink ref="D199" r:id="rId196"/>
    <hyperlink ref="D200" r:id="rId197"/>
    <hyperlink ref="D201" r:id="rId198"/>
    <hyperlink ref="D202" r:id="rId199"/>
    <hyperlink ref="D203" r:id="rId200"/>
    <hyperlink ref="D204" r:id="rId201"/>
    <hyperlink ref="D205" r:id="rId202"/>
    <hyperlink ref="D206" r:id="rId203"/>
    <hyperlink ref="D207" r:id="rId204"/>
    <hyperlink ref="D208" r:id="rId205"/>
    <hyperlink ref="D209" r:id="rId206"/>
    <hyperlink ref="D210" r:id="rId207"/>
    <hyperlink ref="D211" r:id="rId208"/>
    <hyperlink ref="D212" r:id="rId209"/>
    <hyperlink ref="D213" r:id="rId210"/>
    <hyperlink ref="D214" r:id="rId211"/>
    <hyperlink ref="D215" r:id="rId212"/>
    <hyperlink ref="D216" r:id="rId213"/>
    <hyperlink ref="D217" r:id="rId214"/>
    <hyperlink ref="D218" r:id="rId215"/>
    <hyperlink ref="D219" r:id="rId216"/>
    <hyperlink ref="D220" r:id="rId217"/>
    <hyperlink ref="D221" r:id="rId218"/>
    <hyperlink ref="D222" r:id="rId219"/>
    <hyperlink ref="D223" r:id="rId220"/>
    <hyperlink ref="D224" r:id="rId221"/>
    <hyperlink ref="D225" r:id="rId222"/>
    <hyperlink ref="D226" r:id="rId223"/>
    <hyperlink ref="D227" r:id="rId224"/>
    <hyperlink ref="D228" r:id="rId225"/>
    <hyperlink ref="D229" r:id="rId226"/>
    <hyperlink ref="D230" r:id="rId227"/>
    <hyperlink ref="D231" r:id="rId228"/>
    <hyperlink ref="D232" r:id="rId229"/>
    <hyperlink ref="D233" r:id="rId230"/>
    <hyperlink ref="D234" r:id="rId231"/>
    <hyperlink ref="D235" r:id="rId232"/>
    <hyperlink ref="D236" r:id="rId233"/>
    <hyperlink ref="D237" r:id="rId234"/>
    <hyperlink ref="D238" r:id="rId235"/>
    <hyperlink ref="D239" r:id="rId236"/>
    <hyperlink ref="D240" r:id="rId237"/>
    <hyperlink ref="D241" r:id="rId238"/>
    <hyperlink ref="D242" r:id="rId239"/>
    <hyperlink ref="D243" r:id="rId240"/>
    <hyperlink ref="D244" r:id="rId241"/>
    <hyperlink ref="D245" r:id="rId242"/>
    <hyperlink ref="D246" r:id="rId243"/>
    <hyperlink ref="D247" r:id="rId244"/>
    <hyperlink ref="D248" r:id="rId245"/>
    <hyperlink ref="D249" r:id="rId246"/>
    <hyperlink ref="D250" r:id="rId247"/>
    <hyperlink ref="D251" r:id="rId248"/>
    <hyperlink ref="D252" r:id="rId249"/>
    <hyperlink ref="D253" r:id="rId250"/>
    <hyperlink ref="D254" r:id="rId251"/>
    <hyperlink ref="D255" r:id="rId252"/>
    <hyperlink ref="D256" r:id="rId253"/>
    <hyperlink ref="D257" r:id="rId254"/>
    <hyperlink ref="D258" r:id="rId255"/>
    <hyperlink ref="D259" r:id="rId256"/>
    <hyperlink ref="D260" r:id="rId257"/>
    <hyperlink ref="D261" r:id="rId258"/>
    <hyperlink ref="D262" r:id="rId259"/>
    <hyperlink ref="D263" r:id="rId260"/>
    <hyperlink ref="D264" r:id="rId261"/>
    <hyperlink ref="D265" r:id="rId262"/>
    <hyperlink ref="D266" r:id="rId263"/>
    <hyperlink ref="D267" r:id="rId264"/>
    <hyperlink ref="D268" r:id="rId265"/>
    <hyperlink ref="D269" r:id="rId266"/>
    <hyperlink ref="D270" r:id="rId267"/>
    <hyperlink ref="D271" r:id="rId268"/>
    <hyperlink ref="D272" r:id="rId269"/>
    <hyperlink ref="D273" r:id="rId270"/>
    <hyperlink ref="D274" r:id="rId271"/>
    <hyperlink ref="D275" r:id="rId272"/>
    <hyperlink ref="D276" r:id="rId273"/>
    <hyperlink ref="D277" r:id="rId274"/>
    <hyperlink ref="D278" r:id="rId275"/>
    <hyperlink ref="D279" r:id="rId276"/>
    <hyperlink ref="D280" r:id="rId277"/>
    <hyperlink ref="D281" r:id="rId278"/>
    <hyperlink ref="D282" r:id="rId279"/>
    <hyperlink ref="D283" r:id="rId280"/>
    <hyperlink ref="D284" r:id="rId281"/>
    <hyperlink ref="D285" r:id="rId282"/>
    <hyperlink ref="D286" r:id="rId283"/>
    <hyperlink ref="D287" r:id="rId284"/>
    <hyperlink ref="D288" r:id="rId285"/>
    <hyperlink ref="D289" r:id="rId286"/>
    <hyperlink ref="D290" r:id="rId287"/>
    <hyperlink ref="D291" r:id="rId288"/>
    <hyperlink ref="D292" r:id="rId289"/>
    <hyperlink ref="D293" r:id="rId290"/>
    <hyperlink ref="D294" r:id="rId291"/>
    <hyperlink ref="D295" r:id="rId292"/>
    <hyperlink ref="D296" r:id="rId293"/>
    <hyperlink ref="D297" r:id="rId294"/>
    <hyperlink ref="D298" r:id="rId295"/>
    <hyperlink ref="D299" r:id="rId296"/>
    <hyperlink ref="D300" r:id="rId297"/>
    <hyperlink ref="D301" r:id="rId298"/>
    <hyperlink ref="D302" r:id="rId299"/>
    <hyperlink ref="D303" r:id="rId300"/>
    <hyperlink ref="D304" r:id="rId301"/>
    <hyperlink ref="D305" r:id="rId302"/>
    <hyperlink ref="D306" r:id="rId303"/>
    <hyperlink ref="D307" r:id="rId304"/>
    <hyperlink ref="D308" r:id="rId305"/>
    <hyperlink ref="D309" r:id="rId306"/>
    <hyperlink ref="D310" r:id="rId307"/>
    <hyperlink ref="D311" r:id="rId308"/>
    <hyperlink ref="D312" r:id="rId309"/>
    <hyperlink ref="D313" r:id="rId310"/>
    <hyperlink ref="D314" r:id="rId311"/>
    <hyperlink ref="D315" r:id="rId312"/>
    <hyperlink ref="D316" r:id="rId313"/>
    <hyperlink ref="D317" r:id="rId314"/>
    <hyperlink ref="D318" r:id="rId315"/>
    <hyperlink ref="D319" r:id="rId316"/>
    <hyperlink ref="D320" r:id="rId317"/>
    <hyperlink ref="D321" r:id="rId318"/>
    <hyperlink ref="D322" r:id="rId319"/>
    <hyperlink ref="D323" r:id="rId320"/>
    <hyperlink ref="D324" r:id="rId321"/>
    <hyperlink ref="D325" r:id="rId322"/>
    <hyperlink ref="D326" r:id="rId323"/>
    <hyperlink ref="D327" r:id="rId324"/>
    <hyperlink ref="D328" r:id="rId325"/>
    <hyperlink ref="D329" r:id="rId326"/>
    <hyperlink ref="D330" r:id="rId327"/>
    <hyperlink ref="D331" r:id="rId328"/>
    <hyperlink ref="D332" r:id="rId329"/>
    <hyperlink ref="D333" r:id="rId330"/>
    <hyperlink ref="D334" r:id="rId331"/>
    <hyperlink ref="D335" r:id="rId332"/>
    <hyperlink ref="D336" r:id="rId333"/>
    <hyperlink ref="D337" r:id="rId334"/>
    <hyperlink ref="D338" r:id="rId335"/>
    <hyperlink ref="D339" r:id="rId336"/>
    <hyperlink ref="D340" r:id="rId337"/>
    <hyperlink ref="D341" r:id="rId338"/>
    <hyperlink ref="D342" r:id="rId339"/>
    <hyperlink ref="D343" r:id="rId340"/>
    <hyperlink ref="D344" r:id="rId341"/>
    <hyperlink ref="D345" r:id="rId342"/>
    <hyperlink ref="D346" r:id="rId343"/>
    <hyperlink ref="D347" r:id="rId344"/>
    <hyperlink ref="D348" r:id="rId345"/>
    <hyperlink ref="D349" r:id="rId346"/>
    <hyperlink ref="D350" r:id="rId347"/>
    <hyperlink ref="D351" r:id="rId348"/>
    <hyperlink ref="D352" r:id="rId349"/>
    <hyperlink ref="D353" r:id="rId350"/>
    <hyperlink ref="D354" r:id="rId351"/>
    <hyperlink ref="D355" r:id="rId352"/>
    <hyperlink ref="D356" r:id="rId353"/>
    <hyperlink ref="D357" r:id="rId354"/>
    <hyperlink ref="D358" r:id="rId355"/>
    <hyperlink ref="D359" r:id="rId356"/>
    <hyperlink ref="D360" r:id="rId357"/>
    <hyperlink ref="D361" r:id="rId358"/>
    <hyperlink ref="D362" r:id="rId359"/>
    <hyperlink ref="D363" r:id="rId360"/>
    <hyperlink ref="D364" r:id="rId361"/>
    <hyperlink ref="D365" r:id="rId362"/>
    <hyperlink ref="D366" r:id="rId363"/>
    <hyperlink ref="D367" r:id="rId364"/>
    <hyperlink ref="D368" r:id="rId365"/>
    <hyperlink ref="D369" r:id="rId366"/>
    <hyperlink ref="D370" r:id="rId367"/>
    <hyperlink ref="D371" r:id="rId368"/>
    <hyperlink ref="D372" r:id="rId369"/>
    <hyperlink ref="D373" r:id="rId370"/>
    <hyperlink ref="D374" r:id="rId371"/>
    <hyperlink ref="D375" r:id="rId372"/>
    <hyperlink ref="D376" r:id="rId373"/>
    <hyperlink ref="D377" r:id="rId374"/>
    <hyperlink ref="D378" r:id="rId375"/>
    <hyperlink ref="D379" r:id="rId376"/>
    <hyperlink ref="D380" r:id="rId377"/>
    <hyperlink ref="D381" r:id="rId378"/>
    <hyperlink ref="D382" r:id="rId379"/>
    <hyperlink ref="D383" r:id="rId380"/>
    <hyperlink ref="D384" r:id="rId381"/>
    <hyperlink ref="D385" r:id="rId382"/>
    <hyperlink ref="D386" r:id="rId383"/>
    <hyperlink ref="D387" r:id="rId384"/>
    <hyperlink ref="D388" r:id="rId385"/>
    <hyperlink ref="D389" r:id="rId386"/>
    <hyperlink ref="D390" r:id="rId387"/>
    <hyperlink ref="D391" r:id="rId388"/>
    <hyperlink ref="D392" r:id="rId389"/>
    <hyperlink ref="D393" r:id="rId390"/>
    <hyperlink ref="D394" r:id="rId391"/>
    <hyperlink ref="D395" r:id="rId392"/>
    <hyperlink ref="D396" r:id="rId393"/>
    <hyperlink ref="D397" r:id="rId394"/>
    <hyperlink ref="D398" r:id="rId395"/>
    <hyperlink ref="D399" r:id="rId396"/>
    <hyperlink ref="D400" r:id="rId397"/>
    <hyperlink ref="D401" r:id="rId398"/>
    <hyperlink ref="D402" r:id="rId399"/>
    <hyperlink ref="D403" r:id="rId400"/>
    <hyperlink ref="D404" r:id="rId401"/>
    <hyperlink ref="D405" r:id="rId402"/>
    <hyperlink ref="D406" r:id="rId403"/>
    <hyperlink ref="D407" r:id="rId404"/>
    <hyperlink ref="D408" r:id="rId405"/>
    <hyperlink ref="D409" r:id="rId406"/>
    <hyperlink ref="D410" r:id="rId407"/>
    <hyperlink ref="D411" r:id="rId408"/>
    <hyperlink ref="D412" r:id="rId409"/>
    <hyperlink ref="D413" r:id="rId410"/>
    <hyperlink ref="D414" r:id="rId411"/>
    <hyperlink ref="D415" r:id="rId412"/>
    <hyperlink ref="D416" r:id="rId413"/>
    <hyperlink ref="D417" r:id="rId414"/>
    <hyperlink ref="D418" r:id="rId415"/>
    <hyperlink ref="D419" r:id="rId416"/>
    <hyperlink ref="D420" r:id="rId417"/>
    <hyperlink ref="D421" r:id="rId418"/>
    <hyperlink ref="D422" r:id="rId419"/>
    <hyperlink ref="D423" r:id="rId420"/>
    <hyperlink ref="D424" r:id="rId421"/>
    <hyperlink ref="D425" r:id="rId422"/>
    <hyperlink ref="D426" r:id="rId423"/>
    <hyperlink ref="D427" r:id="rId424"/>
    <hyperlink ref="D428" r:id="rId425"/>
    <hyperlink ref="D429" r:id="rId426"/>
    <hyperlink ref="D430" r:id="rId427"/>
    <hyperlink ref="D431" r:id="rId428"/>
    <hyperlink ref="D432" r:id="rId429"/>
    <hyperlink ref="D433" r:id="rId430"/>
    <hyperlink ref="D434" r:id="rId431"/>
    <hyperlink ref="D435" r:id="rId432"/>
    <hyperlink ref="D436" r:id="rId433"/>
    <hyperlink ref="D437" r:id="rId434"/>
    <hyperlink ref="D438" r:id="rId435"/>
    <hyperlink ref="D439" r:id="rId436"/>
    <hyperlink ref="D440" r:id="rId437"/>
    <hyperlink ref="D441" r:id="rId438"/>
    <hyperlink ref="D442" r:id="rId439"/>
    <hyperlink ref="D443" r:id="rId440"/>
    <hyperlink ref="D444" r:id="rId441"/>
    <hyperlink ref="D445" r:id="rId442"/>
    <hyperlink ref="D446" r:id="rId443"/>
    <hyperlink ref="D447" r:id="rId444"/>
    <hyperlink ref="D448" r:id="rId445"/>
    <hyperlink ref="D449" r:id="rId446"/>
  </hyperlinks>
  <pageMargins left="0.7" right="0.7" top="0.75" bottom="0.75" header="0.3" footer="0.3"/>
  <drawing r:id="rId447"/>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00B0F0"/>
  </sheetPr>
  <dimension ref="A1:O307"/>
  <sheetViews>
    <sheetView showGridLines="0" workbookViewId="0">
      <selection activeCell="C23" sqref="C23"/>
    </sheetView>
  </sheetViews>
  <sheetFormatPr defaultColWidth="10.875" defaultRowHeight="15" x14ac:dyDescent="0.2"/>
  <cols>
    <col min="1" max="1" width="11.5" style="51" bestFit="1" customWidth="1"/>
    <col min="2" max="2" width="11.375" style="51" bestFit="1" customWidth="1"/>
    <col min="3" max="3" width="43.375" style="51" bestFit="1" customWidth="1"/>
    <col min="4" max="4" width="16.625" style="51" bestFit="1" customWidth="1"/>
    <col min="5" max="6" width="43.375" style="51" bestFit="1" customWidth="1"/>
    <col min="7" max="7" width="12.875" style="51" bestFit="1" customWidth="1"/>
    <col min="8" max="8" width="9.875" style="51" customWidth="1"/>
    <col min="9" max="9" width="19.375" style="51" bestFit="1" customWidth="1"/>
    <col min="10" max="10" width="22" style="51" bestFit="1" customWidth="1"/>
    <col min="11" max="11" width="9.125" style="51" customWidth="1"/>
    <col min="12" max="12" width="15.5" style="51" bestFit="1" customWidth="1"/>
    <col min="13" max="13" width="15.875" style="51" bestFit="1" customWidth="1"/>
    <col min="14" max="14" width="15.625" style="51" bestFit="1" customWidth="1"/>
    <col min="15" max="15" width="43.375" style="51" bestFit="1" customWidth="1"/>
    <col min="16" max="16384" width="10.875" style="51"/>
  </cols>
  <sheetData>
    <row r="1" spans="1:15" ht="36" customHeight="1" x14ac:dyDescent="0.2">
      <c r="A1" s="61"/>
      <c r="B1" s="62"/>
      <c r="C1" s="62"/>
      <c r="D1" s="62"/>
      <c r="E1" s="62"/>
      <c r="F1" s="62"/>
      <c r="G1" s="62"/>
      <c r="H1" s="62"/>
      <c r="I1" s="62"/>
      <c r="J1" s="62"/>
      <c r="K1" s="62"/>
      <c r="L1" s="62"/>
      <c r="M1" s="62"/>
      <c r="N1" s="62"/>
      <c r="O1" s="63"/>
    </row>
    <row r="2" spans="1:15" ht="15.95" customHeight="1" x14ac:dyDescent="0.2">
      <c r="A2" s="64" t="s">
        <v>426</v>
      </c>
      <c r="B2" s="65"/>
      <c r="C2" s="65"/>
      <c r="D2" s="65"/>
      <c r="E2" s="65"/>
      <c r="F2" s="65"/>
      <c r="G2" s="65"/>
      <c r="H2" s="65"/>
      <c r="I2" s="65"/>
      <c r="J2" s="65"/>
      <c r="K2" s="65"/>
      <c r="L2" s="65"/>
      <c r="M2" s="65"/>
      <c r="N2" s="65"/>
      <c r="O2" s="66"/>
    </row>
    <row r="3" spans="1:15" ht="15.95" customHeight="1" x14ac:dyDescent="0.2">
      <c r="A3" s="67" t="s">
        <v>1521</v>
      </c>
      <c r="B3" s="68"/>
      <c r="C3" s="68"/>
      <c r="D3" s="68"/>
      <c r="E3" s="68"/>
      <c r="F3" s="68"/>
      <c r="G3" s="68"/>
      <c r="H3" s="68"/>
      <c r="I3" s="68"/>
      <c r="J3" s="68"/>
      <c r="K3" s="68"/>
      <c r="L3" s="68"/>
      <c r="M3" s="68"/>
      <c r="N3" s="68"/>
      <c r="O3" s="69"/>
    </row>
    <row r="4" spans="1:15" ht="31.5" x14ac:dyDescent="0.2">
      <c r="A4" s="52" t="s">
        <v>4</v>
      </c>
      <c r="B4" s="52" t="s">
        <v>5</v>
      </c>
      <c r="C4" s="52" t="s">
        <v>54</v>
      </c>
      <c r="D4" s="52" t="s">
        <v>6</v>
      </c>
      <c r="E4" s="52" t="s">
        <v>7</v>
      </c>
      <c r="F4" s="52" t="s">
        <v>53</v>
      </c>
      <c r="G4" s="52" t="s">
        <v>8</v>
      </c>
      <c r="H4" s="52" t="s">
        <v>427</v>
      </c>
      <c r="I4" s="52" t="s">
        <v>429</v>
      </c>
      <c r="J4" s="52" t="s">
        <v>428</v>
      </c>
      <c r="K4" s="52" t="s">
        <v>9</v>
      </c>
      <c r="L4" s="52" t="s">
        <v>10</v>
      </c>
      <c r="M4" s="52" t="s">
        <v>52</v>
      </c>
      <c r="N4" s="52" t="s">
        <v>51</v>
      </c>
      <c r="O4" s="52" t="s">
        <v>11</v>
      </c>
    </row>
    <row r="5" spans="1:15" ht="30" x14ac:dyDescent="0.2">
      <c r="A5" s="53" t="s">
        <v>12</v>
      </c>
      <c r="B5" s="53" t="s">
        <v>13</v>
      </c>
      <c r="C5" s="54" t="s">
        <v>1522</v>
      </c>
      <c r="D5" s="55" t="s">
        <v>1523</v>
      </c>
      <c r="E5" s="54"/>
      <c r="F5" s="54"/>
      <c r="G5" s="54">
        <v>3</v>
      </c>
      <c r="H5" s="54"/>
      <c r="I5" s="54">
        <v>28800</v>
      </c>
      <c r="J5" s="54">
        <v>28800</v>
      </c>
      <c r="K5" s="54"/>
      <c r="L5" s="54"/>
      <c r="M5" s="54">
        <v>1</v>
      </c>
      <c r="N5" s="54"/>
      <c r="O5" s="54" t="s">
        <v>1524</v>
      </c>
    </row>
    <row r="6" spans="1:15" ht="15.75" x14ac:dyDescent="0.2">
      <c r="A6" s="53" t="s">
        <v>12</v>
      </c>
      <c r="B6" s="53" t="s">
        <v>13</v>
      </c>
      <c r="C6" s="54" t="s">
        <v>1525</v>
      </c>
      <c r="D6" s="55" t="s">
        <v>1526</v>
      </c>
      <c r="E6" s="54" t="s">
        <v>883</v>
      </c>
      <c r="F6" s="54" t="s">
        <v>910</v>
      </c>
      <c r="G6" s="54">
        <v>0.5</v>
      </c>
      <c r="H6" s="54"/>
      <c r="I6" s="54"/>
      <c r="J6" s="54"/>
      <c r="K6" s="54"/>
      <c r="L6" s="54"/>
      <c r="M6" s="54"/>
      <c r="N6" s="54"/>
      <c r="O6" s="54" t="s">
        <v>1510</v>
      </c>
    </row>
    <row r="7" spans="1:15" ht="15.75" x14ac:dyDescent="0.2">
      <c r="A7" s="53" t="s">
        <v>12</v>
      </c>
      <c r="B7" s="53" t="s">
        <v>13</v>
      </c>
      <c r="C7" s="54" t="s">
        <v>1527</v>
      </c>
      <c r="D7" s="55" t="s">
        <v>1528</v>
      </c>
      <c r="E7" s="54" t="s">
        <v>883</v>
      </c>
      <c r="F7" s="54" t="s">
        <v>910</v>
      </c>
      <c r="G7" s="54">
        <v>3</v>
      </c>
      <c r="H7" s="54"/>
      <c r="I7" s="54"/>
      <c r="J7" s="54"/>
      <c r="K7" s="54"/>
      <c r="L7" s="54"/>
      <c r="M7" s="54"/>
      <c r="N7" s="54"/>
      <c r="O7" s="54" t="s">
        <v>1510</v>
      </c>
    </row>
    <row r="8" spans="1:15" ht="30" x14ac:dyDescent="0.2">
      <c r="A8" s="53" t="s">
        <v>12</v>
      </c>
      <c r="B8" s="53" t="s">
        <v>14</v>
      </c>
      <c r="C8" s="54" t="s">
        <v>1529</v>
      </c>
      <c r="D8" s="55" t="s">
        <v>1530</v>
      </c>
      <c r="E8" s="54" t="s">
        <v>899</v>
      </c>
      <c r="F8" s="54" t="s">
        <v>1013</v>
      </c>
      <c r="G8" s="54">
        <v>1</v>
      </c>
      <c r="H8" s="54"/>
      <c r="I8" s="54"/>
      <c r="J8" s="54"/>
      <c r="K8" s="54"/>
      <c r="L8" s="54"/>
      <c r="M8" s="54"/>
      <c r="N8" s="54"/>
      <c r="O8" s="54" t="s">
        <v>1531</v>
      </c>
    </row>
    <row r="9" spans="1:15" ht="30" x14ac:dyDescent="0.2">
      <c r="A9" s="53" t="s">
        <v>12</v>
      </c>
      <c r="B9" s="53" t="s">
        <v>13</v>
      </c>
      <c r="C9" s="54" t="s">
        <v>1532</v>
      </c>
      <c r="D9" s="55" t="s">
        <v>1533</v>
      </c>
      <c r="E9" s="54"/>
      <c r="F9" s="54" t="s">
        <v>1013</v>
      </c>
      <c r="G9" s="54">
        <v>5</v>
      </c>
      <c r="H9" s="54"/>
      <c r="I9" s="54"/>
      <c r="J9" s="54"/>
      <c r="K9" s="54"/>
      <c r="L9" s="54"/>
      <c r="M9" s="54"/>
      <c r="N9" s="54"/>
      <c r="O9" s="54" t="s">
        <v>1534</v>
      </c>
    </row>
    <row r="10" spans="1:15" ht="30" x14ac:dyDescent="0.2">
      <c r="A10" s="53" t="s">
        <v>12</v>
      </c>
      <c r="B10" s="53" t="s">
        <v>16</v>
      </c>
      <c r="C10" s="54" t="s">
        <v>1535</v>
      </c>
      <c r="D10" s="55" t="s">
        <v>1536</v>
      </c>
      <c r="E10" s="54"/>
      <c r="F10" s="54" t="s">
        <v>1537</v>
      </c>
      <c r="G10" s="54">
        <v>8</v>
      </c>
      <c r="H10" s="54"/>
      <c r="I10" s="54">
        <v>14400</v>
      </c>
      <c r="J10" s="54">
        <v>3000</v>
      </c>
      <c r="K10" s="54"/>
      <c r="L10" s="54"/>
      <c r="M10" s="54"/>
      <c r="N10" s="54"/>
      <c r="O10" s="54"/>
    </row>
    <row r="11" spans="1:15" ht="30" x14ac:dyDescent="0.2">
      <c r="A11" s="53" t="s">
        <v>12</v>
      </c>
      <c r="B11" s="53" t="s">
        <v>13</v>
      </c>
      <c r="C11" s="54" t="s">
        <v>1538</v>
      </c>
      <c r="D11" s="55" t="s">
        <v>1539</v>
      </c>
      <c r="E11" s="54"/>
      <c r="F11" s="54" t="s">
        <v>1540</v>
      </c>
      <c r="G11" s="54">
        <v>8</v>
      </c>
      <c r="H11" s="54"/>
      <c r="I11" s="54">
        <v>374400</v>
      </c>
      <c r="J11" s="54">
        <v>374400</v>
      </c>
      <c r="K11" s="54"/>
      <c r="L11" s="54"/>
      <c r="M11" s="54"/>
      <c r="N11" s="54"/>
      <c r="O11" s="54" t="s">
        <v>1541</v>
      </c>
    </row>
    <row r="12" spans="1:15" ht="15.75" x14ac:dyDescent="0.2">
      <c r="A12" s="53" t="s">
        <v>12</v>
      </c>
      <c r="B12" s="53" t="s">
        <v>13</v>
      </c>
      <c r="C12" s="54" t="s">
        <v>1542</v>
      </c>
      <c r="D12" s="55" t="s">
        <v>1543</v>
      </c>
      <c r="E12" s="54"/>
      <c r="F12" s="54"/>
      <c r="G12" s="54"/>
      <c r="H12" s="54"/>
      <c r="I12" s="54"/>
      <c r="J12" s="54"/>
      <c r="K12" s="54"/>
      <c r="L12" s="54"/>
      <c r="M12" s="54"/>
      <c r="N12" s="54"/>
      <c r="O12" s="54" t="s">
        <v>1544</v>
      </c>
    </row>
    <row r="13" spans="1:15" ht="15.75" x14ac:dyDescent="0.2">
      <c r="A13" s="53" t="s">
        <v>12</v>
      </c>
      <c r="B13" s="53" t="s">
        <v>13</v>
      </c>
      <c r="C13" s="54" t="s">
        <v>1545</v>
      </c>
      <c r="D13" s="55" t="s">
        <v>1546</v>
      </c>
      <c r="E13" s="54" t="s">
        <v>883</v>
      </c>
      <c r="F13" s="54" t="s">
        <v>910</v>
      </c>
      <c r="G13" s="54">
        <v>13</v>
      </c>
      <c r="H13" s="54"/>
      <c r="I13" s="54"/>
      <c r="J13" s="54"/>
      <c r="K13" s="54"/>
      <c r="L13" s="54"/>
      <c r="M13" s="54"/>
      <c r="N13" s="54"/>
      <c r="O13" s="54" t="s">
        <v>1547</v>
      </c>
    </row>
    <row r="14" spans="1:15" ht="15.75" x14ac:dyDescent="0.2">
      <c r="A14" s="53" t="s">
        <v>12</v>
      </c>
      <c r="B14" s="53" t="s">
        <v>13</v>
      </c>
      <c r="C14" s="54" t="s">
        <v>1548</v>
      </c>
      <c r="D14" s="55" t="s">
        <v>1549</v>
      </c>
      <c r="E14" s="54" t="s">
        <v>1550</v>
      </c>
      <c r="F14" s="54"/>
      <c r="G14" s="54">
        <v>3</v>
      </c>
      <c r="H14" s="54"/>
      <c r="I14" s="54"/>
      <c r="J14" s="54"/>
      <c r="K14" s="54"/>
      <c r="L14" s="54"/>
      <c r="M14" s="54"/>
      <c r="N14" s="54"/>
      <c r="O14" s="54" t="s">
        <v>1544</v>
      </c>
    </row>
    <row r="15" spans="1:15" ht="15.75" x14ac:dyDescent="0.2">
      <c r="A15" s="53" t="s">
        <v>12</v>
      </c>
      <c r="B15" s="53" t="s">
        <v>13</v>
      </c>
      <c r="C15" s="54" t="s">
        <v>1551</v>
      </c>
      <c r="D15" s="55" t="s">
        <v>1552</v>
      </c>
      <c r="E15" s="54" t="s">
        <v>1550</v>
      </c>
      <c r="F15" s="54"/>
      <c r="G15" s="54">
        <v>3</v>
      </c>
      <c r="H15" s="54"/>
      <c r="I15" s="54"/>
      <c r="J15" s="54"/>
      <c r="K15" s="54"/>
      <c r="L15" s="54"/>
      <c r="M15" s="54"/>
      <c r="N15" s="54"/>
      <c r="O15" s="54" t="s">
        <v>1544</v>
      </c>
    </row>
    <row r="16" spans="1:15" ht="30" x14ac:dyDescent="0.2">
      <c r="A16" s="53" t="s">
        <v>12</v>
      </c>
      <c r="B16" s="53" t="s">
        <v>16</v>
      </c>
      <c r="C16" s="54" t="s">
        <v>1553</v>
      </c>
      <c r="D16" s="55" t="s">
        <v>1554</v>
      </c>
      <c r="E16" s="54"/>
      <c r="F16" s="54" t="s">
        <v>1555</v>
      </c>
      <c r="G16" s="54"/>
      <c r="H16" s="54"/>
      <c r="I16" s="54">
        <v>115200</v>
      </c>
      <c r="J16" s="54">
        <v>115200</v>
      </c>
      <c r="K16" s="54"/>
      <c r="L16" s="54"/>
      <c r="M16" s="54"/>
      <c r="N16" s="54"/>
      <c r="O16" s="54"/>
    </row>
    <row r="17" spans="1:15" ht="15.75" x14ac:dyDescent="0.2">
      <c r="A17" s="53" t="s">
        <v>12</v>
      </c>
      <c r="B17" s="53" t="s">
        <v>13</v>
      </c>
      <c r="C17" s="54" t="s">
        <v>1556</v>
      </c>
      <c r="D17" s="55" t="s">
        <v>1557</v>
      </c>
      <c r="E17" s="54" t="s">
        <v>883</v>
      </c>
      <c r="F17" s="54" t="s">
        <v>910</v>
      </c>
      <c r="G17" s="54">
        <v>5</v>
      </c>
      <c r="H17" s="54"/>
      <c r="I17" s="54"/>
      <c r="J17" s="54"/>
      <c r="K17" s="54"/>
      <c r="L17" s="54"/>
      <c r="M17" s="54"/>
      <c r="N17" s="54"/>
      <c r="O17" s="54" t="s">
        <v>1547</v>
      </c>
    </row>
    <row r="18" spans="1:15" ht="30" x14ac:dyDescent="0.2">
      <c r="A18" s="53" t="s">
        <v>12</v>
      </c>
      <c r="B18" s="53" t="s">
        <v>14</v>
      </c>
      <c r="C18" s="54" t="s">
        <v>1558</v>
      </c>
      <c r="D18" s="55" t="s">
        <v>1559</v>
      </c>
      <c r="E18" s="54"/>
      <c r="F18" s="54" t="s">
        <v>1013</v>
      </c>
      <c r="G18" s="54">
        <v>2</v>
      </c>
      <c r="H18" s="54"/>
      <c r="I18" s="54">
        <v>57600</v>
      </c>
      <c r="J18" s="54">
        <v>57600</v>
      </c>
      <c r="K18" s="54"/>
      <c r="L18" s="54"/>
      <c r="M18" s="54">
        <v>1</v>
      </c>
      <c r="N18" s="54"/>
      <c r="O18" s="54"/>
    </row>
    <row r="19" spans="1:15" ht="15.75" x14ac:dyDescent="0.2">
      <c r="A19" s="53" t="s">
        <v>12</v>
      </c>
      <c r="B19" s="53" t="s">
        <v>13</v>
      </c>
      <c r="C19" s="54" t="s">
        <v>1560</v>
      </c>
      <c r="D19" s="55" t="s">
        <v>1561</v>
      </c>
      <c r="E19" s="54"/>
      <c r="F19" s="54" t="s">
        <v>1540</v>
      </c>
      <c r="G19" s="54">
        <v>1</v>
      </c>
      <c r="H19" s="54"/>
      <c r="I19" s="54">
        <v>57600</v>
      </c>
      <c r="J19" s="54">
        <v>57600</v>
      </c>
      <c r="K19" s="54"/>
      <c r="L19" s="54"/>
      <c r="M19" s="54"/>
      <c r="N19" s="54"/>
      <c r="O19" s="54" t="s">
        <v>1562</v>
      </c>
    </row>
    <row r="20" spans="1:15" ht="30" x14ac:dyDescent="0.2">
      <c r="A20" s="53" t="s">
        <v>12</v>
      </c>
      <c r="B20" s="53" t="s">
        <v>13</v>
      </c>
      <c r="C20" s="54" t="s">
        <v>1563</v>
      </c>
      <c r="D20" s="55" t="s">
        <v>1564</v>
      </c>
      <c r="E20" s="54"/>
      <c r="F20" s="54" t="s">
        <v>1555</v>
      </c>
      <c r="G20" s="54"/>
      <c r="H20" s="54"/>
      <c r="I20" s="54"/>
      <c r="J20" s="54"/>
      <c r="K20" s="54"/>
      <c r="L20" s="54"/>
      <c r="M20" s="54"/>
      <c r="N20" s="54"/>
      <c r="O20" s="54"/>
    </row>
    <row r="21" spans="1:15" ht="30" x14ac:dyDescent="0.2">
      <c r="A21" s="53" t="s">
        <v>12</v>
      </c>
      <c r="B21" s="53" t="s">
        <v>13</v>
      </c>
      <c r="C21" s="54" t="s">
        <v>1565</v>
      </c>
      <c r="D21" s="55" t="s">
        <v>1566</v>
      </c>
      <c r="E21" s="54"/>
      <c r="F21" s="54" t="s">
        <v>1555</v>
      </c>
      <c r="G21" s="54"/>
      <c r="H21" s="54"/>
      <c r="I21" s="54">
        <v>115200</v>
      </c>
      <c r="J21" s="54">
        <v>115200</v>
      </c>
      <c r="K21" s="54"/>
      <c r="L21" s="54"/>
      <c r="M21" s="54"/>
      <c r="N21" s="54"/>
      <c r="O21" s="54"/>
    </row>
    <row r="22" spans="1:15" ht="45" x14ac:dyDescent="0.2">
      <c r="A22" s="53" t="s">
        <v>12</v>
      </c>
      <c r="B22" s="53" t="s">
        <v>13</v>
      </c>
      <c r="C22" s="54" t="s">
        <v>1567</v>
      </c>
      <c r="D22" s="55" t="s">
        <v>1568</v>
      </c>
      <c r="E22" s="54" t="s">
        <v>920</v>
      </c>
      <c r="F22" s="54" t="s">
        <v>1013</v>
      </c>
      <c r="G22" s="54">
        <v>0</v>
      </c>
      <c r="H22" s="54"/>
      <c r="I22" s="54"/>
      <c r="J22" s="54"/>
      <c r="K22" s="54"/>
      <c r="L22" s="54"/>
      <c r="M22" s="54"/>
      <c r="N22" s="54"/>
      <c r="O22" s="54" t="s">
        <v>1569</v>
      </c>
    </row>
    <row r="23" spans="1:15" ht="45" x14ac:dyDescent="0.2">
      <c r="A23" s="53" t="s">
        <v>12</v>
      </c>
      <c r="B23" s="53" t="s">
        <v>13</v>
      </c>
      <c r="C23" s="54" t="s">
        <v>1570</v>
      </c>
      <c r="D23" s="55" t="s">
        <v>1571</v>
      </c>
      <c r="E23" s="54" t="s">
        <v>920</v>
      </c>
      <c r="F23" s="54" t="s">
        <v>1013</v>
      </c>
      <c r="G23" s="54">
        <v>8</v>
      </c>
      <c r="H23" s="54"/>
      <c r="I23" s="54"/>
      <c r="J23" s="54"/>
      <c r="K23" s="54"/>
      <c r="L23" s="54"/>
      <c r="M23" s="54"/>
      <c r="N23" s="54"/>
      <c r="O23" s="54" t="s">
        <v>1569</v>
      </c>
    </row>
    <row r="24" spans="1:15" ht="15.75" x14ac:dyDescent="0.2">
      <c r="A24" s="53" t="s">
        <v>12</v>
      </c>
      <c r="B24" s="53" t="s">
        <v>13</v>
      </c>
      <c r="C24" s="54" t="s">
        <v>1572</v>
      </c>
      <c r="D24" s="55" t="s">
        <v>1573</v>
      </c>
      <c r="E24" s="54"/>
      <c r="F24" s="54" t="s">
        <v>1537</v>
      </c>
      <c r="G24" s="54">
        <v>3</v>
      </c>
      <c r="H24" s="54"/>
      <c r="I24" s="54"/>
      <c r="J24" s="54"/>
      <c r="K24" s="54"/>
      <c r="L24" s="54"/>
      <c r="M24" s="54"/>
      <c r="N24" s="54"/>
      <c r="O24" s="54" t="s">
        <v>1574</v>
      </c>
    </row>
    <row r="25" spans="1:15" ht="30" x14ac:dyDescent="0.2">
      <c r="A25" s="53" t="s">
        <v>12</v>
      </c>
      <c r="B25" s="53" t="s">
        <v>16</v>
      </c>
      <c r="C25" s="54" t="s">
        <v>1575</v>
      </c>
      <c r="D25" s="55" t="s">
        <v>1576</v>
      </c>
      <c r="E25" s="54" t="s">
        <v>899</v>
      </c>
      <c r="F25" s="54"/>
      <c r="G25" s="54">
        <v>2</v>
      </c>
      <c r="H25" s="54"/>
      <c r="I25" s="54"/>
      <c r="J25" s="54">
        <v>0</v>
      </c>
      <c r="K25" s="54"/>
      <c r="L25" s="54"/>
      <c r="M25" s="54"/>
      <c r="N25" s="54"/>
      <c r="O25" s="54"/>
    </row>
    <row r="26" spans="1:15" ht="15.75" x14ac:dyDescent="0.2">
      <c r="A26" s="53" t="s">
        <v>12</v>
      </c>
      <c r="B26" s="53" t="s">
        <v>14</v>
      </c>
      <c r="C26" s="54" t="s">
        <v>1577</v>
      </c>
      <c r="D26" s="55" t="s">
        <v>1578</v>
      </c>
      <c r="E26" s="54"/>
      <c r="F26" s="54" t="s">
        <v>1537</v>
      </c>
      <c r="G26" s="54"/>
      <c r="H26" s="54"/>
      <c r="I26" s="54">
        <v>7200</v>
      </c>
      <c r="J26" s="54">
        <v>7200</v>
      </c>
      <c r="K26" s="54"/>
      <c r="L26" s="54"/>
      <c r="M26" s="54"/>
      <c r="N26" s="54"/>
      <c r="O26" s="54" t="s">
        <v>1579</v>
      </c>
    </row>
    <row r="27" spans="1:15" ht="15.75" x14ac:dyDescent="0.2">
      <c r="A27" s="53" t="s">
        <v>12</v>
      </c>
      <c r="B27" s="53" t="s">
        <v>15</v>
      </c>
      <c r="C27" s="54" t="s">
        <v>1580</v>
      </c>
      <c r="D27" s="55" t="s">
        <v>1581</v>
      </c>
      <c r="E27" s="54" t="s">
        <v>883</v>
      </c>
      <c r="F27" s="54" t="s">
        <v>884</v>
      </c>
      <c r="G27" s="54">
        <v>1</v>
      </c>
      <c r="H27" s="54">
        <v>1</v>
      </c>
      <c r="I27" s="54"/>
      <c r="J27" s="54">
        <v>0</v>
      </c>
      <c r="K27" s="54"/>
      <c r="L27" s="54"/>
      <c r="M27" s="54"/>
      <c r="N27" s="54"/>
      <c r="O27" s="54" t="s">
        <v>913</v>
      </c>
    </row>
    <row r="28" spans="1:15" ht="45" x14ac:dyDescent="0.2">
      <c r="A28" s="53" t="s">
        <v>12</v>
      </c>
      <c r="B28" s="53" t="s">
        <v>13</v>
      </c>
      <c r="C28" s="54" t="s">
        <v>1582</v>
      </c>
      <c r="D28" s="55" t="s">
        <v>1583</v>
      </c>
      <c r="E28" s="54" t="s">
        <v>1584</v>
      </c>
      <c r="F28" s="54"/>
      <c r="G28" s="54">
        <v>13</v>
      </c>
      <c r="H28" s="54"/>
      <c r="I28" s="54">
        <v>28800</v>
      </c>
      <c r="J28" s="54">
        <v>28800</v>
      </c>
      <c r="K28" s="54"/>
      <c r="L28" s="54"/>
      <c r="M28" s="54"/>
      <c r="N28" s="54"/>
      <c r="O28" s="54"/>
    </row>
    <row r="29" spans="1:15" ht="45" x14ac:dyDescent="0.2">
      <c r="A29" s="53" t="s">
        <v>12</v>
      </c>
      <c r="B29" s="53" t="s">
        <v>14</v>
      </c>
      <c r="C29" s="54" t="s">
        <v>1585</v>
      </c>
      <c r="D29" s="55" t="s">
        <v>1586</v>
      </c>
      <c r="E29" s="54" t="s">
        <v>899</v>
      </c>
      <c r="F29" s="54" t="s">
        <v>1555</v>
      </c>
      <c r="G29" s="54">
        <v>13</v>
      </c>
      <c r="H29" s="54"/>
      <c r="I29" s="54">
        <v>28800</v>
      </c>
      <c r="J29" s="54">
        <v>28800</v>
      </c>
      <c r="K29" s="54"/>
      <c r="L29" s="54"/>
      <c r="M29" s="54"/>
      <c r="N29" s="54"/>
      <c r="O29" s="54" t="s">
        <v>1457</v>
      </c>
    </row>
    <row r="30" spans="1:15" ht="30" x14ac:dyDescent="0.2">
      <c r="A30" s="53" t="s">
        <v>12</v>
      </c>
      <c r="B30" s="53" t="s">
        <v>14</v>
      </c>
      <c r="C30" s="54" t="s">
        <v>1587</v>
      </c>
      <c r="D30" s="55" t="s">
        <v>1588</v>
      </c>
      <c r="E30" s="54" t="s">
        <v>899</v>
      </c>
      <c r="F30" s="54" t="s">
        <v>1555</v>
      </c>
      <c r="G30" s="54">
        <v>8</v>
      </c>
      <c r="H30" s="54"/>
      <c r="I30" s="54">
        <v>57600</v>
      </c>
      <c r="J30" s="54">
        <v>57600</v>
      </c>
      <c r="K30" s="54"/>
      <c r="L30" s="54"/>
      <c r="M30" s="54"/>
      <c r="N30" s="54"/>
      <c r="O30" s="54" t="s">
        <v>1457</v>
      </c>
    </row>
    <row r="31" spans="1:15" ht="15.75" x14ac:dyDescent="0.2">
      <c r="A31" s="53" t="s">
        <v>12</v>
      </c>
      <c r="B31" s="53" t="s">
        <v>14</v>
      </c>
      <c r="C31" s="54" t="s">
        <v>1589</v>
      </c>
      <c r="D31" s="55" t="s">
        <v>1590</v>
      </c>
      <c r="E31" s="54"/>
      <c r="F31" s="54"/>
      <c r="G31" s="54"/>
      <c r="H31" s="54"/>
      <c r="I31" s="54"/>
      <c r="J31" s="54"/>
      <c r="K31" s="54"/>
      <c r="L31" s="54"/>
      <c r="M31" s="54"/>
      <c r="N31" s="54"/>
      <c r="O31" s="54" t="s">
        <v>1591</v>
      </c>
    </row>
    <row r="32" spans="1:15" ht="45" x14ac:dyDescent="0.2">
      <c r="A32" s="53" t="s">
        <v>12</v>
      </c>
      <c r="B32" s="53" t="s">
        <v>13</v>
      </c>
      <c r="C32" s="54" t="s">
        <v>1592</v>
      </c>
      <c r="D32" s="55" t="s">
        <v>1593</v>
      </c>
      <c r="E32" s="54" t="s">
        <v>899</v>
      </c>
      <c r="F32" s="54" t="s">
        <v>1594</v>
      </c>
      <c r="G32" s="54">
        <v>0</v>
      </c>
      <c r="H32" s="54"/>
      <c r="I32" s="54">
        <v>0</v>
      </c>
      <c r="J32" s="54">
        <v>0</v>
      </c>
      <c r="K32" s="54"/>
      <c r="L32" s="54"/>
      <c r="M32" s="54"/>
      <c r="N32" s="54"/>
      <c r="O32" s="54"/>
    </row>
    <row r="33" spans="1:15" ht="30" x14ac:dyDescent="0.2">
      <c r="A33" s="53" t="s">
        <v>12</v>
      </c>
      <c r="B33" s="53" t="s">
        <v>17</v>
      </c>
      <c r="C33" s="54" t="s">
        <v>1595</v>
      </c>
      <c r="D33" s="55" t="s">
        <v>1596</v>
      </c>
      <c r="E33" s="54" t="s">
        <v>899</v>
      </c>
      <c r="F33" s="54" t="s">
        <v>1555</v>
      </c>
      <c r="G33" s="54">
        <v>1</v>
      </c>
      <c r="H33" s="54"/>
      <c r="I33" s="54">
        <v>7200</v>
      </c>
      <c r="J33" s="54">
        <v>7200</v>
      </c>
      <c r="K33" s="54"/>
      <c r="L33" s="54"/>
      <c r="M33" s="54"/>
      <c r="N33" s="54"/>
      <c r="O33" s="54"/>
    </row>
    <row r="34" spans="1:15" ht="15.75" x14ac:dyDescent="0.2">
      <c r="A34" s="53" t="s">
        <v>12</v>
      </c>
      <c r="B34" s="53" t="s">
        <v>13</v>
      </c>
      <c r="C34" s="54" t="s">
        <v>1597</v>
      </c>
      <c r="D34" s="55" t="s">
        <v>1598</v>
      </c>
      <c r="E34" s="54" t="s">
        <v>883</v>
      </c>
      <c r="F34" s="54" t="s">
        <v>884</v>
      </c>
      <c r="G34" s="54">
        <v>8</v>
      </c>
      <c r="H34" s="54"/>
      <c r="I34" s="54">
        <v>21600</v>
      </c>
      <c r="J34" s="54">
        <v>21600</v>
      </c>
      <c r="K34" s="54"/>
      <c r="L34" s="54"/>
      <c r="M34" s="54"/>
      <c r="N34" s="54"/>
      <c r="O34" s="54" t="s">
        <v>944</v>
      </c>
    </row>
    <row r="35" spans="1:15" ht="15.75" x14ac:dyDescent="0.2">
      <c r="A35" s="53" t="s">
        <v>12</v>
      </c>
      <c r="B35" s="53" t="s">
        <v>13</v>
      </c>
      <c r="C35" s="54" t="s">
        <v>1599</v>
      </c>
      <c r="D35" s="55" t="s">
        <v>1600</v>
      </c>
      <c r="E35" s="54" t="s">
        <v>883</v>
      </c>
      <c r="F35" s="54" t="s">
        <v>884</v>
      </c>
      <c r="G35" s="54">
        <v>8</v>
      </c>
      <c r="H35" s="54"/>
      <c r="I35" s="54">
        <v>21600</v>
      </c>
      <c r="J35" s="54">
        <v>21600</v>
      </c>
      <c r="K35" s="54"/>
      <c r="L35" s="54"/>
      <c r="M35" s="54"/>
      <c r="N35" s="54"/>
      <c r="O35" s="54" t="s">
        <v>944</v>
      </c>
    </row>
    <row r="36" spans="1:15" ht="30" x14ac:dyDescent="0.2">
      <c r="A36" s="53" t="s">
        <v>12</v>
      </c>
      <c r="B36" s="53" t="s">
        <v>13</v>
      </c>
      <c r="C36" s="54" t="s">
        <v>1601</v>
      </c>
      <c r="D36" s="55" t="s">
        <v>1602</v>
      </c>
      <c r="E36" s="54" t="s">
        <v>883</v>
      </c>
      <c r="F36" s="54" t="s">
        <v>884</v>
      </c>
      <c r="G36" s="54">
        <v>2</v>
      </c>
      <c r="H36" s="54"/>
      <c r="I36" s="54">
        <v>21600</v>
      </c>
      <c r="J36" s="54">
        <v>21600</v>
      </c>
      <c r="K36" s="54"/>
      <c r="L36" s="54"/>
      <c r="M36" s="54"/>
      <c r="N36" s="54"/>
      <c r="O36" s="54" t="s">
        <v>953</v>
      </c>
    </row>
    <row r="37" spans="1:15" ht="45" x14ac:dyDescent="0.2">
      <c r="A37" s="53" t="s">
        <v>12</v>
      </c>
      <c r="B37" s="53" t="s">
        <v>13</v>
      </c>
      <c r="C37" s="54" t="s">
        <v>1603</v>
      </c>
      <c r="D37" s="55" t="s">
        <v>1604</v>
      </c>
      <c r="E37" s="54" t="s">
        <v>899</v>
      </c>
      <c r="F37" s="54" t="s">
        <v>1605</v>
      </c>
      <c r="G37" s="54">
        <v>3</v>
      </c>
      <c r="H37" s="54"/>
      <c r="I37" s="54">
        <v>0</v>
      </c>
      <c r="J37" s="54">
        <v>0</v>
      </c>
      <c r="K37" s="54"/>
      <c r="L37" s="54"/>
      <c r="M37" s="54"/>
      <c r="N37" s="54"/>
      <c r="O37" s="54" t="s">
        <v>1030</v>
      </c>
    </row>
    <row r="38" spans="1:15" ht="75" x14ac:dyDescent="0.2">
      <c r="A38" s="53" t="s">
        <v>12</v>
      </c>
      <c r="B38" s="53" t="s">
        <v>13</v>
      </c>
      <c r="C38" s="54" t="s">
        <v>1606</v>
      </c>
      <c r="D38" s="55" t="s">
        <v>1607</v>
      </c>
      <c r="E38" s="54"/>
      <c r="F38" s="54"/>
      <c r="G38" s="54">
        <v>3</v>
      </c>
      <c r="H38" s="54"/>
      <c r="I38" s="54">
        <v>0</v>
      </c>
      <c r="J38" s="54">
        <v>0</v>
      </c>
      <c r="K38" s="54"/>
      <c r="L38" s="54"/>
      <c r="M38" s="54"/>
      <c r="N38" s="54"/>
      <c r="O38" s="54" t="s">
        <v>1030</v>
      </c>
    </row>
    <row r="39" spans="1:15" ht="45" x14ac:dyDescent="0.2">
      <c r="A39" s="53" t="s">
        <v>12</v>
      </c>
      <c r="B39" s="53" t="s">
        <v>13</v>
      </c>
      <c r="C39" s="54" t="s">
        <v>1608</v>
      </c>
      <c r="D39" s="55" t="s">
        <v>1609</v>
      </c>
      <c r="E39" s="54"/>
      <c r="F39" s="54"/>
      <c r="G39" s="54">
        <v>3</v>
      </c>
      <c r="H39" s="54"/>
      <c r="I39" s="54">
        <v>57600</v>
      </c>
      <c r="J39" s="54">
        <v>57600</v>
      </c>
      <c r="K39" s="54"/>
      <c r="L39" s="54"/>
      <c r="M39" s="54"/>
      <c r="N39" s="54"/>
      <c r="O39" s="54" t="s">
        <v>1030</v>
      </c>
    </row>
    <row r="40" spans="1:15" ht="30" x14ac:dyDescent="0.2">
      <c r="A40" s="53" t="s">
        <v>12</v>
      </c>
      <c r="B40" s="53" t="s">
        <v>13</v>
      </c>
      <c r="C40" s="54" t="s">
        <v>1610</v>
      </c>
      <c r="D40" s="55" t="s">
        <v>1611</v>
      </c>
      <c r="E40" s="54" t="s">
        <v>899</v>
      </c>
      <c r="F40" s="54" t="s">
        <v>1013</v>
      </c>
      <c r="G40" s="54">
        <v>3</v>
      </c>
      <c r="H40" s="54"/>
      <c r="I40" s="54">
        <v>86400</v>
      </c>
      <c r="J40" s="54">
        <v>86400</v>
      </c>
      <c r="K40" s="54"/>
      <c r="L40" s="54"/>
      <c r="M40" s="54"/>
      <c r="N40" s="54"/>
      <c r="O40" s="54" t="s">
        <v>1333</v>
      </c>
    </row>
    <row r="41" spans="1:15" ht="30" x14ac:dyDescent="0.2">
      <c r="A41" s="53" t="s">
        <v>12</v>
      </c>
      <c r="B41" s="53" t="s">
        <v>14</v>
      </c>
      <c r="C41" s="54" t="s">
        <v>1612</v>
      </c>
      <c r="D41" s="55" t="s">
        <v>1613</v>
      </c>
      <c r="E41" s="54" t="s">
        <v>899</v>
      </c>
      <c r="F41" s="54" t="s">
        <v>1555</v>
      </c>
      <c r="G41" s="54">
        <v>3</v>
      </c>
      <c r="H41" s="54"/>
      <c r="I41" s="54">
        <v>86400</v>
      </c>
      <c r="J41" s="54">
        <v>86400</v>
      </c>
      <c r="K41" s="54"/>
      <c r="L41" s="54"/>
      <c r="M41" s="54"/>
      <c r="N41" s="54"/>
      <c r="O41" s="54" t="s">
        <v>1047</v>
      </c>
    </row>
    <row r="42" spans="1:15" ht="30" x14ac:dyDescent="0.2">
      <c r="A42" s="53" t="s">
        <v>12</v>
      </c>
      <c r="B42" s="53" t="s">
        <v>14</v>
      </c>
      <c r="C42" s="54" t="s">
        <v>1614</v>
      </c>
      <c r="D42" s="55" t="s">
        <v>1615</v>
      </c>
      <c r="E42" s="54" t="s">
        <v>883</v>
      </c>
      <c r="F42" s="54" t="s">
        <v>1616</v>
      </c>
      <c r="G42" s="54">
        <v>8</v>
      </c>
      <c r="H42" s="54"/>
      <c r="I42" s="54">
        <v>115200</v>
      </c>
      <c r="J42" s="54">
        <v>72000</v>
      </c>
      <c r="K42" s="54"/>
      <c r="L42" s="54"/>
      <c r="M42" s="54"/>
      <c r="N42" s="54"/>
      <c r="O42" s="54" t="s">
        <v>1501</v>
      </c>
    </row>
    <row r="43" spans="1:15" ht="30" x14ac:dyDescent="0.2">
      <c r="A43" s="53" t="s">
        <v>12</v>
      </c>
      <c r="B43" s="53" t="s">
        <v>14</v>
      </c>
      <c r="C43" s="54" t="s">
        <v>1617</v>
      </c>
      <c r="D43" s="55" t="s">
        <v>1618</v>
      </c>
      <c r="E43" s="54" t="s">
        <v>899</v>
      </c>
      <c r="F43" s="54" t="s">
        <v>1555</v>
      </c>
      <c r="G43" s="54">
        <v>2</v>
      </c>
      <c r="H43" s="54"/>
      <c r="I43" s="54">
        <v>201600</v>
      </c>
      <c r="J43" s="54">
        <v>122400</v>
      </c>
      <c r="K43" s="54"/>
      <c r="L43" s="54"/>
      <c r="M43" s="54"/>
      <c r="N43" s="54"/>
      <c r="O43" s="54" t="s">
        <v>1387</v>
      </c>
    </row>
    <row r="44" spans="1:15" ht="30" x14ac:dyDescent="0.2">
      <c r="A44" s="53" t="s">
        <v>12</v>
      </c>
      <c r="B44" s="53" t="s">
        <v>16</v>
      </c>
      <c r="C44" s="54" t="s">
        <v>1619</v>
      </c>
      <c r="D44" s="55" t="s">
        <v>1620</v>
      </c>
      <c r="E44" s="54"/>
      <c r="F44" s="54" t="s">
        <v>1555</v>
      </c>
      <c r="G44" s="54">
        <v>3</v>
      </c>
      <c r="H44" s="54"/>
      <c r="I44" s="54">
        <v>57600</v>
      </c>
      <c r="J44" s="54">
        <v>28800</v>
      </c>
      <c r="K44" s="54"/>
      <c r="L44" s="54"/>
      <c r="M44" s="54"/>
      <c r="N44" s="54"/>
      <c r="O44" s="54" t="s">
        <v>1427</v>
      </c>
    </row>
    <row r="45" spans="1:15" ht="30" x14ac:dyDescent="0.2">
      <c r="A45" s="53" t="s">
        <v>12</v>
      </c>
      <c r="B45" s="53" t="s">
        <v>16</v>
      </c>
      <c r="C45" s="54" t="s">
        <v>1621</v>
      </c>
      <c r="D45" s="55" t="s">
        <v>1622</v>
      </c>
      <c r="E45" s="54"/>
      <c r="F45" s="54" t="s">
        <v>1555</v>
      </c>
      <c r="G45" s="54">
        <v>3</v>
      </c>
      <c r="H45" s="54"/>
      <c r="I45" s="54">
        <v>240</v>
      </c>
      <c r="J45" s="54">
        <v>120</v>
      </c>
      <c r="K45" s="54"/>
      <c r="L45" s="54"/>
      <c r="M45" s="54"/>
      <c r="N45" s="54"/>
      <c r="O45" s="54"/>
    </row>
    <row r="46" spans="1:15" ht="30" x14ac:dyDescent="0.2">
      <c r="A46" s="53" t="s">
        <v>12</v>
      </c>
      <c r="B46" s="53" t="s">
        <v>16</v>
      </c>
      <c r="C46" s="54" t="s">
        <v>1623</v>
      </c>
      <c r="D46" s="55" t="s">
        <v>1624</v>
      </c>
      <c r="E46" s="54" t="s">
        <v>899</v>
      </c>
      <c r="F46" s="54" t="s">
        <v>1555</v>
      </c>
      <c r="G46" s="54">
        <v>3</v>
      </c>
      <c r="H46" s="54"/>
      <c r="I46" s="54">
        <v>14400</v>
      </c>
      <c r="J46" s="54">
        <v>0</v>
      </c>
      <c r="K46" s="54"/>
      <c r="L46" s="54"/>
      <c r="M46" s="54"/>
      <c r="N46" s="54"/>
      <c r="O46" s="54" t="s">
        <v>1352</v>
      </c>
    </row>
    <row r="47" spans="1:15" ht="15.75" x14ac:dyDescent="0.2">
      <c r="A47" s="53" t="s">
        <v>12</v>
      </c>
      <c r="B47" s="53" t="s">
        <v>106</v>
      </c>
      <c r="C47" s="54" t="s">
        <v>1625</v>
      </c>
      <c r="D47" s="55" t="s">
        <v>1626</v>
      </c>
      <c r="E47" s="54"/>
      <c r="F47" s="54" t="s">
        <v>212</v>
      </c>
      <c r="G47" s="54">
        <v>5</v>
      </c>
      <c r="H47" s="54"/>
      <c r="I47" s="54">
        <v>7200</v>
      </c>
      <c r="J47" s="54">
        <v>0</v>
      </c>
      <c r="K47" s="54"/>
      <c r="L47" s="54"/>
      <c r="M47" s="54"/>
      <c r="N47" s="54"/>
      <c r="O47" s="54" t="s">
        <v>1627</v>
      </c>
    </row>
    <row r="48" spans="1:15" ht="30" x14ac:dyDescent="0.2">
      <c r="A48" s="53" t="s">
        <v>12</v>
      </c>
      <c r="B48" s="53" t="s">
        <v>13</v>
      </c>
      <c r="C48" s="54" t="s">
        <v>1628</v>
      </c>
      <c r="D48" s="55" t="s">
        <v>1629</v>
      </c>
      <c r="E48" s="54"/>
      <c r="F48" s="54" t="s">
        <v>1537</v>
      </c>
      <c r="G48" s="54">
        <v>8</v>
      </c>
      <c r="H48" s="54"/>
      <c r="I48" s="54">
        <v>14400</v>
      </c>
      <c r="J48" s="54">
        <v>14400</v>
      </c>
      <c r="K48" s="54"/>
      <c r="L48" s="54"/>
      <c r="M48" s="54"/>
      <c r="N48" s="54"/>
      <c r="O48" s="54" t="s">
        <v>1630</v>
      </c>
    </row>
    <row r="49" spans="1:15" ht="30" x14ac:dyDescent="0.2">
      <c r="A49" s="53" t="s">
        <v>12</v>
      </c>
      <c r="B49" s="53" t="s">
        <v>14</v>
      </c>
      <c r="C49" s="54" t="s">
        <v>1631</v>
      </c>
      <c r="D49" s="55" t="s">
        <v>1632</v>
      </c>
      <c r="E49" s="54"/>
      <c r="F49" s="54" t="s">
        <v>1633</v>
      </c>
      <c r="G49" s="54"/>
      <c r="H49" s="54"/>
      <c r="I49" s="54">
        <v>3600</v>
      </c>
      <c r="J49" s="54">
        <v>72000</v>
      </c>
      <c r="K49" s="54"/>
      <c r="L49" s="54"/>
      <c r="M49" s="54"/>
      <c r="N49" s="54"/>
      <c r="O49" s="54"/>
    </row>
    <row r="50" spans="1:15" ht="30" x14ac:dyDescent="0.2">
      <c r="A50" s="53" t="s">
        <v>12</v>
      </c>
      <c r="B50" s="53" t="s">
        <v>14</v>
      </c>
      <c r="C50" s="54" t="s">
        <v>1634</v>
      </c>
      <c r="D50" s="55" t="s">
        <v>1635</v>
      </c>
      <c r="E50" s="54" t="s">
        <v>883</v>
      </c>
      <c r="F50" s="54" t="s">
        <v>1616</v>
      </c>
      <c r="G50" s="54">
        <v>2</v>
      </c>
      <c r="H50" s="54"/>
      <c r="I50" s="54">
        <v>57600</v>
      </c>
      <c r="J50" s="54">
        <v>41400</v>
      </c>
      <c r="K50" s="54"/>
      <c r="L50" s="54"/>
      <c r="M50" s="54"/>
      <c r="N50" s="54"/>
      <c r="O50" s="54" t="s">
        <v>1636</v>
      </c>
    </row>
    <row r="51" spans="1:15" ht="30" x14ac:dyDescent="0.2">
      <c r="A51" s="53" t="s">
        <v>12</v>
      </c>
      <c r="B51" s="53" t="s">
        <v>14</v>
      </c>
      <c r="C51" s="54" t="s">
        <v>1637</v>
      </c>
      <c r="D51" s="55" t="s">
        <v>1638</v>
      </c>
      <c r="E51" s="54"/>
      <c r="F51" s="54" t="s">
        <v>1639</v>
      </c>
      <c r="G51" s="54">
        <v>5</v>
      </c>
      <c r="H51" s="54"/>
      <c r="I51" s="54">
        <v>144000</v>
      </c>
      <c r="J51" s="54">
        <v>14400</v>
      </c>
      <c r="K51" s="54"/>
      <c r="L51" s="54"/>
      <c r="M51" s="54"/>
      <c r="N51" s="54"/>
      <c r="O51" s="54" t="s">
        <v>1640</v>
      </c>
    </row>
    <row r="52" spans="1:15" ht="45" x14ac:dyDescent="0.2">
      <c r="A52" s="53" t="s">
        <v>12</v>
      </c>
      <c r="B52" s="53" t="s">
        <v>13</v>
      </c>
      <c r="C52" s="54" t="s">
        <v>1641</v>
      </c>
      <c r="D52" s="55" t="s">
        <v>1642</v>
      </c>
      <c r="E52" s="54"/>
      <c r="F52" s="54" t="s">
        <v>1643</v>
      </c>
      <c r="G52" s="54">
        <v>2</v>
      </c>
      <c r="H52" s="54"/>
      <c r="I52" s="54"/>
      <c r="J52" s="54"/>
      <c r="K52" s="54"/>
      <c r="L52" s="54"/>
      <c r="M52" s="54"/>
      <c r="N52" s="54"/>
      <c r="O52" s="54" t="s">
        <v>1314</v>
      </c>
    </row>
    <row r="53" spans="1:15" ht="45" x14ac:dyDescent="0.2">
      <c r="A53" s="53" t="s">
        <v>12</v>
      </c>
      <c r="B53" s="53" t="s">
        <v>13</v>
      </c>
      <c r="C53" s="54" t="s">
        <v>1644</v>
      </c>
      <c r="D53" s="55" t="s">
        <v>1645</v>
      </c>
      <c r="E53" s="54"/>
      <c r="F53" s="54" t="s">
        <v>1643</v>
      </c>
      <c r="G53" s="54">
        <v>1</v>
      </c>
      <c r="H53" s="54"/>
      <c r="I53" s="54"/>
      <c r="J53" s="54"/>
      <c r="K53" s="54"/>
      <c r="L53" s="54"/>
      <c r="M53" s="54"/>
      <c r="N53" s="54"/>
      <c r="O53" s="54" t="s">
        <v>1314</v>
      </c>
    </row>
    <row r="54" spans="1:15" ht="45" x14ac:dyDescent="0.2">
      <c r="A54" s="53" t="s">
        <v>12</v>
      </c>
      <c r="B54" s="53" t="s">
        <v>13</v>
      </c>
      <c r="C54" s="54" t="s">
        <v>1646</v>
      </c>
      <c r="D54" s="55" t="s">
        <v>1647</v>
      </c>
      <c r="E54" s="54" t="s">
        <v>883</v>
      </c>
      <c r="F54" s="54" t="s">
        <v>1643</v>
      </c>
      <c r="G54" s="54">
        <v>1</v>
      </c>
      <c r="H54" s="54"/>
      <c r="I54" s="54"/>
      <c r="J54" s="54"/>
      <c r="K54" s="54"/>
      <c r="L54" s="54"/>
      <c r="M54" s="54"/>
      <c r="N54" s="54"/>
      <c r="O54" s="54" t="s">
        <v>1314</v>
      </c>
    </row>
    <row r="55" spans="1:15" ht="45" x14ac:dyDescent="0.2">
      <c r="A55" s="53" t="s">
        <v>12</v>
      </c>
      <c r="B55" s="53" t="s">
        <v>13</v>
      </c>
      <c r="C55" s="54" t="s">
        <v>1648</v>
      </c>
      <c r="D55" s="55" t="s">
        <v>1649</v>
      </c>
      <c r="E55" s="54" t="s">
        <v>883</v>
      </c>
      <c r="F55" s="54" t="s">
        <v>1643</v>
      </c>
      <c r="G55" s="54">
        <v>1</v>
      </c>
      <c r="H55" s="54"/>
      <c r="I55" s="54"/>
      <c r="J55" s="54"/>
      <c r="K55" s="54"/>
      <c r="L55" s="54"/>
      <c r="M55" s="54"/>
      <c r="N55" s="54"/>
      <c r="O55" s="54" t="s">
        <v>1314</v>
      </c>
    </row>
    <row r="56" spans="1:15" ht="45" x14ac:dyDescent="0.2">
      <c r="A56" s="53" t="s">
        <v>12</v>
      </c>
      <c r="B56" s="53" t="s">
        <v>14</v>
      </c>
      <c r="C56" s="54" t="s">
        <v>1650</v>
      </c>
      <c r="D56" s="55" t="s">
        <v>1651</v>
      </c>
      <c r="E56" s="54" t="s">
        <v>883</v>
      </c>
      <c r="F56" s="54" t="s">
        <v>1616</v>
      </c>
      <c r="G56" s="54">
        <v>1</v>
      </c>
      <c r="H56" s="54"/>
      <c r="I56" s="54">
        <v>36000</v>
      </c>
      <c r="J56" s="54">
        <v>28800</v>
      </c>
      <c r="K56" s="54"/>
      <c r="L56" s="54"/>
      <c r="M56" s="54"/>
      <c r="N56" s="54"/>
      <c r="O56" s="54" t="s">
        <v>1652</v>
      </c>
    </row>
    <row r="57" spans="1:15" ht="45" x14ac:dyDescent="0.2">
      <c r="A57" s="53" t="s">
        <v>12</v>
      </c>
      <c r="B57" s="53" t="s">
        <v>14</v>
      </c>
      <c r="C57" s="54" t="s">
        <v>1653</v>
      </c>
      <c r="D57" s="55" t="s">
        <v>1654</v>
      </c>
      <c r="E57" s="54"/>
      <c r="F57" s="54" t="s">
        <v>1616</v>
      </c>
      <c r="G57" s="54">
        <v>2</v>
      </c>
      <c r="H57" s="54"/>
      <c r="I57" s="54">
        <v>86400</v>
      </c>
      <c r="J57" s="54">
        <v>21600</v>
      </c>
      <c r="K57" s="54"/>
      <c r="L57" s="54"/>
      <c r="M57" s="54"/>
      <c r="N57" s="54"/>
      <c r="O57" s="54" t="s">
        <v>1655</v>
      </c>
    </row>
    <row r="58" spans="1:15" ht="45" x14ac:dyDescent="0.2">
      <c r="A58" s="53" t="s">
        <v>12</v>
      </c>
      <c r="B58" s="53" t="s">
        <v>14</v>
      </c>
      <c r="C58" s="54" t="s">
        <v>1656</v>
      </c>
      <c r="D58" s="55" t="s">
        <v>1657</v>
      </c>
      <c r="E58" s="54" t="s">
        <v>883</v>
      </c>
      <c r="F58" s="54" t="s">
        <v>1616</v>
      </c>
      <c r="G58" s="54">
        <v>5</v>
      </c>
      <c r="H58" s="54"/>
      <c r="I58" s="54">
        <v>61200</v>
      </c>
      <c r="J58" s="54">
        <v>28800</v>
      </c>
      <c r="K58" s="54"/>
      <c r="L58" s="54"/>
      <c r="M58" s="54"/>
      <c r="N58" s="54"/>
      <c r="O58" s="54" t="s">
        <v>1658</v>
      </c>
    </row>
    <row r="59" spans="1:15" ht="30" x14ac:dyDescent="0.2">
      <c r="A59" s="53" t="s">
        <v>12</v>
      </c>
      <c r="B59" s="53" t="s">
        <v>13</v>
      </c>
      <c r="C59" s="54" t="s">
        <v>1659</v>
      </c>
      <c r="D59" s="55" t="s">
        <v>1660</v>
      </c>
      <c r="E59" s="54"/>
      <c r="F59" s="54" t="s">
        <v>1540</v>
      </c>
      <c r="G59" s="54">
        <v>3</v>
      </c>
      <c r="H59" s="54"/>
      <c r="I59" s="54">
        <v>57600</v>
      </c>
      <c r="J59" s="54">
        <v>57600</v>
      </c>
      <c r="K59" s="54"/>
      <c r="L59" s="54"/>
      <c r="M59" s="54"/>
      <c r="N59" s="54"/>
      <c r="O59" s="54" t="s">
        <v>1310</v>
      </c>
    </row>
    <row r="60" spans="1:15" ht="15.75" x14ac:dyDescent="0.2">
      <c r="A60" s="53" t="s">
        <v>12</v>
      </c>
      <c r="B60" s="53" t="s">
        <v>13</v>
      </c>
      <c r="C60" s="54" t="s">
        <v>1661</v>
      </c>
      <c r="D60" s="55" t="s">
        <v>1662</v>
      </c>
      <c r="E60" s="54"/>
      <c r="F60" s="54" t="s">
        <v>1540</v>
      </c>
      <c r="G60" s="54">
        <v>3</v>
      </c>
      <c r="H60" s="54"/>
      <c r="I60" s="54">
        <v>57600</v>
      </c>
      <c r="J60" s="54">
        <v>28800</v>
      </c>
      <c r="K60" s="54"/>
      <c r="L60" s="54"/>
      <c r="M60" s="54"/>
      <c r="N60" s="54"/>
      <c r="O60" s="54" t="s">
        <v>1310</v>
      </c>
    </row>
    <row r="61" spans="1:15" ht="45" x14ac:dyDescent="0.2">
      <c r="A61" s="53" t="s">
        <v>12</v>
      </c>
      <c r="B61" s="53" t="s">
        <v>14</v>
      </c>
      <c r="C61" s="54" t="s">
        <v>1663</v>
      </c>
      <c r="D61" s="55" t="s">
        <v>1664</v>
      </c>
      <c r="E61" s="54" t="s">
        <v>883</v>
      </c>
      <c r="F61" s="54" t="s">
        <v>1616</v>
      </c>
      <c r="G61" s="54">
        <v>5</v>
      </c>
      <c r="H61" s="54"/>
      <c r="I61" s="54">
        <v>169200</v>
      </c>
      <c r="J61" s="54">
        <v>72000</v>
      </c>
      <c r="K61" s="54"/>
      <c r="L61" s="54"/>
      <c r="M61" s="54"/>
      <c r="N61" s="54"/>
      <c r="O61" s="54" t="s">
        <v>1665</v>
      </c>
    </row>
    <row r="62" spans="1:15" ht="30" x14ac:dyDescent="0.2">
      <c r="A62" s="53" t="s">
        <v>12</v>
      </c>
      <c r="B62" s="53" t="s">
        <v>16</v>
      </c>
      <c r="C62" s="54" t="s">
        <v>1666</v>
      </c>
      <c r="D62" s="55" t="s">
        <v>1667</v>
      </c>
      <c r="E62" s="54" t="s">
        <v>883</v>
      </c>
      <c r="F62" s="54" t="s">
        <v>1616</v>
      </c>
      <c r="G62" s="54">
        <v>3</v>
      </c>
      <c r="H62" s="54"/>
      <c r="I62" s="54">
        <v>32400</v>
      </c>
      <c r="J62" s="54">
        <v>0</v>
      </c>
      <c r="K62" s="54"/>
      <c r="L62" s="54"/>
      <c r="M62" s="54"/>
      <c r="N62" s="54"/>
      <c r="O62" s="54" t="s">
        <v>1668</v>
      </c>
    </row>
    <row r="63" spans="1:15" ht="30" x14ac:dyDescent="0.2">
      <c r="A63" s="53" t="s">
        <v>12</v>
      </c>
      <c r="B63" s="53" t="s">
        <v>16</v>
      </c>
      <c r="C63" s="54" t="s">
        <v>1669</v>
      </c>
      <c r="D63" s="55" t="s">
        <v>1670</v>
      </c>
      <c r="E63" s="54" t="s">
        <v>883</v>
      </c>
      <c r="F63" s="54" t="s">
        <v>1616</v>
      </c>
      <c r="G63" s="54">
        <v>3</v>
      </c>
      <c r="H63" s="54"/>
      <c r="I63" s="54">
        <v>32400</v>
      </c>
      <c r="J63" s="54">
        <v>0</v>
      </c>
      <c r="K63" s="54"/>
      <c r="L63" s="54"/>
      <c r="M63" s="54"/>
      <c r="N63" s="54"/>
      <c r="O63" s="54" t="s">
        <v>1671</v>
      </c>
    </row>
    <row r="64" spans="1:15" ht="30" x14ac:dyDescent="0.2">
      <c r="A64" s="53" t="s">
        <v>12</v>
      </c>
      <c r="B64" s="53" t="s">
        <v>13</v>
      </c>
      <c r="C64" s="54" t="s">
        <v>1672</v>
      </c>
      <c r="D64" s="55" t="s">
        <v>1673</v>
      </c>
      <c r="E64" s="54"/>
      <c r="F64" s="54"/>
      <c r="G64" s="54"/>
      <c r="H64" s="54"/>
      <c r="I64" s="54"/>
      <c r="J64" s="54"/>
      <c r="K64" s="54"/>
      <c r="L64" s="54"/>
      <c r="M64" s="54"/>
      <c r="N64" s="54"/>
      <c r="O64" s="54" t="s">
        <v>1674</v>
      </c>
    </row>
    <row r="65" spans="1:15" ht="30" x14ac:dyDescent="0.2">
      <c r="A65" s="53" t="s">
        <v>12</v>
      </c>
      <c r="B65" s="53" t="s">
        <v>16</v>
      </c>
      <c r="C65" s="54" t="s">
        <v>1675</v>
      </c>
      <c r="D65" s="55" t="s">
        <v>1676</v>
      </c>
      <c r="E65" s="54" t="s">
        <v>899</v>
      </c>
      <c r="F65" s="54" t="s">
        <v>1633</v>
      </c>
      <c r="G65" s="54">
        <v>0</v>
      </c>
      <c r="H65" s="54"/>
      <c r="I65" s="54">
        <v>0</v>
      </c>
      <c r="J65" s="54">
        <v>0</v>
      </c>
      <c r="K65" s="54"/>
      <c r="L65" s="54"/>
      <c r="M65" s="54"/>
      <c r="N65" s="54"/>
      <c r="O65" s="54" t="s">
        <v>1352</v>
      </c>
    </row>
    <row r="66" spans="1:15" ht="30" x14ac:dyDescent="0.2">
      <c r="A66" s="53" t="s">
        <v>12</v>
      </c>
      <c r="B66" s="53" t="s">
        <v>106</v>
      </c>
      <c r="C66" s="54" t="s">
        <v>1677</v>
      </c>
      <c r="D66" s="55" t="s">
        <v>1678</v>
      </c>
      <c r="E66" s="54"/>
      <c r="F66" s="54" t="s">
        <v>1679</v>
      </c>
      <c r="G66" s="54">
        <v>13</v>
      </c>
      <c r="H66" s="54"/>
      <c r="I66" s="54">
        <v>14400</v>
      </c>
      <c r="J66" s="54">
        <v>0</v>
      </c>
      <c r="K66" s="54"/>
      <c r="L66" s="54"/>
      <c r="M66" s="54"/>
      <c r="N66" s="54"/>
      <c r="O66" s="54"/>
    </row>
    <row r="67" spans="1:15" ht="30" x14ac:dyDescent="0.2">
      <c r="A67" s="53" t="s">
        <v>12</v>
      </c>
      <c r="B67" s="53" t="s">
        <v>106</v>
      </c>
      <c r="C67" s="54" t="s">
        <v>1680</v>
      </c>
      <c r="D67" s="55" t="s">
        <v>1681</v>
      </c>
      <c r="E67" s="54"/>
      <c r="F67" s="54" t="s">
        <v>1639</v>
      </c>
      <c r="G67" s="54">
        <v>8</v>
      </c>
      <c r="H67" s="54"/>
      <c r="I67" s="54">
        <v>18000</v>
      </c>
      <c r="J67" s="54">
        <v>18000</v>
      </c>
      <c r="K67" s="54"/>
      <c r="L67" s="54"/>
      <c r="M67" s="54"/>
      <c r="N67" s="54"/>
      <c r="O67" s="54" t="s">
        <v>1630</v>
      </c>
    </row>
    <row r="68" spans="1:15" ht="15.75" x14ac:dyDescent="0.2">
      <c r="A68" s="53" t="s">
        <v>12</v>
      </c>
      <c r="B68" s="53" t="s">
        <v>15</v>
      </c>
      <c r="C68" s="54" t="s">
        <v>1682</v>
      </c>
      <c r="D68" s="55" t="s">
        <v>1683</v>
      </c>
      <c r="E68" s="54" t="s">
        <v>883</v>
      </c>
      <c r="F68" s="54" t="s">
        <v>884</v>
      </c>
      <c r="G68" s="54">
        <v>1</v>
      </c>
      <c r="H68" s="54">
        <v>1</v>
      </c>
      <c r="I68" s="54"/>
      <c r="J68" s="54">
        <v>0</v>
      </c>
      <c r="K68" s="54"/>
      <c r="L68" s="54"/>
      <c r="M68" s="54"/>
      <c r="N68" s="54"/>
      <c r="O68" s="54" t="s">
        <v>1384</v>
      </c>
    </row>
    <row r="69" spans="1:15" ht="30" x14ac:dyDescent="0.2">
      <c r="A69" s="53" t="s">
        <v>12</v>
      </c>
      <c r="B69" s="53" t="s">
        <v>16</v>
      </c>
      <c r="C69" s="54" t="s">
        <v>1684</v>
      </c>
      <c r="D69" s="55" t="s">
        <v>1685</v>
      </c>
      <c r="E69" s="54" t="s">
        <v>899</v>
      </c>
      <c r="F69" s="54" t="s">
        <v>1633</v>
      </c>
      <c r="G69" s="54">
        <v>3</v>
      </c>
      <c r="H69" s="54"/>
      <c r="I69" s="54"/>
      <c r="J69" s="54">
        <v>0</v>
      </c>
      <c r="K69" s="54"/>
      <c r="L69" s="54"/>
      <c r="M69" s="54">
        <v>1</v>
      </c>
      <c r="N69" s="54"/>
      <c r="O69" s="54" t="s">
        <v>1047</v>
      </c>
    </row>
    <row r="70" spans="1:15" ht="30" x14ac:dyDescent="0.2">
      <c r="A70" s="53" t="s">
        <v>12</v>
      </c>
      <c r="B70" s="53" t="s">
        <v>13</v>
      </c>
      <c r="C70" s="54" t="s">
        <v>1686</v>
      </c>
      <c r="D70" s="55" t="s">
        <v>1687</v>
      </c>
      <c r="E70" s="54"/>
      <c r="F70" s="54"/>
      <c r="G70" s="54">
        <v>13</v>
      </c>
      <c r="H70" s="54"/>
      <c r="I70" s="54"/>
      <c r="J70" s="54"/>
      <c r="K70" s="54"/>
      <c r="L70" s="54"/>
      <c r="M70" s="54"/>
      <c r="N70" s="54"/>
      <c r="O70" s="54" t="s">
        <v>1674</v>
      </c>
    </row>
    <row r="71" spans="1:15" ht="30" x14ac:dyDescent="0.2">
      <c r="A71" s="53" t="s">
        <v>12</v>
      </c>
      <c r="B71" s="53" t="s">
        <v>13</v>
      </c>
      <c r="C71" s="54" t="s">
        <v>1688</v>
      </c>
      <c r="D71" s="55" t="s">
        <v>1689</v>
      </c>
      <c r="E71" s="54"/>
      <c r="F71" s="54" t="s">
        <v>1537</v>
      </c>
      <c r="G71" s="54">
        <v>13</v>
      </c>
      <c r="H71" s="54"/>
      <c r="I71" s="54"/>
      <c r="J71" s="54"/>
      <c r="K71" s="54"/>
      <c r="L71" s="54"/>
      <c r="M71" s="54"/>
      <c r="N71" s="54"/>
      <c r="O71" s="54" t="s">
        <v>1690</v>
      </c>
    </row>
    <row r="72" spans="1:15" ht="15.75" x14ac:dyDescent="0.2">
      <c r="A72" s="53" t="s">
        <v>12</v>
      </c>
      <c r="B72" s="53" t="s">
        <v>15</v>
      </c>
      <c r="C72" s="54" t="s">
        <v>1691</v>
      </c>
      <c r="D72" s="55" t="s">
        <v>1692</v>
      </c>
      <c r="E72" s="54" t="s">
        <v>883</v>
      </c>
      <c r="F72" s="54" t="s">
        <v>884</v>
      </c>
      <c r="G72" s="54">
        <v>3</v>
      </c>
      <c r="H72" s="54">
        <v>3</v>
      </c>
      <c r="I72" s="54"/>
      <c r="J72" s="54">
        <v>0</v>
      </c>
      <c r="K72" s="54"/>
      <c r="L72" s="54"/>
      <c r="M72" s="54"/>
      <c r="N72" s="54"/>
      <c r="O72" s="54" t="s">
        <v>913</v>
      </c>
    </row>
    <row r="73" spans="1:15" ht="30" x14ac:dyDescent="0.2">
      <c r="A73" s="53" t="s">
        <v>12</v>
      </c>
      <c r="B73" s="53" t="s">
        <v>13</v>
      </c>
      <c r="C73" s="54" t="s">
        <v>1693</v>
      </c>
      <c r="D73" s="55" t="s">
        <v>1694</v>
      </c>
      <c r="E73" s="54"/>
      <c r="F73" s="54"/>
      <c r="G73" s="54"/>
      <c r="H73" s="54"/>
      <c r="I73" s="54"/>
      <c r="J73" s="54"/>
      <c r="K73" s="54"/>
      <c r="L73" s="54"/>
      <c r="M73" s="54"/>
      <c r="N73" s="54"/>
      <c r="O73" s="54" t="s">
        <v>1695</v>
      </c>
    </row>
    <row r="74" spans="1:15" ht="45" x14ac:dyDescent="0.2">
      <c r="A74" s="53" t="s">
        <v>12</v>
      </c>
      <c r="B74" s="53" t="s">
        <v>16</v>
      </c>
      <c r="C74" s="54" t="s">
        <v>1696</v>
      </c>
      <c r="D74" s="55" t="s">
        <v>1697</v>
      </c>
      <c r="E74" s="54" t="s">
        <v>899</v>
      </c>
      <c r="F74" s="54" t="s">
        <v>1698</v>
      </c>
      <c r="G74" s="54">
        <v>5</v>
      </c>
      <c r="H74" s="54"/>
      <c r="I74" s="54"/>
      <c r="J74" s="54">
        <v>0</v>
      </c>
      <c r="K74" s="54"/>
      <c r="L74" s="54"/>
      <c r="M74" s="54"/>
      <c r="N74" s="54"/>
      <c r="O74" s="54" t="s">
        <v>1489</v>
      </c>
    </row>
    <row r="75" spans="1:15" ht="75" x14ac:dyDescent="0.2">
      <c r="A75" s="53" t="s">
        <v>12</v>
      </c>
      <c r="B75" s="53" t="s">
        <v>15</v>
      </c>
      <c r="C75" s="54" t="s">
        <v>1699</v>
      </c>
      <c r="D75" s="55" t="s">
        <v>1700</v>
      </c>
      <c r="E75" s="54" t="s">
        <v>899</v>
      </c>
      <c r="F75" s="54" t="s">
        <v>1701</v>
      </c>
      <c r="G75" s="54">
        <v>5</v>
      </c>
      <c r="H75" s="54">
        <v>5</v>
      </c>
      <c r="I75" s="54"/>
      <c r="J75" s="54"/>
      <c r="K75" s="54"/>
      <c r="L75" s="54"/>
      <c r="M75" s="54"/>
      <c r="N75" s="54"/>
      <c r="O75" s="54"/>
    </row>
    <row r="76" spans="1:15" ht="15.75" x14ac:dyDescent="0.2">
      <c r="A76" s="53" t="s">
        <v>12</v>
      </c>
      <c r="B76" s="53" t="s">
        <v>14</v>
      </c>
      <c r="C76" s="54" t="s">
        <v>1702</v>
      </c>
      <c r="D76" s="55" t="s">
        <v>1703</v>
      </c>
      <c r="E76" s="54"/>
      <c r="F76" s="54" t="s">
        <v>1537</v>
      </c>
      <c r="G76" s="54">
        <v>13</v>
      </c>
      <c r="H76" s="54"/>
      <c r="I76" s="54">
        <v>14400</v>
      </c>
      <c r="J76" s="54">
        <v>13500</v>
      </c>
      <c r="K76" s="54"/>
      <c r="L76" s="54"/>
      <c r="M76" s="54"/>
      <c r="N76" s="54"/>
      <c r="O76" s="54" t="s">
        <v>1704</v>
      </c>
    </row>
    <row r="77" spans="1:15" ht="30" x14ac:dyDescent="0.2">
      <c r="A77" s="53" t="s">
        <v>12</v>
      </c>
      <c r="B77" s="53" t="s">
        <v>106</v>
      </c>
      <c r="C77" s="54" t="s">
        <v>1705</v>
      </c>
      <c r="D77" s="55" t="s">
        <v>1706</v>
      </c>
      <c r="E77" s="54"/>
      <c r="F77" s="54" t="s">
        <v>1707</v>
      </c>
      <c r="G77" s="54">
        <v>3</v>
      </c>
      <c r="H77" s="54"/>
      <c r="I77" s="54">
        <v>7200</v>
      </c>
      <c r="J77" s="54">
        <v>1800</v>
      </c>
      <c r="K77" s="54"/>
      <c r="L77" s="54"/>
      <c r="M77" s="54"/>
      <c r="N77" s="54"/>
      <c r="O77" s="54"/>
    </row>
    <row r="78" spans="1:15" ht="60" x14ac:dyDescent="0.2">
      <c r="A78" s="53" t="s">
        <v>12</v>
      </c>
      <c r="B78" s="53" t="s">
        <v>15</v>
      </c>
      <c r="C78" s="54" t="s">
        <v>1708</v>
      </c>
      <c r="D78" s="55" t="s">
        <v>1709</v>
      </c>
      <c r="E78" s="54" t="s">
        <v>70</v>
      </c>
      <c r="F78" s="54" t="s">
        <v>1710</v>
      </c>
      <c r="G78" s="54">
        <v>8</v>
      </c>
      <c r="H78" s="54">
        <v>8</v>
      </c>
      <c r="I78" s="54"/>
      <c r="J78" s="54"/>
      <c r="K78" s="54"/>
      <c r="L78" s="54"/>
      <c r="M78" s="54"/>
      <c r="N78" s="54"/>
      <c r="O78" s="54" t="s">
        <v>1711</v>
      </c>
    </row>
    <row r="79" spans="1:15" ht="30" x14ac:dyDescent="0.2">
      <c r="A79" s="53" t="s">
        <v>12</v>
      </c>
      <c r="B79" s="53" t="s">
        <v>15</v>
      </c>
      <c r="C79" s="54" t="s">
        <v>1712</v>
      </c>
      <c r="D79" s="55" t="s">
        <v>1713</v>
      </c>
      <c r="E79" s="54" t="s">
        <v>899</v>
      </c>
      <c r="F79" s="54" t="s">
        <v>1701</v>
      </c>
      <c r="G79" s="54">
        <v>3</v>
      </c>
      <c r="H79" s="54">
        <v>13</v>
      </c>
      <c r="I79" s="54"/>
      <c r="J79" s="54"/>
      <c r="K79" s="54"/>
      <c r="L79" s="54"/>
      <c r="M79" s="54"/>
      <c r="N79" s="54"/>
      <c r="O79" s="54"/>
    </row>
    <row r="80" spans="1:15" ht="30" x14ac:dyDescent="0.2">
      <c r="A80" s="53" t="s">
        <v>12</v>
      </c>
      <c r="B80" s="53" t="s">
        <v>14</v>
      </c>
      <c r="C80" s="54" t="s">
        <v>1714</v>
      </c>
      <c r="D80" s="55" t="s">
        <v>1715</v>
      </c>
      <c r="E80" s="54" t="s">
        <v>899</v>
      </c>
      <c r="F80" s="54" t="s">
        <v>1633</v>
      </c>
      <c r="G80" s="54">
        <v>0</v>
      </c>
      <c r="H80" s="54"/>
      <c r="I80" s="54">
        <v>403200</v>
      </c>
      <c r="J80" s="54">
        <v>274500</v>
      </c>
      <c r="K80" s="54"/>
      <c r="L80" s="54"/>
      <c r="M80" s="54"/>
      <c r="N80" s="54"/>
      <c r="O80" s="54" t="s">
        <v>1495</v>
      </c>
    </row>
    <row r="81" spans="1:15" ht="30" x14ac:dyDescent="0.2">
      <c r="A81" s="53" t="s">
        <v>12</v>
      </c>
      <c r="B81" s="53" t="s">
        <v>13</v>
      </c>
      <c r="C81" s="54" t="s">
        <v>1716</v>
      </c>
      <c r="D81" s="55" t="s">
        <v>1717</v>
      </c>
      <c r="E81" s="54"/>
      <c r="F81" s="54" t="s">
        <v>1537</v>
      </c>
      <c r="G81" s="54">
        <v>13</v>
      </c>
      <c r="H81" s="54"/>
      <c r="I81" s="54"/>
      <c r="J81" s="54"/>
      <c r="K81" s="54"/>
      <c r="L81" s="54"/>
      <c r="M81" s="54"/>
      <c r="N81" s="54"/>
      <c r="O81" s="54" t="s">
        <v>1630</v>
      </c>
    </row>
    <row r="82" spans="1:15" ht="15.75" x14ac:dyDescent="0.2">
      <c r="A82" s="53" t="s">
        <v>12</v>
      </c>
      <c r="B82" s="53" t="s">
        <v>13</v>
      </c>
      <c r="C82" s="54" t="s">
        <v>1718</v>
      </c>
      <c r="D82" s="55" t="s">
        <v>1719</v>
      </c>
      <c r="E82" s="54"/>
      <c r="F82" s="54"/>
      <c r="G82" s="54"/>
      <c r="H82" s="54"/>
      <c r="I82" s="54">
        <v>115200</v>
      </c>
      <c r="J82" s="54">
        <v>115200</v>
      </c>
      <c r="K82" s="54"/>
      <c r="L82" s="54"/>
      <c r="M82" s="54"/>
      <c r="N82" s="54"/>
      <c r="O82" s="54" t="s">
        <v>1720</v>
      </c>
    </row>
    <row r="83" spans="1:15" ht="30" x14ac:dyDescent="0.2">
      <c r="A83" s="53" t="s">
        <v>12</v>
      </c>
      <c r="B83" s="53" t="s">
        <v>16</v>
      </c>
      <c r="C83" s="54" t="s">
        <v>1721</v>
      </c>
      <c r="D83" s="55" t="s">
        <v>1722</v>
      </c>
      <c r="E83" s="54" t="s">
        <v>899</v>
      </c>
      <c r="F83" s="54" t="s">
        <v>1633</v>
      </c>
      <c r="G83" s="54">
        <v>1</v>
      </c>
      <c r="H83" s="54"/>
      <c r="I83" s="54"/>
      <c r="J83" s="54"/>
      <c r="K83" s="54"/>
      <c r="L83" s="54"/>
      <c r="M83" s="54">
        <v>1</v>
      </c>
      <c r="N83" s="54"/>
      <c r="O83" s="54" t="s">
        <v>1723</v>
      </c>
    </row>
    <row r="84" spans="1:15" ht="30" x14ac:dyDescent="0.2">
      <c r="A84" s="53" t="s">
        <v>12</v>
      </c>
      <c r="B84" s="53" t="s">
        <v>13</v>
      </c>
      <c r="C84" s="54" t="s">
        <v>1724</v>
      </c>
      <c r="D84" s="55" t="s">
        <v>1725</v>
      </c>
      <c r="E84" s="54" t="s">
        <v>1726</v>
      </c>
      <c r="F84" s="54" t="s">
        <v>884</v>
      </c>
      <c r="G84" s="54">
        <v>5</v>
      </c>
      <c r="H84" s="54"/>
      <c r="I84" s="54">
        <v>54000</v>
      </c>
      <c r="J84" s="54">
        <v>54000</v>
      </c>
      <c r="K84" s="54"/>
      <c r="L84" s="54"/>
      <c r="M84" s="54"/>
      <c r="N84" s="54"/>
      <c r="O84" s="54" t="s">
        <v>1727</v>
      </c>
    </row>
    <row r="85" spans="1:15" ht="30" x14ac:dyDescent="0.2">
      <c r="A85" s="53" t="s">
        <v>12</v>
      </c>
      <c r="B85" s="53" t="s">
        <v>106</v>
      </c>
      <c r="C85" s="54" t="s">
        <v>1728</v>
      </c>
      <c r="D85" s="55" t="s">
        <v>1729</v>
      </c>
      <c r="E85" s="54" t="s">
        <v>1726</v>
      </c>
      <c r="F85" s="54" t="s">
        <v>884</v>
      </c>
      <c r="G85" s="54">
        <v>2</v>
      </c>
      <c r="H85" s="54"/>
      <c r="I85" s="54">
        <v>43200</v>
      </c>
      <c r="J85" s="54">
        <v>0</v>
      </c>
      <c r="K85" s="54"/>
      <c r="L85" s="54"/>
      <c r="M85" s="54"/>
      <c r="N85" s="54"/>
      <c r="O85" s="54" t="s">
        <v>953</v>
      </c>
    </row>
    <row r="86" spans="1:15" ht="15.75" x14ac:dyDescent="0.2">
      <c r="A86" s="53" t="s">
        <v>12</v>
      </c>
      <c r="B86" s="53" t="s">
        <v>106</v>
      </c>
      <c r="C86" s="54" t="s">
        <v>1730</v>
      </c>
      <c r="D86" s="55" t="s">
        <v>1731</v>
      </c>
      <c r="E86" s="54" t="s">
        <v>1726</v>
      </c>
      <c r="F86" s="54" t="s">
        <v>884</v>
      </c>
      <c r="G86" s="54">
        <v>2</v>
      </c>
      <c r="H86" s="54"/>
      <c r="I86" s="54">
        <v>21600</v>
      </c>
      <c r="J86" s="54">
        <v>0</v>
      </c>
      <c r="K86" s="54"/>
      <c r="L86" s="54"/>
      <c r="M86" s="54"/>
      <c r="N86" s="54"/>
      <c r="O86" s="54" t="s">
        <v>953</v>
      </c>
    </row>
    <row r="87" spans="1:15" ht="15.75" x14ac:dyDescent="0.2">
      <c r="A87" s="53" t="s">
        <v>12</v>
      </c>
      <c r="B87" s="53" t="s">
        <v>14</v>
      </c>
      <c r="C87" s="54" t="s">
        <v>1732</v>
      </c>
      <c r="D87" s="55" t="s">
        <v>1733</v>
      </c>
      <c r="E87" s="54" t="s">
        <v>883</v>
      </c>
      <c r="F87" s="54" t="s">
        <v>884</v>
      </c>
      <c r="G87" s="54">
        <v>8</v>
      </c>
      <c r="H87" s="54"/>
      <c r="I87" s="54">
        <v>64800</v>
      </c>
      <c r="J87" s="54">
        <v>86400</v>
      </c>
      <c r="K87" s="54"/>
      <c r="L87" s="54"/>
      <c r="M87" s="54"/>
      <c r="N87" s="54"/>
      <c r="O87" s="54" t="s">
        <v>944</v>
      </c>
    </row>
    <row r="88" spans="1:15" ht="15.75" x14ac:dyDescent="0.2">
      <c r="A88" s="53" t="s">
        <v>12</v>
      </c>
      <c r="B88" s="53" t="s">
        <v>16</v>
      </c>
      <c r="C88" s="54" t="s">
        <v>1734</v>
      </c>
      <c r="D88" s="55" t="s">
        <v>1735</v>
      </c>
      <c r="E88" s="54" t="s">
        <v>883</v>
      </c>
      <c r="F88" s="54" t="s">
        <v>884</v>
      </c>
      <c r="G88" s="54">
        <v>8</v>
      </c>
      <c r="H88" s="54"/>
      <c r="I88" s="54">
        <v>43200</v>
      </c>
      <c r="J88" s="54">
        <v>14400</v>
      </c>
      <c r="K88" s="54"/>
      <c r="L88" s="54"/>
      <c r="M88" s="54"/>
      <c r="N88" s="54"/>
      <c r="O88" s="54" t="s">
        <v>1736</v>
      </c>
    </row>
    <row r="89" spans="1:15" ht="15.75" x14ac:dyDescent="0.2">
      <c r="A89" s="53" t="s">
        <v>12</v>
      </c>
      <c r="B89" s="53" t="s">
        <v>16</v>
      </c>
      <c r="C89" s="54" t="s">
        <v>1737</v>
      </c>
      <c r="D89" s="55" t="s">
        <v>1738</v>
      </c>
      <c r="E89" s="54" t="s">
        <v>883</v>
      </c>
      <c r="F89" s="54" t="s">
        <v>884</v>
      </c>
      <c r="G89" s="54">
        <v>8</v>
      </c>
      <c r="H89" s="54"/>
      <c r="I89" s="54">
        <v>43200</v>
      </c>
      <c r="J89" s="54">
        <v>14400</v>
      </c>
      <c r="K89" s="54"/>
      <c r="L89" s="54"/>
      <c r="M89" s="54"/>
      <c r="N89" s="54"/>
      <c r="O89" s="54" t="s">
        <v>944</v>
      </c>
    </row>
    <row r="90" spans="1:15" ht="15.75" x14ac:dyDescent="0.2">
      <c r="A90" s="53" t="s">
        <v>12</v>
      </c>
      <c r="B90" s="53" t="s">
        <v>16</v>
      </c>
      <c r="C90" s="54" t="s">
        <v>1739</v>
      </c>
      <c r="D90" s="55" t="s">
        <v>1740</v>
      </c>
      <c r="E90" s="54" t="s">
        <v>883</v>
      </c>
      <c r="F90" s="54" t="s">
        <v>884</v>
      </c>
      <c r="G90" s="54">
        <v>8</v>
      </c>
      <c r="H90" s="54"/>
      <c r="I90" s="54">
        <v>43200</v>
      </c>
      <c r="J90" s="54">
        <v>7200</v>
      </c>
      <c r="K90" s="54"/>
      <c r="L90" s="54"/>
      <c r="M90" s="54"/>
      <c r="N90" s="54"/>
      <c r="O90" s="54" t="s">
        <v>1741</v>
      </c>
    </row>
    <row r="91" spans="1:15" ht="15.75" x14ac:dyDescent="0.2">
      <c r="A91" s="53" t="s">
        <v>12</v>
      </c>
      <c r="B91" s="53" t="s">
        <v>14</v>
      </c>
      <c r="C91" s="54" t="s">
        <v>1742</v>
      </c>
      <c r="D91" s="55" t="s">
        <v>1743</v>
      </c>
      <c r="E91" s="54" t="s">
        <v>883</v>
      </c>
      <c r="F91" s="54" t="s">
        <v>884</v>
      </c>
      <c r="G91" s="54">
        <v>8</v>
      </c>
      <c r="H91" s="54"/>
      <c r="I91" s="54">
        <v>43200</v>
      </c>
      <c r="J91" s="54">
        <v>28800</v>
      </c>
      <c r="K91" s="54"/>
      <c r="L91" s="54"/>
      <c r="M91" s="54"/>
      <c r="N91" s="54"/>
      <c r="O91" s="54" t="s">
        <v>944</v>
      </c>
    </row>
    <row r="92" spans="1:15" ht="15.75" x14ac:dyDescent="0.2">
      <c r="A92" s="53" t="s">
        <v>12</v>
      </c>
      <c r="B92" s="53" t="s">
        <v>13</v>
      </c>
      <c r="C92" s="54" t="s">
        <v>1744</v>
      </c>
      <c r="D92" s="55" t="s">
        <v>1745</v>
      </c>
      <c r="E92" s="54" t="s">
        <v>899</v>
      </c>
      <c r="F92" s="54" t="s">
        <v>1701</v>
      </c>
      <c r="G92" s="54">
        <v>5</v>
      </c>
      <c r="H92" s="54"/>
      <c r="I92" s="54"/>
      <c r="J92" s="54"/>
      <c r="K92" s="54"/>
      <c r="L92" s="54"/>
      <c r="M92" s="54"/>
      <c r="N92" s="54"/>
      <c r="O92" s="54" t="s">
        <v>1746</v>
      </c>
    </row>
    <row r="93" spans="1:15" ht="15.75" x14ac:dyDescent="0.2">
      <c r="A93" s="53" t="s">
        <v>12</v>
      </c>
      <c r="B93" s="53" t="s">
        <v>13</v>
      </c>
      <c r="C93" s="54" t="s">
        <v>1747</v>
      </c>
      <c r="D93" s="55" t="s">
        <v>1746</v>
      </c>
      <c r="E93" s="54" t="s">
        <v>899</v>
      </c>
      <c r="F93" s="54" t="s">
        <v>1701</v>
      </c>
      <c r="G93" s="54">
        <v>5</v>
      </c>
      <c r="H93" s="54"/>
      <c r="I93" s="54"/>
      <c r="J93" s="54"/>
      <c r="K93" s="54"/>
      <c r="L93" s="54"/>
      <c r="M93" s="54"/>
      <c r="N93" s="54"/>
      <c r="O93" s="54" t="s">
        <v>1745</v>
      </c>
    </row>
    <row r="94" spans="1:15" ht="15.75" x14ac:dyDescent="0.2">
      <c r="A94" s="53" t="s">
        <v>12</v>
      </c>
      <c r="B94" s="53" t="s">
        <v>15</v>
      </c>
      <c r="C94" s="54" t="s">
        <v>1748</v>
      </c>
      <c r="D94" s="55" t="s">
        <v>1749</v>
      </c>
      <c r="E94" s="54" t="s">
        <v>899</v>
      </c>
      <c r="F94" s="54" t="s">
        <v>1701</v>
      </c>
      <c r="G94" s="54">
        <v>13</v>
      </c>
      <c r="H94" s="54">
        <v>13</v>
      </c>
      <c r="I94" s="54"/>
      <c r="J94" s="54"/>
      <c r="K94" s="54"/>
      <c r="L94" s="54"/>
      <c r="M94" s="54"/>
      <c r="N94" s="54"/>
      <c r="O94" s="54"/>
    </row>
    <row r="95" spans="1:15" ht="15.75" x14ac:dyDescent="0.2">
      <c r="A95" s="53" t="s">
        <v>12</v>
      </c>
      <c r="B95" s="53" t="s">
        <v>15</v>
      </c>
      <c r="C95" s="54" t="s">
        <v>1750</v>
      </c>
      <c r="D95" s="55" t="s">
        <v>1751</v>
      </c>
      <c r="E95" s="54" t="s">
        <v>899</v>
      </c>
      <c r="F95" s="54" t="s">
        <v>1752</v>
      </c>
      <c r="G95" s="54">
        <v>13</v>
      </c>
      <c r="H95" s="54">
        <v>13</v>
      </c>
      <c r="I95" s="54"/>
      <c r="J95" s="54"/>
      <c r="K95" s="54"/>
      <c r="L95" s="54"/>
      <c r="M95" s="54"/>
      <c r="N95" s="54"/>
      <c r="O95" s="54" t="s">
        <v>1753</v>
      </c>
    </row>
    <row r="96" spans="1:15" ht="60" x14ac:dyDescent="0.2">
      <c r="A96" s="53" t="s">
        <v>12</v>
      </c>
      <c r="B96" s="53" t="s">
        <v>13</v>
      </c>
      <c r="C96" s="54" t="s">
        <v>1754</v>
      </c>
      <c r="D96" s="55" t="s">
        <v>1755</v>
      </c>
      <c r="E96" s="54" t="s">
        <v>899</v>
      </c>
      <c r="F96" s="54" t="s">
        <v>1555</v>
      </c>
      <c r="G96" s="54">
        <v>5</v>
      </c>
      <c r="H96" s="54"/>
      <c r="I96" s="54">
        <v>151200</v>
      </c>
      <c r="J96" s="54">
        <v>111600</v>
      </c>
      <c r="K96" s="54"/>
      <c r="L96" s="54"/>
      <c r="M96" s="54"/>
      <c r="N96" s="54"/>
      <c r="O96" s="54" t="s">
        <v>1476</v>
      </c>
    </row>
    <row r="97" spans="1:15" ht="30" x14ac:dyDescent="0.2">
      <c r="A97" s="53" t="s">
        <v>12</v>
      </c>
      <c r="B97" s="53" t="s">
        <v>17</v>
      </c>
      <c r="C97" s="54" t="s">
        <v>1756</v>
      </c>
      <c r="D97" s="55" t="s">
        <v>1757</v>
      </c>
      <c r="E97" s="54"/>
      <c r="F97" s="54" t="s">
        <v>1758</v>
      </c>
      <c r="G97" s="54"/>
      <c r="H97" s="54"/>
      <c r="I97" s="54"/>
      <c r="J97" s="54"/>
      <c r="K97" s="54"/>
      <c r="L97" s="54"/>
      <c r="M97" s="54"/>
      <c r="N97" s="54"/>
      <c r="O97" s="54" t="s">
        <v>1759</v>
      </c>
    </row>
    <row r="98" spans="1:15" ht="15.75" x14ac:dyDescent="0.2">
      <c r="A98" s="53" t="s">
        <v>12</v>
      </c>
      <c r="B98" s="53" t="s">
        <v>106</v>
      </c>
      <c r="C98" s="54" t="s">
        <v>1760</v>
      </c>
      <c r="D98" s="55" t="s">
        <v>1761</v>
      </c>
      <c r="E98" s="54" t="s">
        <v>1762</v>
      </c>
      <c r="F98" s="54" t="s">
        <v>212</v>
      </c>
      <c r="G98" s="54">
        <v>13</v>
      </c>
      <c r="H98" s="54"/>
      <c r="I98" s="54">
        <v>43200</v>
      </c>
      <c r="J98" s="54">
        <v>25200</v>
      </c>
      <c r="K98" s="54"/>
      <c r="L98" s="54"/>
      <c r="M98" s="54"/>
      <c r="N98" s="54"/>
      <c r="O98" s="54" t="s">
        <v>1763</v>
      </c>
    </row>
    <row r="99" spans="1:15" ht="30" x14ac:dyDescent="0.2">
      <c r="A99" s="53" t="s">
        <v>12</v>
      </c>
      <c r="B99" s="53" t="s">
        <v>13</v>
      </c>
      <c r="C99" s="54" t="s">
        <v>1764</v>
      </c>
      <c r="D99" s="55" t="s">
        <v>1765</v>
      </c>
      <c r="E99" s="54"/>
      <c r="F99" s="54" t="s">
        <v>1013</v>
      </c>
      <c r="G99" s="54">
        <v>8</v>
      </c>
      <c r="H99" s="54"/>
      <c r="I99" s="54">
        <v>259200</v>
      </c>
      <c r="J99" s="54">
        <v>212400</v>
      </c>
      <c r="K99" s="54"/>
      <c r="L99" s="54"/>
      <c r="M99" s="54"/>
      <c r="N99" s="54"/>
      <c r="O99" s="54"/>
    </row>
    <row r="100" spans="1:15" ht="45" x14ac:dyDescent="0.2">
      <c r="A100" s="53" t="s">
        <v>12</v>
      </c>
      <c r="B100" s="53" t="s">
        <v>13</v>
      </c>
      <c r="C100" s="54" t="s">
        <v>1766</v>
      </c>
      <c r="D100" s="55" t="s">
        <v>1767</v>
      </c>
      <c r="E100" s="54"/>
      <c r="F100" s="54"/>
      <c r="G100" s="54"/>
      <c r="H100" s="54"/>
      <c r="I100" s="54"/>
      <c r="J100" s="54"/>
      <c r="K100" s="54"/>
      <c r="L100" s="54"/>
      <c r="M100" s="54"/>
      <c r="N100" s="54"/>
      <c r="O100" s="54" t="s">
        <v>1768</v>
      </c>
    </row>
    <row r="101" spans="1:15" ht="60" x14ac:dyDescent="0.2">
      <c r="A101" s="53" t="s">
        <v>12</v>
      </c>
      <c r="B101" s="53" t="s">
        <v>15</v>
      </c>
      <c r="C101" s="54" t="s">
        <v>1769</v>
      </c>
      <c r="D101" s="55" t="s">
        <v>1770</v>
      </c>
      <c r="E101" s="54" t="s">
        <v>899</v>
      </c>
      <c r="F101" s="54" t="s">
        <v>1771</v>
      </c>
      <c r="G101" s="54">
        <v>3</v>
      </c>
      <c r="H101" s="54">
        <v>3</v>
      </c>
      <c r="I101" s="54">
        <v>0</v>
      </c>
      <c r="J101" s="54">
        <v>0</v>
      </c>
      <c r="K101" s="54"/>
      <c r="L101" s="54"/>
      <c r="M101" s="54"/>
      <c r="N101" s="54"/>
      <c r="O101" s="54" t="s">
        <v>1772</v>
      </c>
    </row>
    <row r="102" spans="1:15" ht="30" x14ac:dyDescent="0.2">
      <c r="A102" s="53" t="s">
        <v>12</v>
      </c>
      <c r="B102" s="53" t="s">
        <v>15</v>
      </c>
      <c r="C102" s="54" t="s">
        <v>1773</v>
      </c>
      <c r="D102" s="55" t="s">
        <v>1774</v>
      </c>
      <c r="E102" s="54" t="s">
        <v>883</v>
      </c>
      <c r="F102" s="54" t="s">
        <v>888</v>
      </c>
      <c r="G102" s="54">
        <v>3</v>
      </c>
      <c r="H102" s="54">
        <v>3</v>
      </c>
      <c r="I102" s="54"/>
      <c r="J102" s="54">
        <v>0</v>
      </c>
      <c r="K102" s="54"/>
      <c r="L102" s="54"/>
      <c r="M102" s="54"/>
      <c r="N102" s="54"/>
      <c r="O102" s="54" t="s">
        <v>1547</v>
      </c>
    </row>
    <row r="103" spans="1:15" ht="45" x14ac:dyDescent="0.2">
      <c r="A103" s="53" t="s">
        <v>12</v>
      </c>
      <c r="B103" s="53" t="s">
        <v>13</v>
      </c>
      <c r="C103" s="54" t="s">
        <v>1775</v>
      </c>
      <c r="D103" s="55" t="s">
        <v>1776</v>
      </c>
      <c r="E103" s="54"/>
      <c r="F103" s="54"/>
      <c r="G103" s="54"/>
      <c r="H103" s="54"/>
      <c r="I103" s="54"/>
      <c r="J103" s="54"/>
      <c r="K103" s="54"/>
      <c r="L103" s="54"/>
      <c r="M103" s="54"/>
      <c r="N103" s="54"/>
      <c r="O103" s="54" t="s">
        <v>1777</v>
      </c>
    </row>
    <row r="104" spans="1:15" ht="30" x14ac:dyDescent="0.2">
      <c r="A104" s="53" t="s">
        <v>12</v>
      </c>
      <c r="B104" s="53" t="s">
        <v>13</v>
      </c>
      <c r="C104" s="54" t="s">
        <v>1778</v>
      </c>
      <c r="D104" s="55" t="s">
        <v>1779</v>
      </c>
      <c r="E104" s="54"/>
      <c r="F104" s="54"/>
      <c r="G104" s="54"/>
      <c r="H104" s="54"/>
      <c r="I104" s="54"/>
      <c r="J104" s="54"/>
      <c r="K104" s="54"/>
      <c r="L104" s="54"/>
      <c r="M104" s="54"/>
      <c r="N104" s="54"/>
      <c r="O104" s="54" t="s">
        <v>1780</v>
      </c>
    </row>
    <row r="105" spans="1:15" ht="45" x14ac:dyDescent="0.2">
      <c r="A105" s="53" t="s">
        <v>12</v>
      </c>
      <c r="B105" s="53" t="s">
        <v>17</v>
      </c>
      <c r="C105" s="54" t="s">
        <v>1781</v>
      </c>
      <c r="D105" s="55" t="s">
        <v>1782</v>
      </c>
      <c r="E105" s="54"/>
      <c r="F105" s="54"/>
      <c r="G105" s="54"/>
      <c r="H105" s="54"/>
      <c r="I105" s="54"/>
      <c r="J105" s="54"/>
      <c r="K105" s="54"/>
      <c r="L105" s="54"/>
      <c r="M105" s="54"/>
      <c r="N105" s="54"/>
      <c r="O105" s="54" t="s">
        <v>1783</v>
      </c>
    </row>
    <row r="106" spans="1:15" ht="30" x14ac:dyDescent="0.2">
      <c r="A106" s="53" t="s">
        <v>12</v>
      </c>
      <c r="B106" s="53" t="s">
        <v>17</v>
      </c>
      <c r="C106" s="54" t="s">
        <v>1784</v>
      </c>
      <c r="D106" s="55" t="s">
        <v>1785</v>
      </c>
      <c r="E106" s="54"/>
      <c r="F106" s="54"/>
      <c r="G106" s="54"/>
      <c r="H106" s="54"/>
      <c r="I106" s="54">
        <v>28800</v>
      </c>
      <c r="J106" s="54">
        <v>28800</v>
      </c>
      <c r="K106" s="54"/>
      <c r="L106" s="54"/>
      <c r="M106" s="54"/>
      <c r="N106" s="54"/>
      <c r="O106" s="54" t="s">
        <v>1786</v>
      </c>
    </row>
    <row r="107" spans="1:15" ht="45" x14ac:dyDescent="0.2">
      <c r="A107" s="53" t="s">
        <v>12</v>
      </c>
      <c r="B107" s="53" t="s">
        <v>13</v>
      </c>
      <c r="C107" s="54" t="s">
        <v>1787</v>
      </c>
      <c r="D107" s="55" t="s">
        <v>1786</v>
      </c>
      <c r="E107" s="54"/>
      <c r="F107" s="54"/>
      <c r="G107" s="54"/>
      <c r="H107" s="54"/>
      <c r="I107" s="54">
        <v>28800</v>
      </c>
      <c r="J107" s="54">
        <v>28800</v>
      </c>
      <c r="K107" s="54"/>
      <c r="L107" s="54"/>
      <c r="M107" s="54"/>
      <c r="N107" s="54"/>
      <c r="O107" s="54" t="s">
        <v>1788</v>
      </c>
    </row>
    <row r="108" spans="1:15" ht="45" x14ac:dyDescent="0.2">
      <c r="A108" s="53" t="s">
        <v>12</v>
      </c>
      <c r="B108" s="53" t="s">
        <v>13</v>
      </c>
      <c r="C108" s="54" t="s">
        <v>1789</v>
      </c>
      <c r="D108" s="55" t="s">
        <v>1790</v>
      </c>
      <c r="E108" s="54"/>
      <c r="F108" s="54"/>
      <c r="G108" s="54"/>
      <c r="H108" s="54"/>
      <c r="I108" s="54">
        <v>86400</v>
      </c>
      <c r="J108" s="54">
        <v>86400</v>
      </c>
      <c r="K108" s="54"/>
      <c r="L108" s="54"/>
      <c r="M108" s="54"/>
      <c r="N108" s="54"/>
      <c r="O108" s="54" t="s">
        <v>1791</v>
      </c>
    </row>
    <row r="109" spans="1:15" ht="30" x14ac:dyDescent="0.2">
      <c r="A109" s="53" t="s">
        <v>12</v>
      </c>
      <c r="B109" s="53" t="s">
        <v>17</v>
      </c>
      <c r="C109" s="54" t="s">
        <v>1792</v>
      </c>
      <c r="D109" s="55" t="s">
        <v>1793</v>
      </c>
      <c r="E109" s="54"/>
      <c r="F109" s="54"/>
      <c r="G109" s="54"/>
      <c r="H109" s="54"/>
      <c r="I109" s="54">
        <v>115200</v>
      </c>
      <c r="J109" s="54">
        <v>115200</v>
      </c>
      <c r="K109" s="54"/>
      <c r="L109" s="54"/>
      <c r="M109" s="54"/>
      <c r="N109" s="54"/>
      <c r="O109" s="54" t="s">
        <v>1794</v>
      </c>
    </row>
    <row r="110" spans="1:15" ht="30" x14ac:dyDescent="0.2">
      <c r="A110" s="53" t="s">
        <v>12</v>
      </c>
      <c r="B110" s="53" t="s">
        <v>17</v>
      </c>
      <c r="C110" s="54" t="s">
        <v>1795</v>
      </c>
      <c r="D110" s="55" t="s">
        <v>1796</v>
      </c>
      <c r="E110" s="54"/>
      <c r="F110" s="54"/>
      <c r="G110" s="54"/>
      <c r="H110" s="54"/>
      <c r="I110" s="54"/>
      <c r="J110" s="54"/>
      <c r="K110" s="54"/>
      <c r="L110" s="54"/>
      <c r="M110" s="54"/>
      <c r="N110" s="54"/>
      <c r="O110" s="54" t="s">
        <v>1797</v>
      </c>
    </row>
    <row r="111" spans="1:15" ht="30" x14ac:dyDescent="0.2">
      <c r="A111" s="53" t="s">
        <v>12</v>
      </c>
      <c r="B111" s="53" t="s">
        <v>17</v>
      </c>
      <c r="C111" s="54" t="s">
        <v>1798</v>
      </c>
      <c r="D111" s="55" t="s">
        <v>1799</v>
      </c>
      <c r="E111" s="54"/>
      <c r="F111" s="54"/>
      <c r="G111" s="54"/>
      <c r="H111" s="54"/>
      <c r="I111" s="54">
        <v>144000</v>
      </c>
      <c r="J111" s="54">
        <v>144000</v>
      </c>
      <c r="K111" s="54"/>
      <c r="L111" s="54"/>
      <c r="M111" s="54"/>
      <c r="N111" s="54"/>
      <c r="O111" s="54" t="s">
        <v>1782</v>
      </c>
    </row>
    <row r="112" spans="1:15" ht="45" x14ac:dyDescent="0.2">
      <c r="A112" s="53" t="s">
        <v>12</v>
      </c>
      <c r="B112" s="53" t="s">
        <v>13</v>
      </c>
      <c r="C112" s="54" t="s">
        <v>1800</v>
      </c>
      <c r="D112" s="55" t="s">
        <v>1801</v>
      </c>
      <c r="E112" s="54"/>
      <c r="F112" s="54"/>
      <c r="G112" s="54">
        <v>5</v>
      </c>
      <c r="H112" s="54"/>
      <c r="I112" s="54"/>
      <c r="J112" s="54"/>
      <c r="K112" s="54"/>
      <c r="L112" s="54"/>
      <c r="M112" s="54"/>
      <c r="N112" s="54"/>
      <c r="O112" s="54" t="s">
        <v>1802</v>
      </c>
    </row>
    <row r="113" spans="1:15" ht="45" x14ac:dyDescent="0.2">
      <c r="A113" s="53" t="s">
        <v>12</v>
      </c>
      <c r="B113" s="53" t="s">
        <v>16</v>
      </c>
      <c r="C113" s="54" t="s">
        <v>1803</v>
      </c>
      <c r="D113" s="55" t="s">
        <v>1804</v>
      </c>
      <c r="E113" s="54"/>
      <c r="F113" s="54" t="s">
        <v>1555</v>
      </c>
      <c r="G113" s="54">
        <v>5</v>
      </c>
      <c r="H113" s="54"/>
      <c r="I113" s="54"/>
      <c r="J113" s="54">
        <v>0</v>
      </c>
      <c r="K113" s="54"/>
      <c r="L113" s="54"/>
      <c r="M113" s="54"/>
      <c r="N113" s="54"/>
      <c r="O113" s="54" t="s">
        <v>1805</v>
      </c>
    </row>
    <row r="114" spans="1:15" ht="15.75" x14ac:dyDescent="0.2">
      <c r="A114" s="53" t="s">
        <v>12</v>
      </c>
      <c r="B114" s="53" t="s">
        <v>13</v>
      </c>
      <c r="C114" s="54" t="s">
        <v>1806</v>
      </c>
      <c r="D114" s="55" t="s">
        <v>1807</v>
      </c>
      <c r="E114" s="54"/>
      <c r="F114" s="54"/>
      <c r="G114" s="54"/>
      <c r="H114" s="54"/>
      <c r="I114" s="54">
        <v>3600</v>
      </c>
      <c r="J114" s="54">
        <v>3600</v>
      </c>
      <c r="K114" s="54"/>
      <c r="L114" s="54"/>
      <c r="M114" s="54"/>
      <c r="N114" s="54"/>
      <c r="O114" s="54" t="s">
        <v>1808</v>
      </c>
    </row>
    <row r="115" spans="1:15" ht="45" x14ac:dyDescent="0.2">
      <c r="A115" s="53" t="s">
        <v>12</v>
      </c>
      <c r="B115" s="53" t="s">
        <v>13</v>
      </c>
      <c r="C115" s="54" t="s">
        <v>1809</v>
      </c>
      <c r="D115" s="55" t="s">
        <v>1810</v>
      </c>
      <c r="E115" s="54" t="s">
        <v>899</v>
      </c>
      <c r="F115" s="54" t="s">
        <v>1555</v>
      </c>
      <c r="G115" s="54"/>
      <c r="H115" s="54"/>
      <c r="I115" s="54"/>
      <c r="J115" s="54"/>
      <c r="K115" s="54"/>
      <c r="L115" s="54"/>
      <c r="M115" s="54"/>
      <c r="N115" s="54"/>
      <c r="O115" s="54" t="s">
        <v>1476</v>
      </c>
    </row>
    <row r="116" spans="1:15" ht="30" x14ac:dyDescent="0.2">
      <c r="A116" s="53" t="s">
        <v>12</v>
      </c>
      <c r="B116" s="53" t="s">
        <v>16</v>
      </c>
      <c r="C116" s="54" t="s">
        <v>1811</v>
      </c>
      <c r="D116" s="55" t="s">
        <v>1812</v>
      </c>
      <c r="E116" s="54" t="s">
        <v>899</v>
      </c>
      <c r="F116" s="54" t="s">
        <v>1633</v>
      </c>
      <c r="G116" s="54"/>
      <c r="H116" s="54"/>
      <c r="I116" s="54">
        <v>43200</v>
      </c>
      <c r="J116" s="54">
        <v>43200</v>
      </c>
      <c r="K116" s="54"/>
      <c r="L116" s="54"/>
      <c r="M116" s="54"/>
      <c r="N116" s="54"/>
      <c r="O116" s="54" t="s">
        <v>1050</v>
      </c>
    </row>
    <row r="117" spans="1:15" ht="30" x14ac:dyDescent="0.2">
      <c r="A117" s="53" t="s">
        <v>12</v>
      </c>
      <c r="B117" s="53" t="s">
        <v>16</v>
      </c>
      <c r="C117" s="54" t="s">
        <v>1813</v>
      </c>
      <c r="D117" s="55" t="s">
        <v>1054</v>
      </c>
      <c r="E117" s="54" t="s">
        <v>899</v>
      </c>
      <c r="F117" s="54" t="s">
        <v>1633</v>
      </c>
      <c r="G117" s="54"/>
      <c r="H117" s="54"/>
      <c r="I117" s="54">
        <v>28800</v>
      </c>
      <c r="J117" s="54">
        <v>23400</v>
      </c>
      <c r="K117" s="54"/>
      <c r="L117" s="54"/>
      <c r="M117" s="54"/>
      <c r="N117" s="54"/>
      <c r="O117" s="54" t="s">
        <v>1053</v>
      </c>
    </row>
    <row r="118" spans="1:15" ht="30" x14ac:dyDescent="0.2">
      <c r="A118" s="53" t="s">
        <v>12</v>
      </c>
      <c r="B118" s="53" t="s">
        <v>15</v>
      </c>
      <c r="C118" s="54" t="s">
        <v>1814</v>
      </c>
      <c r="D118" s="55" t="s">
        <v>1815</v>
      </c>
      <c r="E118" s="54" t="s">
        <v>883</v>
      </c>
      <c r="F118" s="54" t="s">
        <v>1816</v>
      </c>
      <c r="G118" s="54">
        <v>1</v>
      </c>
      <c r="H118" s="54">
        <v>1</v>
      </c>
      <c r="I118" s="54">
        <v>7200</v>
      </c>
      <c r="J118" s="54">
        <v>0</v>
      </c>
      <c r="K118" s="54"/>
      <c r="L118" s="54"/>
      <c r="M118" s="54"/>
      <c r="N118" s="54"/>
      <c r="O118" s="54" t="s">
        <v>1510</v>
      </c>
    </row>
    <row r="119" spans="1:15" ht="30" x14ac:dyDescent="0.2">
      <c r="A119" s="53" t="s">
        <v>12</v>
      </c>
      <c r="B119" s="53" t="s">
        <v>15</v>
      </c>
      <c r="C119" s="54" t="s">
        <v>1592</v>
      </c>
      <c r="D119" s="55" t="s">
        <v>1817</v>
      </c>
      <c r="E119" s="54" t="s">
        <v>899</v>
      </c>
      <c r="F119" s="54" t="s">
        <v>1818</v>
      </c>
      <c r="G119" s="54">
        <v>0</v>
      </c>
      <c r="H119" s="54">
        <v>0</v>
      </c>
      <c r="I119" s="54">
        <v>0</v>
      </c>
      <c r="J119" s="54">
        <v>0</v>
      </c>
      <c r="K119" s="54"/>
      <c r="L119" s="54"/>
      <c r="M119" s="54"/>
      <c r="N119" s="54"/>
      <c r="O119" s="54" t="s">
        <v>1352</v>
      </c>
    </row>
    <row r="120" spans="1:15" ht="60" x14ac:dyDescent="0.2">
      <c r="A120" s="53" t="s">
        <v>12</v>
      </c>
      <c r="B120" s="53" t="s">
        <v>13</v>
      </c>
      <c r="C120" s="54" t="s">
        <v>1819</v>
      </c>
      <c r="D120" s="55" t="s">
        <v>1820</v>
      </c>
      <c r="E120" s="54" t="s">
        <v>899</v>
      </c>
      <c r="F120" s="54"/>
      <c r="G120" s="54">
        <v>13</v>
      </c>
      <c r="H120" s="54"/>
      <c r="I120" s="54"/>
      <c r="J120" s="54"/>
      <c r="K120" s="54"/>
      <c r="L120" s="54"/>
      <c r="M120" s="54"/>
      <c r="N120" s="54"/>
      <c r="O120" s="54" t="s">
        <v>1821</v>
      </c>
    </row>
    <row r="121" spans="1:15" ht="45" x14ac:dyDescent="0.2">
      <c r="A121" s="53" t="s">
        <v>12</v>
      </c>
      <c r="B121" s="53" t="s">
        <v>13</v>
      </c>
      <c r="C121" s="54" t="s">
        <v>1822</v>
      </c>
      <c r="D121" s="55" t="s">
        <v>1821</v>
      </c>
      <c r="E121" s="54" t="s">
        <v>899</v>
      </c>
      <c r="F121" s="54"/>
      <c r="G121" s="54">
        <v>13</v>
      </c>
      <c r="H121" s="54"/>
      <c r="I121" s="54"/>
      <c r="J121" s="54"/>
      <c r="K121" s="54"/>
      <c r="L121" s="54"/>
      <c r="M121" s="54"/>
      <c r="N121" s="54"/>
      <c r="O121" s="54" t="s">
        <v>1820</v>
      </c>
    </row>
    <row r="122" spans="1:15" ht="45" x14ac:dyDescent="0.2">
      <c r="A122" s="53" t="s">
        <v>12</v>
      </c>
      <c r="B122" s="53" t="s">
        <v>13</v>
      </c>
      <c r="C122" s="54" t="s">
        <v>1823</v>
      </c>
      <c r="D122" s="55" t="s">
        <v>1824</v>
      </c>
      <c r="E122" s="54" t="s">
        <v>899</v>
      </c>
      <c r="F122" s="54" t="s">
        <v>1825</v>
      </c>
      <c r="G122" s="54">
        <v>13</v>
      </c>
      <c r="H122" s="54"/>
      <c r="I122" s="54"/>
      <c r="J122" s="54"/>
      <c r="K122" s="54"/>
      <c r="L122" s="54"/>
      <c r="M122" s="54"/>
      <c r="N122" s="54"/>
      <c r="O122" s="54" t="s">
        <v>1826</v>
      </c>
    </row>
    <row r="123" spans="1:15" ht="60" x14ac:dyDescent="0.2">
      <c r="A123" s="53" t="s">
        <v>12</v>
      </c>
      <c r="B123" s="53" t="s">
        <v>15</v>
      </c>
      <c r="C123" s="54" t="s">
        <v>1827</v>
      </c>
      <c r="D123" s="55" t="s">
        <v>1826</v>
      </c>
      <c r="E123" s="54" t="s">
        <v>899</v>
      </c>
      <c r="F123" s="54" t="s">
        <v>1752</v>
      </c>
      <c r="G123" s="54">
        <v>13</v>
      </c>
      <c r="H123" s="54">
        <v>13</v>
      </c>
      <c r="I123" s="54"/>
      <c r="J123" s="54"/>
      <c r="K123" s="54"/>
      <c r="L123" s="54"/>
      <c r="M123" s="54"/>
      <c r="N123" s="54"/>
      <c r="O123" s="54" t="s">
        <v>1824</v>
      </c>
    </row>
    <row r="124" spans="1:15" ht="30" x14ac:dyDescent="0.2">
      <c r="A124" s="53" t="s">
        <v>12</v>
      </c>
      <c r="B124" s="53" t="s">
        <v>13</v>
      </c>
      <c r="C124" s="54" t="s">
        <v>1828</v>
      </c>
      <c r="D124" s="55" t="s">
        <v>1829</v>
      </c>
      <c r="E124" s="54" t="s">
        <v>899</v>
      </c>
      <c r="F124" s="54" t="s">
        <v>1825</v>
      </c>
      <c r="G124" s="54">
        <v>13</v>
      </c>
      <c r="H124" s="54"/>
      <c r="I124" s="54"/>
      <c r="J124" s="54"/>
      <c r="K124" s="54"/>
      <c r="L124" s="54"/>
      <c r="M124" s="54"/>
      <c r="N124" s="54"/>
      <c r="O124" s="54" t="s">
        <v>1830</v>
      </c>
    </row>
    <row r="125" spans="1:15" ht="75" x14ac:dyDescent="0.2">
      <c r="A125" s="53" t="s">
        <v>12</v>
      </c>
      <c r="B125" s="53" t="s">
        <v>13</v>
      </c>
      <c r="C125" s="54" t="s">
        <v>1831</v>
      </c>
      <c r="D125" s="55" t="s">
        <v>1832</v>
      </c>
      <c r="E125" s="54" t="s">
        <v>899</v>
      </c>
      <c r="F125" s="54" t="s">
        <v>1701</v>
      </c>
      <c r="G125" s="54">
        <v>13</v>
      </c>
      <c r="H125" s="54"/>
      <c r="I125" s="54"/>
      <c r="J125" s="54"/>
      <c r="K125" s="54"/>
      <c r="L125" s="54"/>
      <c r="M125" s="54"/>
      <c r="N125" s="54"/>
      <c r="O125" s="54"/>
    </row>
    <row r="126" spans="1:15" ht="75" x14ac:dyDescent="0.2">
      <c r="A126" s="53" t="s">
        <v>12</v>
      </c>
      <c r="B126" s="53" t="s">
        <v>13</v>
      </c>
      <c r="C126" s="54" t="s">
        <v>1833</v>
      </c>
      <c r="D126" s="55" t="s">
        <v>1830</v>
      </c>
      <c r="E126" s="54" t="s">
        <v>899</v>
      </c>
      <c r="F126" s="54" t="s">
        <v>1825</v>
      </c>
      <c r="G126" s="54">
        <v>13</v>
      </c>
      <c r="H126" s="54"/>
      <c r="I126" s="54"/>
      <c r="J126" s="54"/>
      <c r="K126" s="54"/>
      <c r="L126" s="54"/>
      <c r="M126" s="54"/>
      <c r="N126" s="54"/>
      <c r="O126" s="54" t="s">
        <v>1834</v>
      </c>
    </row>
    <row r="127" spans="1:15" ht="75" x14ac:dyDescent="0.2">
      <c r="A127" s="53" t="s">
        <v>12</v>
      </c>
      <c r="B127" s="53" t="s">
        <v>13</v>
      </c>
      <c r="C127" s="54" t="s">
        <v>1835</v>
      </c>
      <c r="D127" s="55" t="s">
        <v>1836</v>
      </c>
      <c r="E127" s="54" t="s">
        <v>899</v>
      </c>
      <c r="F127" s="54" t="s">
        <v>1825</v>
      </c>
      <c r="G127" s="54">
        <v>13</v>
      </c>
      <c r="H127" s="54"/>
      <c r="I127" s="54"/>
      <c r="J127" s="54"/>
      <c r="K127" s="54"/>
      <c r="L127" s="54"/>
      <c r="M127" s="54"/>
      <c r="N127" s="54"/>
      <c r="O127" s="54" t="s">
        <v>1837</v>
      </c>
    </row>
    <row r="128" spans="1:15" ht="30" x14ac:dyDescent="0.2">
      <c r="A128" s="53" t="s">
        <v>12</v>
      </c>
      <c r="B128" s="53" t="s">
        <v>14</v>
      </c>
      <c r="C128" s="54" t="s">
        <v>1838</v>
      </c>
      <c r="D128" s="55" t="s">
        <v>1837</v>
      </c>
      <c r="E128" s="54" t="s">
        <v>899</v>
      </c>
      <c r="F128" s="54" t="s">
        <v>1701</v>
      </c>
      <c r="G128" s="54">
        <v>13</v>
      </c>
      <c r="H128" s="54"/>
      <c r="I128" s="54"/>
      <c r="J128" s="54"/>
      <c r="K128" s="54"/>
      <c r="L128" s="54"/>
      <c r="M128" s="54"/>
      <c r="N128" s="54"/>
      <c r="O128" s="54" t="s">
        <v>1839</v>
      </c>
    </row>
    <row r="129" spans="1:15" ht="45" x14ac:dyDescent="0.2">
      <c r="A129" s="53" t="s">
        <v>12</v>
      </c>
      <c r="B129" s="53" t="s">
        <v>13</v>
      </c>
      <c r="C129" s="54" t="s">
        <v>1840</v>
      </c>
      <c r="D129" s="55" t="s">
        <v>1841</v>
      </c>
      <c r="E129" s="54" t="s">
        <v>899</v>
      </c>
      <c r="F129" s="54" t="s">
        <v>1701</v>
      </c>
      <c r="G129" s="54">
        <v>13</v>
      </c>
      <c r="H129" s="54"/>
      <c r="I129" s="54"/>
      <c r="J129" s="54"/>
      <c r="K129" s="54"/>
      <c r="L129" s="54"/>
      <c r="M129" s="54"/>
      <c r="N129" s="54"/>
      <c r="O129" s="54" t="s">
        <v>1842</v>
      </c>
    </row>
    <row r="130" spans="1:15" ht="45" x14ac:dyDescent="0.2">
      <c r="A130" s="53" t="s">
        <v>12</v>
      </c>
      <c r="B130" s="53" t="s">
        <v>15</v>
      </c>
      <c r="C130" s="54" t="s">
        <v>1843</v>
      </c>
      <c r="D130" s="55" t="s">
        <v>1844</v>
      </c>
      <c r="E130" s="54" t="s">
        <v>899</v>
      </c>
      <c r="F130" s="54" t="s">
        <v>1752</v>
      </c>
      <c r="G130" s="54">
        <v>13</v>
      </c>
      <c r="H130" s="54">
        <v>13</v>
      </c>
      <c r="I130" s="54"/>
      <c r="J130" s="54"/>
      <c r="K130" s="54"/>
      <c r="L130" s="54"/>
      <c r="M130" s="54"/>
      <c r="N130" s="54"/>
      <c r="O130" s="54" t="s">
        <v>1845</v>
      </c>
    </row>
    <row r="131" spans="1:15" ht="45" x14ac:dyDescent="0.2">
      <c r="A131" s="53" t="s">
        <v>12</v>
      </c>
      <c r="B131" s="53" t="s">
        <v>13</v>
      </c>
      <c r="C131" s="54" t="s">
        <v>1846</v>
      </c>
      <c r="D131" s="55" t="s">
        <v>1847</v>
      </c>
      <c r="E131" s="54" t="s">
        <v>899</v>
      </c>
      <c r="F131" s="54" t="s">
        <v>1825</v>
      </c>
      <c r="G131" s="54">
        <v>13</v>
      </c>
      <c r="H131" s="54"/>
      <c r="I131" s="54"/>
      <c r="J131" s="54"/>
      <c r="K131" s="54"/>
      <c r="L131" s="54"/>
      <c r="M131" s="54"/>
      <c r="N131" s="54"/>
      <c r="O131" s="54" t="s">
        <v>1848</v>
      </c>
    </row>
    <row r="132" spans="1:15" ht="45" x14ac:dyDescent="0.2">
      <c r="A132" s="53" t="s">
        <v>12</v>
      </c>
      <c r="B132" s="53" t="s">
        <v>13</v>
      </c>
      <c r="C132" s="54" t="s">
        <v>1849</v>
      </c>
      <c r="D132" s="55" t="s">
        <v>1850</v>
      </c>
      <c r="E132" s="54" t="s">
        <v>899</v>
      </c>
      <c r="F132" s="54" t="s">
        <v>1825</v>
      </c>
      <c r="G132" s="54">
        <v>13</v>
      </c>
      <c r="H132" s="54"/>
      <c r="I132" s="54"/>
      <c r="J132" s="54"/>
      <c r="K132" s="54"/>
      <c r="L132" s="54"/>
      <c r="M132" s="54"/>
      <c r="N132" s="54"/>
      <c r="O132" s="54" t="s">
        <v>1851</v>
      </c>
    </row>
    <row r="133" spans="1:15" ht="75" x14ac:dyDescent="0.2">
      <c r="A133" s="53" t="s">
        <v>12</v>
      </c>
      <c r="B133" s="53" t="s">
        <v>13</v>
      </c>
      <c r="C133" s="54" t="s">
        <v>1852</v>
      </c>
      <c r="D133" s="55" t="s">
        <v>1853</v>
      </c>
      <c r="E133" s="54" t="s">
        <v>899</v>
      </c>
      <c r="F133" s="54" t="s">
        <v>1701</v>
      </c>
      <c r="G133" s="54">
        <v>13</v>
      </c>
      <c r="H133" s="54"/>
      <c r="I133" s="54"/>
      <c r="J133" s="54"/>
      <c r="K133" s="54"/>
      <c r="L133" s="54"/>
      <c r="M133" s="54"/>
      <c r="N133" s="54"/>
      <c r="O133" s="54" t="s">
        <v>1854</v>
      </c>
    </row>
    <row r="134" spans="1:15" ht="30" x14ac:dyDescent="0.2">
      <c r="A134" s="53" t="s">
        <v>12</v>
      </c>
      <c r="B134" s="53" t="s">
        <v>13</v>
      </c>
      <c r="C134" s="54" t="s">
        <v>1855</v>
      </c>
      <c r="D134" s="55" t="s">
        <v>1856</v>
      </c>
      <c r="E134" s="54" t="s">
        <v>899</v>
      </c>
      <c r="F134" s="54" t="s">
        <v>1825</v>
      </c>
      <c r="G134" s="54">
        <v>13</v>
      </c>
      <c r="H134" s="54"/>
      <c r="I134" s="54"/>
      <c r="J134" s="54"/>
      <c r="K134" s="54"/>
      <c r="L134" s="54"/>
      <c r="M134" s="54"/>
      <c r="N134" s="54"/>
      <c r="O134" s="54" t="s">
        <v>1830</v>
      </c>
    </row>
    <row r="135" spans="1:15" ht="45" x14ac:dyDescent="0.2">
      <c r="A135" s="53" t="s">
        <v>12</v>
      </c>
      <c r="B135" s="53" t="s">
        <v>14</v>
      </c>
      <c r="C135" s="54" t="s">
        <v>1857</v>
      </c>
      <c r="D135" s="55" t="s">
        <v>1858</v>
      </c>
      <c r="E135" s="54" t="s">
        <v>899</v>
      </c>
      <c r="F135" s="54" t="s">
        <v>1701</v>
      </c>
      <c r="G135" s="54">
        <v>13</v>
      </c>
      <c r="H135" s="54"/>
      <c r="I135" s="54"/>
      <c r="J135" s="54"/>
      <c r="K135" s="54"/>
      <c r="L135" s="54"/>
      <c r="M135" s="54"/>
      <c r="N135" s="54"/>
      <c r="O135" s="54"/>
    </row>
    <row r="136" spans="1:15" ht="30" x14ac:dyDescent="0.2">
      <c r="A136" s="53" t="s">
        <v>12</v>
      </c>
      <c r="B136" s="53" t="s">
        <v>14</v>
      </c>
      <c r="C136" s="54" t="s">
        <v>1859</v>
      </c>
      <c r="D136" s="55" t="s">
        <v>1860</v>
      </c>
      <c r="E136" s="54" t="s">
        <v>899</v>
      </c>
      <c r="F136" s="54" t="s">
        <v>1701</v>
      </c>
      <c r="G136" s="54">
        <v>13</v>
      </c>
      <c r="H136" s="54"/>
      <c r="I136" s="54"/>
      <c r="J136" s="54"/>
      <c r="K136" s="54"/>
      <c r="L136" s="54"/>
      <c r="M136" s="54"/>
      <c r="N136" s="54"/>
      <c r="O136" s="54"/>
    </row>
    <row r="137" spans="1:15" ht="30" x14ac:dyDescent="0.2">
      <c r="A137" s="53" t="s">
        <v>12</v>
      </c>
      <c r="B137" s="53" t="s">
        <v>14</v>
      </c>
      <c r="C137" s="54" t="s">
        <v>1861</v>
      </c>
      <c r="D137" s="55" t="s">
        <v>1862</v>
      </c>
      <c r="E137" s="54" t="s">
        <v>899</v>
      </c>
      <c r="F137" s="54" t="s">
        <v>1701</v>
      </c>
      <c r="G137" s="54">
        <v>13</v>
      </c>
      <c r="H137" s="54"/>
      <c r="I137" s="54"/>
      <c r="J137" s="54"/>
      <c r="K137" s="54"/>
      <c r="L137" s="54"/>
      <c r="M137" s="54"/>
      <c r="N137" s="54"/>
      <c r="O137" s="54"/>
    </row>
    <row r="138" spans="1:15" ht="30" x14ac:dyDescent="0.2">
      <c r="A138" s="53" t="s">
        <v>12</v>
      </c>
      <c r="B138" s="53" t="s">
        <v>13</v>
      </c>
      <c r="C138" s="54" t="s">
        <v>1863</v>
      </c>
      <c r="D138" s="55" t="s">
        <v>1864</v>
      </c>
      <c r="E138" s="54" t="s">
        <v>899</v>
      </c>
      <c r="F138" s="54" t="s">
        <v>1825</v>
      </c>
      <c r="G138" s="54">
        <v>13</v>
      </c>
      <c r="H138" s="54"/>
      <c r="I138" s="54"/>
      <c r="J138" s="54"/>
      <c r="K138" s="54"/>
      <c r="L138" s="54"/>
      <c r="M138" s="54"/>
      <c r="N138" s="54"/>
      <c r="O138" s="54" t="s">
        <v>1865</v>
      </c>
    </row>
    <row r="139" spans="1:15" ht="15.75" x14ac:dyDescent="0.2">
      <c r="A139" s="53" t="s">
        <v>12</v>
      </c>
      <c r="B139" s="53" t="s">
        <v>14</v>
      </c>
      <c r="C139" s="54" t="s">
        <v>1866</v>
      </c>
      <c r="D139" s="55" t="s">
        <v>1865</v>
      </c>
      <c r="E139" s="54" t="s">
        <v>899</v>
      </c>
      <c r="F139" s="54" t="s">
        <v>1701</v>
      </c>
      <c r="G139" s="54">
        <v>13</v>
      </c>
      <c r="H139" s="54"/>
      <c r="I139" s="54"/>
      <c r="J139" s="54"/>
      <c r="K139" s="54"/>
      <c r="L139" s="54"/>
      <c r="M139" s="54"/>
      <c r="N139" s="54"/>
      <c r="O139" s="54" t="s">
        <v>1864</v>
      </c>
    </row>
    <row r="140" spans="1:15" ht="30" x14ac:dyDescent="0.2">
      <c r="A140" s="53" t="s">
        <v>12</v>
      </c>
      <c r="B140" s="53" t="s">
        <v>14</v>
      </c>
      <c r="C140" s="54" t="s">
        <v>1867</v>
      </c>
      <c r="D140" s="55" t="s">
        <v>1868</v>
      </c>
      <c r="E140" s="54" t="s">
        <v>899</v>
      </c>
      <c r="F140" s="54" t="s">
        <v>1701</v>
      </c>
      <c r="G140" s="54">
        <v>13</v>
      </c>
      <c r="H140" s="54"/>
      <c r="I140" s="54"/>
      <c r="J140" s="54"/>
      <c r="K140" s="54"/>
      <c r="L140" s="54"/>
      <c r="M140" s="54"/>
      <c r="N140" s="54"/>
      <c r="O140" s="54"/>
    </row>
    <row r="141" spans="1:15" ht="30" x14ac:dyDescent="0.2">
      <c r="A141" s="53" t="s">
        <v>12</v>
      </c>
      <c r="B141" s="53" t="s">
        <v>13</v>
      </c>
      <c r="C141" s="54" t="s">
        <v>1869</v>
      </c>
      <c r="D141" s="55" t="s">
        <v>1870</v>
      </c>
      <c r="E141" s="54" t="s">
        <v>899</v>
      </c>
      <c r="F141" s="54" t="s">
        <v>1701</v>
      </c>
      <c r="G141" s="54">
        <v>13</v>
      </c>
      <c r="H141" s="54"/>
      <c r="I141" s="54"/>
      <c r="J141" s="54"/>
      <c r="K141" s="54"/>
      <c r="L141" s="54"/>
      <c r="M141" s="54"/>
      <c r="N141" s="54"/>
      <c r="O141" s="54"/>
    </row>
    <row r="142" spans="1:15" ht="15.75" x14ac:dyDescent="0.2">
      <c r="A142" s="53" t="s">
        <v>12</v>
      </c>
      <c r="B142" s="53" t="s">
        <v>15</v>
      </c>
      <c r="C142" s="54" t="s">
        <v>1871</v>
      </c>
      <c r="D142" s="55" t="s">
        <v>1872</v>
      </c>
      <c r="E142" s="54" t="s">
        <v>899</v>
      </c>
      <c r="F142" s="54" t="s">
        <v>1752</v>
      </c>
      <c r="G142" s="54">
        <v>13</v>
      </c>
      <c r="H142" s="54">
        <v>13</v>
      </c>
      <c r="I142" s="54"/>
      <c r="J142" s="54"/>
      <c r="K142" s="54"/>
      <c r="L142" s="54"/>
      <c r="M142" s="54"/>
      <c r="N142" s="54"/>
      <c r="O142" s="54"/>
    </row>
    <row r="143" spans="1:15" ht="30" x14ac:dyDescent="0.2">
      <c r="A143" s="53" t="s">
        <v>12</v>
      </c>
      <c r="B143" s="53" t="s">
        <v>13</v>
      </c>
      <c r="C143" s="54" t="s">
        <v>1873</v>
      </c>
      <c r="D143" s="55" t="s">
        <v>1874</v>
      </c>
      <c r="E143" s="54" t="s">
        <v>899</v>
      </c>
      <c r="F143" s="54" t="s">
        <v>1701</v>
      </c>
      <c r="G143" s="54">
        <v>13</v>
      </c>
      <c r="H143" s="54"/>
      <c r="I143" s="54"/>
      <c r="J143" s="54"/>
      <c r="K143" s="54"/>
      <c r="L143" s="54"/>
      <c r="M143" s="54"/>
      <c r="N143" s="54"/>
      <c r="O143" s="54"/>
    </row>
    <row r="144" spans="1:15" ht="30" x14ac:dyDescent="0.2">
      <c r="A144" s="53" t="s">
        <v>12</v>
      </c>
      <c r="B144" s="53" t="s">
        <v>13</v>
      </c>
      <c r="C144" s="54" t="s">
        <v>1875</v>
      </c>
      <c r="D144" s="55" t="s">
        <v>1876</v>
      </c>
      <c r="E144" s="54" t="s">
        <v>899</v>
      </c>
      <c r="F144" s="54" t="s">
        <v>1701</v>
      </c>
      <c r="G144" s="54">
        <v>13</v>
      </c>
      <c r="H144" s="54"/>
      <c r="I144" s="54"/>
      <c r="J144" s="54"/>
      <c r="K144" s="54"/>
      <c r="L144" s="54"/>
      <c r="M144" s="54"/>
      <c r="N144" s="54"/>
      <c r="O144" s="54"/>
    </row>
    <row r="145" spans="1:15" ht="30" x14ac:dyDescent="0.2">
      <c r="A145" s="53" t="s">
        <v>12</v>
      </c>
      <c r="B145" s="53" t="s">
        <v>13</v>
      </c>
      <c r="C145" s="54" t="s">
        <v>1877</v>
      </c>
      <c r="D145" s="55" t="s">
        <v>1878</v>
      </c>
      <c r="E145" s="54" t="s">
        <v>899</v>
      </c>
      <c r="F145" s="54" t="s">
        <v>1701</v>
      </c>
      <c r="G145" s="54">
        <v>13</v>
      </c>
      <c r="H145" s="54"/>
      <c r="I145" s="54"/>
      <c r="J145" s="54"/>
      <c r="K145" s="54"/>
      <c r="L145" s="54"/>
      <c r="M145" s="54"/>
      <c r="N145" s="54"/>
      <c r="O145" s="54"/>
    </row>
    <row r="146" spans="1:15" ht="30" x14ac:dyDescent="0.2">
      <c r="A146" s="53" t="s">
        <v>12</v>
      </c>
      <c r="B146" s="53" t="s">
        <v>14</v>
      </c>
      <c r="C146" s="54" t="s">
        <v>1879</v>
      </c>
      <c r="D146" s="55" t="s">
        <v>1880</v>
      </c>
      <c r="E146" s="54" t="s">
        <v>899</v>
      </c>
      <c r="F146" s="54" t="s">
        <v>1701</v>
      </c>
      <c r="G146" s="54">
        <v>13</v>
      </c>
      <c r="H146" s="54"/>
      <c r="I146" s="54"/>
      <c r="J146" s="54"/>
      <c r="K146" s="54"/>
      <c r="L146" s="54"/>
      <c r="M146" s="54"/>
      <c r="N146" s="54"/>
      <c r="O146" s="54"/>
    </row>
    <row r="147" spans="1:15" ht="60" x14ac:dyDescent="0.2">
      <c r="A147" s="53" t="s">
        <v>12</v>
      </c>
      <c r="B147" s="53" t="s">
        <v>15</v>
      </c>
      <c r="C147" s="54" t="s">
        <v>1881</v>
      </c>
      <c r="D147" s="55" t="s">
        <v>1882</v>
      </c>
      <c r="E147" s="54" t="s">
        <v>920</v>
      </c>
      <c r="F147" s="54" t="s">
        <v>1752</v>
      </c>
      <c r="G147" s="54">
        <v>13</v>
      </c>
      <c r="H147" s="54">
        <v>13</v>
      </c>
      <c r="I147" s="54"/>
      <c r="J147" s="54"/>
      <c r="K147" s="54"/>
      <c r="L147" s="54"/>
      <c r="M147" s="54"/>
      <c r="N147" s="54"/>
      <c r="O147" s="54" t="s">
        <v>1753</v>
      </c>
    </row>
    <row r="148" spans="1:15" ht="45" x14ac:dyDescent="0.2">
      <c r="A148" s="53" t="s">
        <v>12</v>
      </c>
      <c r="B148" s="53" t="s">
        <v>106</v>
      </c>
      <c r="C148" s="54" t="s">
        <v>1883</v>
      </c>
      <c r="D148" s="55" t="s">
        <v>1884</v>
      </c>
      <c r="E148" s="54" t="s">
        <v>1762</v>
      </c>
      <c r="F148" s="54" t="s">
        <v>1885</v>
      </c>
      <c r="G148" s="54">
        <v>13</v>
      </c>
      <c r="H148" s="54"/>
      <c r="I148" s="54">
        <v>36000</v>
      </c>
      <c r="J148" s="54">
        <v>0</v>
      </c>
      <c r="K148" s="54"/>
      <c r="L148" s="54"/>
      <c r="M148" s="54"/>
      <c r="N148" s="54"/>
      <c r="O148" s="54" t="s">
        <v>1886</v>
      </c>
    </row>
    <row r="149" spans="1:15" ht="45" x14ac:dyDescent="0.2">
      <c r="A149" s="53" t="s">
        <v>12</v>
      </c>
      <c r="B149" s="53" t="s">
        <v>14</v>
      </c>
      <c r="C149" s="54" t="s">
        <v>1887</v>
      </c>
      <c r="D149" s="55" t="s">
        <v>1888</v>
      </c>
      <c r="E149" s="54" t="s">
        <v>899</v>
      </c>
      <c r="F149" s="54" t="s">
        <v>1701</v>
      </c>
      <c r="G149" s="54"/>
      <c r="H149" s="54"/>
      <c r="I149" s="54"/>
      <c r="J149" s="54"/>
      <c r="K149" s="54"/>
      <c r="L149" s="54"/>
      <c r="M149" s="54"/>
      <c r="N149" s="54"/>
      <c r="O149" s="54"/>
    </row>
    <row r="150" spans="1:15" ht="30" x14ac:dyDescent="0.2">
      <c r="A150" s="53" t="s">
        <v>12</v>
      </c>
      <c r="B150" s="53" t="s">
        <v>14</v>
      </c>
      <c r="C150" s="54" t="s">
        <v>1889</v>
      </c>
      <c r="D150" s="55" t="s">
        <v>1890</v>
      </c>
      <c r="E150" s="54" t="s">
        <v>899</v>
      </c>
      <c r="F150" s="54" t="s">
        <v>1825</v>
      </c>
      <c r="G150" s="54">
        <v>13</v>
      </c>
      <c r="H150" s="54"/>
      <c r="I150" s="54"/>
      <c r="J150" s="54"/>
      <c r="K150" s="54"/>
      <c r="L150" s="54"/>
      <c r="M150" s="54"/>
      <c r="N150" s="54"/>
      <c r="O150" s="54" t="s">
        <v>1891</v>
      </c>
    </row>
    <row r="151" spans="1:15" ht="15.75" x14ac:dyDescent="0.2">
      <c r="A151" s="53" t="s">
        <v>12</v>
      </c>
      <c r="B151" s="53" t="s">
        <v>14</v>
      </c>
      <c r="C151" s="54" t="s">
        <v>1892</v>
      </c>
      <c r="D151" s="55" t="s">
        <v>1891</v>
      </c>
      <c r="E151" s="54" t="s">
        <v>899</v>
      </c>
      <c r="F151" s="54" t="s">
        <v>1701</v>
      </c>
      <c r="G151" s="54">
        <v>13</v>
      </c>
      <c r="H151" s="54"/>
      <c r="I151" s="54"/>
      <c r="J151" s="54"/>
      <c r="K151" s="54"/>
      <c r="L151" s="54"/>
      <c r="M151" s="54"/>
      <c r="N151" s="54"/>
      <c r="O151" s="54" t="s">
        <v>1890</v>
      </c>
    </row>
    <row r="152" spans="1:15" ht="45" x14ac:dyDescent="0.2">
      <c r="A152" s="53" t="s">
        <v>12</v>
      </c>
      <c r="B152" s="53" t="s">
        <v>15</v>
      </c>
      <c r="C152" s="54" t="s">
        <v>1893</v>
      </c>
      <c r="D152" s="55" t="s">
        <v>1894</v>
      </c>
      <c r="E152" s="54" t="s">
        <v>899</v>
      </c>
      <c r="F152" s="54" t="s">
        <v>1701</v>
      </c>
      <c r="G152" s="54">
        <v>5</v>
      </c>
      <c r="H152" s="54">
        <v>5</v>
      </c>
      <c r="I152" s="54"/>
      <c r="J152" s="54"/>
      <c r="K152" s="54"/>
      <c r="L152" s="54"/>
      <c r="M152" s="54"/>
      <c r="N152" s="54"/>
      <c r="O152" s="54" t="s">
        <v>1895</v>
      </c>
    </row>
    <row r="153" spans="1:15" ht="30" x14ac:dyDescent="0.2">
      <c r="A153" s="53" t="s">
        <v>12</v>
      </c>
      <c r="B153" s="53" t="s">
        <v>15</v>
      </c>
      <c r="C153" s="54" t="s">
        <v>1896</v>
      </c>
      <c r="D153" s="55" t="s">
        <v>1897</v>
      </c>
      <c r="E153" s="54" t="s">
        <v>899</v>
      </c>
      <c r="F153" s="54" t="s">
        <v>1752</v>
      </c>
      <c r="G153" s="54"/>
      <c r="H153" s="54"/>
      <c r="I153" s="54"/>
      <c r="J153" s="54"/>
      <c r="K153" s="54"/>
      <c r="L153" s="54"/>
      <c r="M153" s="54"/>
      <c r="N153" s="54"/>
      <c r="O153" s="54" t="s">
        <v>1898</v>
      </c>
    </row>
    <row r="154" spans="1:15" ht="30" x14ac:dyDescent="0.2">
      <c r="A154" s="53" t="s">
        <v>12</v>
      </c>
      <c r="B154" s="53" t="s">
        <v>106</v>
      </c>
      <c r="C154" s="54" t="s">
        <v>1899</v>
      </c>
      <c r="D154" s="55" t="s">
        <v>1898</v>
      </c>
      <c r="E154" s="54" t="s">
        <v>899</v>
      </c>
      <c r="F154" s="54" t="s">
        <v>1701</v>
      </c>
      <c r="G154" s="54"/>
      <c r="H154" s="54"/>
      <c r="I154" s="54"/>
      <c r="J154" s="54"/>
      <c r="K154" s="54"/>
      <c r="L154" s="54"/>
      <c r="M154" s="54"/>
      <c r="N154" s="54"/>
      <c r="O154" s="54" t="s">
        <v>1897</v>
      </c>
    </row>
    <row r="155" spans="1:15" ht="15.75" x14ac:dyDescent="0.2">
      <c r="A155" s="53" t="s">
        <v>12</v>
      </c>
      <c r="B155" s="53" t="s">
        <v>15</v>
      </c>
      <c r="C155" s="54" t="s">
        <v>1900</v>
      </c>
      <c r="D155" s="55" t="s">
        <v>1901</v>
      </c>
      <c r="E155" s="54" t="s">
        <v>899</v>
      </c>
      <c r="F155" s="54" t="s">
        <v>1752</v>
      </c>
      <c r="G155" s="54"/>
      <c r="H155" s="54"/>
      <c r="I155" s="54"/>
      <c r="J155" s="54"/>
      <c r="K155" s="54"/>
      <c r="L155" s="54"/>
      <c r="M155" s="54"/>
      <c r="N155" s="54"/>
      <c r="O155" s="54" t="s">
        <v>1902</v>
      </c>
    </row>
    <row r="156" spans="1:15" ht="15.75" x14ac:dyDescent="0.2">
      <c r="A156" s="53" t="s">
        <v>12</v>
      </c>
      <c r="B156" s="53" t="s">
        <v>13</v>
      </c>
      <c r="C156" s="54" t="s">
        <v>1903</v>
      </c>
      <c r="D156" s="55" t="s">
        <v>1904</v>
      </c>
      <c r="E156" s="54" t="s">
        <v>899</v>
      </c>
      <c r="F156" s="54" t="s">
        <v>1701</v>
      </c>
      <c r="G156" s="54">
        <v>8</v>
      </c>
      <c r="H156" s="54"/>
      <c r="I156" s="54"/>
      <c r="J156" s="54"/>
      <c r="K156" s="54"/>
      <c r="L156" s="54"/>
      <c r="M156" s="54"/>
      <c r="N156" s="54"/>
      <c r="O156" s="54"/>
    </row>
    <row r="157" spans="1:15" ht="30" x14ac:dyDescent="0.2">
      <c r="A157" s="53" t="s">
        <v>12</v>
      </c>
      <c r="B157" s="53" t="s">
        <v>13</v>
      </c>
      <c r="C157" s="54" t="s">
        <v>1905</v>
      </c>
      <c r="D157" s="55" t="s">
        <v>1906</v>
      </c>
      <c r="E157" s="54" t="s">
        <v>899</v>
      </c>
      <c r="F157" s="54" t="s">
        <v>1701</v>
      </c>
      <c r="G157" s="54">
        <v>8</v>
      </c>
      <c r="H157" s="54"/>
      <c r="I157" s="54"/>
      <c r="J157" s="54"/>
      <c r="K157" s="54"/>
      <c r="L157" s="54"/>
      <c r="M157" s="54"/>
      <c r="N157" s="54"/>
      <c r="O157" s="54" t="s">
        <v>1907</v>
      </c>
    </row>
    <row r="158" spans="1:15" ht="15.75" x14ac:dyDescent="0.2">
      <c r="A158" s="53" t="s">
        <v>12</v>
      </c>
      <c r="B158" s="53" t="s">
        <v>14</v>
      </c>
      <c r="C158" s="54" t="s">
        <v>1908</v>
      </c>
      <c r="D158" s="55" t="s">
        <v>1907</v>
      </c>
      <c r="E158" s="54" t="s">
        <v>899</v>
      </c>
      <c r="F158" s="54" t="s">
        <v>1701</v>
      </c>
      <c r="G158" s="54">
        <v>8</v>
      </c>
      <c r="H158" s="54"/>
      <c r="I158" s="54"/>
      <c r="J158" s="54"/>
      <c r="K158" s="54"/>
      <c r="L158" s="54"/>
      <c r="M158" s="54"/>
      <c r="N158" s="54"/>
      <c r="O158" s="54" t="s">
        <v>1906</v>
      </c>
    </row>
    <row r="159" spans="1:15" ht="15.75" x14ac:dyDescent="0.2">
      <c r="A159" s="53" t="s">
        <v>12</v>
      </c>
      <c r="B159" s="53" t="s">
        <v>15</v>
      </c>
      <c r="C159" s="54" t="s">
        <v>1909</v>
      </c>
      <c r="D159" s="55" t="s">
        <v>1910</v>
      </c>
      <c r="E159" s="54" t="s">
        <v>899</v>
      </c>
      <c r="F159" s="54" t="s">
        <v>1701</v>
      </c>
      <c r="G159" s="54">
        <v>8</v>
      </c>
      <c r="H159" s="54">
        <v>8</v>
      </c>
      <c r="I159" s="54"/>
      <c r="J159" s="54"/>
      <c r="K159" s="54"/>
      <c r="L159" s="54"/>
      <c r="M159" s="54"/>
      <c r="N159" s="54"/>
      <c r="O159" s="54"/>
    </row>
    <row r="160" spans="1:15" ht="30" x14ac:dyDescent="0.2">
      <c r="A160" s="53" t="s">
        <v>12</v>
      </c>
      <c r="B160" s="53" t="s">
        <v>13</v>
      </c>
      <c r="C160" s="54" t="s">
        <v>1911</v>
      </c>
      <c r="D160" s="55" t="s">
        <v>1912</v>
      </c>
      <c r="E160" s="54" t="s">
        <v>899</v>
      </c>
      <c r="F160" s="54" t="s">
        <v>1701</v>
      </c>
      <c r="G160" s="54">
        <v>8</v>
      </c>
      <c r="H160" s="54"/>
      <c r="I160" s="54"/>
      <c r="J160" s="54"/>
      <c r="K160" s="54"/>
      <c r="L160" s="54"/>
      <c r="M160" s="54"/>
      <c r="N160" s="54"/>
      <c r="O160" s="54"/>
    </row>
    <row r="161" spans="1:15" ht="30" x14ac:dyDescent="0.2">
      <c r="A161" s="53" t="s">
        <v>12</v>
      </c>
      <c r="B161" s="53" t="s">
        <v>13</v>
      </c>
      <c r="C161" s="54" t="s">
        <v>1913</v>
      </c>
      <c r="D161" s="55" t="s">
        <v>1914</v>
      </c>
      <c r="E161" s="54" t="s">
        <v>899</v>
      </c>
      <c r="F161" s="54" t="s">
        <v>1701</v>
      </c>
      <c r="G161" s="54">
        <v>8</v>
      </c>
      <c r="H161" s="54"/>
      <c r="I161" s="54"/>
      <c r="J161" s="54"/>
      <c r="K161" s="54"/>
      <c r="L161" s="54"/>
      <c r="M161" s="54"/>
      <c r="N161" s="54"/>
      <c r="O161" s="54"/>
    </row>
    <row r="162" spans="1:15" ht="30" x14ac:dyDescent="0.2">
      <c r="A162" s="53" t="s">
        <v>12</v>
      </c>
      <c r="B162" s="53" t="s">
        <v>13</v>
      </c>
      <c r="C162" s="54" t="s">
        <v>1915</v>
      </c>
      <c r="D162" s="55" t="s">
        <v>1916</v>
      </c>
      <c r="E162" s="54" t="s">
        <v>899</v>
      </c>
      <c r="F162" s="54" t="s">
        <v>1825</v>
      </c>
      <c r="G162" s="54">
        <v>8</v>
      </c>
      <c r="H162" s="54"/>
      <c r="I162" s="54"/>
      <c r="J162" s="54"/>
      <c r="K162" s="54"/>
      <c r="L162" s="54"/>
      <c r="M162" s="54"/>
      <c r="N162" s="54"/>
      <c r="O162" s="54" t="s">
        <v>1917</v>
      </c>
    </row>
    <row r="163" spans="1:15" ht="30" x14ac:dyDescent="0.2">
      <c r="A163" s="53" t="s">
        <v>12</v>
      </c>
      <c r="B163" s="53" t="s">
        <v>14</v>
      </c>
      <c r="C163" s="54" t="s">
        <v>1918</v>
      </c>
      <c r="D163" s="55" t="s">
        <v>1917</v>
      </c>
      <c r="E163" s="54" t="s">
        <v>899</v>
      </c>
      <c r="F163" s="54" t="s">
        <v>1701</v>
      </c>
      <c r="G163" s="54">
        <v>8</v>
      </c>
      <c r="H163" s="54"/>
      <c r="I163" s="54"/>
      <c r="J163" s="54"/>
      <c r="K163" s="54"/>
      <c r="L163" s="54"/>
      <c r="M163" s="54"/>
      <c r="N163" s="54"/>
      <c r="O163" s="54" t="s">
        <v>1919</v>
      </c>
    </row>
    <row r="164" spans="1:15" ht="30" x14ac:dyDescent="0.2">
      <c r="A164" s="53" t="s">
        <v>12</v>
      </c>
      <c r="B164" s="53" t="s">
        <v>14</v>
      </c>
      <c r="C164" s="54" t="s">
        <v>1920</v>
      </c>
      <c r="D164" s="55" t="s">
        <v>1921</v>
      </c>
      <c r="E164" s="54" t="s">
        <v>899</v>
      </c>
      <c r="F164" s="54" t="s">
        <v>1701</v>
      </c>
      <c r="G164" s="54">
        <v>8</v>
      </c>
      <c r="H164" s="54">
        <v>8</v>
      </c>
      <c r="I164" s="54"/>
      <c r="J164" s="54"/>
      <c r="K164" s="54"/>
      <c r="L164" s="54"/>
      <c r="M164" s="54"/>
      <c r="N164" s="54"/>
      <c r="O164" s="54" t="s">
        <v>1917</v>
      </c>
    </row>
    <row r="165" spans="1:15" ht="30" x14ac:dyDescent="0.2">
      <c r="A165" s="53" t="s">
        <v>12</v>
      </c>
      <c r="B165" s="53" t="s">
        <v>14</v>
      </c>
      <c r="C165" s="54" t="s">
        <v>1922</v>
      </c>
      <c r="D165" s="55" t="s">
        <v>1923</v>
      </c>
      <c r="E165" s="54" t="s">
        <v>899</v>
      </c>
      <c r="F165" s="54" t="s">
        <v>1701</v>
      </c>
      <c r="G165" s="54">
        <v>13</v>
      </c>
      <c r="H165" s="54">
        <v>8</v>
      </c>
      <c r="I165" s="54"/>
      <c r="J165" s="54"/>
      <c r="K165" s="54"/>
      <c r="L165" s="54"/>
      <c r="M165" s="54"/>
      <c r="N165" s="54"/>
      <c r="O165" s="54"/>
    </row>
    <row r="166" spans="1:15" ht="30" x14ac:dyDescent="0.2">
      <c r="A166" s="53" t="s">
        <v>12</v>
      </c>
      <c r="B166" s="53" t="s">
        <v>14</v>
      </c>
      <c r="C166" s="54" t="s">
        <v>1924</v>
      </c>
      <c r="D166" s="55" t="s">
        <v>1925</v>
      </c>
      <c r="E166" s="54" t="s">
        <v>899</v>
      </c>
      <c r="F166" s="54" t="s">
        <v>1701</v>
      </c>
      <c r="G166" s="54">
        <v>8</v>
      </c>
      <c r="H166" s="54">
        <v>8</v>
      </c>
      <c r="I166" s="54"/>
      <c r="J166" s="54"/>
      <c r="K166" s="54"/>
      <c r="L166" s="54"/>
      <c r="M166" s="54"/>
      <c r="N166" s="54"/>
      <c r="O166" s="54"/>
    </row>
    <row r="167" spans="1:15" ht="30" x14ac:dyDescent="0.2">
      <c r="A167" s="53" t="s">
        <v>12</v>
      </c>
      <c r="B167" s="53" t="s">
        <v>14</v>
      </c>
      <c r="C167" s="54" t="s">
        <v>1926</v>
      </c>
      <c r="D167" s="55" t="s">
        <v>1927</v>
      </c>
      <c r="E167" s="54" t="s">
        <v>899</v>
      </c>
      <c r="F167" s="54" t="s">
        <v>1701</v>
      </c>
      <c r="G167" s="54">
        <v>8</v>
      </c>
      <c r="H167" s="54">
        <v>8</v>
      </c>
      <c r="I167" s="54"/>
      <c r="J167" s="54"/>
      <c r="K167" s="54"/>
      <c r="L167" s="54"/>
      <c r="M167" s="54"/>
      <c r="N167" s="54"/>
      <c r="O167" s="54"/>
    </row>
    <row r="168" spans="1:15" ht="45" x14ac:dyDescent="0.2">
      <c r="A168" s="53" t="s">
        <v>12</v>
      </c>
      <c r="B168" s="53" t="s">
        <v>13</v>
      </c>
      <c r="C168" s="54" t="s">
        <v>1928</v>
      </c>
      <c r="D168" s="55" t="s">
        <v>1929</v>
      </c>
      <c r="E168" s="54" t="s">
        <v>899</v>
      </c>
      <c r="F168" s="54" t="s">
        <v>1701</v>
      </c>
      <c r="G168" s="54">
        <v>8</v>
      </c>
      <c r="H168" s="54">
        <v>8</v>
      </c>
      <c r="I168" s="54"/>
      <c r="J168" s="54"/>
      <c r="K168" s="54"/>
      <c r="L168" s="54"/>
      <c r="M168" s="54"/>
      <c r="N168" s="54"/>
      <c r="O168" s="54" t="s">
        <v>1930</v>
      </c>
    </row>
    <row r="169" spans="1:15" ht="45" x14ac:dyDescent="0.2">
      <c r="A169" s="53" t="s">
        <v>12</v>
      </c>
      <c r="B169" s="53" t="s">
        <v>14</v>
      </c>
      <c r="C169" s="54" t="s">
        <v>1931</v>
      </c>
      <c r="D169" s="55" t="s">
        <v>1930</v>
      </c>
      <c r="E169" s="54" t="s">
        <v>899</v>
      </c>
      <c r="F169" s="54" t="s">
        <v>1932</v>
      </c>
      <c r="G169" s="54">
        <v>8</v>
      </c>
      <c r="H169" s="54">
        <v>8</v>
      </c>
      <c r="I169" s="54"/>
      <c r="J169" s="54"/>
      <c r="K169" s="54"/>
      <c r="L169" s="54"/>
      <c r="M169" s="54"/>
      <c r="N169" s="54"/>
      <c r="O169" s="54" t="s">
        <v>1929</v>
      </c>
    </row>
    <row r="170" spans="1:15" ht="60" x14ac:dyDescent="0.2">
      <c r="A170" s="53" t="s">
        <v>12</v>
      </c>
      <c r="B170" s="53" t="s">
        <v>13</v>
      </c>
      <c r="C170" s="54" t="s">
        <v>1933</v>
      </c>
      <c r="D170" s="55" t="s">
        <v>1934</v>
      </c>
      <c r="E170" s="54" t="s">
        <v>899</v>
      </c>
      <c r="F170" s="54" t="s">
        <v>1935</v>
      </c>
      <c r="G170" s="54"/>
      <c r="H170" s="54"/>
      <c r="I170" s="54"/>
      <c r="J170" s="54"/>
      <c r="K170" s="54"/>
      <c r="L170" s="54"/>
      <c r="M170" s="54"/>
      <c r="N170" s="54"/>
      <c r="O170" s="54" t="s">
        <v>1479</v>
      </c>
    </row>
    <row r="171" spans="1:15" ht="60" x14ac:dyDescent="0.2">
      <c r="A171" s="53" t="s">
        <v>12</v>
      </c>
      <c r="B171" s="53" t="s">
        <v>13</v>
      </c>
      <c r="C171" s="54" t="s">
        <v>1936</v>
      </c>
      <c r="D171" s="55" t="s">
        <v>1937</v>
      </c>
      <c r="E171" s="54" t="s">
        <v>899</v>
      </c>
      <c r="F171" s="54" t="s">
        <v>1935</v>
      </c>
      <c r="G171" s="54"/>
      <c r="H171" s="54"/>
      <c r="I171" s="54"/>
      <c r="J171" s="54"/>
      <c r="K171" s="54"/>
      <c r="L171" s="54"/>
      <c r="M171" s="54"/>
      <c r="N171" s="54"/>
      <c r="O171" s="54" t="s">
        <v>1938</v>
      </c>
    </row>
    <row r="172" spans="1:15" ht="15.75" x14ac:dyDescent="0.2">
      <c r="A172" s="53" t="s">
        <v>12</v>
      </c>
      <c r="B172" s="53" t="s">
        <v>15</v>
      </c>
      <c r="C172" s="54" t="s">
        <v>1939</v>
      </c>
      <c r="D172" s="55" t="s">
        <v>1940</v>
      </c>
      <c r="E172" s="54" t="s">
        <v>883</v>
      </c>
      <c r="F172" s="54" t="s">
        <v>1816</v>
      </c>
      <c r="G172" s="54">
        <v>2</v>
      </c>
      <c r="H172" s="54">
        <v>2</v>
      </c>
      <c r="I172" s="54"/>
      <c r="J172" s="54">
        <v>0</v>
      </c>
      <c r="K172" s="54"/>
      <c r="L172" s="54"/>
      <c r="M172" s="54"/>
      <c r="N172" s="54"/>
      <c r="O172" s="54" t="s">
        <v>1547</v>
      </c>
    </row>
    <row r="173" spans="1:15" ht="75" x14ac:dyDescent="0.2">
      <c r="A173" s="53" t="s">
        <v>12</v>
      </c>
      <c r="B173" s="53" t="s">
        <v>13</v>
      </c>
      <c r="C173" s="54" t="s">
        <v>1941</v>
      </c>
      <c r="D173" s="55" t="s">
        <v>1942</v>
      </c>
      <c r="E173" s="54" t="s">
        <v>899</v>
      </c>
      <c r="F173" s="54" t="s">
        <v>1701</v>
      </c>
      <c r="G173" s="54">
        <v>13</v>
      </c>
      <c r="H173" s="54">
        <v>13</v>
      </c>
      <c r="I173" s="54"/>
      <c r="J173" s="54"/>
      <c r="K173" s="54"/>
      <c r="L173" s="54"/>
      <c r="M173" s="54"/>
      <c r="N173" s="54"/>
      <c r="O173" s="54"/>
    </row>
    <row r="174" spans="1:15" ht="60" x14ac:dyDescent="0.2">
      <c r="A174" s="53" t="s">
        <v>12</v>
      </c>
      <c r="B174" s="53" t="s">
        <v>13</v>
      </c>
      <c r="C174" s="54" t="s">
        <v>1943</v>
      </c>
      <c r="D174" s="55" t="s">
        <v>1944</v>
      </c>
      <c r="E174" s="54" t="s">
        <v>899</v>
      </c>
      <c r="F174" s="54" t="s">
        <v>1701</v>
      </c>
      <c r="G174" s="54">
        <v>13</v>
      </c>
      <c r="H174" s="54">
        <v>13</v>
      </c>
      <c r="I174" s="54"/>
      <c r="J174" s="54"/>
      <c r="K174" s="54"/>
      <c r="L174" s="54"/>
      <c r="M174" s="54"/>
      <c r="N174" s="54"/>
      <c r="O174" s="54" t="s">
        <v>1854</v>
      </c>
    </row>
    <row r="175" spans="1:15" ht="60" x14ac:dyDescent="0.2">
      <c r="A175" s="53" t="s">
        <v>12</v>
      </c>
      <c r="B175" s="53" t="s">
        <v>14</v>
      </c>
      <c r="C175" s="54" t="s">
        <v>1945</v>
      </c>
      <c r="D175" s="55" t="s">
        <v>1946</v>
      </c>
      <c r="E175" s="54" t="s">
        <v>899</v>
      </c>
      <c r="F175" s="54" t="s">
        <v>1701</v>
      </c>
      <c r="G175" s="54">
        <v>13</v>
      </c>
      <c r="H175" s="54">
        <v>13</v>
      </c>
      <c r="I175" s="54"/>
      <c r="J175" s="54"/>
      <c r="K175" s="54"/>
      <c r="L175" s="54"/>
      <c r="M175" s="54"/>
      <c r="N175" s="54"/>
      <c r="O175" s="54" t="s">
        <v>1854</v>
      </c>
    </row>
    <row r="176" spans="1:15" ht="60" x14ac:dyDescent="0.2">
      <c r="A176" s="53" t="s">
        <v>12</v>
      </c>
      <c r="B176" s="53" t="s">
        <v>14</v>
      </c>
      <c r="C176" s="54" t="s">
        <v>1947</v>
      </c>
      <c r="D176" s="55" t="s">
        <v>1948</v>
      </c>
      <c r="E176" s="54" t="s">
        <v>899</v>
      </c>
      <c r="F176" s="54" t="s">
        <v>1701</v>
      </c>
      <c r="G176" s="54">
        <v>13</v>
      </c>
      <c r="H176" s="54">
        <v>13</v>
      </c>
      <c r="I176" s="54"/>
      <c r="J176" s="54"/>
      <c r="K176" s="54"/>
      <c r="L176" s="54"/>
      <c r="M176" s="54"/>
      <c r="N176" s="54"/>
      <c r="O176" s="54" t="s">
        <v>1854</v>
      </c>
    </row>
    <row r="177" spans="1:15" ht="60" x14ac:dyDescent="0.2">
      <c r="A177" s="53" t="s">
        <v>12</v>
      </c>
      <c r="B177" s="53" t="s">
        <v>14</v>
      </c>
      <c r="C177" s="54" t="s">
        <v>1949</v>
      </c>
      <c r="D177" s="55" t="s">
        <v>1950</v>
      </c>
      <c r="E177" s="54" t="s">
        <v>899</v>
      </c>
      <c r="F177" s="54" t="s">
        <v>1701</v>
      </c>
      <c r="G177" s="54">
        <v>5</v>
      </c>
      <c r="H177" s="54">
        <v>13</v>
      </c>
      <c r="I177" s="54"/>
      <c r="J177" s="54"/>
      <c r="K177" s="54"/>
      <c r="L177" s="54"/>
      <c r="M177" s="54"/>
      <c r="N177" s="54"/>
      <c r="O177" s="54" t="s">
        <v>1854</v>
      </c>
    </row>
    <row r="178" spans="1:15" ht="60" x14ac:dyDescent="0.2">
      <c r="A178" s="53" t="s">
        <v>12</v>
      </c>
      <c r="B178" s="53" t="s">
        <v>13</v>
      </c>
      <c r="C178" s="54" t="s">
        <v>1951</v>
      </c>
      <c r="D178" s="55" t="s">
        <v>1952</v>
      </c>
      <c r="E178" s="54" t="s">
        <v>899</v>
      </c>
      <c r="F178" s="54" t="s">
        <v>1701</v>
      </c>
      <c r="G178" s="54">
        <v>8</v>
      </c>
      <c r="H178" s="54">
        <v>13</v>
      </c>
      <c r="I178" s="54"/>
      <c r="J178" s="54"/>
      <c r="K178" s="54"/>
      <c r="L178" s="54"/>
      <c r="M178" s="54"/>
      <c r="N178" s="54"/>
      <c r="O178" s="54" t="s">
        <v>1953</v>
      </c>
    </row>
    <row r="179" spans="1:15" ht="60" x14ac:dyDescent="0.2">
      <c r="A179" s="53" t="s">
        <v>12</v>
      </c>
      <c r="B179" s="53" t="s">
        <v>13</v>
      </c>
      <c r="C179" s="54" t="s">
        <v>1954</v>
      </c>
      <c r="D179" s="55" t="s">
        <v>1955</v>
      </c>
      <c r="E179" s="54" t="s">
        <v>899</v>
      </c>
      <c r="F179" s="54" t="s">
        <v>1701</v>
      </c>
      <c r="G179" s="54">
        <v>8</v>
      </c>
      <c r="H179" s="54">
        <v>13</v>
      </c>
      <c r="I179" s="54"/>
      <c r="J179" s="54"/>
      <c r="K179" s="54"/>
      <c r="L179" s="54"/>
      <c r="M179" s="54"/>
      <c r="N179" s="54"/>
      <c r="O179" s="54" t="s">
        <v>1953</v>
      </c>
    </row>
    <row r="180" spans="1:15" ht="60" x14ac:dyDescent="0.2">
      <c r="A180" s="53" t="s">
        <v>12</v>
      </c>
      <c r="B180" s="53" t="s">
        <v>13</v>
      </c>
      <c r="C180" s="54" t="s">
        <v>1956</v>
      </c>
      <c r="D180" s="55" t="s">
        <v>1957</v>
      </c>
      <c r="E180" s="54" t="s">
        <v>899</v>
      </c>
      <c r="F180" s="54" t="s">
        <v>1701</v>
      </c>
      <c r="G180" s="54">
        <v>8</v>
      </c>
      <c r="H180" s="54">
        <v>13</v>
      </c>
      <c r="I180" s="54"/>
      <c r="J180" s="54"/>
      <c r="K180" s="54"/>
      <c r="L180" s="54"/>
      <c r="M180" s="54"/>
      <c r="N180" s="54"/>
      <c r="O180" s="54" t="s">
        <v>1958</v>
      </c>
    </row>
    <row r="181" spans="1:15" ht="60" x14ac:dyDescent="0.2">
      <c r="A181" s="53" t="s">
        <v>12</v>
      </c>
      <c r="B181" s="53" t="s">
        <v>13</v>
      </c>
      <c r="C181" s="54" t="s">
        <v>1959</v>
      </c>
      <c r="D181" s="55" t="s">
        <v>1960</v>
      </c>
      <c r="E181" s="54" t="s">
        <v>899</v>
      </c>
      <c r="F181" s="54" t="s">
        <v>1701</v>
      </c>
      <c r="G181" s="54">
        <v>5</v>
      </c>
      <c r="H181" s="54">
        <v>13</v>
      </c>
      <c r="I181" s="54"/>
      <c r="J181" s="54"/>
      <c r="K181" s="54"/>
      <c r="L181" s="54"/>
      <c r="M181" s="54"/>
      <c r="N181" s="54"/>
      <c r="O181" s="54" t="s">
        <v>1854</v>
      </c>
    </row>
    <row r="182" spans="1:15" ht="60" x14ac:dyDescent="0.2">
      <c r="A182" s="53" t="s">
        <v>12</v>
      </c>
      <c r="B182" s="53" t="s">
        <v>13</v>
      </c>
      <c r="C182" s="54" t="s">
        <v>1961</v>
      </c>
      <c r="D182" s="55" t="s">
        <v>1962</v>
      </c>
      <c r="E182" s="54" t="s">
        <v>920</v>
      </c>
      <c r="F182" s="54" t="s">
        <v>1701</v>
      </c>
      <c r="G182" s="54">
        <v>13</v>
      </c>
      <c r="H182" s="54">
        <v>13</v>
      </c>
      <c r="I182" s="54"/>
      <c r="J182" s="54"/>
      <c r="K182" s="54"/>
      <c r="L182" s="54"/>
      <c r="M182" s="54"/>
      <c r="N182" s="54"/>
      <c r="O182" s="54" t="s">
        <v>1963</v>
      </c>
    </row>
    <row r="183" spans="1:15" ht="60" x14ac:dyDescent="0.2">
      <c r="A183" s="53" t="s">
        <v>12</v>
      </c>
      <c r="B183" s="53" t="s">
        <v>13</v>
      </c>
      <c r="C183" s="54" t="s">
        <v>1964</v>
      </c>
      <c r="D183" s="55" t="s">
        <v>1965</v>
      </c>
      <c r="E183" s="54" t="s">
        <v>920</v>
      </c>
      <c r="F183" s="54" t="s">
        <v>1701</v>
      </c>
      <c r="G183" s="54">
        <v>5</v>
      </c>
      <c r="H183" s="54">
        <v>13</v>
      </c>
      <c r="I183" s="54"/>
      <c r="J183" s="54"/>
      <c r="K183" s="54"/>
      <c r="L183" s="54"/>
      <c r="M183" s="54"/>
      <c r="N183" s="54"/>
      <c r="O183" s="54" t="s">
        <v>1966</v>
      </c>
    </row>
    <row r="184" spans="1:15" ht="30" x14ac:dyDescent="0.2">
      <c r="A184" s="53" t="s">
        <v>12</v>
      </c>
      <c r="B184" s="53" t="s">
        <v>13</v>
      </c>
      <c r="C184" s="54" t="s">
        <v>1967</v>
      </c>
      <c r="D184" s="55" t="s">
        <v>1968</v>
      </c>
      <c r="E184" s="54" t="s">
        <v>920</v>
      </c>
      <c r="F184" s="54" t="s">
        <v>1701</v>
      </c>
      <c r="G184" s="54">
        <v>8</v>
      </c>
      <c r="H184" s="54">
        <v>13</v>
      </c>
      <c r="I184" s="54"/>
      <c r="J184" s="54"/>
      <c r="K184" s="54"/>
      <c r="L184" s="54"/>
      <c r="M184" s="54"/>
      <c r="N184" s="54"/>
      <c r="O184" s="54" t="s">
        <v>1854</v>
      </c>
    </row>
    <row r="185" spans="1:15" ht="15.75" x14ac:dyDescent="0.2">
      <c r="A185" s="53" t="s">
        <v>12</v>
      </c>
      <c r="B185" s="53" t="s">
        <v>14</v>
      </c>
      <c r="C185" s="54" t="s">
        <v>1969</v>
      </c>
      <c r="D185" s="55" t="s">
        <v>1176</v>
      </c>
      <c r="E185" s="54" t="s">
        <v>920</v>
      </c>
      <c r="F185" s="54" t="s">
        <v>1825</v>
      </c>
      <c r="G185" s="54"/>
      <c r="H185" s="54"/>
      <c r="I185" s="54"/>
      <c r="J185" s="54"/>
      <c r="K185" s="54"/>
      <c r="L185" s="54"/>
      <c r="M185" s="54"/>
      <c r="N185" s="54"/>
      <c r="O185" s="54" t="s">
        <v>1175</v>
      </c>
    </row>
    <row r="186" spans="1:15" ht="30" x14ac:dyDescent="0.2">
      <c r="A186" s="53" t="s">
        <v>12</v>
      </c>
      <c r="B186" s="53" t="s">
        <v>15</v>
      </c>
      <c r="C186" s="54" t="s">
        <v>1970</v>
      </c>
      <c r="D186" s="55" t="s">
        <v>1971</v>
      </c>
      <c r="E186" s="54" t="s">
        <v>920</v>
      </c>
      <c r="F186" s="54" t="s">
        <v>1752</v>
      </c>
      <c r="G186" s="54">
        <v>8</v>
      </c>
      <c r="H186" s="54">
        <v>8</v>
      </c>
      <c r="I186" s="54"/>
      <c r="J186" s="54"/>
      <c r="K186" s="54"/>
      <c r="L186" s="54"/>
      <c r="M186" s="54"/>
      <c r="N186" s="54"/>
      <c r="O186" s="54" t="s">
        <v>1972</v>
      </c>
    </row>
    <row r="187" spans="1:15" ht="30" x14ac:dyDescent="0.2">
      <c r="A187" s="53" t="s">
        <v>12</v>
      </c>
      <c r="B187" s="53" t="s">
        <v>15</v>
      </c>
      <c r="C187" s="54" t="s">
        <v>1973</v>
      </c>
      <c r="D187" s="55" t="s">
        <v>1974</v>
      </c>
      <c r="E187" s="54" t="s">
        <v>899</v>
      </c>
      <c r="F187" s="54" t="s">
        <v>1324</v>
      </c>
      <c r="G187" s="54"/>
      <c r="H187" s="54"/>
      <c r="I187" s="54"/>
      <c r="J187" s="54"/>
      <c r="K187" s="54"/>
      <c r="L187" s="54"/>
      <c r="M187" s="54"/>
      <c r="N187" s="54"/>
      <c r="O187" s="54" t="s">
        <v>1975</v>
      </c>
    </row>
    <row r="188" spans="1:15" ht="45" x14ac:dyDescent="0.2">
      <c r="A188" s="53" t="s">
        <v>12</v>
      </c>
      <c r="B188" s="53" t="s">
        <v>15</v>
      </c>
      <c r="C188" s="54" t="s">
        <v>1976</v>
      </c>
      <c r="D188" s="55" t="s">
        <v>1977</v>
      </c>
      <c r="E188" s="54" t="s">
        <v>899</v>
      </c>
      <c r="F188" s="54" t="s">
        <v>1324</v>
      </c>
      <c r="G188" s="54"/>
      <c r="H188" s="54"/>
      <c r="I188" s="54"/>
      <c r="J188" s="54"/>
      <c r="K188" s="54"/>
      <c r="L188" s="54"/>
      <c r="M188" s="54"/>
      <c r="N188" s="54"/>
      <c r="O188" s="54" t="s">
        <v>1978</v>
      </c>
    </row>
    <row r="189" spans="1:15" ht="15.75" x14ac:dyDescent="0.2">
      <c r="A189" s="53" t="s">
        <v>12</v>
      </c>
      <c r="B189" s="53" t="s">
        <v>15</v>
      </c>
      <c r="C189" s="54" t="s">
        <v>1979</v>
      </c>
      <c r="D189" s="55" t="s">
        <v>1980</v>
      </c>
      <c r="E189" s="54" t="s">
        <v>899</v>
      </c>
      <c r="F189" s="54" t="s">
        <v>1324</v>
      </c>
      <c r="G189" s="54">
        <v>13</v>
      </c>
      <c r="H189" s="54">
        <v>13</v>
      </c>
      <c r="I189" s="54"/>
      <c r="J189" s="54"/>
      <c r="K189" s="54"/>
      <c r="L189" s="54"/>
      <c r="M189" s="54"/>
      <c r="N189" s="54"/>
      <c r="O189" s="54"/>
    </row>
    <row r="190" spans="1:15" ht="30" x14ac:dyDescent="0.2">
      <c r="A190" s="53" t="s">
        <v>12</v>
      </c>
      <c r="B190" s="53" t="s">
        <v>15</v>
      </c>
      <c r="C190" s="54" t="s">
        <v>1981</v>
      </c>
      <c r="D190" s="55" t="s">
        <v>1982</v>
      </c>
      <c r="E190" s="54" t="s">
        <v>899</v>
      </c>
      <c r="F190" s="54" t="s">
        <v>1324</v>
      </c>
      <c r="G190" s="54"/>
      <c r="H190" s="54"/>
      <c r="I190" s="54"/>
      <c r="J190" s="54"/>
      <c r="K190" s="54"/>
      <c r="L190" s="54"/>
      <c r="M190" s="54"/>
      <c r="N190" s="54"/>
      <c r="O190" s="54" t="s">
        <v>1228</v>
      </c>
    </row>
    <row r="191" spans="1:15" ht="30" x14ac:dyDescent="0.2">
      <c r="A191" s="53" t="s">
        <v>12</v>
      </c>
      <c r="B191" s="53" t="s">
        <v>15</v>
      </c>
      <c r="C191" s="54" t="s">
        <v>1983</v>
      </c>
      <c r="D191" s="55" t="s">
        <v>1984</v>
      </c>
      <c r="E191" s="54" t="s">
        <v>899</v>
      </c>
      <c r="F191" s="54" t="s">
        <v>1324</v>
      </c>
      <c r="G191" s="54"/>
      <c r="H191" s="54"/>
      <c r="I191" s="54"/>
      <c r="J191" s="54"/>
      <c r="K191" s="54"/>
      <c r="L191" s="54"/>
      <c r="M191" s="54"/>
      <c r="N191" s="54"/>
      <c r="O191" s="54" t="s">
        <v>1228</v>
      </c>
    </row>
    <row r="192" spans="1:15" ht="30" x14ac:dyDescent="0.2">
      <c r="A192" s="53" t="s">
        <v>12</v>
      </c>
      <c r="B192" s="53" t="s">
        <v>15</v>
      </c>
      <c r="C192" s="54" t="s">
        <v>1985</v>
      </c>
      <c r="D192" s="55" t="s">
        <v>1986</v>
      </c>
      <c r="E192" s="54" t="s">
        <v>883</v>
      </c>
      <c r="F192" s="54" t="s">
        <v>1816</v>
      </c>
      <c r="G192" s="54">
        <v>2</v>
      </c>
      <c r="H192" s="54">
        <v>2</v>
      </c>
      <c r="I192" s="54"/>
      <c r="J192" s="54">
        <v>0</v>
      </c>
      <c r="K192" s="54"/>
      <c r="L192" s="54"/>
      <c r="M192" s="54"/>
      <c r="N192" s="54"/>
      <c r="O192" s="54" t="s">
        <v>903</v>
      </c>
    </row>
    <row r="193" spans="1:15" ht="30" x14ac:dyDescent="0.2">
      <c r="A193" s="53" t="s">
        <v>12</v>
      </c>
      <c r="B193" s="53" t="s">
        <v>15</v>
      </c>
      <c r="C193" s="54" t="s">
        <v>1987</v>
      </c>
      <c r="D193" s="55" t="s">
        <v>1988</v>
      </c>
      <c r="E193" s="54" t="s">
        <v>899</v>
      </c>
      <c r="F193" s="54" t="s">
        <v>1324</v>
      </c>
      <c r="G193" s="54"/>
      <c r="H193" s="54"/>
      <c r="I193" s="54"/>
      <c r="J193" s="54"/>
      <c r="K193" s="54"/>
      <c r="L193" s="54"/>
      <c r="M193" s="54"/>
      <c r="N193" s="54"/>
      <c r="O193" s="54" t="s">
        <v>1989</v>
      </c>
    </row>
    <row r="194" spans="1:15" ht="75" x14ac:dyDescent="0.2">
      <c r="A194" s="53" t="s">
        <v>12</v>
      </c>
      <c r="B194" s="53" t="s">
        <v>15</v>
      </c>
      <c r="C194" s="54" t="s">
        <v>1699</v>
      </c>
      <c r="D194" s="55" t="s">
        <v>1990</v>
      </c>
      <c r="E194" s="54" t="s">
        <v>899</v>
      </c>
      <c r="F194" s="54" t="s">
        <v>1752</v>
      </c>
      <c r="G194" s="54"/>
      <c r="H194" s="54"/>
      <c r="I194" s="54"/>
      <c r="J194" s="54"/>
      <c r="K194" s="54"/>
      <c r="L194" s="54"/>
      <c r="M194" s="54"/>
      <c r="N194" s="54"/>
      <c r="O194" s="54" t="s">
        <v>1228</v>
      </c>
    </row>
    <row r="195" spans="1:15" ht="30" x14ac:dyDescent="0.2">
      <c r="A195" s="53" t="s">
        <v>12</v>
      </c>
      <c r="B195" s="53" t="s">
        <v>106</v>
      </c>
      <c r="C195" s="54" t="s">
        <v>1991</v>
      </c>
      <c r="D195" s="55" t="s">
        <v>1992</v>
      </c>
      <c r="E195" s="54" t="s">
        <v>920</v>
      </c>
      <c r="F195" s="54" t="s">
        <v>1701</v>
      </c>
      <c r="G195" s="54">
        <v>13</v>
      </c>
      <c r="H195" s="54">
        <v>13</v>
      </c>
      <c r="I195" s="54"/>
      <c r="J195" s="54"/>
      <c r="K195" s="54"/>
      <c r="L195" s="54"/>
      <c r="M195" s="54"/>
      <c r="N195" s="54"/>
      <c r="O195" s="54" t="s">
        <v>1993</v>
      </c>
    </row>
    <row r="196" spans="1:15" ht="15.75" x14ac:dyDescent="0.2">
      <c r="A196" s="53" t="s">
        <v>12</v>
      </c>
      <c r="B196" s="53" t="s">
        <v>15</v>
      </c>
      <c r="C196" s="54" t="s">
        <v>1994</v>
      </c>
      <c r="D196" s="55" t="s">
        <v>1995</v>
      </c>
      <c r="E196" s="54" t="s">
        <v>920</v>
      </c>
      <c r="F196" s="54" t="s">
        <v>1752</v>
      </c>
      <c r="G196" s="54">
        <v>13</v>
      </c>
      <c r="H196" s="54">
        <v>13</v>
      </c>
      <c r="I196" s="54"/>
      <c r="J196" s="54"/>
      <c r="K196" s="54"/>
      <c r="L196" s="54"/>
      <c r="M196" s="54"/>
      <c r="N196" s="54"/>
      <c r="O196" s="54" t="s">
        <v>1993</v>
      </c>
    </row>
    <row r="197" spans="1:15" ht="30" x14ac:dyDescent="0.2">
      <c r="A197" s="53" t="s">
        <v>12</v>
      </c>
      <c r="B197" s="53" t="s">
        <v>15</v>
      </c>
      <c r="C197" s="54" t="s">
        <v>1996</v>
      </c>
      <c r="D197" s="55" t="s">
        <v>1997</v>
      </c>
      <c r="E197" s="54" t="s">
        <v>920</v>
      </c>
      <c r="F197" s="54" t="s">
        <v>1701</v>
      </c>
      <c r="G197" s="54">
        <v>13</v>
      </c>
      <c r="H197" s="54">
        <v>13</v>
      </c>
      <c r="I197" s="54"/>
      <c r="J197" s="54"/>
      <c r="K197" s="54"/>
      <c r="L197" s="54"/>
      <c r="M197" s="54"/>
      <c r="N197" s="54"/>
      <c r="O197" s="54" t="s">
        <v>1993</v>
      </c>
    </row>
    <row r="198" spans="1:15" ht="30" x14ac:dyDescent="0.2">
      <c r="A198" s="53" t="s">
        <v>12</v>
      </c>
      <c r="B198" s="53" t="s">
        <v>17</v>
      </c>
      <c r="C198" s="54" t="s">
        <v>1998</v>
      </c>
      <c r="D198" s="55" t="s">
        <v>1999</v>
      </c>
      <c r="E198" s="54" t="s">
        <v>920</v>
      </c>
      <c r="F198" s="54" t="s">
        <v>1752</v>
      </c>
      <c r="G198" s="54">
        <v>13</v>
      </c>
      <c r="H198" s="54">
        <v>13</v>
      </c>
      <c r="I198" s="54"/>
      <c r="J198" s="54"/>
      <c r="K198" s="54"/>
      <c r="L198" s="54"/>
      <c r="M198" s="54"/>
      <c r="N198" s="54"/>
      <c r="O198" s="54" t="s">
        <v>1993</v>
      </c>
    </row>
    <row r="199" spans="1:15" ht="15.75" x14ac:dyDescent="0.2">
      <c r="A199" s="53" t="s">
        <v>12</v>
      </c>
      <c r="B199" s="53" t="s">
        <v>14</v>
      </c>
      <c r="C199" s="54" t="s">
        <v>2000</v>
      </c>
      <c r="D199" s="55" t="s">
        <v>2001</v>
      </c>
      <c r="E199" s="54" t="s">
        <v>899</v>
      </c>
      <c r="F199" s="54" t="s">
        <v>2002</v>
      </c>
      <c r="G199" s="54">
        <v>1</v>
      </c>
      <c r="H199" s="54"/>
      <c r="I199" s="54">
        <v>10800</v>
      </c>
      <c r="J199" s="54">
        <v>7200</v>
      </c>
      <c r="K199" s="54"/>
      <c r="L199" s="54"/>
      <c r="M199" s="54"/>
      <c r="N199" s="54"/>
      <c r="O199" s="54"/>
    </row>
    <row r="200" spans="1:15" ht="30" x14ac:dyDescent="0.2">
      <c r="A200" s="53" t="s">
        <v>12</v>
      </c>
      <c r="B200" s="53" t="s">
        <v>14</v>
      </c>
      <c r="C200" s="54" t="s">
        <v>2003</v>
      </c>
      <c r="D200" s="55" t="s">
        <v>1531</v>
      </c>
      <c r="E200" s="54" t="s">
        <v>899</v>
      </c>
      <c r="F200" s="54" t="s">
        <v>1633</v>
      </c>
      <c r="G200" s="54">
        <v>1</v>
      </c>
      <c r="H200" s="54"/>
      <c r="I200" s="54"/>
      <c r="J200" s="54"/>
      <c r="K200" s="54"/>
      <c r="L200" s="54"/>
      <c r="M200" s="54"/>
      <c r="N200" s="54"/>
      <c r="O200" s="54" t="s">
        <v>2004</v>
      </c>
    </row>
    <row r="201" spans="1:15" ht="30" x14ac:dyDescent="0.2">
      <c r="A201" s="53" t="s">
        <v>12</v>
      </c>
      <c r="B201" s="53" t="s">
        <v>106</v>
      </c>
      <c r="C201" s="54" t="s">
        <v>2005</v>
      </c>
      <c r="D201" s="55" t="s">
        <v>2006</v>
      </c>
      <c r="E201" s="54" t="s">
        <v>70</v>
      </c>
      <c r="F201" s="54" t="s">
        <v>2007</v>
      </c>
      <c r="G201" s="54">
        <v>13</v>
      </c>
      <c r="H201" s="54"/>
      <c r="I201" s="54"/>
      <c r="J201" s="54">
        <v>0</v>
      </c>
      <c r="K201" s="54"/>
      <c r="L201" s="54"/>
      <c r="M201" s="54"/>
      <c r="N201" s="54"/>
      <c r="O201" s="54" t="s">
        <v>2008</v>
      </c>
    </row>
    <row r="202" spans="1:15" ht="30" x14ac:dyDescent="0.2">
      <c r="A202" s="53" t="s">
        <v>12</v>
      </c>
      <c r="B202" s="53" t="s">
        <v>13</v>
      </c>
      <c r="C202" s="54" t="s">
        <v>2009</v>
      </c>
      <c r="D202" s="55" t="s">
        <v>1534</v>
      </c>
      <c r="E202" s="54"/>
      <c r="F202" s="54" t="s">
        <v>1013</v>
      </c>
      <c r="G202" s="54">
        <v>5</v>
      </c>
      <c r="H202" s="54"/>
      <c r="I202" s="54"/>
      <c r="J202" s="54"/>
      <c r="K202" s="54"/>
      <c r="L202" s="54"/>
      <c r="M202" s="54"/>
      <c r="N202" s="54"/>
      <c r="O202" s="54" t="s">
        <v>2010</v>
      </c>
    </row>
    <row r="203" spans="1:15" ht="15.75" x14ac:dyDescent="0.2">
      <c r="A203" s="53" t="s">
        <v>12</v>
      </c>
      <c r="B203" s="53" t="s">
        <v>16</v>
      </c>
      <c r="C203" s="54" t="s">
        <v>2011</v>
      </c>
      <c r="D203" s="55" t="s">
        <v>2012</v>
      </c>
      <c r="E203" s="54" t="s">
        <v>2013</v>
      </c>
      <c r="F203" s="54" t="s">
        <v>884</v>
      </c>
      <c r="G203" s="54">
        <v>2</v>
      </c>
      <c r="H203" s="54"/>
      <c r="I203" s="54">
        <v>43200</v>
      </c>
      <c r="J203" s="54">
        <v>64800</v>
      </c>
      <c r="K203" s="54"/>
      <c r="L203" s="54"/>
      <c r="M203" s="54"/>
      <c r="N203" s="54"/>
      <c r="O203" s="54" t="s">
        <v>950</v>
      </c>
    </row>
    <row r="204" spans="1:15" ht="45" x14ac:dyDescent="0.2">
      <c r="A204" s="53" t="s">
        <v>12</v>
      </c>
      <c r="B204" s="53" t="s">
        <v>16</v>
      </c>
      <c r="C204" s="54" t="s">
        <v>2014</v>
      </c>
      <c r="D204" s="55" t="s">
        <v>2015</v>
      </c>
      <c r="E204" s="54" t="s">
        <v>899</v>
      </c>
      <c r="F204" s="54" t="s">
        <v>1594</v>
      </c>
      <c r="G204" s="54">
        <v>1</v>
      </c>
      <c r="H204" s="54"/>
      <c r="I204" s="54"/>
      <c r="J204" s="54"/>
      <c r="K204" s="54"/>
      <c r="L204" s="54"/>
      <c r="M204" s="54">
        <v>1</v>
      </c>
      <c r="N204" s="54"/>
      <c r="O204" s="54" t="s">
        <v>2016</v>
      </c>
    </row>
    <row r="205" spans="1:15" ht="45" x14ac:dyDescent="0.2">
      <c r="A205" s="53" t="s">
        <v>12</v>
      </c>
      <c r="B205" s="53" t="s">
        <v>16</v>
      </c>
      <c r="C205" s="54" t="s">
        <v>2017</v>
      </c>
      <c r="D205" s="55" t="s">
        <v>2018</v>
      </c>
      <c r="E205" s="54" t="s">
        <v>899</v>
      </c>
      <c r="F205" s="54" t="s">
        <v>1594</v>
      </c>
      <c r="G205" s="54">
        <v>2</v>
      </c>
      <c r="H205" s="54">
        <v>2</v>
      </c>
      <c r="I205" s="54">
        <v>28800</v>
      </c>
      <c r="J205" s="54">
        <v>10800</v>
      </c>
      <c r="K205" s="54"/>
      <c r="L205" s="54"/>
      <c r="M205" s="54"/>
      <c r="N205" s="54"/>
      <c r="O205" s="54" t="s">
        <v>1326</v>
      </c>
    </row>
    <row r="206" spans="1:15" ht="30" x14ac:dyDescent="0.2">
      <c r="A206" s="53" t="s">
        <v>12</v>
      </c>
      <c r="B206" s="53" t="s">
        <v>106</v>
      </c>
      <c r="C206" s="54" t="s">
        <v>2019</v>
      </c>
      <c r="D206" s="55" t="s">
        <v>2020</v>
      </c>
      <c r="E206" s="54"/>
      <c r="F206" s="54" t="s">
        <v>2021</v>
      </c>
      <c r="G206" s="54"/>
      <c r="H206" s="54"/>
      <c r="I206" s="54"/>
      <c r="J206" s="54">
        <v>0</v>
      </c>
      <c r="K206" s="54"/>
      <c r="L206" s="54"/>
      <c r="M206" s="54"/>
      <c r="N206" s="54"/>
      <c r="O206" s="54" t="s">
        <v>1630</v>
      </c>
    </row>
    <row r="207" spans="1:15" ht="45" x14ac:dyDescent="0.2">
      <c r="A207" s="53" t="s">
        <v>12</v>
      </c>
      <c r="B207" s="53" t="s">
        <v>16</v>
      </c>
      <c r="C207" s="54" t="s">
        <v>2022</v>
      </c>
      <c r="D207" s="55" t="s">
        <v>2023</v>
      </c>
      <c r="E207" s="54" t="s">
        <v>899</v>
      </c>
      <c r="F207" s="54" t="s">
        <v>1594</v>
      </c>
      <c r="G207" s="54">
        <v>2</v>
      </c>
      <c r="H207" s="54"/>
      <c r="I207" s="54">
        <v>0</v>
      </c>
      <c r="J207" s="54">
        <v>0</v>
      </c>
      <c r="K207" s="54"/>
      <c r="L207" s="54"/>
      <c r="M207" s="54"/>
      <c r="N207" s="54"/>
      <c r="O207" s="54" t="s">
        <v>1460</v>
      </c>
    </row>
    <row r="208" spans="1:15" ht="30" x14ac:dyDescent="0.2">
      <c r="A208" s="53" t="s">
        <v>12</v>
      </c>
      <c r="B208" s="53" t="s">
        <v>13</v>
      </c>
      <c r="C208" s="54" t="s">
        <v>2024</v>
      </c>
      <c r="D208" s="55" t="s">
        <v>2025</v>
      </c>
      <c r="E208" s="54" t="s">
        <v>2026</v>
      </c>
      <c r="F208" s="54" t="s">
        <v>2027</v>
      </c>
      <c r="G208" s="54">
        <v>2</v>
      </c>
      <c r="H208" s="54">
        <v>2</v>
      </c>
      <c r="I208" s="54">
        <v>144000</v>
      </c>
      <c r="J208" s="54">
        <v>0</v>
      </c>
      <c r="K208" s="54"/>
      <c r="L208" s="54"/>
      <c r="M208" s="54"/>
      <c r="N208" s="54"/>
      <c r="O208" s="54" t="s">
        <v>2028</v>
      </c>
    </row>
    <row r="209" spans="1:15" ht="90" x14ac:dyDescent="0.2">
      <c r="A209" s="53" t="s">
        <v>12</v>
      </c>
      <c r="B209" s="53" t="s">
        <v>15</v>
      </c>
      <c r="C209" s="54" t="s">
        <v>2029</v>
      </c>
      <c r="D209" s="55" t="s">
        <v>2030</v>
      </c>
      <c r="E209" s="54" t="s">
        <v>2031</v>
      </c>
      <c r="F209" s="54" t="s">
        <v>2032</v>
      </c>
      <c r="G209" s="54">
        <v>2</v>
      </c>
      <c r="H209" s="54">
        <v>2</v>
      </c>
      <c r="I209" s="54">
        <v>129600</v>
      </c>
      <c r="J209" s="54">
        <v>0</v>
      </c>
      <c r="K209" s="54"/>
      <c r="L209" s="54"/>
      <c r="M209" s="54"/>
      <c r="N209" s="54"/>
      <c r="O209" s="54" t="s">
        <v>2033</v>
      </c>
    </row>
    <row r="210" spans="1:15" ht="45" x14ac:dyDescent="0.2">
      <c r="A210" s="53" t="s">
        <v>12</v>
      </c>
      <c r="B210" s="53" t="s">
        <v>15</v>
      </c>
      <c r="C210" s="54" t="s">
        <v>2034</v>
      </c>
      <c r="D210" s="55" t="s">
        <v>2035</v>
      </c>
      <c r="E210" s="54" t="s">
        <v>2031</v>
      </c>
      <c r="F210" s="54" t="s">
        <v>2036</v>
      </c>
      <c r="G210" s="54">
        <v>1</v>
      </c>
      <c r="H210" s="54">
        <v>1</v>
      </c>
      <c r="I210" s="54">
        <v>144000</v>
      </c>
      <c r="J210" s="54">
        <v>0</v>
      </c>
      <c r="K210" s="54"/>
      <c r="L210" s="54"/>
      <c r="M210" s="54"/>
      <c r="N210" s="54"/>
      <c r="O210" s="54" t="s">
        <v>2037</v>
      </c>
    </row>
    <row r="211" spans="1:15" ht="75" x14ac:dyDescent="0.2">
      <c r="A211" s="53" t="s">
        <v>12</v>
      </c>
      <c r="B211" s="53" t="s">
        <v>15</v>
      </c>
      <c r="C211" s="54" t="s">
        <v>2038</v>
      </c>
      <c r="D211" s="55" t="s">
        <v>2039</v>
      </c>
      <c r="E211" s="54" t="s">
        <v>2031</v>
      </c>
      <c r="F211" s="54" t="s">
        <v>2040</v>
      </c>
      <c r="G211" s="54">
        <v>2</v>
      </c>
      <c r="H211" s="54">
        <v>2</v>
      </c>
      <c r="I211" s="54">
        <v>115200</v>
      </c>
      <c r="J211" s="54">
        <v>0</v>
      </c>
      <c r="K211" s="54"/>
      <c r="L211" s="54"/>
      <c r="M211" s="54"/>
      <c r="N211" s="54"/>
      <c r="O211" s="54" t="s">
        <v>2041</v>
      </c>
    </row>
    <row r="212" spans="1:15" ht="60" x14ac:dyDescent="0.2">
      <c r="A212" s="53" t="s">
        <v>12</v>
      </c>
      <c r="B212" s="53" t="s">
        <v>15</v>
      </c>
      <c r="C212" s="54" t="s">
        <v>2042</v>
      </c>
      <c r="D212" s="55" t="s">
        <v>2043</v>
      </c>
      <c r="E212" s="54" t="s">
        <v>2031</v>
      </c>
      <c r="F212" s="54" t="s">
        <v>2040</v>
      </c>
      <c r="G212" s="54">
        <v>2</v>
      </c>
      <c r="H212" s="54">
        <v>2</v>
      </c>
      <c r="I212" s="54">
        <v>100800</v>
      </c>
      <c r="J212" s="54">
        <v>0</v>
      </c>
      <c r="K212" s="54"/>
      <c r="L212" s="54"/>
      <c r="M212" s="54"/>
      <c r="N212" s="54"/>
      <c r="O212" s="54" t="s">
        <v>2044</v>
      </c>
    </row>
    <row r="213" spans="1:15" ht="30" x14ac:dyDescent="0.2">
      <c r="A213" s="53" t="s">
        <v>12</v>
      </c>
      <c r="B213" s="53" t="s">
        <v>15</v>
      </c>
      <c r="C213" s="54" t="s">
        <v>2045</v>
      </c>
      <c r="D213" s="55" t="s">
        <v>2046</v>
      </c>
      <c r="E213" s="54" t="s">
        <v>883</v>
      </c>
      <c r="F213" s="54" t="s">
        <v>2036</v>
      </c>
      <c r="G213" s="54">
        <v>3</v>
      </c>
      <c r="H213" s="54">
        <v>3</v>
      </c>
      <c r="I213" s="54">
        <v>201600</v>
      </c>
      <c r="J213" s="54">
        <v>0</v>
      </c>
      <c r="K213" s="54"/>
      <c r="L213" s="54"/>
      <c r="M213" s="54"/>
      <c r="N213" s="54"/>
      <c r="O213" s="54" t="s">
        <v>2047</v>
      </c>
    </row>
    <row r="214" spans="1:15" ht="60" x14ac:dyDescent="0.2">
      <c r="A214" s="53" t="s">
        <v>12</v>
      </c>
      <c r="B214" s="53" t="s">
        <v>13</v>
      </c>
      <c r="C214" s="54" t="s">
        <v>2048</v>
      </c>
      <c r="D214" s="55" t="s">
        <v>2049</v>
      </c>
      <c r="E214" s="54" t="s">
        <v>2050</v>
      </c>
      <c r="F214" s="54" t="s">
        <v>2051</v>
      </c>
      <c r="G214" s="54">
        <v>5</v>
      </c>
      <c r="H214" s="54">
        <v>5</v>
      </c>
      <c r="I214" s="54">
        <v>363600</v>
      </c>
      <c r="J214" s="54">
        <v>0</v>
      </c>
      <c r="K214" s="54"/>
      <c r="L214" s="54"/>
      <c r="M214" s="54"/>
      <c r="N214" s="54"/>
      <c r="O214" s="54" t="s">
        <v>2052</v>
      </c>
    </row>
    <row r="215" spans="1:15" ht="45" x14ac:dyDescent="0.2">
      <c r="A215" s="53" t="s">
        <v>12</v>
      </c>
      <c r="B215" s="53" t="s">
        <v>16</v>
      </c>
      <c r="C215" s="54" t="s">
        <v>2053</v>
      </c>
      <c r="D215" s="55" t="s">
        <v>2054</v>
      </c>
      <c r="E215" s="54" t="s">
        <v>1399</v>
      </c>
      <c r="F215" s="54" t="s">
        <v>2055</v>
      </c>
      <c r="G215" s="54">
        <v>1</v>
      </c>
      <c r="H215" s="54">
        <v>1</v>
      </c>
      <c r="I215" s="54">
        <v>0</v>
      </c>
      <c r="J215" s="54">
        <v>0</v>
      </c>
      <c r="K215" s="54"/>
      <c r="L215" s="54"/>
      <c r="M215" s="54"/>
      <c r="N215" s="54"/>
      <c r="O215" s="54" t="s">
        <v>2056</v>
      </c>
    </row>
    <row r="216" spans="1:15" ht="30" x14ac:dyDescent="0.2">
      <c r="A216" s="53" t="s">
        <v>12</v>
      </c>
      <c r="B216" s="53" t="s">
        <v>106</v>
      </c>
      <c r="C216" s="54" t="s">
        <v>2057</v>
      </c>
      <c r="D216" s="55" t="s">
        <v>2058</v>
      </c>
      <c r="E216" s="54" t="s">
        <v>2059</v>
      </c>
      <c r="F216" s="54" t="s">
        <v>2007</v>
      </c>
      <c r="G216" s="54">
        <v>13</v>
      </c>
      <c r="H216" s="54"/>
      <c r="I216" s="54"/>
      <c r="J216" s="54">
        <v>0</v>
      </c>
      <c r="K216" s="54"/>
      <c r="L216" s="54"/>
      <c r="M216" s="54"/>
      <c r="N216" s="54"/>
      <c r="O216" s="54"/>
    </row>
    <row r="217" spans="1:15" ht="30" x14ac:dyDescent="0.2">
      <c r="A217" s="53" t="s">
        <v>12</v>
      </c>
      <c r="B217" s="53" t="s">
        <v>15</v>
      </c>
      <c r="C217" s="54" t="s">
        <v>2060</v>
      </c>
      <c r="D217" s="55" t="s">
        <v>2061</v>
      </c>
      <c r="E217" s="54" t="s">
        <v>883</v>
      </c>
      <c r="F217" s="54" t="s">
        <v>2062</v>
      </c>
      <c r="G217" s="54"/>
      <c r="H217" s="54"/>
      <c r="I217" s="54">
        <v>115200</v>
      </c>
      <c r="J217" s="54">
        <v>0</v>
      </c>
      <c r="K217" s="54"/>
      <c r="L217" s="54"/>
      <c r="M217" s="54"/>
      <c r="N217" s="54"/>
      <c r="O217" s="54" t="s">
        <v>2063</v>
      </c>
    </row>
    <row r="218" spans="1:15" ht="15.75" x14ac:dyDescent="0.2">
      <c r="A218" s="53" t="s">
        <v>12</v>
      </c>
      <c r="B218" s="53" t="s">
        <v>13</v>
      </c>
      <c r="C218" s="54" t="s">
        <v>2064</v>
      </c>
      <c r="D218" s="55" t="s">
        <v>2065</v>
      </c>
      <c r="E218" s="54" t="s">
        <v>2026</v>
      </c>
      <c r="F218" s="54"/>
      <c r="G218" s="54">
        <v>2</v>
      </c>
      <c r="H218" s="54"/>
      <c r="I218" s="54"/>
      <c r="J218" s="54"/>
      <c r="K218" s="54"/>
      <c r="L218" s="54"/>
      <c r="M218" s="54"/>
      <c r="N218" s="54"/>
      <c r="O218" s="54"/>
    </row>
    <row r="219" spans="1:15" ht="15.75" x14ac:dyDescent="0.2">
      <c r="A219" s="53" t="s">
        <v>12</v>
      </c>
      <c r="B219" s="53" t="s">
        <v>13</v>
      </c>
      <c r="C219" s="54" t="s">
        <v>2066</v>
      </c>
      <c r="D219" s="55" t="s">
        <v>2067</v>
      </c>
      <c r="E219" s="54"/>
      <c r="F219" s="54"/>
      <c r="G219" s="54"/>
      <c r="H219" s="54"/>
      <c r="I219" s="54"/>
      <c r="J219" s="54"/>
      <c r="K219" s="54"/>
      <c r="L219" s="54"/>
      <c r="M219" s="54"/>
      <c r="N219" s="54"/>
      <c r="O219" s="54" t="s">
        <v>2068</v>
      </c>
    </row>
    <row r="220" spans="1:15" ht="45" x14ac:dyDescent="0.2">
      <c r="A220" s="53" t="s">
        <v>12</v>
      </c>
      <c r="B220" s="53" t="s">
        <v>14</v>
      </c>
      <c r="C220" s="54" t="s">
        <v>2069</v>
      </c>
      <c r="D220" s="55" t="s">
        <v>2070</v>
      </c>
      <c r="E220" s="54" t="s">
        <v>899</v>
      </c>
      <c r="F220" s="54" t="s">
        <v>1594</v>
      </c>
      <c r="G220" s="54">
        <v>13</v>
      </c>
      <c r="H220" s="54"/>
      <c r="I220" s="54">
        <v>489600</v>
      </c>
      <c r="J220" s="54">
        <v>284400</v>
      </c>
      <c r="K220" s="54"/>
      <c r="L220" s="54"/>
      <c r="M220" s="54"/>
      <c r="N220" s="54"/>
      <c r="O220" s="54" t="s">
        <v>1006</v>
      </c>
    </row>
    <row r="221" spans="1:15" ht="30" x14ac:dyDescent="0.2">
      <c r="A221" s="53" t="s">
        <v>12</v>
      </c>
      <c r="B221" s="53" t="s">
        <v>13</v>
      </c>
      <c r="C221" s="54" t="s">
        <v>2071</v>
      </c>
      <c r="D221" s="55" t="s">
        <v>2072</v>
      </c>
      <c r="E221" s="54"/>
      <c r="F221" s="54" t="s">
        <v>900</v>
      </c>
      <c r="G221" s="54">
        <v>5</v>
      </c>
      <c r="H221" s="54"/>
      <c r="I221" s="54">
        <v>0</v>
      </c>
      <c r="J221" s="54">
        <v>0</v>
      </c>
      <c r="K221" s="54"/>
      <c r="L221" s="54"/>
      <c r="M221" s="54"/>
      <c r="N221" s="54"/>
      <c r="O221" s="54" t="s">
        <v>1047</v>
      </c>
    </row>
    <row r="222" spans="1:15" ht="45" x14ac:dyDescent="0.2">
      <c r="A222" s="53" t="s">
        <v>12</v>
      </c>
      <c r="B222" s="53" t="s">
        <v>15</v>
      </c>
      <c r="C222" s="54" t="s">
        <v>2073</v>
      </c>
      <c r="D222" s="55" t="s">
        <v>2074</v>
      </c>
      <c r="E222" s="54" t="s">
        <v>883</v>
      </c>
      <c r="F222" s="54" t="s">
        <v>2075</v>
      </c>
      <c r="G222" s="54"/>
      <c r="H222" s="54"/>
      <c r="I222" s="54">
        <v>100800</v>
      </c>
      <c r="J222" s="54">
        <v>0</v>
      </c>
      <c r="K222" s="54"/>
      <c r="L222" s="54"/>
      <c r="M222" s="54"/>
      <c r="N222" s="54"/>
      <c r="O222" s="54" t="s">
        <v>2076</v>
      </c>
    </row>
    <row r="223" spans="1:15" ht="30" x14ac:dyDescent="0.2">
      <c r="A223" s="53" t="s">
        <v>12</v>
      </c>
      <c r="B223" s="53" t="s">
        <v>13</v>
      </c>
      <c r="C223" s="54" t="s">
        <v>2077</v>
      </c>
      <c r="D223" s="55" t="s">
        <v>2078</v>
      </c>
      <c r="E223" s="54"/>
      <c r="F223" s="54"/>
      <c r="G223" s="54"/>
      <c r="H223" s="54"/>
      <c r="I223" s="54"/>
      <c r="J223" s="54"/>
      <c r="K223" s="54"/>
      <c r="L223" s="54"/>
      <c r="M223" s="54"/>
      <c r="N223" s="54"/>
      <c r="O223" s="54" t="s">
        <v>1296</v>
      </c>
    </row>
    <row r="224" spans="1:15" ht="45" x14ac:dyDescent="0.2">
      <c r="A224" s="53" t="s">
        <v>12</v>
      </c>
      <c r="B224" s="53" t="s">
        <v>13</v>
      </c>
      <c r="C224" s="54" t="s">
        <v>2079</v>
      </c>
      <c r="D224" s="55" t="s">
        <v>2080</v>
      </c>
      <c r="E224" s="54" t="s">
        <v>899</v>
      </c>
      <c r="F224" s="54" t="s">
        <v>1633</v>
      </c>
      <c r="G224" s="54"/>
      <c r="H224" s="54"/>
      <c r="I224" s="54">
        <v>259200</v>
      </c>
      <c r="J224" s="54">
        <v>259200</v>
      </c>
      <c r="K224" s="54"/>
      <c r="L224" s="54"/>
      <c r="M224" s="54"/>
      <c r="N224" s="54"/>
      <c r="O224" s="54" t="s">
        <v>1009</v>
      </c>
    </row>
    <row r="225" spans="1:15" ht="45" x14ac:dyDescent="0.2">
      <c r="A225" s="53" t="s">
        <v>12</v>
      </c>
      <c r="B225" s="53" t="s">
        <v>16</v>
      </c>
      <c r="C225" s="54" t="s">
        <v>2081</v>
      </c>
      <c r="D225" s="55" t="s">
        <v>2082</v>
      </c>
      <c r="E225" s="54" t="s">
        <v>899</v>
      </c>
      <c r="F225" s="54" t="s">
        <v>1698</v>
      </c>
      <c r="G225" s="54">
        <v>5</v>
      </c>
      <c r="H225" s="54"/>
      <c r="I225" s="54"/>
      <c r="J225" s="54">
        <v>0</v>
      </c>
      <c r="K225" s="54"/>
      <c r="L225" s="54"/>
      <c r="M225" s="54"/>
      <c r="N225" s="54"/>
      <c r="O225" s="54" t="s">
        <v>1489</v>
      </c>
    </row>
    <row r="226" spans="1:15" ht="30" x14ac:dyDescent="0.2">
      <c r="A226" s="53" t="s">
        <v>12</v>
      </c>
      <c r="B226" s="53" t="s">
        <v>15</v>
      </c>
      <c r="C226" s="54" t="s">
        <v>2083</v>
      </c>
      <c r="D226" s="55" t="s">
        <v>2084</v>
      </c>
      <c r="E226" s="54" t="s">
        <v>1762</v>
      </c>
      <c r="F226" s="54" t="s">
        <v>2085</v>
      </c>
      <c r="G226" s="54">
        <v>0</v>
      </c>
      <c r="H226" s="54">
        <v>0</v>
      </c>
      <c r="I226" s="54"/>
      <c r="J226" s="54"/>
      <c r="K226" s="54"/>
      <c r="L226" s="54"/>
      <c r="M226" s="54"/>
      <c r="N226" s="54"/>
      <c r="O226" s="54" t="s">
        <v>2086</v>
      </c>
    </row>
    <row r="227" spans="1:15" ht="60" x14ac:dyDescent="0.2">
      <c r="A227" s="53" t="s">
        <v>12</v>
      </c>
      <c r="B227" s="53" t="s">
        <v>16</v>
      </c>
      <c r="C227" s="54" t="s">
        <v>2087</v>
      </c>
      <c r="D227" s="55" t="s">
        <v>2088</v>
      </c>
      <c r="E227" s="54" t="s">
        <v>899</v>
      </c>
      <c r="F227" s="54" t="s">
        <v>1935</v>
      </c>
      <c r="G227" s="54"/>
      <c r="H227" s="54"/>
      <c r="I227" s="54"/>
      <c r="J227" s="54"/>
      <c r="K227" s="54"/>
      <c r="L227" s="54"/>
      <c r="M227" s="54"/>
      <c r="N227" s="54"/>
      <c r="O227" s="54" t="s">
        <v>2089</v>
      </c>
    </row>
    <row r="228" spans="1:15" ht="60" x14ac:dyDescent="0.2">
      <c r="A228" s="53" t="s">
        <v>12</v>
      </c>
      <c r="B228" s="53" t="s">
        <v>14</v>
      </c>
      <c r="C228" s="54" t="s">
        <v>2090</v>
      </c>
      <c r="D228" s="55" t="s">
        <v>2091</v>
      </c>
      <c r="E228" s="54"/>
      <c r="F228" s="54" t="s">
        <v>1935</v>
      </c>
      <c r="G228" s="54"/>
      <c r="H228" s="54"/>
      <c r="I228" s="54">
        <v>0</v>
      </c>
      <c r="J228" s="54">
        <v>0</v>
      </c>
      <c r="K228" s="54"/>
      <c r="L228" s="54"/>
      <c r="M228" s="54"/>
      <c r="N228" s="54"/>
      <c r="O228" s="54" t="s">
        <v>1352</v>
      </c>
    </row>
    <row r="229" spans="1:15" ht="30" x14ac:dyDescent="0.2">
      <c r="A229" s="53" t="s">
        <v>12</v>
      </c>
      <c r="B229" s="53" t="s">
        <v>13</v>
      </c>
      <c r="C229" s="54" t="s">
        <v>2092</v>
      </c>
      <c r="D229" s="55" t="s">
        <v>2093</v>
      </c>
      <c r="E229" s="54" t="s">
        <v>2094</v>
      </c>
      <c r="F229" s="54"/>
      <c r="G229" s="54">
        <v>5</v>
      </c>
      <c r="H229" s="54"/>
      <c r="I229" s="54">
        <v>97200</v>
      </c>
      <c r="J229" s="54">
        <v>97200</v>
      </c>
      <c r="K229" s="54"/>
      <c r="L229" s="54"/>
      <c r="M229" s="54"/>
      <c r="N229" s="54"/>
      <c r="O229" s="54" t="s">
        <v>2095</v>
      </c>
    </row>
    <row r="230" spans="1:15" ht="30" x14ac:dyDescent="0.2">
      <c r="A230" s="53" t="s">
        <v>12</v>
      </c>
      <c r="B230" s="53" t="s">
        <v>13</v>
      </c>
      <c r="C230" s="54" t="s">
        <v>2096</v>
      </c>
      <c r="D230" s="55" t="s">
        <v>2097</v>
      </c>
      <c r="E230" s="54" t="s">
        <v>2098</v>
      </c>
      <c r="F230" s="54"/>
      <c r="G230" s="54">
        <v>5</v>
      </c>
      <c r="H230" s="54"/>
      <c r="I230" s="54">
        <v>97200</v>
      </c>
      <c r="J230" s="54">
        <v>97200</v>
      </c>
      <c r="K230" s="54"/>
      <c r="L230" s="54"/>
      <c r="M230" s="54"/>
      <c r="N230" s="54"/>
      <c r="O230" s="54" t="s">
        <v>2099</v>
      </c>
    </row>
    <row r="231" spans="1:15" ht="60" x14ac:dyDescent="0.2">
      <c r="A231" s="53" t="s">
        <v>12</v>
      </c>
      <c r="B231" s="53" t="s">
        <v>14</v>
      </c>
      <c r="C231" s="54" t="s">
        <v>2100</v>
      </c>
      <c r="D231" s="55" t="s">
        <v>2101</v>
      </c>
      <c r="E231" s="54"/>
      <c r="F231" s="54" t="s">
        <v>1935</v>
      </c>
      <c r="G231" s="54"/>
      <c r="H231" s="54"/>
      <c r="I231" s="54">
        <v>0</v>
      </c>
      <c r="J231" s="54">
        <v>0</v>
      </c>
      <c r="K231" s="54"/>
      <c r="L231" s="54"/>
      <c r="M231" s="54"/>
      <c r="N231" s="54"/>
      <c r="O231" s="54" t="s">
        <v>1352</v>
      </c>
    </row>
    <row r="232" spans="1:15" ht="30" x14ac:dyDescent="0.2">
      <c r="A232" s="53" t="s">
        <v>12</v>
      </c>
      <c r="B232" s="53" t="s">
        <v>13</v>
      </c>
      <c r="C232" s="54" t="s">
        <v>2102</v>
      </c>
      <c r="D232" s="55" t="s">
        <v>2103</v>
      </c>
      <c r="E232" s="54"/>
      <c r="F232" s="54"/>
      <c r="G232" s="54">
        <v>5</v>
      </c>
      <c r="H232" s="54"/>
      <c r="I232" s="54">
        <v>97200</v>
      </c>
      <c r="J232" s="54">
        <v>97200</v>
      </c>
      <c r="K232" s="54"/>
      <c r="L232" s="54"/>
      <c r="M232" s="54"/>
      <c r="N232" s="54"/>
      <c r="O232" s="54" t="s">
        <v>2104</v>
      </c>
    </row>
    <row r="233" spans="1:15" ht="30" x14ac:dyDescent="0.2">
      <c r="A233" s="53" t="s">
        <v>12</v>
      </c>
      <c r="B233" s="53" t="s">
        <v>13</v>
      </c>
      <c r="C233" s="54" t="s">
        <v>2105</v>
      </c>
      <c r="D233" s="55" t="s">
        <v>2106</v>
      </c>
      <c r="E233" s="54" t="s">
        <v>2094</v>
      </c>
      <c r="F233" s="54"/>
      <c r="G233" s="54">
        <v>5</v>
      </c>
      <c r="H233" s="54"/>
      <c r="I233" s="54">
        <v>97200</v>
      </c>
      <c r="J233" s="54">
        <v>97200</v>
      </c>
      <c r="K233" s="54"/>
      <c r="L233" s="54"/>
      <c r="M233" s="54"/>
      <c r="N233" s="54"/>
      <c r="O233" s="54" t="s">
        <v>2104</v>
      </c>
    </row>
    <row r="234" spans="1:15" ht="30" x14ac:dyDescent="0.2">
      <c r="A234" s="53" t="s">
        <v>12</v>
      </c>
      <c r="B234" s="53" t="s">
        <v>13</v>
      </c>
      <c r="C234" s="54" t="s">
        <v>2107</v>
      </c>
      <c r="D234" s="55" t="s">
        <v>2108</v>
      </c>
      <c r="E234" s="54"/>
      <c r="F234" s="54"/>
      <c r="G234" s="54">
        <v>5</v>
      </c>
      <c r="H234" s="54"/>
      <c r="I234" s="54">
        <v>93600</v>
      </c>
      <c r="J234" s="54">
        <v>93600</v>
      </c>
      <c r="K234" s="54"/>
      <c r="L234" s="54"/>
      <c r="M234" s="54"/>
      <c r="N234" s="54"/>
      <c r="O234" s="54" t="s">
        <v>2109</v>
      </c>
    </row>
    <row r="235" spans="1:15" ht="30" x14ac:dyDescent="0.2">
      <c r="A235" s="53" t="s">
        <v>12</v>
      </c>
      <c r="B235" s="53" t="s">
        <v>13</v>
      </c>
      <c r="C235" s="54" t="s">
        <v>2110</v>
      </c>
      <c r="D235" s="55" t="s">
        <v>2111</v>
      </c>
      <c r="E235" s="54" t="s">
        <v>1762</v>
      </c>
      <c r="F235" s="54"/>
      <c r="G235" s="54">
        <v>5</v>
      </c>
      <c r="H235" s="54"/>
      <c r="I235" s="54">
        <v>93600</v>
      </c>
      <c r="J235" s="54">
        <v>93600</v>
      </c>
      <c r="K235" s="54"/>
      <c r="L235" s="54"/>
      <c r="M235" s="54"/>
      <c r="N235" s="54"/>
      <c r="O235" s="54" t="s">
        <v>2109</v>
      </c>
    </row>
    <row r="236" spans="1:15" ht="30" x14ac:dyDescent="0.2">
      <c r="A236" s="53" t="s">
        <v>12</v>
      </c>
      <c r="B236" s="53" t="s">
        <v>13</v>
      </c>
      <c r="C236" s="54" t="s">
        <v>2112</v>
      </c>
      <c r="D236" s="55" t="s">
        <v>2113</v>
      </c>
      <c r="E236" s="54"/>
      <c r="F236" s="54" t="s">
        <v>1537</v>
      </c>
      <c r="G236" s="54">
        <v>5</v>
      </c>
      <c r="H236" s="54"/>
      <c r="I236" s="54">
        <v>90000</v>
      </c>
      <c r="J236" s="54">
        <v>90000</v>
      </c>
      <c r="K236" s="54"/>
      <c r="L236" s="54"/>
      <c r="M236" s="54"/>
      <c r="N236" s="54"/>
      <c r="O236" s="54" t="s">
        <v>2114</v>
      </c>
    </row>
    <row r="237" spans="1:15" ht="30" x14ac:dyDescent="0.2">
      <c r="A237" s="53" t="s">
        <v>12</v>
      </c>
      <c r="B237" s="53" t="s">
        <v>106</v>
      </c>
      <c r="C237" s="54" t="s">
        <v>2115</v>
      </c>
      <c r="D237" s="55" t="s">
        <v>2116</v>
      </c>
      <c r="E237" s="54" t="s">
        <v>1762</v>
      </c>
      <c r="F237" s="54" t="s">
        <v>1707</v>
      </c>
      <c r="G237" s="54">
        <v>5</v>
      </c>
      <c r="H237" s="54"/>
      <c r="I237" s="54">
        <v>93600</v>
      </c>
      <c r="J237" s="54">
        <v>82800</v>
      </c>
      <c r="K237" s="54"/>
      <c r="L237" s="54"/>
      <c r="M237" s="54"/>
      <c r="N237" s="54"/>
      <c r="O237" s="54" t="s">
        <v>2117</v>
      </c>
    </row>
    <row r="238" spans="1:15" ht="30" x14ac:dyDescent="0.2">
      <c r="A238" s="53" t="s">
        <v>12</v>
      </c>
      <c r="B238" s="53" t="s">
        <v>13</v>
      </c>
      <c r="C238" s="54" t="s">
        <v>2118</v>
      </c>
      <c r="D238" s="55" t="s">
        <v>2119</v>
      </c>
      <c r="E238" s="54" t="s">
        <v>1762</v>
      </c>
      <c r="F238" s="54" t="s">
        <v>1537</v>
      </c>
      <c r="G238" s="54">
        <v>5</v>
      </c>
      <c r="H238" s="54"/>
      <c r="I238" s="54">
        <v>93600</v>
      </c>
      <c r="J238" s="54">
        <v>93600</v>
      </c>
      <c r="K238" s="54"/>
      <c r="L238" s="54"/>
      <c r="M238" s="54"/>
      <c r="N238" s="54"/>
      <c r="O238" s="54" t="s">
        <v>2120</v>
      </c>
    </row>
    <row r="239" spans="1:15" ht="60" x14ac:dyDescent="0.2">
      <c r="A239" s="53" t="s">
        <v>12</v>
      </c>
      <c r="B239" s="53" t="s">
        <v>14</v>
      </c>
      <c r="C239" s="54" t="s">
        <v>2121</v>
      </c>
      <c r="D239" s="55" t="s">
        <v>2122</v>
      </c>
      <c r="E239" s="54" t="s">
        <v>899</v>
      </c>
      <c r="F239" s="54" t="s">
        <v>1935</v>
      </c>
      <c r="G239" s="54">
        <v>2</v>
      </c>
      <c r="H239" s="54"/>
      <c r="I239" s="54">
        <v>316800</v>
      </c>
      <c r="J239" s="54">
        <v>259200</v>
      </c>
      <c r="K239" s="54"/>
      <c r="L239" s="54"/>
      <c r="M239" s="54"/>
      <c r="N239" s="54"/>
      <c r="O239" s="54" t="s">
        <v>999</v>
      </c>
    </row>
    <row r="240" spans="1:15" ht="60" x14ac:dyDescent="0.2">
      <c r="A240" s="53" t="s">
        <v>12</v>
      </c>
      <c r="B240" s="53" t="s">
        <v>16</v>
      </c>
      <c r="C240" s="54" t="s">
        <v>2123</v>
      </c>
      <c r="D240" s="55" t="s">
        <v>2124</v>
      </c>
      <c r="E240" s="54" t="s">
        <v>899</v>
      </c>
      <c r="F240" s="54" t="s">
        <v>1935</v>
      </c>
      <c r="G240" s="54"/>
      <c r="H240" s="54"/>
      <c r="I240" s="54"/>
      <c r="J240" s="54"/>
      <c r="K240" s="54"/>
      <c r="L240" s="54"/>
      <c r="M240" s="54"/>
      <c r="N240" s="54"/>
      <c r="O240" s="54" t="s">
        <v>2125</v>
      </c>
    </row>
    <row r="241" spans="1:15" ht="60" x14ac:dyDescent="0.2">
      <c r="A241" s="53" t="s">
        <v>12</v>
      </c>
      <c r="B241" s="53" t="s">
        <v>13</v>
      </c>
      <c r="C241" s="54" t="s">
        <v>2126</v>
      </c>
      <c r="D241" s="55" t="s">
        <v>2127</v>
      </c>
      <c r="E241" s="54" t="s">
        <v>899</v>
      </c>
      <c r="F241" s="54" t="s">
        <v>1935</v>
      </c>
      <c r="G241" s="54"/>
      <c r="H241" s="54"/>
      <c r="I241" s="54">
        <v>240</v>
      </c>
      <c r="J241" s="54">
        <v>240</v>
      </c>
      <c r="K241" s="54"/>
      <c r="L241" s="54"/>
      <c r="M241" s="54"/>
      <c r="N241" s="54"/>
      <c r="O241" s="54" t="s">
        <v>1378</v>
      </c>
    </row>
    <row r="242" spans="1:15" ht="30" x14ac:dyDescent="0.2">
      <c r="A242" s="53" t="s">
        <v>12</v>
      </c>
      <c r="B242" s="53" t="s">
        <v>15</v>
      </c>
      <c r="C242" s="54" t="s">
        <v>2128</v>
      </c>
      <c r="D242" s="55" t="s">
        <v>2129</v>
      </c>
      <c r="E242" s="54" t="s">
        <v>1762</v>
      </c>
      <c r="F242" s="54" t="s">
        <v>1707</v>
      </c>
      <c r="G242" s="54">
        <v>5</v>
      </c>
      <c r="H242" s="54">
        <v>5</v>
      </c>
      <c r="I242" s="54">
        <v>97200</v>
      </c>
      <c r="J242" s="54">
        <v>86400</v>
      </c>
      <c r="K242" s="54"/>
      <c r="L242" s="54"/>
      <c r="M242" s="54"/>
      <c r="N242" s="54"/>
      <c r="O242" s="54" t="s">
        <v>2117</v>
      </c>
    </row>
    <row r="243" spans="1:15" ht="45" x14ac:dyDescent="0.2">
      <c r="A243" s="53" t="s">
        <v>12</v>
      </c>
      <c r="B243" s="53" t="s">
        <v>13</v>
      </c>
      <c r="C243" s="54" t="s">
        <v>2130</v>
      </c>
      <c r="D243" s="55" t="s">
        <v>2131</v>
      </c>
      <c r="E243" s="54"/>
      <c r="F243" s="54" t="s">
        <v>2132</v>
      </c>
      <c r="G243" s="54">
        <v>3</v>
      </c>
      <c r="H243" s="54"/>
      <c r="I243" s="54"/>
      <c r="J243" s="54"/>
      <c r="K243" s="54"/>
      <c r="L243" s="54"/>
      <c r="M243" s="54"/>
      <c r="N243" s="54"/>
      <c r="O243" s="54" t="s">
        <v>2133</v>
      </c>
    </row>
    <row r="244" spans="1:15" ht="30" x14ac:dyDescent="0.2">
      <c r="A244" s="53" t="s">
        <v>12</v>
      </c>
      <c r="B244" s="53" t="s">
        <v>15</v>
      </c>
      <c r="C244" s="54" t="s">
        <v>2134</v>
      </c>
      <c r="D244" s="55" t="s">
        <v>2135</v>
      </c>
      <c r="E244" s="54" t="s">
        <v>1762</v>
      </c>
      <c r="F244" s="54" t="s">
        <v>2136</v>
      </c>
      <c r="G244" s="54">
        <v>5</v>
      </c>
      <c r="H244" s="54">
        <v>5</v>
      </c>
      <c r="I244" s="54">
        <v>111600</v>
      </c>
      <c r="J244" s="54">
        <v>111600</v>
      </c>
      <c r="K244" s="54"/>
      <c r="L244" s="54"/>
      <c r="M244" s="54"/>
      <c r="N244" s="54"/>
      <c r="O244" s="54" t="s">
        <v>2137</v>
      </c>
    </row>
    <row r="245" spans="1:15" ht="30" x14ac:dyDescent="0.2">
      <c r="A245" s="53" t="s">
        <v>12</v>
      </c>
      <c r="B245" s="53" t="s">
        <v>13</v>
      </c>
      <c r="C245" s="54" t="s">
        <v>2138</v>
      </c>
      <c r="D245" s="55" t="s">
        <v>2139</v>
      </c>
      <c r="E245" s="54"/>
      <c r="F245" s="54"/>
      <c r="G245" s="54">
        <v>5</v>
      </c>
      <c r="H245" s="54"/>
      <c r="I245" s="54">
        <v>97200</v>
      </c>
      <c r="J245" s="54">
        <v>97200</v>
      </c>
      <c r="K245" s="54"/>
      <c r="L245" s="54"/>
      <c r="M245" s="54"/>
      <c r="N245" s="54"/>
      <c r="O245" s="54" t="s">
        <v>2119</v>
      </c>
    </row>
    <row r="246" spans="1:15" ht="60" x14ac:dyDescent="0.2">
      <c r="A246" s="53" t="s">
        <v>12</v>
      </c>
      <c r="B246" s="53" t="s">
        <v>16</v>
      </c>
      <c r="C246" s="54" t="s">
        <v>2140</v>
      </c>
      <c r="D246" s="55" t="s">
        <v>2141</v>
      </c>
      <c r="E246" s="54" t="s">
        <v>899</v>
      </c>
      <c r="F246" s="54" t="s">
        <v>1935</v>
      </c>
      <c r="G246" s="54">
        <v>1</v>
      </c>
      <c r="H246" s="54"/>
      <c r="I246" s="54"/>
      <c r="J246" s="54">
        <v>21600</v>
      </c>
      <c r="K246" s="54"/>
      <c r="L246" s="54"/>
      <c r="M246" s="54"/>
      <c r="N246" s="54"/>
      <c r="O246" s="54" t="s">
        <v>2142</v>
      </c>
    </row>
    <row r="247" spans="1:15" ht="165" x14ac:dyDescent="0.2">
      <c r="A247" s="53" t="s">
        <v>12</v>
      </c>
      <c r="B247" s="53" t="s">
        <v>13</v>
      </c>
      <c r="C247" s="54" t="s">
        <v>2143</v>
      </c>
      <c r="D247" s="55" t="s">
        <v>2144</v>
      </c>
      <c r="E247" s="54"/>
      <c r="F247" s="54"/>
      <c r="G247" s="54"/>
      <c r="H247" s="54"/>
      <c r="I247" s="54"/>
      <c r="J247" s="54"/>
      <c r="K247" s="54"/>
      <c r="L247" s="54"/>
      <c r="M247" s="54"/>
      <c r="N247" s="54"/>
      <c r="O247" s="54" t="s">
        <v>2145</v>
      </c>
    </row>
    <row r="248" spans="1:15" ht="30" x14ac:dyDescent="0.2">
      <c r="A248" s="53" t="s">
        <v>12</v>
      </c>
      <c r="B248" s="53" t="s">
        <v>15</v>
      </c>
      <c r="C248" s="54" t="s">
        <v>2146</v>
      </c>
      <c r="D248" s="55" t="s">
        <v>2147</v>
      </c>
      <c r="E248" s="54"/>
      <c r="F248" s="54" t="s">
        <v>2136</v>
      </c>
      <c r="G248" s="54">
        <v>3</v>
      </c>
      <c r="H248" s="54">
        <v>3</v>
      </c>
      <c r="I248" s="54">
        <v>115200</v>
      </c>
      <c r="J248" s="54">
        <v>111600</v>
      </c>
      <c r="K248" s="54"/>
      <c r="L248" s="54"/>
      <c r="M248" s="54"/>
      <c r="N248" s="54"/>
      <c r="O248" s="54" t="s">
        <v>2137</v>
      </c>
    </row>
    <row r="249" spans="1:15" ht="15.75" x14ac:dyDescent="0.2">
      <c r="A249" s="53" t="s">
        <v>12</v>
      </c>
      <c r="B249" s="53" t="s">
        <v>13</v>
      </c>
      <c r="C249" s="54" t="s">
        <v>2148</v>
      </c>
      <c r="D249" s="55" t="s">
        <v>2149</v>
      </c>
      <c r="E249" s="54"/>
      <c r="F249" s="54" t="s">
        <v>1013</v>
      </c>
      <c r="G249" s="54">
        <v>8</v>
      </c>
      <c r="H249" s="54"/>
      <c r="I249" s="54"/>
      <c r="J249" s="54"/>
      <c r="K249" s="54"/>
      <c r="L249" s="54"/>
      <c r="M249" s="54"/>
      <c r="N249" s="54"/>
      <c r="O249" s="54" t="s">
        <v>1452</v>
      </c>
    </row>
    <row r="250" spans="1:15" ht="15.75" x14ac:dyDescent="0.2">
      <c r="A250" s="53" t="s">
        <v>12</v>
      </c>
      <c r="B250" s="53" t="s">
        <v>13</v>
      </c>
      <c r="C250" s="54" t="s">
        <v>2150</v>
      </c>
      <c r="D250" s="55" t="s">
        <v>2151</v>
      </c>
      <c r="E250" s="54"/>
      <c r="F250" s="54" t="s">
        <v>1013</v>
      </c>
      <c r="G250" s="54">
        <v>8</v>
      </c>
      <c r="H250" s="54"/>
      <c r="I250" s="54"/>
      <c r="J250" s="54"/>
      <c r="K250" s="54"/>
      <c r="L250" s="54"/>
      <c r="M250" s="54"/>
      <c r="N250" s="54"/>
      <c r="O250" s="54" t="s">
        <v>1452</v>
      </c>
    </row>
    <row r="251" spans="1:15" ht="30" x14ac:dyDescent="0.2">
      <c r="A251" s="53" t="s">
        <v>12</v>
      </c>
      <c r="B251" s="53" t="s">
        <v>13</v>
      </c>
      <c r="C251" s="54" t="s">
        <v>2152</v>
      </c>
      <c r="D251" s="55" t="s">
        <v>2153</v>
      </c>
      <c r="E251" s="54"/>
      <c r="F251" s="54" t="s">
        <v>1555</v>
      </c>
      <c r="G251" s="54">
        <v>8</v>
      </c>
      <c r="H251" s="54"/>
      <c r="I251" s="54"/>
      <c r="J251" s="54"/>
      <c r="K251" s="54"/>
      <c r="L251" s="54"/>
      <c r="M251" s="54"/>
      <c r="N251" s="54"/>
      <c r="O251" s="54" t="s">
        <v>1349</v>
      </c>
    </row>
    <row r="252" spans="1:15" ht="30" x14ac:dyDescent="0.2">
      <c r="A252" s="53" t="s">
        <v>12</v>
      </c>
      <c r="B252" s="53" t="s">
        <v>13</v>
      </c>
      <c r="C252" s="54" t="s">
        <v>2154</v>
      </c>
      <c r="D252" s="55" t="s">
        <v>2155</v>
      </c>
      <c r="E252" s="54"/>
      <c r="F252" s="54" t="s">
        <v>1555</v>
      </c>
      <c r="G252" s="54">
        <v>5</v>
      </c>
      <c r="H252" s="54"/>
      <c r="I252" s="54"/>
      <c r="J252" s="54"/>
      <c r="K252" s="54"/>
      <c r="L252" s="54"/>
      <c r="M252" s="54"/>
      <c r="N252" s="54"/>
      <c r="O252" s="54" t="s">
        <v>1349</v>
      </c>
    </row>
    <row r="253" spans="1:15" ht="30" x14ac:dyDescent="0.2">
      <c r="A253" s="53" t="s">
        <v>12</v>
      </c>
      <c r="B253" s="53" t="s">
        <v>13</v>
      </c>
      <c r="C253" s="54" t="s">
        <v>2156</v>
      </c>
      <c r="D253" s="55" t="s">
        <v>2157</v>
      </c>
      <c r="E253" s="54"/>
      <c r="F253" s="54" t="s">
        <v>1555</v>
      </c>
      <c r="G253" s="54">
        <v>5</v>
      </c>
      <c r="H253" s="54"/>
      <c r="I253" s="54"/>
      <c r="J253" s="54"/>
      <c r="K253" s="54"/>
      <c r="L253" s="54"/>
      <c r="M253" s="54"/>
      <c r="N253" s="54"/>
      <c r="O253" s="54" t="s">
        <v>1349</v>
      </c>
    </row>
    <row r="254" spans="1:15" ht="30" x14ac:dyDescent="0.2">
      <c r="A254" s="53" t="s">
        <v>12</v>
      </c>
      <c r="B254" s="53" t="s">
        <v>13</v>
      </c>
      <c r="C254" s="54" t="s">
        <v>2158</v>
      </c>
      <c r="D254" s="55" t="s">
        <v>2159</v>
      </c>
      <c r="E254" s="54"/>
      <c r="F254" s="54" t="s">
        <v>1555</v>
      </c>
      <c r="G254" s="54">
        <v>5</v>
      </c>
      <c r="H254" s="54"/>
      <c r="I254" s="54"/>
      <c r="J254" s="54"/>
      <c r="K254" s="54"/>
      <c r="L254" s="54"/>
      <c r="M254" s="54"/>
      <c r="N254" s="54"/>
      <c r="O254" s="54" t="s">
        <v>1349</v>
      </c>
    </row>
    <row r="255" spans="1:15" ht="30" x14ac:dyDescent="0.2">
      <c r="A255" s="53" t="s">
        <v>12</v>
      </c>
      <c r="B255" s="53" t="s">
        <v>13</v>
      </c>
      <c r="C255" s="54" t="s">
        <v>2160</v>
      </c>
      <c r="D255" s="55" t="s">
        <v>2161</v>
      </c>
      <c r="E255" s="54"/>
      <c r="F255" s="54" t="s">
        <v>1555</v>
      </c>
      <c r="G255" s="54">
        <v>5</v>
      </c>
      <c r="H255" s="54"/>
      <c r="I255" s="54"/>
      <c r="J255" s="54"/>
      <c r="K255" s="54"/>
      <c r="L255" s="54"/>
      <c r="M255" s="54"/>
      <c r="N255" s="54"/>
      <c r="O255" s="54" t="s">
        <v>1346</v>
      </c>
    </row>
    <row r="256" spans="1:15" ht="15.75" x14ac:dyDescent="0.2">
      <c r="A256" s="53" t="s">
        <v>12</v>
      </c>
      <c r="B256" s="53" t="s">
        <v>13</v>
      </c>
      <c r="C256" s="54" t="s">
        <v>2162</v>
      </c>
      <c r="D256" s="55" t="s">
        <v>2163</v>
      </c>
      <c r="E256" s="54"/>
      <c r="F256" s="54" t="s">
        <v>1605</v>
      </c>
      <c r="G256" s="54">
        <v>5</v>
      </c>
      <c r="H256" s="54"/>
      <c r="I256" s="54"/>
      <c r="J256" s="54"/>
      <c r="K256" s="54"/>
      <c r="L256" s="54"/>
      <c r="M256" s="54"/>
      <c r="N256" s="54"/>
      <c r="O256" s="54" t="s">
        <v>1346</v>
      </c>
    </row>
    <row r="257" spans="1:15" ht="30" x14ac:dyDescent="0.2">
      <c r="A257" s="53" t="s">
        <v>12</v>
      </c>
      <c r="B257" s="53" t="s">
        <v>13</v>
      </c>
      <c r="C257" s="54" t="s">
        <v>2164</v>
      </c>
      <c r="D257" s="55" t="s">
        <v>2165</v>
      </c>
      <c r="E257" s="54"/>
      <c r="F257" s="54"/>
      <c r="G257" s="54">
        <v>5</v>
      </c>
      <c r="H257" s="54"/>
      <c r="I257" s="54">
        <v>129600</v>
      </c>
      <c r="J257" s="54">
        <v>129600</v>
      </c>
      <c r="K257" s="54"/>
      <c r="L257" s="54"/>
      <c r="M257" s="54"/>
      <c r="N257" s="54"/>
      <c r="O257" s="54"/>
    </row>
    <row r="258" spans="1:15" ht="30" x14ac:dyDescent="0.2">
      <c r="A258" s="53" t="s">
        <v>12</v>
      </c>
      <c r="B258" s="53" t="s">
        <v>16</v>
      </c>
      <c r="C258" s="54" t="s">
        <v>2166</v>
      </c>
      <c r="D258" s="55" t="s">
        <v>2167</v>
      </c>
      <c r="E258" s="54" t="s">
        <v>899</v>
      </c>
      <c r="F258" s="54" t="s">
        <v>1633</v>
      </c>
      <c r="G258" s="54">
        <v>5</v>
      </c>
      <c r="H258" s="54"/>
      <c r="I258" s="54">
        <v>68400</v>
      </c>
      <c r="J258" s="54">
        <v>28800</v>
      </c>
      <c r="K258" s="54"/>
      <c r="L258" s="54"/>
      <c r="M258" s="54"/>
      <c r="N258" s="54"/>
      <c r="O258" s="54" t="s">
        <v>1355</v>
      </c>
    </row>
    <row r="259" spans="1:15" ht="30" x14ac:dyDescent="0.2">
      <c r="A259" s="53" t="s">
        <v>12</v>
      </c>
      <c r="B259" s="53" t="s">
        <v>13</v>
      </c>
      <c r="C259" s="54" t="s">
        <v>2168</v>
      </c>
      <c r="D259" s="55" t="s">
        <v>2169</v>
      </c>
      <c r="E259" s="54"/>
      <c r="F259" s="54"/>
      <c r="G259" s="54">
        <v>5</v>
      </c>
      <c r="H259" s="54"/>
      <c r="I259" s="54">
        <v>108000</v>
      </c>
      <c r="J259" s="54">
        <v>108000</v>
      </c>
      <c r="K259" s="54"/>
      <c r="L259" s="54"/>
      <c r="M259" s="54"/>
      <c r="N259" s="54"/>
      <c r="O259" s="54"/>
    </row>
    <row r="260" spans="1:15" ht="30" x14ac:dyDescent="0.2">
      <c r="A260" s="53" t="s">
        <v>12</v>
      </c>
      <c r="B260" s="53" t="s">
        <v>14</v>
      </c>
      <c r="C260" s="54" t="s">
        <v>2170</v>
      </c>
      <c r="D260" s="55" t="s">
        <v>2171</v>
      </c>
      <c r="E260" s="54" t="s">
        <v>899</v>
      </c>
      <c r="F260" s="54" t="s">
        <v>1633</v>
      </c>
      <c r="G260" s="54">
        <v>5</v>
      </c>
      <c r="H260" s="54"/>
      <c r="I260" s="54"/>
      <c r="J260" s="54"/>
      <c r="K260" s="54"/>
      <c r="L260" s="54"/>
      <c r="M260" s="54"/>
      <c r="N260" s="54"/>
      <c r="O260" s="54" t="s">
        <v>1352</v>
      </c>
    </row>
    <row r="261" spans="1:15" ht="30" x14ac:dyDescent="0.2">
      <c r="A261" s="53" t="s">
        <v>12</v>
      </c>
      <c r="B261" s="53" t="s">
        <v>13</v>
      </c>
      <c r="C261" s="54" t="s">
        <v>2172</v>
      </c>
      <c r="D261" s="55" t="s">
        <v>2173</v>
      </c>
      <c r="E261" s="54" t="s">
        <v>899</v>
      </c>
      <c r="F261" s="54" t="s">
        <v>1633</v>
      </c>
      <c r="G261" s="54">
        <v>5</v>
      </c>
      <c r="H261" s="54"/>
      <c r="I261" s="54">
        <v>28800</v>
      </c>
      <c r="J261" s="54">
        <v>0</v>
      </c>
      <c r="K261" s="54"/>
      <c r="L261" s="54"/>
      <c r="M261" s="54"/>
      <c r="N261" s="54"/>
      <c r="O261" s="54" t="s">
        <v>1352</v>
      </c>
    </row>
    <row r="262" spans="1:15" ht="15.75" x14ac:dyDescent="0.2">
      <c r="A262" s="53" t="s">
        <v>12</v>
      </c>
      <c r="B262" s="53" t="s">
        <v>15</v>
      </c>
      <c r="C262" s="54" t="s">
        <v>2174</v>
      </c>
      <c r="D262" s="55" t="s">
        <v>2175</v>
      </c>
      <c r="E262" s="54" t="s">
        <v>2059</v>
      </c>
      <c r="F262" s="54" t="s">
        <v>2021</v>
      </c>
      <c r="G262" s="54">
        <v>5</v>
      </c>
      <c r="H262" s="54">
        <v>5</v>
      </c>
      <c r="I262" s="54"/>
      <c r="J262" s="54"/>
      <c r="K262" s="54"/>
      <c r="L262" s="54"/>
      <c r="M262" s="54"/>
      <c r="N262" s="54"/>
      <c r="O262" s="54" t="s">
        <v>1759</v>
      </c>
    </row>
    <row r="263" spans="1:15" ht="30" x14ac:dyDescent="0.2">
      <c r="A263" s="53" t="s">
        <v>12</v>
      </c>
      <c r="B263" s="53" t="s">
        <v>16</v>
      </c>
      <c r="C263" s="54" t="s">
        <v>2176</v>
      </c>
      <c r="D263" s="55" t="s">
        <v>2177</v>
      </c>
      <c r="E263" s="54"/>
      <c r="F263" s="54" t="s">
        <v>1555</v>
      </c>
      <c r="G263" s="54">
        <v>5</v>
      </c>
      <c r="H263" s="54"/>
      <c r="I263" s="54">
        <v>28800</v>
      </c>
      <c r="J263" s="54">
        <v>28800</v>
      </c>
      <c r="K263" s="54"/>
      <c r="L263" s="54"/>
      <c r="M263" s="54"/>
      <c r="N263" s="54"/>
      <c r="O263" s="54" t="s">
        <v>1144</v>
      </c>
    </row>
    <row r="264" spans="1:15" ht="30" x14ac:dyDescent="0.2">
      <c r="A264" s="53" t="s">
        <v>12</v>
      </c>
      <c r="B264" s="53" t="s">
        <v>14</v>
      </c>
      <c r="C264" s="54" t="s">
        <v>2178</v>
      </c>
      <c r="D264" s="55" t="s">
        <v>2179</v>
      </c>
      <c r="E264" s="54" t="s">
        <v>899</v>
      </c>
      <c r="F264" s="54" t="s">
        <v>1633</v>
      </c>
      <c r="G264" s="54">
        <v>13</v>
      </c>
      <c r="H264" s="54"/>
      <c r="I264" s="54">
        <v>57600</v>
      </c>
      <c r="J264" s="54">
        <v>43200</v>
      </c>
      <c r="K264" s="54"/>
      <c r="L264" s="54"/>
      <c r="M264" s="54"/>
      <c r="N264" s="54"/>
      <c r="O264" s="54" t="s">
        <v>1144</v>
      </c>
    </row>
    <row r="265" spans="1:15" ht="30" x14ac:dyDescent="0.2">
      <c r="A265" s="53" t="s">
        <v>12</v>
      </c>
      <c r="B265" s="53" t="s">
        <v>15</v>
      </c>
      <c r="C265" s="54" t="s">
        <v>2180</v>
      </c>
      <c r="D265" s="55" t="s">
        <v>2181</v>
      </c>
      <c r="E265" s="54" t="s">
        <v>2059</v>
      </c>
      <c r="F265" s="54" t="s">
        <v>2021</v>
      </c>
      <c r="G265" s="54">
        <v>3</v>
      </c>
      <c r="H265" s="54">
        <v>3</v>
      </c>
      <c r="I265" s="54"/>
      <c r="J265" s="54">
        <v>0</v>
      </c>
      <c r="K265" s="54"/>
      <c r="L265" s="54"/>
      <c r="M265" s="54"/>
      <c r="N265" s="54"/>
      <c r="O265" s="54" t="s">
        <v>1759</v>
      </c>
    </row>
    <row r="266" spans="1:15" ht="30" x14ac:dyDescent="0.2">
      <c r="A266" s="53" t="s">
        <v>12</v>
      </c>
      <c r="B266" s="53" t="s">
        <v>106</v>
      </c>
      <c r="C266" s="54" t="s">
        <v>2182</v>
      </c>
      <c r="D266" s="55" t="s">
        <v>2183</v>
      </c>
      <c r="E266" s="54" t="s">
        <v>1762</v>
      </c>
      <c r="F266" s="54" t="s">
        <v>2007</v>
      </c>
      <c r="G266" s="54">
        <v>13</v>
      </c>
      <c r="H266" s="54"/>
      <c r="I266" s="54"/>
      <c r="J266" s="54"/>
      <c r="K266" s="54"/>
      <c r="L266" s="54"/>
      <c r="M266" s="54"/>
      <c r="N266" s="54"/>
      <c r="O266" s="54" t="s">
        <v>2184</v>
      </c>
    </row>
    <row r="267" spans="1:15" ht="30" x14ac:dyDescent="0.2">
      <c r="A267" s="53" t="s">
        <v>12</v>
      </c>
      <c r="B267" s="53" t="s">
        <v>14</v>
      </c>
      <c r="C267" s="54" t="s">
        <v>2185</v>
      </c>
      <c r="D267" s="55" t="s">
        <v>2186</v>
      </c>
      <c r="E267" s="54"/>
      <c r="F267" s="54" t="s">
        <v>1639</v>
      </c>
      <c r="G267" s="54">
        <v>5</v>
      </c>
      <c r="H267" s="54"/>
      <c r="I267" s="54"/>
      <c r="J267" s="54"/>
      <c r="K267" s="54"/>
      <c r="L267" s="54"/>
      <c r="M267" s="54"/>
      <c r="N267" s="54"/>
      <c r="O267" s="54" t="s">
        <v>2187</v>
      </c>
    </row>
    <row r="268" spans="1:15" ht="30" x14ac:dyDescent="0.2">
      <c r="A268" s="53" t="s">
        <v>12</v>
      </c>
      <c r="B268" s="53" t="s">
        <v>13</v>
      </c>
      <c r="C268" s="54" t="s">
        <v>2188</v>
      </c>
      <c r="D268" s="55" t="s">
        <v>2189</v>
      </c>
      <c r="E268" s="54" t="s">
        <v>899</v>
      </c>
      <c r="F268" s="54" t="s">
        <v>1633</v>
      </c>
      <c r="G268" s="54">
        <v>8</v>
      </c>
      <c r="H268" s="54"/>
      <c r="I268" s="54">
        <v>86400</v>
      </c>
      <c r="J268" s="54">
        <v>28800</v>
      </c>
      <c r="K268" s="54"/>
      <c r="L268" s="54"/>
      <c r="M268" s="54"/>
      <c r="N268" s="54"/>
      <c r="O268" s="54" t="s">
        <v>1449</v>
      </c>
    </row>
    <row r="269" spans="1:15" ht="45" x14ac:dyDescent="0.2">
      <c r="A269" s="53" t="s">
        <v>12</v>
      </c>
      <c r="B269" s="53" t="s">
        <v>14</v>
      </c>
      <c r="C269" s="54" t="s">
        <v>2190</v>
      </c>
      <c r="D269" s="55" t="s">
        <v>2191</v>
      </c>
      <c r="E269" s="54" t="s">
        <v>899</v>
      </c>
      <c r="F269" s="54" t="s">
        <v>1594</v>
      </c>
      <c r="G269" s="54">
        <v>8</v>
      </c>
      <c r="H269" s="54"/>
      <c r="I269" s="54">
        <v>230400</v>
      </c>
      <c r="J269" s="54">
        <v>128700</v>
      </c>
      <c r="K269" s="54"/>
      <c r="L269" s="54"/>
      <c r="M269" s="54"/>
      <c r="N269" s="54"/>
      <c r="O269" s="54" t="s">
        <v>1449</v>
      </c>
    </row>
    <row r="270" spans="1:15" ht="30" x14ac:dyDescent="0.2">
      <c r="A270" s="53" t="s">
        <v>12</v>
      </c>
      <c r="B270" s="53" t="s">
        <v>13</v>
      </c>
      <c r="C270" s="54" t="s">
        <v>2192</v>
      </c>
      <c r="D270" s="55" t="s">
        <v>2193</v>
      </c>
      <c r="E270" s="54" t="s">
        <v>2194</v>
      </c>
      <c r="F270" s="54" t="s">
        <v>1537</v>
      </c>
      <c r="G270" s="54">
        <v>13</v>
      </c>
      <c r="H270" s="54"/>
      <c r="I270" s="54">
        <v>144000</v>
      </c>
      <c r="J270" s="54">
        <v>144000</v>
      </c>
      <c r="K270" s="54"/>
      <c r="L270" s="54"/>
      <c r="M270" s="54"/>
      <c r="N270" s="54"/>
      <c r="O270" s="54" t="s">
        <v>1674</v>
      </c>
    </row>
    <row r="271" spans="1:15" ht="60" x14ac:dyDescent="0.2">
      <c r="A271" s="53" t="s">
        <v>12</v>
      </c>
      <c r="B271" s="53" t="s">
        <v>16</v>
      </c>
      <c r="C271" s="54" t="s">
        <v>2195</v>
      </c>
      <c r="D271" s="55" t="s">
        <v>2196</v>
      </c>
      <c r="E271" s="54" t="s">
        <v>1311</v>
      </c>
      <c r="F271" s="54" t="s">
        <v>2197</v>
      </c>
      <c r="G271" s="54">
        <v>3</v>
      </c>
      <c r="H271" s="54"/>
      <c r="I271" s="54">
        <v>183600</v>
      </c>
      <c r="J271" s="54">
        <v>0</v>
      </c>
      <c r="K271" s="54"/>
      <c r="L271" s="54"/>
      <c r="M271" s="54"/>
      <c r="N271" s="54"/>
      <c r="O271" s="54" t="s">
        <v>2198</v>
      </c>
    </row>
    <row r="272" spans="1:15" ht="60" x14ac:dyDescent="0.2">
      <c r="A272" s="53" t="s">
        <v>12</v>
      </c>
      <c r="B272" s="53" t="s">
        <v>14</v>
      </c>
      <c r="C272" s="54" t="s">
        <v>2199</v>
      </c>
      <c r="D272" s="55" t="s">
        <v>2200</v>
      </c>
      <c r="E272" s="54" t="s">
        <v>899</v>
      </c>
      <c r="F272" s="54" t="s">
        <v>1935</v>
      </c>
      <c r="G272" s="54">
        <v>0</v>
      </c>
      <c r="H272" s="54"/>
      <c r="I272" s="54">
        <v>68400</v>
      </c>
      <c r="J272" s="54">
        <v>23400</v>
      </c>
      <c r="K272" s="54"/>
      <c r="L272" s="54"/>
      <c r="M272" s="54"/>
      <c r="N272" s="54"/>
      <c r="O272" s="54" t="s">
        <v>1352</v>
      </c>
    </row>
    <row r="273" spans="1:15" ht="15.75" x14ac:dyDescent="0.2">
      <c r="A273" s="53" t="s">
        <v>12</v>
      </c>
      <c r="B273" s="53" t="s">
        <v>13</v>
      </c>
      <c r="C273" s="54" t="s">
        <v>2201</v>
      </c>
      <c r="D273" s="55" t="s">
        <v>2202</v>
      </c>
      <c r="E273" s="54" t="s">
        <v>1399</v>
      </c>
      <c r="F273" s="54" t="s">
        <v>884</v>
      </c>
      <c r="G273" s="54">
        <v>8</v>
      </c>
      <c r="H273" s="54">
        <v>8</v>
      </c>
      <c r="I273" s="54"/>
      <c r="J273" s="54"/>
      <c r="K273" s="54"/>
      <c r="L273" s="54"/>
      <c r="M273" s="54"/>
      <c r="N273" s="54"/>
      <c r="O273" s="54" t="s">
        <v>2203</v>
      </c>
    </row>
    <row r="274" spans="1:15" ht="30" x14ac:dyDescent="0.2">
      <c r="A274" s="53" t="s">
        <v>12</v>
      </c>
      <c r="B274" s="53" t="s">
        <v>15</v>
      </c>
      <c r="C274" s="54" t="s">
        <v>2204</v>
      </c>
      <c r="D274" s="55" t="s">
        <v>2205</v>
      </c>
      <c r="E274" s="54"/>
      <c r="F274" s="54" t="s">
        <v>2206</v>
      </c>
      <c r="G274" s="54">
        <v>3</v>
      </c>
      <c r="H274" s="54">
        <v>3</v>
      </c>
      <c r="I274" s="54"/>
      <c r="J274" s="54"/>
      <c r="K274" s="54"/>
      <c r="L274" s="54"/>
      <c r="M274" s="54"/>
      <c r="N274" s="54"/>
      <c r="O274" s="54" t="s">
        <v>1339</v>
      </c>
    </row>
    <row r="275" spans="1:15" ht="60" x14ac:dyDescent="0.2">
      <c r="A275" s="53" t="s">
        <v>12</v>
      </c>
      <c r="B275" s="53" t="s">
        <v>14</v>
      </c>
      <c r="C275" s="54" t="s">
        <v>2207</v>
      </c>
      <c r="D275" s="55" t="s">
        <v>2208</v>
      </c>
      <c r="E275" s="54" t="s">
        <v>899</v>
      </c>
      <c r="F275" s="54" t="s">
        <v>1935</v>
      </c>
      <c r="G275" s="54">
        <v>5</v>
      </c>
      <c r="H275" s="54"/>
      <c r="I275" s="54">
        <v>244800</v>
      </c>
      <c r="J275" s="54">
        <v>47700</v>
      </c>
      <c r="K275" s="54"/>
      <c r="L275" s="54"/>
      <c r="M275" s="54"/>
      <c r="N275" s="54"/>
      <c r="O275" s="54" t="s">
        <v>1339</v>
      </c>
    </row>
    <row r="276" spans="1:15" ht="30" x14ac:dyDescent="0.2">
      <c r="A276" s="53" t="s">
        <v>12</v>
      </c>
      <c r="B276" s="53" t="s">
        <v>13</v>
      </c>
      <c r="C276" s="54" t="s">
        <v>2209</v>
      </c>
      <c r="D276" s="55" t="s">
        <v>2210</v>
      </c>
      <c r="E276" s="54" t="s">
        <v>899</v>
      </c>
      <c r="F276" s="54"/>
      <c r="G276" s="54">
        <v>8</v>
      </c>
      <c r="H276" s="54"/>
      <c r="I276" s="54"/>
      <c r="J276" s="54"/>
      <c r="K276" s="54"/>
      <c r="L276" s="54"/>
      <c r="M276" s="54"/>
      <c r="N276" s="54"/>
      <c r="O276" s="54" t="s">
        <v>1343</v>
      </c>
    </row>
    <row r="277" spans="1:15" ht="30" x14ac:dyDescent="0.2">
      <c r="A277" s="53" t="s">
        <v>12</v>
      </c>
      <c r="B277" s="53" t="s">
        <v>13</v>
      </c>
      <c r="C277" s="54" t="s">
        <v>2211</v>
      </c>
      <c r="D277" s="55" t="s">
        <v>2212</v>
      </c>
      <c r="E277" s="54" t="s">
        <v>2026</v>
      </c>
      <c r="F277" s="54"/>
      <c r="G277" s="54">
        <v>5</v>
      </c>
      <c r="H277" s="54"/>
      <c r="I277" s="54">
        <v>259200</v>
      </c>
      <c r="J277" s="54">
        <v>259200</v>
      </c>
      <c r="K277" s="54"/>
      <c r="L277" s="54"/>
      <c r="M277" s="54"/>
      <c r="N277" s="54"/>
      <c r="O277" s="54" t="s">
        <v>1431</v>
      </c>
    </row>
    <row r="278" spans="1:15" ht="30" x14ac:dyDescent="0.2">
      <c r="A278" s="53" t="s">
        <v>12</v>
      </c>
      <c r="B278" s="53" t="s">
        <v>15</v>
      </c>
      <c r="C278" s="54" t="s">
        <v>2213</v>
      </c>
      <c r="D278" s="55" t="s">
        <v>2214</v>
      </c>
      <c r="E278" s="54" t="s">
        <v>883</v>
      </c>
      <c r="F278" s="54" t="s">
        <v>884</v>
      </c>
      <c r="G278" s="54">
        <v>5</v>
      </c>
      <c r="H278" s="54">
        <v>5</v>
      </c>
      <c r="I278" s="54"/>
      <c r="J278" s="54"/>
      <c r="K278" s="54"/>
      <c r="L278" s="54"/>
      <c r="M278" s="54"/>
      <c r="N278" s="54"/>
      <c r="O278" s="54" t="s">
        <v>1510</v>
      </c>
    </row>
    <row r="279" spans="1:15" ht="30" x14ac:dyDescent="0.2">
      <c r="A279" s="53" t="s">
        <v>12</v>
      </c>
      <c r="B279" s="53" t="s">
        <v>13</v>
      </c>
      <c r="C279" s="54" t="s">
        <v>2215</v>
      </c>
      <c r="D279" s="55" t="s">
        <v>2216</v>
      </c>
      <c r="E279" s="54"/>
      <c r="F279" s="54" t="s">
        <v>1013</v>
      </c>
      <c r="G279" s="54">
        <v>5</v>
      </c>
      <c r="H279" s="54"/>
      <c r="I279" s="54"/>
      <c r="J279" s="54"/>
      <c r="K279" s="54"/>
      <c r="L279" s="54"/>
      <c r="M279" s="54"/>
      <c r="N279" s="54"/>
      <c r="O279" s="54" t="s">
        <v>1333</v>
      </c>
    </row>
    <row r="280" spans="1:15" ht="45" x14ac:dyDescent="0.2">
      <c r="A280" s="53" t="s">
        <v>12</v>
      </c>
      <c r="B280" s="53" t="s">
        <v>17</v>
      </c>
      <c r="C280" s="54" t="s">
        <v>2217</v>
      </c>
      <c r="D280" s="55" t="s">
        <v>2218</v>
      </c>
      <c r="E280" s="54"/>
      <c r="F280" s="54" t="s">
        <v>2219</v>
      </c>
      <c r="G280" s="54">
        <v>5</v>
      </c>
      <c r="H280" s="54"/>
      <c r="I280" s="54"/>
      <c r="J280" s="54"/>
      <c r="K280" s="54"/>
      <c r="L280" s="54"/>
      <c r="M280" s="54"/>
      <c r="N280" s="54"/>
      <c r="O280" s="54" t="s">
        <v>1333</v>
      </c>
    </row>
    <row r="281" spans="1:15" ht="30" x14ac:dyDescent="0.2">
      <c r="A281" s="53" t="s">
        <v>12</v>
      </c>
      <c r="B281" s="53" t="s">
        <v>15</v>
      </c>
      <c r="C281" s="54" t="s">
        <v>2220</v>
      </c>
      <c r="D281" s="55" t="s">
        <v>2221</v>
      </c>
      <c r="E281" s="54" t="s">
        <v>883</v>
      </c>
      <c r="F281" s="54" t="s">
        <v>884</v>
      </c>
      <c r="G281" s="54">
        <v>8</v>
      </c>
      <c r="H281" s="54">
        <v>8</v>
      </c>
      <c r="I281" s="54">
        <v>115200</v>
      </c>
      <c r="J281" s="54">
        <v>57600</v>
      </c>
      <c r="K281" s="54"/>
      <c r="L281" s="54"/>
      <c r="M281" s="54"/>
      <c r="N281" s="54"/>
      <c r="O281" s="54" t="s">
        <v>913</v>
      </c>
    </row>
    <row r="282" spans="1:15" ht="30" x14ac:dyDescent="0.2">
      <c r="A282" s="53" t="s">
        <v>12</v>
      </c>
      <c r="B282" s="53" t="s">
        <v>16</v>
      </c>
      <c r="C282" s="54" t="s">
        <v>2222</v>
      </c>
      <c r="D282" s="55" t="s">
        <v>2223</v>
      </c>
      <c r="E282" s="54" t="s">
        <v>899</v>
      </c>
      <c r="F282" s="54" t="s">
        <v>1633</v>
      </c>
      <c r="G282" s="54">
        <v>5</v>
      </c>
      <c r="H282" s="54"/>
      <c r="I282" s="54">
        <v>7200</v>
      </c>
      <c r="J282" s="54">
        <v>7200</v>
      </c>
      <c r="K282" s="54"/>
      <c r="L282" s="54"/>
      <c r="M282" s="54"/>
      <c r="N282" s="54"/>
      <c r="O282" s="54" t="s">
        <v>2224</v>
      </c>
    </row>
    <row r="283" spans="1:15" ht="60" x14ac:dyDescent="0.2">
      <c r="A283" s="53" t="s">
        <v>12</v>
      </c>
      <c r="B283" s="53" t="s">
        <v>16</v>
      </c>
      <c r="C283" s="54" t="s">
        <v>2225</v>
      </c>
      <c r="D283" s="55" t="s">
        <v>2226</v>
      </c>
      <c r="E283" s="54" t="s">
        <v>899</v>
      </c>
      <c r="F283" s="54" t="s">
        <v>2227</v>
      </c>
      <c r="G283" s="54">
        <v>5</v>
      </c>
      <c r="H283" s="54"/>
      <c r="I283" s="54">
        <v>0</v>
      </c>
      <c r="J283" s="54">
        <v>0</v>
      </c>
      <c r="K283" s="54"/>
      <c r="L283" s="54"/>
      <c r="M283" s="54"/>
      <c r="N283" s="54"/>
      <c r="O283" s="54" t="s">
        <v>1333</v>
      </c>
    </row>
    <row r="284" spans="1:15" ht="30" x14ac:dyDescent="0.2">
      <c r="A284" s="53" t="s">
        <v>12</v>
      </c>
      <c r="B284" s="53" t="s">
        <v>14</v>
      </c>
      <c r="C284" s="54" t="s">
        <v>2228</v>
      </c>
      <c r="D284" s="55" t="s">
        <v>2229</v>
      </c>
      <c r="E284" s="54" t="s">
        <v>899</v>
      </c>
      <c r="F284" s="54"/>
      <c r="G284" s="54">
        <v>1</v>
      </c>
      <c r="H284" s="54"/>
      <c r="I284" s="54">
        <v>288000</v>
      </c>
      <c r="J284" s="54">
        <v>185400</v>
      </c>
      <c r="K284" s="54"/>
      <c r="L284" s="54"/>
      <c r="M284" s="54"/>
      <c r="N284" s="54"/>
      <c r="O284" s="54" t="s">
        <v>2230</v>
      </c>
    </row>
    <row r="285" spans="1:15" ht="15.75" x14ac:dyDescent="0.2">
      <c r="A285" s="53" t="s">
        <v>12</v>
      </c>
      <c r="B285" s="53" t="s">
        <v>13</v>
      </c>
      <c r="C285" s="54" t="s">
        <v>2231</v>
      </c>
      <c r="D285" s="55" t="s">
        <v>2232</v>
      </c>
      <c r="E285" s="54"/>
      <c r="F285" s="54"/>
      <c r="G285" s="54"/>
      <c r="H285" s="54"/>
      <c r="I285" s="54"/>
      <c r="J285" s="54"/>
      <c r="K285" s="54"/>
      <c r="L285" s="54"/>
      <c r="M285" s="54"/>
      <c r="N285" s="54"/>
      <c r="O285" s="54"/>
    </row>
    <row r="286" spans="1:15" ht="15.75" x14ac:dyDescent="0.2">
      <c r="A286" s="53" t="s">
        <v>12</v>
      </c>
      <c r="B286" s="53" t="s">
        <v>13</v>
      </c>
      <c r="C286" s="54" t="s">
        <v>2233</v>
      </c>
      <c r="D286" s="55" t="s">
        <v>2234</v>
      </c>
      <c r="E286" s="54"/>
      <c r="F286" s="54"/>
      <c r="G286" s="54"/>
      <c r="H286" s="54"/>
      <c r="I286" s="54"/>
      <c r="J286" s="54"/>
      <c r="K286" s="54"/>
      <c r="L286" s="54"/>
      <c r="M286" s="54"/>
      <c r="N286" s="54"/>
      <c r="O286" s="54"/>
    </row>
    <row r="287" spans="1:15" ht="15.75" x14ac:dyDescent="0.2">
      <c r="A287" s="53" t="s">
        <v>12</v>
      </c>
      <c r="B287" s="53" t="s">
        <v>13</v>
      </c>
      <c r="C287" s="54" t="s">
        <v>2235</v>
      </c>
      <c r="D287" s="55" t="s">
        <v>2236</v>
      </c>
      <c r="E287" s="54"/>
      <c r="F287" s="54"/>
      <c r="G287" s="54"/>
      <c r="H287" s="54"/>
      <c r="I287" s="54"/>
      <c r="J287" s="54"/>
      <c r="K287" s="54"/>
      <c r="L287" s="54"/>
      <c r="M287" s="54"/>
      <c r="N287" s="54"/>
      <c r="O287" s="54"/>
    </row>
    <row r="288" spans="1:15" ht="15.75" x14ac:dyDescent="0.2">
      <c r="A288" s="53" t="s">
        <v>12</v>
      </c>
      <c r="B288" s="53" t="s">
        <v>13</v>
      </c>
      <c r="C288" s="54" t="s">
        <v>2237</v>
      </c>
      <c r="D288" s="55" t="s">
        <v>2238</v>
      </c>
      <c r="E288" s="54"/>
      <c r="F288" s="54" t="s">
        <v>2239</v>
      </c>
      <c r="G288" s="54">
        <v>3</v>
      </c>
      <c r="H288" s="54"/>
      <c r="I288" s="54"/>
      <c r="J288" s="54"/>
      <c r="K288" s="54"/>
      <c r="L288" s="54"/>
      <c r="M288" s="54"/>
      <c r="N288" s="54"/>
      <c r="O288" s="54" t="s">
        <v>2240</v>
      </c>
    </row>
    <row r="289" spans="1:15" ht="30" x14ac:dyDescent="0.2">
      <c r="A289" s="53" t="s">
        <v>12</v>
      </c>
      <c r="B289" s="53" t="s">
        <v>13</v>
      </c>
      <c r="C289" s="54" t="s">
        <v>2241</v>
      </c>
      <c r="D289" s="55" t="s">
        <v>2242</v>
      </c>
      <c r="E289" s="54"/>
      <c r="F289" s="54" t="s">
        <v>2239</v>
      </c>
      <c r="G289" s="54"/>
      <c r="H289" s="54"/>
      <c r="I289" s="54"/>
      <c r="J289" s="54"/>
      <c r="K289" s="54"/>
      <c r="L289" s="54"/>
      <c r="M289" s="54"/>
      <c r="N289" s="54"/>
      <c r="O289" s="54"/>
    </row>
    <row r="290" spans="1:15" ht="15.75" x14ac:dyDescent="0.2">
      <c r="A290" s="53" t="s">
        <v>12</v>
      </c>
      <c r="B290" s="53" t="s">
        <v>16</v>
      </c>
      <c r="C290" s="54" t="s">
        <v>2243</v>
      </c>
      <c r="D290" s="55" t="s">
        <v>2244</v>
      </c>
      <c r="E290" s="54"/>
      <c r="F290" s="54" t="s">
        <v>2245</v>
      </c>
      <c r="G290" s="54">
        <v>8</v>
      </c>
      <c r="H290" s="54"/>
      <c r="I290" s="54"/>
      <c r="J290" s="54"/>
      <c r="K290" s="54"/>
      <c r="L290" s="54"/>
      <c r="M290" s="54"/>
      <c r="N290" s="54"/>
      <c r="O290" s="54" t="s">
        <v>2246</v>
      </c>
    </row>
    <row r="291" spans="1:15" ht="15.75" x14ac:dyDescent="0.2">
      <c r="A291" s="53" t="s">
        <v>12</v>
      </c>
      <c r="B291" s="53" t="s">
        <v>13</v>
      </c>
      <c r="C291" s="54" t="s">
        <v>2247</v>
      </c>
      <c r="D291" s="55" t="s">
        <v>2248</v>
      </c>
      <c r="E291" s="54"/>
      <c r="F291" s="54" t="s">
        <v>2239</v>
      </c>
      <c r="G291" s="54">
        <v>3</v>
      </c>
      <c r="H291" s="54"/>
      <c r="I291" s="54"/>
      <c r="J291" s="54"/>
      <c r="K291" s="54"/>
      <c r="L291" s="54"/>
      <c r="M291" s="54"/>
      <c r="N291" s="54"/>
      <c r="O291" s="54"/>
    </row>
    <row r="292" spans="1:15" ht="15.75" x14ac:dyDescent="0.2">
      <c r="A292" s="53" t="s">
        <v>12</v>
      </c>
      <c r="B292" s="53" t="s">
        <v>16</v>
      </c>
      <c r="C292" s="54" t="s">
        <v>2249</v>
      </c>
      <c r="D292" s="55" t="s">
        <v>2250</v>
      </c>
      <c r="E292" s="54"/>
      <c r="F292" s="54" t="s">
        <v>2245</v>
      </c>
      <c r="G292" s="54">
        <v>5</v>
      </c>
      <c r="H292" s="54"/>
      <c r="I292" s="54"/>
      <c r="J292" s="54"/>
      <c r="K292" s="54"/>
      <c r="L292" s="54"/>
      <c r="M292" s="54"/>
      <c r="N292" s="54"/>
      <c r="O292" s="54" t="s">
        <v>2251</v>
      </c>
    </row>
    <row r="293" spans="1:15" ht="15.75" x14ac:dyDescent="0.2">
      <c r="A293" s="53" t="s">
        <v>12</v>
      </c>
      <c r="B293" s="53" t="s">
        <v>16</v>
      </c>
      <c r="C293" s="54" t="s">
        <v>2252</v>
      </c>
      <c r="D293" s="55" t="s">
        <v>2253</v>
      </c>
      <c r="E293" s="54"/>
      <c r="F293" s="54" t="s">
        <v>2245</v>
      </c>
      <c r="G293" s="54">
        <v>5</v>
      </c>
      <c r="H293" s="54"/>
      <c r="I293" s="54"/>
      <c r="J293" s="54"/>
      <c r="K293" s="54"/>
      <c r="L293" s="54"/>
      <c r="M293" s="54"/>
      <c r="N293" s="54"/>
      <c r="O293" s="54" t="s">
        <v>2254</v>
      </c>
    </row>
    <row r="294" spans="1:15" ht="15.75" x14ac:dyDescent="0.2">
      <c r="A294" s="53" t="s">
        <v>12</v>
      </c>
      <c r="B294" s="53" t="s">
        <v>13</v>
      </c>
      <c r="C294" s="54" t="s">
        <v>2255</v>
      </c>
      <c r="D294" s="55" t="s">
        <v>2256</v>
      </c>
      <c r="E294" s="54"/>
      <c r="F294" s="54" t="s">
        <v>2239</v>
      </c>
      <c r="G294" s="54">
        <v>5</v>
      </c>
      <c r="H294" s="54"/>
      <c r="I294" s="54"/>
      <c r="J294" s="54"/>
      <c r="K294" s="54"/>
      <c r="L294" s="54"/>
      <c r="M294" s="54"/>
      <c r="N294" s="54"/>
      <c r="O294" s="54" t="s">
        <v>2257</v>
      </c>
    </row>
    <row r="295" spans="1:15" ht="15.75" x14ac:dyDescent="0.2">
      <c r="A295" s="53" t="s">
        <v>12</v>
      </c>
      <c r="B295" s="53" t="s">
        <v>13</v>
      </c>
      <c r="C295" s="54" t="s">
        <v>2258</v>
      </c>
      <c r="D295" s="55" t="s">
        <v>2259</v>
      </c>
      <c r="E295" s="54"/>
      <c r="F295" s="54" t="s">
        <v>2260</v>
      </c>
      <c r="G295" s="54">
        <v>5</v>
      </c>
      <c r="H295" s="54"/>
      <c r="I295" s="54"/>
      <c r="J295" s="54"/>
      <c r="K295" s="54"/>
      <c r="L295" s="54"/>
      <c r="M295" s="54"/>
      <c r="N295" s="54"/>
      <c r="O295" s="54" t="s">
        <v>2257</v>
      </c>
    </row>
    <row r="296" spans="1:15" ht="15.75" x14ac:dyDescent="0.2">
      <c r="A296" s="53" t="s">
        <v>12</v>
      </c>
      <c r="B296" s="53" t="s">
        <v>14</v>
      </c>
      <c r="C296" s="54" t="s">
        <v>2261</v>
      </c>
      <c r="D296" s="55" t="s">
        <v>2262</v>
      </c>
      <c r="E296" s="54"/>
      <c r="F296" s="54" t="s">
        <v>2245</v>
      </c>
      <c r="G296" s="54">
        <v>5</v>
      </c>
      <c r="H296" s="54"/>
      <c r="I296" s="54"/>
      <c r="J296" s="54"/>
      <c r="K296" s="54"/>
      <c r="L296" s="54"/>
      <c r="M296" s="54"/>
      <c r="N296" s="54"/>
      <c r="O296" s="54" t="s">
        <v>2257</v>
      </c>
    </row>
    <row r="297" spans="1:15" ht="30" x14ac:dyDescent="0.2">
      <c r="A297" s="53" t="s">
        <v>12</v>
      </c>
      <c r="B297" s="53" t="s">
        <v>15</v>
      </c>
      <c r="C297" s="54" t="s">
        <v>2263</v>
      </c>
      <c r="D297" s="55" t="s">
        <v>2264</v>
      </c>
      <c r="E297" s="54"/>
      <c r="F297" s="54" t="s">
        <v>2265</v>
      </c>
      <c r="G297" s="54">
        <v>5</v>
      </c>
      <c r="H297" s="54">
        <v>5</v>
      </c>
      <c r="I297" s="54"/>
      <c r="J297" s="54"/>
      <c r="K297" s="54"/>
      <c r="L297" s="54"/>
      <c r="M297" s="54"/>
      <c r="N297" s="54"/>
      <c r="O297" s="54" t="s">
        <v>2257</v>
      </c>
    </row>
    <row r="298" spans="1:15" ht="30" x14ac:dyDescent="0.2">
      <c r="A298" s="53" t="s">
        <v>12</v>
      </c>
      <c r="B298" s="53" t="s">
        <v>16</v>
      </c>
      <c r="C298" s="54" t="s">
        <v>2266</v>
      </c>
      <c r="D298" s="55" t="s">
        <v>2267</v>
      </c>
      <c r="E298" s="54"/>
      <c r="F298" s="54" t="s">
        <v>2265</v>
      </c>
      <c r="G298" s="54">
        <v>5</v>
      </c>
      <c r="H298" s="54"/>
      <c r="I298" s="54"/>
      <c r="J298" s="54"/>
      <c r="K298" s="54"/>
      <c r="L298" s="54"/>
      <c r="M298" s="54"/>
      <c r="N298" s="54"/>
      <c r="O298" s="54" t="s">
        <v>2254</v>
      </c>
    </row>
    <row r="299" spans="1:15" ht="30" x14ac:dyDescent="0.2">
      <c r="A299" s="53" t="s">
        <v>12</v>
      </c>
      <c r="B299" s="53" t="s">
        <v>15</v>
      </c>
      <c r="C299" s="54" t="s">
        <v>2268</v>
      </c>
      <c r="D299" s="55" t="s">
        <v>2269</v>
      </c>
      <c r="E299" s="54"/>
      <c r="F299" s="54" t="s">
        <v>2270</v>
      </c>
      <c r="G299" s="54">
        <v>5</v>
      </c>
      <c r="H299" s="54">
        <v>5</v>
      </c>
      <c r="I299" s="54"/>
      <c r="J299" s="54"/>
      <c r="K299" s="54"/>
      <c r="L299" s="54"/>
      <c r="M299" s="54"/>
      <c r="N299" s="54"/>
      <c r="O299" s="54" t="s">
        <v>2257</v>
      </c>
    </row>
    <row r="300" spans="1:15" ht="15.75" x14ac:dyDescent="0.2">
      <c r="A300" s="53" t="s">
        <v>12</v>
      </c>
      <c r="B300" s="53" t="s">
        <v>15</v>
      </c>
      <c r="C300" s="54" t="s">
        <v>2271</v>
      </c>
      <c r="D300" s="55" t="s">
        <v>2272</v>
      </c>
      <c r="E300" s="54" t="s">
        <v>883</v>
      </c>
      <c r="F300" s="54" t="s">
        <v>888</v>
      </c>
      <c r="G300" s="54">
        <v>5</v>
      </c>
      <c r="H300" s="54">
        <v>5</v>
      </c>
      <c r="I300" s="54">
        <v>144000</v>
      </c>
      <c r="J300" s="54">
        <v>28800</v>
      </c>
      <c r="K300" s="54"/>
      <c r="L300" s="54"/>
      <c r="M300" s="54"/>
      <c r="N300" s="54"/>
      <c r="O300" s="54" t="s">
        <v>903</v>
      </c>
    </row>
    <row r="301" spans="1:15" ht="60" x14ac:dyDescent="0.2">
      <c r="A301" s="53" t="s">
        <v>12</v>
      </c>
      <c r="B301" s="53" t="s">
        <v>14</v>
      </c>
      <c r="C301" s="54" t="s">
        <v>2273</v>
      </c>
      <c r="D301" s="55" t="s">
        <v>2274</v>
      </c>
      <c r="E301" s="54" t="s">
        <v>899</v>
      </c>
      <c r="F301" s="54" t="s">
        <v>2275</v>
      </c>
      <c r="G301" s="54">
        <v>13</v>
      </c>
      <c r="H301" s="54"/>
      <c r="I301" s="54"/>
      <c r="J301" s="54">
        <v>0</v>
      </c>
      <c r="K301" s="54"/>
      <c r="L301" s="54"/>
      <c r="M301" s="54"/>
      <c r="N301" s="54"/>
      <c r="O301" s="54" t="s">
        <v>1333</v>
      </c>
    </row>
    <row r="302" spans="1:15" ht="15.75" x14ac:dyDescent="0.2">
      <c r="A302" s="53" t="s">
        <v>12</v>
      </c>
      <c r="B302" s="53" t="s">
        <v>13</v>
      </c>
      <c r="C302" s="54" t="s">
        <v>2276</v>
      </c>
      <c r="D302" s="55" t="s">
        <v>2277</v>
      </c>
      <c r="E302" s="54" t="s">
        <v>883</v>
      </c>
      <c r="F302" s="54" t="s">
        <v>910</v>
      </c>
      <c r="G302" s="54">
        <v>8</v>
      </c>
      <c r="H302" s="54"/>
      <c r="I302" s="54"/>
      <c r="J302" s="54"/>
      <c r="K302" s="54"/>
      <c r="L302" s="54"/>
      <c r="M302" s="54"/>
      <c r="N302" s="54"/>
      <c r="O302" s="54" t="s">
        <v>1384</v>
      </c>
    </row>
    <row r="303" spans="1:15" ht="15.75" x14ac:dyDescent="0.2">
      <c r="A303" s="53" t="s">
        <v>12</v>
      </c>
      <c r="B303" s="53" t="s">
        <v>13</v>
      </c>
      <c r="C303" s="54" t="s">
        <v>2278</v>
      </c>
      <c r="D303" s="55" t="s">
        <v>2279</v>
      </c>
      <c r="E303" s="54" t="s">
        <v>883</v>
      </c>
      <c r="F303" s="54" t="s">
        <v>910</v>
      </c>
      <c r="G303" s="54">
        <v>2</v>
      </c>
      <c r="H303" s="54"/>
      <c r="I303" s="54"/>
      <c r="J303" s="54"/>
      <c r="K303" s="54"/>
      <c r="L303" s="54"/>
      <c r="M303" s="54"/>
      <c r="N303" s="54"/>
      <c r="O303" s="54" t="s">
        <v>1384</v>
      </c>
    </row>
    <row r="304" spans="1:15" ht="45" x14ac:dyDescent="0.2">
      <c r="A304" s="53" t="s">
        <v>12</v>
      </c>
      <c r="B304" s="53" t="s">
        <v>14</v>
      </c>
      <c r="C304" s="54" t="s">
        <v>2280</v>
      </c>
      <c r="D304" s="55" t="s">
        <v>2281</v>
      </c>
      <c r="E304" s="54"/>
      <c r="F304" s="54" t="s">
        <v>2282</v>
      </c>
      <c r="G304" s="54">
        <v>13</v>
      </c>
      <c r="H304" s="54"/>
      <c r="I304" s="54"/>
      <c r="J304" s="54"/>
      <c r="K304" s="54"/>
      <c r="L304" s="54"/>
      <c r="M304" s="54"/>
      <c r="N304" s="54"/>
      <c r="O304" s="54"/>
    </row>
    <row r="305" spans="1:15" ht="15.75" x14ac:dyDescent="0.2">
      <c r="A305" s="53" t="s">
        <v>12</v>
      </c>
      <c r="B305" s="53" t="s">
        <v>15</v>
      </c>
      <c r="C305" s="54" t="s">
        <v>2283</v>
      </c>
      <c r="D305" s="55" t="s">
        <v>2284</v>
      </c>
      <c r="E305" s="54" t="s">
        <v>883</v>
      </c>
      <c r="F305" s="54" t="s">
        <v>888</v>
      </c>
      <c r="G305" s="54">
        <v>5</v>
      </c>
      <c r="H305" s="54">
        <v>5</v>
      </c>
      <c r="I305" s="54">
        <v>79200</v>
      </c>
      <c r="J305" s="54">
        <v>0</v>
      </c>
      <c r="K305" s="54"/>
      <c r="L305" s="54"/>
      <c r="M305" s="54"/>
      <c r="N305" s="54"/>
      <c r="O305" s="54" t="s">
        <v>906</v>
      </c>
    </row>
    <row r="306" spans="1:15" ht="60" x14ac:dyDescent="0.2">
      <c r="A306" s="53" t="s">
        <v>12</v>
      </c>
      <c r="B306" s="53" t="s">
        <v>16</v>
      </c>
      <c r="C306" s="54" t="s">
        <v>2285</v>
      </c>
      <c r="D306" s="55" t="s">
        <v>2286</v>
      </c>
      <c r="E306" s="54" t="s">
        <v>899</v>
      </c>
      <c r="F306" s="54" t="s">
        <v>2275</v>
      </c>
      <c r="G306" s="54">
        <v>13</v>
      </c>
      <c r="H306" s="54"/>
      <c r="I306" s="54"/>
      <c r="J306" s="54">
        <v>0</v>
      </c>
      <c r="K306" s="54"/>
      <c r="L306" s="54"/>
      <c r="M306" s="54"/>
      <c r="N306" s="54"/>
      <c r="O306" s="54" t="s">
        <v>1333</v>
      </c>
    </row>
    <row r="307" spans="1:15" x14ac:dyDescent="0.2">
      <c r="A307" s="70" t="s">
        <v>2287</v>
      </c>
      <c r="B307" s="71"/>
      <c r="C307" s="71"/>
      <c r="D307" s="71"/>
      <c r="E307" s="71"/>
      <c r="F307" s="71"/>
      <c r="G307" s="71"/>
      <c r="H307" s="71"/>
      <c r="I307" s="71"/>
      <c r="J307" s="71"/>
      <c r="K307" s="71"/>
      <c r="L307" s="71"/>
      <c r="M307" s="71"/>
      <c r="N307" s="71"/>
      <c r="O307" s="72"/>
    </row>
  </sheetData>
  <mergeCells count="4">
    <mergeCell ref="A1:O1"/>
    <mergeCell ref="A2:O2"/>
    <mergeCell ref="A3:O3"/>
    <mergeCell ref="A307:O307"/>
  </mergeCells>
  <hyperlinks>
    <hyperlink ref="A2" r:id="rId1"/>
    <hyperlink ref="D5" r:id="rId2"/>
    <hyperlink ref="D6" r:id="rId3"/>
    <hyperlink ref="D7" r:id="rId4"/>
    <hyperlink ref="D8" r:id="rId5"/>
    <hyperlink ref="D9" r:id="rId6"/>
    <hyperlink ref="D10" r:id="rId7"/>
    <hyperlink ref="D11" r:id="rId8"/>
    <hyperlink ref="D12" r:id="rId9"/>
    <hyperlink ref="D13" r:id="rId10"/>
    <hyperlink ref="D14" r:id="rId11"/>
    <hyperlink ref="D15" r:id="rId12"/>
    <hyperlink ref="D16" r:id="rId13"/>
    <hyperlink ref="D17" r:id="rId14"/>
    <hyperlink ref="D18" r:id="rId15"/>
    <hyperlink ref="D19" r:id="rId16"/>
    <hyperlink ref="D20" r:id="rId17"/>
    <hyperlink ref="D21" r:id="rId18"/>
    <hyperlink ref="D22" r:id="rId19"/>
    <hyperlink ref="D23" r:id="rId20"/>
    <hyperlink ref="D24" r:id="rId21"/>
    <hyperlink ref="D25" r:id="rId22"/>
    <hyperlink ref="D26" r:id="rId23"/>
    <hyperlink ref="D27" r:id="rId24"/>
    <hyperlink ref="D28" r:id="rId25"/>
    <hyperlink ref="D29" r:id="rId26"/>
    <hyperlink ref="D30" r:id="rId27"/>
    <hyperlink ref="D31" r:id="rId28"/>
    <hyperlink ref="D32" r:id="rId29"/>
    <hyperlink ref="D33" r:id="rId30"/>
    <hyperlink ref="D34" r:id="rId31"/>
    <hyperlink ref="D35" r:id="rId32"/>
    <hyperlink ref="D36" r:id="rId33"/>
    <hyperlink ref="D37" r:id="rId34"/>
    <hyperlink ref="D38" r:id="rId35"/>
    <hyperlink ref="D39" r:id="rId36"/>
    <hyperlink ref="D40" r:id="rId37"/>
    <hyperlink ref="D41" r:id="rId38"/>
    <hyperlink ref="D42" r:id="rId39"/>
    <hyperlink ref="D43" r:id="rId40"/>
    <hyperlink ref="D44" r:id="rId41"/>
    <hyperlink ref="D45" r:id="rId42"/>
    <hyperlink ref="D46" r:id="rId43"/>
    <hyperlink ref="D47" r:id="rId44"/>
    <hyperlink ref="D48" r:id="rId45"/>
    <hyperlink ref="D49" r:id="rId46"/>
    <hyperlink ref="D50" r:id="rId47"/>
    <hyperlink ref="D51" r:id="rId48"/>
    <hyperlink ref="D52" r:id="rId49"/>
    <hyperlink ref="D53" r:id="rId50"/>
    <hyperlink ref="D54" r:id="rId51"/>
    <hyperlink ref="D55" r:id="rId52"/>
    <hyperlink ref="D56" r:id="rId53"/>
    <hyperlink ref="D57" r:id="rId54"/>
    <hyperlink ref="D58" r:id="rId55"/>
    <hyperlink ref="D59" r:id="rId56"/>
    <hyperlink ref="D60" r:id="rId57"/>
    <hyperlink ref="D61" r:id="rId58"/>
    <hyperlink ref="D62" r:id="rId59"/>
    <hyperlink ref="D63" r:id="rId60"/>
    <hyperlink ref="D64" r:id="rId61"/>
    <hyperlink ref="D65" r:id="rId62"/>
    <hyperlink ref="D66" r:id="rId63"/>
    <hyperlink ref="D67" r:id="rId64"/>
    <hyperlink ref="D68" r:id="rId65"/>
    <hyperlink ref="D69" r:id="rId66"/>
    <hyperlink ref="D70" r:id="rId67"/>
    <hyperlink ref="D71" r:id="rId68"/>
    <hyperlink ref="D72" r:id="rId69"/>
    <hyperlink ref="D73" r:id="rId70"/>
    <hyperlink ref="D74" r:id="rId71"/>
    <hyperlink ref="D75" r:id="rId72"/>
    <hyperlink ref="D76" r:id="rId73"/>
    <hyperlink ref="D77" r:id="rId74"/>
    <hyperlink ref="D78" r:id="rId75"/>
    <hyperlink ref="D79" r:id="rId76"/>
    <hyperlink ref="D80" r:id="rId77"/>
    <hyperlink ref="D81" r:id="rId78"/>
    <hyperlink ref="D82" r:id="rId79"/>
    <hyperlink ref="D83" r:id="rId80"/>
    <hyperlink ref="D84" r:id="rId81"/>
    <hyperlink ref="D85" r:id="rId82"/>
    <hyperlink ref="D86" r:id="rId83"/>
    <hyperlink ref="D87" r:id="rId84"/>
    <hyperlink ref="D88" r:id="rId85"/>
    <hyperlink ref="D89" r:id="rId86"/>
    <hyperlink ref="D90" r:id="rId87"/>
    <hyperlink ref="D91" r:id="rId88"/>
    <hyperlink ref="D92" r:id="rId89"/>
    <hyperlink ref="D93" r:id="rId90"/>
    <hyperlink ref="D94" r:id="rId91"/>
    <hyperlink ref="D95" r:id="rId92"/>
    <hyperlink ref="D96" r:id="rId93"/>
    <hyperlink ref="D97" r:id="rId94"/>
    <hyperlink ref="D98" r:id="rId95"/>
    <hyperlink ref="D99" r:id="rId96"/>
    <hyperlink ref="D100" r:id="rId97"/>
    <hyperlink ref="D101" r:id="rId98"/>
    <hyperlink ref="D102" r:id="rId99"/>
    <hyperlink ref="D103" r:id="rId100"/>
    <hyperlink ref="D104" r:id="rId101"/>
    <hyperlink ref="D105" r:id="rId102"/>
    <hyperlink ref="D106" r:id="rId103"/>
    <hyperlink ref="D107" r:id="rId104"/>
    <hyperlink ref="D108" r:id="rId105"/>
    <hyperlink ref="D109" r:id="rId106"/>
    <hyperlink ref="D110" r:id="rId107"/>
    <hyperlink ref="D111" r:id="rId108"/>
    <hyperlink ref="D112" r:id="rId109"/>
    <hyperlink ref="D113" r:id="rId110"/>
    <hyperlink ref="D114" r:id="rId111"/>
    <hyperlink ref="D115" r:id="rId112"/>
    <hyperlink ref="D116" r:id="rId113"/>
    <hyperlink ref="D117" r:id="rId114"/>
    <hyperlink ref="D118" r:id="rId115"/>
    <hyperlink ref="D119" r:id="rId116"/>
    <hyperlink ref="D120" r:id="rId117"/>
    <hyperlink ref="D121" r:id="rId118"/>
    <hyperlink ref="D122" r:id="rId119"/>
    <hyperlink ref="D123" r:id="rId120"/>
    <hyperlink ref="D124" r:id="rId121"/>
    <hyperlink ref="D125" r:id="rId122"/>
    <hyperlink ref="D126" r:id="rId123"/>
    <hyperlink ref="D127" r:id="rId124"/>
    <hyperlink ref="D128" r:id="rId125"/>
    <hyperlink ref="D129" r:id="rId126"/>
    <hyperlink ref="D130" r:id="rId127"/>
    <hyperlink ref="D131" r:id="rId128"/>
    <hyperlink ref="D132" r:id="rId129"/>
    <hyperlink ref="D133" r:id="rId130"/>
    <hyperlink ref="D134" r:id="rId131"/>
    <hyperlink ref="D135" r:id="rId132"/>
    <hyperlink ref="D136" r:id="rId133"/>
    <hyperlink ref="D137" r:id="rId134"/>
    <hyperlink ref="D138" r:id="rId135"/>
    <hyperlink ref="D139" r:id="rId136"/>
    <hyperlink ref="D140" r:id="rId137"/>
    <hyperlink ref="D141" r:id="rId138"/>
    <hyperlink ref="D142" r:id="rId139"/>
    <hyperlink ref="D143" r:id="rId140"/>
    <hyperlink ref="D144" r:id="rId141"/>
    <hyperlink ref="D145" r:id="rId142"/>
    <hyperlink ref="D146" r:id="rId143"/>
    <hyperlink ref="D147" r:id="rId144"/>
    <hyperlink ref="D148" r:id="rId145"/>
    <hyperlink ref="D149" r:id="rId146"/>
    <hyperlink ref="D150" r:id="rId147"/>
    <hyperlink ref="D151" r:id="rId148"/>
    <hyperlink ref="D152" r:id="rId149"/>
    <hyperlink ref="D153" r:id="rId150"/>
    <hyperlink ref="D154" r:id="rId151"/>
    <hyperlink ref="D155" r:id="rId152"/>
    <hyperlink ref="D156" r:id="rId153"/>
    <hyperlink ref="D157" r:id="rId154"/>
    <hyperlink ref="D158" r:id="rId155"/>
    <hyperlink ref="D159" r:id="rId156"/>
    <hyperlink ref="D160" r:id="rId157"/>
    <hyperlink ref="D161" r:id="rId158"/>
    <hyperlink ref="D162" r:id="rId159"/>
    <hyperlink ref="D163" r:id="rId160"/>
    <hyperlink ref="D164" r:id="rId161"/>
    <hyperlink ref="D165" r:id="rId162"/>
    <hyperlink ref="D166" r:id="rId163"/>
    <hyperlink ref="D167" r:id="rId164"/>
    <hyperlink ref="D168" r:id="rId165"/>
    <hyperlink ref="D169" r:id="rId166"/>
    <hyperlink ref="D170" r:id="rId167"/>
    <hyperlink ref="D171" r:id="rId168"/>
    <hyperlink ref="D172" r:id="rId169"/>
    <hyperlink ref="D173" r:id="rId170"/>
    <hyperlink ref="D174" r:id="rId171"/>
    <hyperlink ref="D175" r:id="rId172"/>
    <hyperlink ref="D176" r:id="rId173"/>
    <hyperlink ref="D177" r:id="rId174"/>
    <hyperlink ref="D178" r:id="rId175"/>
    <hyperlink ref="D179" r:id="rId176"/>
    <hyperlink ref="D180" r:id="rId177"/>
    <hyperlink ref="D181" r:id="rId178"/>
    <hyperlink ref="D182" r:id="rId179"/>
    <hyperlink ref="D183" r:id="rId180"/>
    <hyperlink ref="D184" r:id="rId181"/>
    <hyperlink ref="D185" r:id="rId182"/>
    <hyperlink ref="D186" r:id="rId183"/>
    <hyperlink ref="D187" r:id="rId184"/>
    <hyperlink ref="D188" r:id="rId185"/>
    <hyperlink ref="D189" r:id="rId186"/>
    <hyperlink ref="D190" r:id="rId187"/>
    <hyperlink ref="D191" r:id="rId188"/>
    <hyperlink ref="D192" r:id="rId189"/>
    <hyperlink ref="D193" r:id="rId190"/>
    <hyperlink ref="D194" r:id="rId191"/>
    <hyperlink ref="D195" r:id="rId192"/>
    <hyperlink ref="D196" r:id="rId193"/>
    <hyperlink ref="D197" r:id="rId194"/>
    <hyperlink ref="D198" r:id="rId195"/>
    <hyperlink ref="D199" r:id="rId196"/>
    <hyperlink ref="D200" r:id="rId197"/>
    <hyperlink ref="D201" r:id="rId198"/>
    <hyperlink ref="D202" r:id="rId199"/>
    <hyperlink ref="D203" r:id="rId200"/>
    <hyperlink ref="D204" r:id="rId201"/>
    <hyperlink ref="D205" r:id="rId202"/>
    <hyperlink ref="D206" r:id="rId203"/>
    <hyperlink ref="D207" r:id="rId204"/>
    <hyperlink ref="D208" r:id="rId205"/>
    <hyperlink ref="D209" r:id="rId206"/>
    <hyperlink ref="D210" r:id="rId207"/>
    <hyperlink ref="D211" r:id="rId208"/>
    <hyperlink ref="D212" r:id="rId209"/>
    <hyperlink ref="D213" r:id="rId210"/>
    <hyperlink ref="D214" r:id="rId211"/>
    <hyperlink ref="D215" r:id="rId212"/>
    <hyperlink ref="D216" r:id="rId213"/>
    <hyperlink ref="D217" r:id="rId214"/>
    <hyperlink ref="D218" r:id="rId215"/>
    <hyperlink ref="D219" r:id="rId216"/>
    <hyperlink ref="D220" r:id="rId217"/>
    <hyperlink ref="D221" r:id="rId218"/>
    <hyperlink ref="D222" r:id="rId219"/>
    <hyperlink ref="D223" r:id="rId220"/>
    <hyperlink ref="D224" r:id="rId221"/>
    <hyperlink ref="D225" r:id="rId222"/>
    <hyperlink ref="D226" r:id="rId223"/>
    <hyperlink ref="D227" r:id="rId224"/>
    <hyperlink ref="D228" r:id="rId225"/>
    <hyperlink ref="D229" r:id="rId226"/>
    <hyperlink ref="D230" r:id="rId227"/>
    <hyperlink ref="D231" r:id="rId228"/>
    <hyperlink ref="D232" r:id="rId229"/>
    <hyperlink ref="D233" r:id="rId230"/>
    <hyperlink ref="D234" r:id="rId231"/>
    <hyperlink ref="D235" r:id="rId232"/>
    <hyperlink ref="D236" r:id="rId233"/>
    <hyperlink ref="D237" r:id="rId234"/>
    <hyperlink ref="D238" r:id="rId235"/>
    <hyperlink ref="D239" r:id="rId236"/>
    <hyperlink ref="D240" r:id="rId237"/>
    <hyperlink ref="D241" r:id="rId238"/>
    <hyperlink ref="D242" r:id="rId239"/>
    <hyperlink ref="D243" r:id="rId240"/>
    <hyperlink ref="D244" r:id="rId241"/>
    <hyperlink ref="D245" r:id="rId242"/>
    <hyperlink ref="D246" r:id="rId243"/>
    <hyperlink ref="D247" r:id="rId244"/>
    <hyperlink ref="D248" r:id="rId245"/>
    <hyperlink ref="D249" r:id="rId246"/>
    <hyperlink ref="D250" r:id="rId247"/>
    <hyperlink ref="D251" r:id="rId248"/>
    <hyperlink ref="D252" r:id="rId249"/>
    <hyperlink ref="D253" r:id="rId250"/>
    <hyperlink ref="D254" r:id="rId251"/>
    <hyperlink ref="D255" r:id="rId252"/>
    <hyperlink ref="D256" r:id="rId253"/>
    <hyperlink ref="D257" r:id="rId254"/>
    <hyperlink ref="D258" r:id="rId255"/>
    <hyperlink ref="D259" r:id="rId256"/>
    <hyperlink ref="D260" r:id="rId257"/>
    <hyperlink ref="D261" r:id="rId258"/>
    <hyperlink ref="D262" r:id="rId259"/>
    <hyperlink ref="D263" r:id="rId260"/>
    <hyperlink ref="D264" r:id="rId261"/>
    <hyperlink ref="D265" r:id="rId262"/>
    <hyperlink ref="D266" r:id="rId263"/>
    <hyperlink ref="D267" r:id="rId264"/>
    <hyperlink ref="D268" r:id="rId265"/>
    <hyperlink ref="D269" r:id="rId266"/>
    <hyperlink ref="D270" r:id="rId267"/>
    <hyperlink ref="D271" r:id="rId268"/>
    <hyperlink ref="D272" r:id="rId269"/>
    <hyperlink ref="D273" r:id="rId270"/>
    <hyperlink ref="D274" r:id="rId271"/>
    <hyperlink ref="D275" r:id="rId272"/>
    <hyperlink ref="D276" r:id="rId273"/>
    <hyperlink ref="D277" r:id="rId274"/>
    <hyperlink ref="D278" r:id="rId275"/>
    <hyperlink ref="D279" r:id="rId276"/>
    <hyperlink ref="D280" r:id="rId277"/>
    <hyperlink ref="D281" r:id="rId278"/>
    <hyperlink ref="D282" r:id="rId279"/>
    <hyperlink ref="D283" r:id="rId280"/>
    <hyperlink ref="D284" r:id="rId281"/>
    <hyperlink ref="D285" r:id="rId282"/>
    <hyperlink ref="D286" r:id="rId283"/>
    <hyperlink ref="D287" r:id="rId284"/>
    <hyperlink ref="D288" r:id="rId285"/>
    <hyperlink ref="D289" r:id="rId286"/>
    <hyperlink ref="D290" r:id="rId287"/>
    <hyperlink ref="D291" r:id="rId288"/>
    <hyperlink ref="D292" r:id="rId289"/>
    <hyperlink ref="D293" r:id="rId290"/>
    <hyperlink ref="D294" r:id="rId291"/>
    <hyperlink ref="D295" r:id="rId292"/>
    <hyperlink ref="D296" r:id="rId293"/>
    <hyperlink ref="D297" r:id="rId294"/>
    <hyperlink ref="D298" r:id="rId295"/>
    <hyperlink ref="D299" r:id="rId296"/>
    <hyperlink ref="D300" r:id="rId297"/>
    <hyperlink ref="D301" r:id="rId298"/>
    <hyperlink ref="D302" r:id="rId299"/>
    <hyperlink ref="D303" r:id="rId300"/>
    <hyperlink ref="D304" r:id="rId301"/>
    <hyperlink ref="D305" r:id="rId302"/>
    <hyperlink ref="D306" r:id="rId303"/>
  </hyperlinks>
  <pageMargins left="0.7" right="0.7" top="0.75" bottom="0.75" header="0.3" footer="0.3"/>
  <drawing r:id="rId30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rgb="FF002060"/>
  </sheetPr>
  <dimension ref="A1:O60"/>
  <sheetViews>
    <sheetView workbookViewId="0">
      <selection activeCell="B26" sqref="B26"/>
    </sheetView>
  </sheetViews>
  <sheetFormatPr defaultRowHeight="12" x14ac:dyDescent="0.2"/>
  <cols>
    <col min="1" max="1" width="11.25" style="56" bestFit="1" customWidth="1"/>
    <col min="2" max="2" width="18" style="56" bestFit="1" customWidth="1"/>
    <col min="3" max="3" width="32" style="56" bestFit="1" customWidth="1"/>
    <col min="4" max="4" width="13.25" style="56" bestFit="1" customWidth="1"/>
    <col min="5" max="5" width="31.125" style="56" bestFit="1" customWidth="1"/>
    <col min="6" max="6" width="32" style="56" bestFit="1" customWidth="1"/>
    <col min="7" max="7" width="11.75" style="56" bestFit="1" customWidth="1"/>
    <col min="8" max="8" width="9" style="56" bestFit="1" customWidth="1"/>
    <col min="9" max="9" width="17.875" style="56" bestFit="1" customWidth="1"/>
    <col min="10" max="10" width="20.375" style="56" bestFit="1" customWidth="1"/>
    <col min="11" max="11" width="8.5" style="56" bestFit="1" customWidth="1"/>
    <col min="12" max="12" width="14.125" style="56" bestFit="1" customWidth="1"/>
    <col min="13" max="13" width="14.625" style="56" bestFit="1" customWidth="1"/>
    <col min="14" max="14" width="14.5" style="56" bestFit="1" customWidth="1"/>
    <col min="15" max="15" width="32" style="56" bestFit="1" customWidth="1"/>
    <col min="16" max="16384" width="9" style="56"/>
  </cols>
  <sheetData>
    <row r="1" spans="1:15" ht="27" customHeight="1" x14ac:dyDescent="0.2">
      <c r="A1" s="73"/>
      <c r="B1" s="74"/>
      <c r="C1" s="74"/>
      <c r="D1" s="74"/>
      <c r="E1" s="74"/>
      <c r="F1" s="74"/>
      <c r="G1" s="74"/>
      <c r="H1" s="74"/>
      <c r="I1" s="74"/>
      <c r="J1" s="74"/>
      <c r="K1" s="74"/>
      <c r="L1" s="74"/>
      <c r="M1" s="74"/>
      <c r="N1" s="74"/>
      <c r="O1" s="75"/>
    </row>
    <row r="2" spans="1:15" ht="15" customHeight="1" x14ac:dyDescent="0.2">
      <c r="A2" s="76" t="s">
        <v>836</v>
      </c>
      <c r="B2" s="77"/>
      <c r="C2" s="77"/>
      <c r="D2" s="77"/>
      <c r="E2" s="77"/>
      <c r="F2" s="77"/>
      <c r="G2" s="77"/>
      <c r="H2" s="77"/>
      <c r="I2" s="77"/>
      <c r="J2" s="77"/>
      <c r="K2" s="77"/>
      <c r="L2" s="77"/>
      <c r="M2" s="77"/>
      <c r="N2" s="77"/>
      <c r="O2" s="78"/>
    </row>
    <row r="3" spans="1:15" ht="15" customHeight="1" x14ac:dyDescent="0.2">
      <c r="A3" s="79" t="s">
        <v>4798</v>
      </c>
      <c r="B3" s="80"/>
      <c r="C3" s="80"/>
      <c r="D3" s="80"/>
      <c r="E3" s="80"/>
      <c r="F3" s="80"/>
      <c r="G3" s="80"/>
      <c r="H3" s="80"/>
      <c r="I3" s="80"/>
      <c r="J3" s="80"/>
      <c r="K3" s="80"/>
      <c r="L3" s="80"/>
      <c r="M3" s="80"/>
      <c r="N3" s="80"/>
      <c r="O3" s="81"/>
    </row>
    <row r="4" spans="1:15" ht="15" x14ac:dyDescent="0.2">
      <c r="A4" s="59" t="s">
        <v>4</v>
      </c>
      <c r="B4" s="59" t="s">
        <v>5</v>
      </c>
      <c r="C4" s="59" t="s">
        <v>54</v>
      </c>
      <c r="D4" s="59" t="s">
        <v>6</v>
      </c>
      <c r="E4" s="59" t="s">
        <v>7</v>
      </c>
      <c r="F4" s="59" t="s">
        <v>53</v>
      </c>
      <c r="G4" s="59" t="s">
        <v>8</v>
      </c>
      <c r="H4" s="59" t="s">
        <v>427</v>
      </c>
      <c r="I4" s="59" t="s">
        <v>429</v>
      </c>
      <c r="J4" s="59" t="s">
        <v>428</v>
      </c>
      <c r="K4" s="59" t="s">
        <v>9</v>
      </c>
      <c r="L4" s="59" t="s">
        <v>10</v>
      </c>
      <c r="M4" s="59" t="s">
        <v>52</v>
      </c>
      <c r="N4" s="59" t="s">
        <v>51</v>
      </c>
      <c r="O4" s="59" t="s">
        <v>11</v>
      </c>
    </row>
    <row r="5" spans="1:15" ht="85.5" x14ac:dyDescent="0.2">
      <c r="A5" s="58" t="s">
        <v>18</v>
      </c>
      <c r="B5" s="58" t="s">
        <v>25</v>
      </c>
      <c r="C5" s="57" t="s">
        <v>68</v>
      </c>
      <c r="D5" s="20" t="s">
        <v>69</v>
      </c>
      <c r="E5" s="57" t="s">
        <v>70</v>
      </c>
      <c r="F5" s="57" t="s">
        <v>71</v>
      </c>
      <c r="G5" s="57"/>
      <c r="H5" s="57"/>
      <c r="I5" s="57">
        <v>28800</v>
      </c>
      <c r="J5" s="57">
        <v>28800</v>
      </c>
      <c r="K5" s="57"/>
      <c r="L5" s="57"/>
      <c r="M5" s="57"/>
      <c r="N5" s="57"/>
      <c r="O5" s="57" t="s">
        <v>4797</v>
      </c>
    </row>
    <row r="6" spans="1:15" ht="42.75" x14ac:dyDescent="0.2">
      <c r="A6" s="58" t="s">
        <v>24</v>
      </c>
      <c r="B6" s="58" t="s">
        <v>19</v>
      </c>
      <c r="C6" s="57" t="s">
        <v>210</v>
      </c>
      <c r="D6" s="20" t="s">
        <v>211</v>
      </c>
      <c r="E6" s="57" t="s">
        <v>70</v>
      </c>
      <c r="F6" s="57" t="s">
        <v>212</v>
      </c>
      <c r="G6" s="57"/>
      <c r="H6" s="57"/>
      <c r="I6" s="57"/>
      <c r="J6" s="57"/>
      <c r="K6" s="57"/>
      <c r="L6" s="57"/>
      <c r="M6" s="57"/>
      <c r="N6" s="57"/>
      <c r="O6" s="57" t="s">
        <v>213</v>
      </c>
    </row>
    <row r="7" spans="1:15" ht="28.5" x14ac:dyDescent="0.2">
      <c r="A7" s="58" t="s">
        <v>18</v>
      </c>
      <c r="B7" s="58" t="s">
        <v>20</v>
      </c>
      <c r="C7" s="57" t="s">
        <v>214</v>
      </c>
      <c r="D7" s="20" t="s">
        <v>215</v>
      </c>
      <c r="E7" s="57" t="s">
        <v>70</v>
      </c>
      <c r="F7" s="57" t="s">
        <v>212</v>
      </c>
      <c r="G7" s="57">
        <v>8</v>
      </c>
      <c r="H7" s="57"/>
      <c r="I7" s="57"/>
      <c r="J7" s="57"/>
      <c r="K7" s="57"/>
      <c r="L7" s="57">
        <v>10</v>
      </c>
      <c r="M7" s="57"/>
      <c r="N7" s="57">
        <v>5</v>
      </c>
      <c r="O7" s="57" t="s">
        <v>216</v>
      </c>
    </row>
    <row r="8" spans="1:15" ht="28.5" x14ac:dyDescent="0.2">
      <c r="A8" s="58" t="s">
        <v>18</v>
      </c>
      <c r="B8" s="58" t="s">
        <v>15</v>
      </c>
      <c r="C8" s="57" t="s">
        <v>81</v>
      </c>
      <c r="D8" s="20" t="s">
        <v>82</v>
      </c>
      <c r="E8" s="57" t="s">
        <v>70</v>
      </c>
      <c r="F8" s="57" t="s">
        <v>83</v>
      </c>
      <c r="G8" s="57"/>
      <c r="H8" s="57"/>
      <c r="I8" s="57"/>
      <c r="J8" s="57"/>
      <c r="K8" s="57"/>
      <c r="L8" s="57"/>
      <c r="M8" s="57"/>
      <c r="N8" s="57"/>
      <c r="O8" s="57" t="s">
        <v>84</v>
      </c>
    </row>
    <row r="9" spans="1:15" ht="28.5" x14ac:dyDescent="0.2">
      <c r="A9" s="58" t="s">
        <v>18</v>
      </c>
      <c r="B9" s="58" t="s">
        <v>19</v>
      </c>
      <c r="C9" s="57" t="s">
        <v>115</v>
      </c>
      <c r="D9" s="20" t="s">
        <v>110</v>
      </c>
      <c r="E9" s="57" t="s">
        <v>70</v>
      </c>
      <c r="F9" s="57" t="s">
        <v>114</v>
      </c>
      <c r="G9" s="57"/>
      <c r="H9" s="57"/>
      <c r="I9" s="57"/>
      <c r="J9" s="57"/>
      <c r="K9" s="57"/>
      <c r="L9" s="57"/>
      <c r="M9" s="57"/>
      <c r="N9" s="57"/>
      <c r="O9" s="57" t="s">
        <v>116</v>
      </c>
    </row>
    <row r="10" spans="1:15" ht="28.5" x14ac:dyDescent="0.2">
      <c r="A10" s="58" t="s">
        <v>18</v>
      </c>
      <c r="B10" s="58" t="s">
        <v>20</v>
      </c>
      <c r="C10" s="57" t="s">
        <v>117</v>
      </c>
      <c r="D10" s="20" t="s">
        <v>118</v>
      </c>
      <c r="E10" s="57" t="s">
        <v>70</v>
      </c>
      <c r="F10" s="57" t="s">
        <v>114</v>
      </c>
      <c r="G10" s="57">
        <v>10</v>
      </c>
      <c r="H10" s="57"/>
      <c r="I10" s="57"/>
      <c r="J10" s="57"/>
      <c r="K10" s="57"/>
      <c r="L10" s="57"/>
      <c r="M10" s="57"/>
      <c r="N10" s="57"/>
      <c r="O10" s="57" t="s">
        <v>119</v>
      </c>
    </row>
    <row r="11" spans="1:15" ht="42.75" x14ac:dyDescent="0.2">
      <c r="A11" s="58" t="s">
        <v>18</v>
      </c>
      <c r="B11" s="58" t="s">
        <v>20</v>
      </c>
      <c r="C11" s="57" t="s">
        <v>120</v>
      </c>
      <c r="D11" s="20" t="s">
        <v>121</v>
      </c>
      <c r="E11" s="57" t="s">
        <v>113</v>
      </c>
      <c r="F11" s="57" t="s">
        <v>114</v>
      </c>
      <c r="G11" s="57"/>
      <c r="H11" s="57"/>
      <c r="I11" s="57"/>
      <c r="J11" s="57"/>
      <c r="K11" s="57"/>
      <c r="L11" s="57"/>
      <c r="M11" s="57"/>
      <c r="N11" s="57"/>
      <c r="O11" s="57" t="s">
        <v>122</v>
      </c>
    </row>
    <row r="12" spans="1:15" ht="15" x14ac:dyDescent="0.2">
      <c r="A12" s="58" t="s">
        <v>18</v>
      </c>
      <c r="B12" s="58" t="s">
        <v>15</v>
      </c>
      <c r="C12" s="57" t="s">
        <v>4796</v>
      </c>
      <c r="D12" s="20" t="s">
        <v>4795</v>
      </c>
      <c r="E12" s="57" t="s">
        <v>70</v>
      </c>
      <c r="F12" s="57" t="s">
        <v>291</v>
      </c>
      <c r="G12" s="57"/>
      <c r="H12" s="57"/>
      <c r="I12" s="57"/>
      <c r="J12" s="57"/>
      <c r="K12" s="57"/>
      <c r="L12" s="57"/>
      <c r="M12" s="57"/>
      <c r="N12" s="57"/>
      <c r="O12" s="57" t="s">
        <v>4794</v>
      </c>
    </row>
    <row r="13" spans="1:15" ht="57" x14ac:dyDescent="0.2">
      <c r="A13" s="58" t="s">
        <v>18</v>
      </c>
      <c r="B13" s="58" t="s">
        <v>19</v>
      </c>
      <c r="C13" s="57" t="s">
        <v>289</v>
      </c>
      <c r="D13" s="20" t="s">
        <v>290</v>
      </c>
      <c r="E13" s="57" t="s">
        <v>70</v>
      </c>
      <c r="F13" s="57" t="s">
        <v>291</v>
      </c>
      <c r="G13" s="57"/>
      <c r="H13" s="57"/>
      <c r="I13" s="57"/>
      <c r="J13" s="57"/>
      <c r="K13" s="57"/>
      <c r="L13" s="57">
        <v>0</v>
      </c>
      <c r="M13" s="57"/>
      <c r="N13" s="57">
        <v>0</v>
      </c>
      <c r="O13" s="57" t="s">
        <v>4793</v>
      </c>
    </row>
    <row r="14" spans="1:15" ht="28.5" x14ac:dyDescent="0.2">
      <c r="A14" s="58" t="s">
        <v>24</v>
      </c>
      <c r="B14" s="58" t="s">
        <v>25</v>
      </c>
      <c r="C14" s="57" t="s">
        <v>298</v>
      </c>
      <c r="D14" s="20" t="s">
        <v>299</v>
      </c>
      <c r="E14" s="57" t="s">
        <v>70</v>
      </c>
      <c r="F14" s="57" t="s">
        <v>291</v>
      </c>
      <c r="G14" s="57"/>
      <c r="H14" s="57"/>
      <c r="I14" s="57"/>
      <c r="J14" s="57"/>
      <c r="K14" s="57"/>
      <c r="L14" s="57"/>
      <c r="M14" s="57"/>
      <c r="N14" s="57"/>
      <c r="O14" s="57" t="s">
        <v>4792</v>
      </c>
    </row>
    <row r="15" spans="1:15" ht="28.5" x14ac:dyDescent="0.2">
      <c r="A15" s="58" t="s">
        <v>18</v>
      </c>
      <c r="B15" s="58" t="s">
        <v>15</v>
      </c>
      <c r="C15" s="57" t="s">
        <v>217</v>
      </c>
      <c r="D15" s="20" t="s">
        <v>218</v>
      </c>
      <c r="E15" s="57" t="s">
        <v>70</v>
      </c>
      <c r="F15" s="57" t="s">
        <v>219</v>
      </c>
      <c r="G15" s="57"/>
      <c r="H15" s="57"/>
      <c r="I15" s="57"/>
      <c r="J15" s="57"/>
      <c r="K15" s="57"/>
      <c r="L15" s="57"/>
      <c r="M15" s="57"/>
      <c r="N15" s="57"/>
      <c r="O15" s="57" t="s">
        <v>220</v>
      </c>
    </row>
    <row r="16" spans="1:15" ht="15" x14ac:dyDescent="0.2">
      <c r="A16" s="58" t="s">
        <v>18</v>
      </c>
      <c r="B16" s="58" t="s">
        <v>15</v>
      </c>
      <c r="C16" s="57" t="s">
        <v>4791</v>
      </c>
      <c r="D16" s="20" t="s">
        <v>4790</v>
      </c>
      <c r="E16" s="57" t="s">
        <v>70</v>
      </c>
      <c r="F16" s="57" t="s">
        <v>219</v>
      </c>
      <c r="G16" s="57"/>
      <c r="H16" s="57"/>
      <c r="I16" s="57"/>
      <c r="J16" s="57"/>
      <c r="K16" s="57"/>
      <c r="L16" s="57"/>
      <c r="M16" s="57"/>
      <c r="N16" s="57"/>
      <c r="O16" s="57" t="s">
        <v>4789</v>
      </c>
    </row>
    <row r="17" spans="1:15" ht="28.5" x14ac:dyDescent="0.2">
      <c r="A17" s="58" t="s">
        <v>18</v>
      </c>
      <c r="B17" s="58" t="s">
        <v>15</v>
      </c>
      <c r="C17" s="57" t="s">
        <v>221</v>
      </c>
      <c r="D17" s="20" t="s">
        <v>222</v>
      </c>
      <c r="E17" s="57" t="s">
        <v>70</v>
      </c>
      <c r="F17" s="57" t="s">
        <v>219</v>
      </c>
      <c r="G17" s="57">
        <v>8</v>
      </c>
      <c r="H17" s="57"/>
      <c r="I17" s="57">
        <v>7200</v>
      </c>
      <c r="J17" s="57">
        <v>7200</v>
      </c>
      <c r="K17" s="57"/>
      <c r="L17" s="57"/>
      <c r="M17" s="57"/>
      <c r="N17" s="57"/>
      <c r="O17" s="57" t="s">
        <v>223</v>
      </c>
    </row>
    <row r="18" spans="1:15" ht="42.75" x14ac:dyDescent="0.2">
      <c r="A18" s="58" t="s">
        <v>18</v>
      </c>
      <c r="B18" s="58" t="s">
        <v>15</v>
      </c>
      <c r="C18" s="57" t="s">
        <v>224</v>
      </c>
      <c r="D18" s="20" t="s">
        <v>225</v>
      </c>
      <c r="E18" s="57" t="s">
        <v>70</v>
      </c>
      <c r="F18" s="57" t="s">
        <v>219</v>
      </c>
      <c r="G18" s="57"/>
      <c r="H18" s="57"/>
      <c r="I18" s="57"/>
      <c r="J18" s="57"/>
      <c r="K18" s="57"/>
      <c r="L18" s="57"/>
      <c r="M18" s="57"/>
      <c r="N18" s="57"/>
      <c r="O18" s="57" t="s">
        <v>4788</v>
      </c>
    </row>
    <row r="19" spans="1:15" ht="28.5" x14ac:dyDescent="0.2">
      <c r="A19" s="58" t="s">
        <v>18</v>
      </c>
      <c r="B19" s="58" t="s">
        <v>15</v>
      </c>
      <c r="C19" s="57" t="s">
        <v>227</v>
      </c>
      <c r="D19" s="20" t="s">
        <v>228</v>
      </c>
      <c r="E19" s="57" t="s">
        <v>70</v>
      </c>
      <c r="F19" s="57" t="s">
        <v>219</v>
      </c>
      <c r="G19" s="57">
        <v>8</v>
      </c>
      <c r="H19" s="57"/>
      <c r="I19" s="57"/>
      <c r="J19" s="57"/>
      <c r="K19" s="57"/>
      <c r="L19" s="57"/>
      <c r="M19" s="57"/>
      <c r="N19" s="57"/>
      <c r="O19" s="57" t="s">
        <v>229</v>
      </c>
    </row>
    <row r="20" spans="1:15" ht="15" x14ac:dyDescent="0.2">
      <c r="A20" s="58" t="s">
        <v>18</v>
      </c>
      <c r="B20" s="58" t="s">
        <v>22</v>
      </c>
      <c r="C20" s="57" t="s">
        <v>4787</v>
      </c>
      <c r="D20" s="20" t="s">
        <v>272</v>
      </c>
      <c r="E20" s="57" t="s">
        <v>70</v>
      </c>
      <c r="F20" s="57" t="s">
        <v>273</v>
      </c>
      <c r="G20" s="57"/>
      <c r="H20" s="57"/>
      <c r="I20" s="57"/>
      <c r="J20" s="57"/>
      <c r="K20" s="57"/>
      <c r="L20" s="57"/>
      <c r="M20" s="57"/>
      <c r="N20" s="57"/>
      <c r="O20" s="57" t="s">
        <v>274</v>
      </c>
    </row>
    <row r="21" spans="1:15" ht="15" x14ac:dyDescent="0.2">
      <c r="A21" s="58" t="s">
        <v>18</v>
      </c>
      <c r="B21" s="58" t="s">
        <v>15</v>
      </c>
      <c r="C21" s="57" t="s">
        <v>275</v>
      </c>
      <c r="D21" s="20" t="s">
        <v>276</v>
      </c>
      <c r="E21" s="57" t="s">
        <v>70</v>
      </c>
      <c r="F21" s="57" t="s">
        <v>277</v>
      </c>
      <c r="G21" s="57"/>
      <c r="H21" s="57"/>
      <c r="I21" s="57"/>
      <c r="J21" s="57"/>
      <c r="K21" s="57"/>
      <c r="L21" s="57"/>
      <c r="M21" s="57"/>
      <c r="N21" s="57"/>
      <c r="O21" s="57" t="s">
        <v>278</v>
      </c>
    </row>
    <row r="22" spans="1:15" ht="28.5" x14ac:dyDescent="0.2">
      <c r="A22" s="58" t="s">
        <v>18</v>
      </c>
      <c r="B22" s="58" t="s">
        <v>15</v>
      </c>
      <c r="C22" s="57" t="s">
        <v>279</v>
      </c>
      <c r="D22" s="20" t="s">
        <v>280</v>
      </c>
      <c r="E22" s="57" t="s">
        <v>113</v>
      </c>
      <c r="F22" s="57" t="s">
        <v>277</v>
      </c>
      <c r="G22" s="57"/>
      <c r="H22" s="57"/>
      <c r="I22" s="57"/>
      <c r="J22" s="57"/>
      <c r="K22" s="57"/>
      <c r="L22" s="57"/>
      <c r="M22" s="57"/>
      <c r="N22" s="57"/>
      <c r="O22" s="57" t="s">
        <v>281</v>
      </c>
    </row>
    <row r="23" spans="1:15" ht="57" x14ac:dyDescent="0.2">
      <c r="A23" s="58" t="s">
        <v>24</v>
      </c>
      <c r="B23" s="58" t="s">
        <v>19</v>
      </c>
      <c r="C23" s="57" t="s">
        <v>285</v>
      </c>
      <c r="D23" s="20" t="s">
        <v>286</v>
      </c>
      <c r="E23" s="57" t="s">
        <v>113</v>
      </c>
      <c r="F23" s="57" t="s">
        <v>287</v>
      </c>
      <c r="G23" s="57"/>
      <c r="H23" s="57"/>
      <c r="I23" s="57"/>
      <c r="J23" s="57"/>
      <c r="K23" s="57"/>
      <c r="L23" s="57"/>
      <c r="M23" s="57"/>
      <c r="N23" s="57"/>
      <c r="O23" s="57" t="s">
        <v>4786</v>
      </c>
    </row>
    <row r="24" spans="1:15" ht="28.5" x14ac:dyDescent="0.2">
      <c r="A24" s="58" t="s">
        <v>18</v>
      </c>
      <c r="B24" s="58" t="s">
        <v>20</v>
      </c>
      <c r="C24" s="57" t="s">
        <v>293</v>
      </c>
      <c r="D24" s="20" t="s">
        <v>296</v>
      </c>
      <c r="E24" s="57" t="s">
        <v>70</v>
      </c>
      <c r="F24" s="57" t="s">
        <v>852</v>
      </c>
      <c r="G24" s="57"/>
      <c r="H24" s="57"/>
      <c r="I24" s="57"/>
      <c r="J24" s="57"/>
      <c r="K24" s="57"/>
      <c r="L24" s="57"/>
      <c r="M24" s="57"/>
      <c r="N24" s="57"/>
      <c r="O24" s="57" t="s">
        <v>4785</v>
      </c>
    </row>
    <row r="25" spans="1:15" ht="15" x14ac:dyDescent="0.2">
      <c r="A25" s="58" t="s">
        <v>18</v>
      </c>
      <c r="B25" s="58" t="s">
        <v>20</v>
      </c>
      <c r="C25" s="57" t="s">
        <v>282</v>
      </c>
      <c r="D25" s="20" t="s">
        <v>283</v>
      </c>
      <c r="E25" s="57" t="s">
        <v>70</v>
      </c>
      <c r="F25" s="57" t="s">
        <v>852</v>
      </c>
      <c r="G25" s="57"/>
      <c r="H25" s="57"/>
      <c r="I25" s="57"/>
      <c r="J25" s="57"/>
      <c r="K25" s="57"/>
      <c r="L25" s="57"/>
      <c r="M25" s="57"/>
      <c r="N25" s="57"/>
      <c r="O25" s="57" t="s">
        <v>284</v>
      </c>
    </row>
    <row r="26" spans="1:15" ht="57" x14ac:dyDescent="0.2">
      <c r="A26" s="58" t="s">
        <v>18</v>
      </c>
      <c r="B26" s="58" t="s">
        <v>23</v>
      </c>
      <c r="C26" s="57" t="s">
        <v>301</v>
      </c>
      <c r="D26" s="20" t="s">
        <v>302</v>
      </c>
      <c r="E26" s="57" t="s">
        <v>70</v>
      </c>
      <c r="F26" s="57" t="s">
        <v>852</v>
      </c>
      <c r="G26" s="57"/>
      <c r="H26" s="57"/>
      <c r="I26" s="57"/>
      <c r="J26" s="57"/>
      <c r="K26" s="57"/>
      <c r="L26" s="57"/>
      <c r="M26" s="57"/>
      <c r="N26" s="57"/>
      <c r="O26" s="57" t="s">
        <v>4784</v>
      </c>
    </row>
    <row r="27" spans="1:15" ht="28.5" x14ac:dyDescent="0.2">
      <c r="A27" s="58" t="s">
        <v>18</v>
      </c>
      <c r="B27" s="58" t="s">
        <v>19</v>
      </c>
      <c r="C27" s="57" t="s">
        <v>304</v>
      </c>
      <c r="D27" s="20" t="s">
        <v>234</v>
      </c>
      <c r="E27" s="57" t="s">
        <v>70</v>
      </c>
      <c r="F27" s="57" t="s">
        <v>852</v>
      </c>
      <c r="G27" s="57"/>
      <c r="H27" s="57"/>
      <c r="I27" s="57"/>
      <c r="J27" s="57"/>
      <c r="K27" s="57"/>
      <c r="L27" s="57"/>
      <c r="M27" s="57"/>
      <c r="N27" s="57"/>
      <c r="O27" s="57" t="s">
        <v>305</v>
      </c>
    </row>
    <row r="28" spans="1:15" ht="42.75" x14ac:dyDescent="0.2">
      <c r="A28" s="58" t="s">
        <v>18</v>
      </c>
      <c r="B28" s="58" t="s">
        <v>21</v>
      </c>
      <c r="C28" s="57" t="s">
        <v>306</v>
      </c>
      <c r="D28" s="20" t="s">
        <v>307</v>
      </c>
      <c r="E28" s="57" t="s">
        <v>70</v>
      </c>
      <c r="F28" s="57" t="s">
        <v>852</v>
      </c>
      <c r="G28" s="57"/>
      <c r="H28" s="57"/>
      <c r="I28" s="57"/>
      <c r="J28" s="57"/>
      <c r="K28" s="57"/>
      <c r="L28" s="57"/>
      <c r="M28" s="57"/>
      <c r="N28" s="57"/>
      <c r="O28" s="57" t="s">
        <v>308</v>
      </c>
    </row>
    <row r="29" spans="1:15" ht="28.5" x14ac:dyDescent="0.2">
      <c r="A29" s="58" t="s">
        <v>18</v>
      </c>
      <c r="B29" s="58" t="s">
        <v>23</v>
      </c>
      <c r="C29" s="57" t="s">
        <v>309</v>
      </c>
      <c r="D29" s="20" t="s">
        <v>310</v>
      </c>
      <c r="E29" s="57" t="s">
        <v>70</v>
      </c>
      <c r="F29" s="57" t="s">
        <v>852</v>
      </c>
      <c r="G29" s="57"/>
      <c r="H29" s="57"/>
      <c r="I29" s="57"/>
      <c r="J29" s="57"/>
      <c r="K29" s="57"/>
      <c r="L29" s="57"/>
      <c r="M29" s="57"/>
      <c r="N29" s="57"/>
      <c r="O29" s="57" t="s">
        <v>4783</v>
      </c>
    </row>
    <row r="30" spans="1:15" ht="28.5" x14ac:dyDescent="0.2">
      <c r="A30" s="58" t="s">
        <v>18</v>
      </c>
      <c r="B30" s="58" t="s">
        <v>20</v>
      </c>
      <c r="C30" s="57" t="s">
        <v>330</v>
      </c>
      <c r="D30" s="20" t="s">
        <v>331</v>
      </c>
      <c r="E30" s="57" t="s">
        <v>70</v>
      </c>
      <c r="F30" s="57"/>
      <c r="G30" s="57"/>
      <c r="H30" s="57"/>
      <c r="I30" s="57"/>
      <c r="J30" s="57"/>
      <c r="K30" s="57"/>
      <c r="L30" s="57"/>
      <c r="M30" s="57"/>
      <c r="N30" s="57"/>
      <c r="O30" s="57" t="s">
        <v>4782</v>
      </c>
    </row>
    <row r="31" spans="1:15" ht="15" x14ac:dyDescent="0.2">
      <c r="A31" s="58" t="s">
        <v>18</v>
      </c>
      <c r="B31" s="58" t="s">
        <v>21</v>
      </c>
      <c r="C31" s="57" t="s">
        <v>333</v>
      </c>
      <c r="D31" s="20" t="s">
        <v>329</v>
      </c>
      <c r="E31" s="57" t="s">
        <v>70</v>
      </c>
      <c r="F31" s="57"/>
      <c r="G31" s="57">
        <v>13</v>
      </c>
      <c r="H31" s="57"/>
      <c r="I31" s="57"/>
      <c r="J31" s="57"/>
      <c r="K31" s="57"/>
      <c r="L31" s="57"/>
      <c r="M31" s="57"/>
      <c r="N31" s="57"/>
      <c r="O31" s="57" t="s">
        <v>334</v>
      </c>
    </row>
    <row r="32" spans="1:15" ht="15" x14ac:dyDescent="0.2">
      <c r="A32" s="58" t="s">
        <v>24</v>
      </c>
      <c r="B32" s="58" t="s">
        <v>19</v>
      </c>
      <c r="C32" s="57" t="s">
        <v>335</v>
      </c>
      <c r="D32" s="20" t="s">
        <v>336</v>
      </c>
      <c r="E32" s="57" t="s">
        <v>70</v>
      </c>
      <c r="F32" s="57"/>
      <c r="G32" s="57"/>
      <c r="H32" s="57"/>
      <c r="I32" s="57"/>
      <c r="J32" s="57"/>
      <c r="K32" s="57"/>
      <c r="L32" s="57"/>
      <c r="M32" s="57"/>
      <c r="N32" s="57"/>
      <c r="O32" s="57"/>
    </row>
    <row r="33" spans="1:15" ht="15" x14ac:dyDescent="0.2">
      <c r="A33" s="58" t="s">
        <v>24</v>
      </c>
      <c r="B33" s="58" t="s">
        <v>20</v>
      </c>
      <c r="C33" s="57" t="s">
        <v>337</v>
      </c>
      <c r="D33" s="20" t="s">
        <v>250</v>
      </c>
      <c r="E33" s="57" t="s">
        <v>70</v>
      </c>
      <c r="F33" s="57"/>
      <c r="G33" s="57"/>
      <c r="H33" s="57"/>
      <c r="I33" s="57"/>
      <c r="J33" s="57"/>
      <c r="K33" s="57"/>
      <c r="L33" s="57"/>
      <c r="M33" s="57"/>
      <c r="N33" s="57"/>
      <c r="O33" s="57" t="s">
        <v>248</v>
      </c>
    </row>
    <row r="34" spans="1:15" ht="15" x14ac:dyDescent="0.2">
      <c r="A34" s="58" t="s">
        <v>24</v>
      </c>
      <c r="B34" s="58" t="s">
        <v>20</v>
      </c>
      <c r="C34" s="57" t="s">
        <v>338</v>
      </c>
      <c r="D34" s="20" t="s">
        <v>339</v>
      </c>
      <c r="E34" s="57" t="s">
        <v>70</v>
      </c>
      <c r="F34" s="57"/>
      <c r="G34" s="57"/>
      <c r="H34" s="57"/>
      <c r="I34" s="57"/>
      <c r="J34" s="57"/>
      <c r="K34" s="57"/>
      <c r="L34" s="57"/>
      <c r="M34" s="57"/>
      <c r="N34" s="57"/>
      <c r="O34" s="57"/>
    </row>
    <row r="35" spans="1:15" ht="28.5" x14ac:dyDescent="0.2">
      <c r="A35" s="58" t="s">
        <v>18</v>
      </c>
      <c r="B35" s="58" t="s">
        <v>19</v>
      </c>
      <c r="C35" s="57" t="s">
        <v>340</v>
      </c>
      <c r="D35" s="20" t="s">
        <v>341</v>
      </c>
      <c r="E35" s="57" t="s">
        <v>70</v>
      </c>
      <c r="F35" s="57"/>
      <c r="G35" s="57">
        <v>13</v>
      </c>
      <c r="H35" s="57"/>
      <c r="I35" s="57"/>
      <c r="J35" s="57"/>
      <c r="K35" s="57"/>
      <c r="L35" s="57"/>
      <c r="M35" s="57"/>
      <c r="N35" s="57"/>
      <c r="O35" s="57" t="s">
        <v>342</v>
      </c>
    </row>
    <row r="36" spans="1:15" ht="28.5" x14ac:dyDescent="0.2">
      <c r="A36" s="58" t="s">
        <v>18</v>
      </c>
      <c r="B36" s="58" t="s">
        <v>19</v>
      </c>
      <c r="C36" s="57" t="s">
        <v>85</v>
      </c>
      <c r="D36" s="20" t="s">
        <v>88</v>
      </c>
      <c r="E36" s="57" t="s">
        <v>70</v>
      </c>
      <c r="F36" s="57"/>
      <c r="G36" s="57">
        <v>5</v>
      </c>
      <c r="H36" s="57"/>
      <c r="I36" s="57"/>
      <c r="J36" s="57"/>
      <c r="K36" s="57"/>
      <c r="L36" s="57"/>
      <c r="M36" s="57"/>
      <c r="N36" s="57"/>
      <c r="O36" s="57" t="s">
        <v>343</v>
      </c>
    </row>
    <row r="37" spans="1:15" ht="57" x14ac:dyDescent="0.2">
      <c r="A37" s="58" t="s">
        <v>18</v>
      </c>
      <c r="B37" s="58" t="s">
        <v>19</v>
      </c>
      <c r="C37" s="57" t="s">
        <v>344</v>
      </c>
      <c r="D37" s="20" t="s">
        <v>96</v>
      </c>
      <c r="E37" s="57" t="s">
        <v>70</v>
      </c>
      <c r="F37" s="57"/>
      <c r="G37" s="57">
        <v>13</v>
      </c>
      <c r="H37" s="57"/>
      <c r="I37" s="57"/>
      <c r="J37" s="57"/>
      <c r="K37" s="57"/>
      <c r="L37" s="57"/>
      <c r="M37" s="57"/>
      <c r="N37" s="57"/>
      <c r="O37" s="57" t="s">
        <v>4781</v>
      </c>
    </row>
    <row r="38" spans="1:15" ht="15" x14ac:dyDescent="0.2">
      <c r="A38" s="58" t="s">
        <v>18</v>
      </c>
      <c r="B38" s="58" t="s">
        <v>15</v>
      </c>
      <c r="C38" s="57" t="s">
        <v>351</v>
      </c>
      <c r="D38" s="20" t="s">
        <v>201</v>
      </c>
      <c r="E38" s="57" t="s">
        <v>70</v>
      </c>
      <c r="F38" s="57"/>
      <c r="G38" s="57">
        <v>5</v>
      </c>
      <c r="H38" s="57"/>
      <c r="I38" s="57"/>
      <c r="J38" s="57"/>
      <c r="K38" s="57"/>
      <c r="L38" s="57"/>
      <c r="M38" s="57"/>
      <c r="N38" s="57"/>
      <c r="O38" s="57" t="s">
        <v>352</v>
      </c>
    </row>
    <row r="39" spans="1:15" ht="28.5" x14ac:dyDescent="0.2">
      <c r="A39" s="58" t="s">
        <v>18</v>
      </c>
      <c r="B39" s="58" t="s">
        <v>20</v>
      </c>
      <c r="C39" s="57" t="s">
        <v>353</v>
      </c>
      <c r="D39" s="20" t="s">
        <v>315</v>
      </c>
      <c r="E39" s="57" t="s">
        <v>70</v>
      </c>
      <c r="F39" s="57"/>
      <c r="G39" s="57"/>
      <c r="H39" s="57"/>
      <c r="I39" s="57"/>
      <c r="J39" s="57"/>
      <c r="K39" s="57"/>
      <c r="L39" s="57"/>
      <c r="M39" s="57"/>
      <c r="N39" s="57"/>
      <c r="O39" s="57" t="s">
        <v>354</v>
      </c>
    </row>
    <row r="40" spans="1:15" ht="15" x14ac:dyDescent="0.2">
      <c r="A40" s="58" t="s">
        <v>18</v>
      </c>
      <c r="B40" s="58" t="s">
        <v>19</v>
      </c>
      <c r="C40" s="57" t="s">
        <v>355</v>
      </c>
      <c r="D40" s="20" t="s">
        <v>149</v>
      </c>
      <c r="E40" s="57" t="s">
        <v>70</v>
      </c>
      <c r="F40" s="57"/>
      <c r="G40" s="57"/>
      <c r="H40" s="57"/>
      <c r="I40" s="57"/>
      <c r="J40" s="57"/>
      <c r="K40" s="57"/>
      <c r="L40" s="57"/>
      <c r="M40" s="57"/>
      <c r="N40" s="57"/>
      <c r="O40" s="57" t="s">
        <v>356</v>
      </c>
    </row>
    <row r="41" spans="1:15" ht="28.5" x14ac:dyDescent="0.2">
      <c r="A41" s="58" t="s">
        <v>18</v>
      </c>
      <c r="B41" s="58" t="s">
        <v>19</v>
      </c>
      <c r="C41" s="57" t="s">
        <v>355</v>
      </c>
      <c r="D41" s="20" t="s">
        <v>133</v>
      </c>
      <c r="E41" s="57" t="s">
        <v>70</v>
      </c>
      <c r="F41" s="57"/>
      <c r="G41" s="57"/>
      <c r="H41" s="57"/>
      <c r="I41" s="57"/>
      <c r="J41" s="57"/>
      <c r="K41" s="57"/>
      <c r="L41" s="57"/>
      <c r="M41" s="57"/>
      <c r="N41" s="57"/>
      <c r="O41" s="57" t="s">
        <v>854</v>
      </c>
    </row>
    <row r="42" spans="1:15" ht="28.5" x14ac:dyDescent="0.2">
      <c r="A42" s="58" t="s">
        <v>18</v>
      </c>
      <c r="B42" s="58" t="s">
        <v>19</v>
      </c>
      <c r="C42" s="57" t="s">
        <v>358</v>
      </c>
      <c r="D42" s="20" t="s">
        <v>129</v>
      </c>
      <c r="E42" s="57" t="s">
        <v>359</v>
      </c>
      <c r="F42" s="57"/>
      <c r="G42" s="57"/>
      <c r="H42" s="57"/>
      <c r="I42" s="57"/>
      <c r="J42" s="57"/>
      <c r="K42" s="57"/>
      <c r="L42" s="57"/>
      <c r="M42" s="57"/>
      <c r="N42" s="57"/>
      <c r="O42" s="57" t="s">
        <v>360</v>
      </c>
    </row>
    <row r="43" spans="1:15" ht="15" x14ac:dyDescent="0.2">
      <c r="A43" s="58" t="s">
        <v>18</v>
      </c>
      <c r="B43" s="58" t="s">
        <v>15</v>
      </c>
      <c r="C43" s="57" t="s">
        <v>361</v>
      </c>
      <c r="D43" s="20" t="s">
        <v>362</v>
      </c>
      <c r="E43" s="57" t="s">
        <v>70</v>
      </c>
      <c r="F43" s="57"/>
      <c r="G43" s="57"/>
      <c r="H43" s="57"/>
      <c r="I43" s="57"/>
      <c r="J43" s="57"/>
      <c r="K43" s="57"/>
      <c r="L43" s="57"/>
      <c r="M43" s="57"/>
      <c r="N43" s="57"/>
      <c r="O43" s="57" t="s">
        <v>4780</v>
      </c>
    </row>
    <row r="44" spans="1:15" ht="15" x14ac:dyDescent="0.2">
      <c r="A44" s="58" t="s">
        <v>18</v>
      </c>
      <c r="B44" s="58" t="s">
        <v>21</v>
      </c>
      <c r="C44" s="57" t="s">
        <v>293</v>
      </c>
      <c r="D44" s="20" t="s">
        <v>294</v>
      </c>
      <c r="E44" s="57" t="s">
        <v>70</v>
      </c>
      <c r="F44" s="57"/>
      <c r="G44" s="57"/>
      <c r="H44" s="57"/>
      <c r="I44" s="57"/>
      <c r="J44" s="57"/>
      <c r="K44" s="57"/>
      <c r="L44" s="57"/>
      <c r="M44" s="57"/>
      <c r="N44" s="57"/>
      <c r="O44" s="57" t="s">
        <v>295</v>
      </c>
    </row>
    <row r="45" spans="1:15" ht="28.5" x14ac:dyDescent="0.2">
      <c r="A45" s="58" t="s">
        <v>18</v>
      </c>
      <c r="B45" s="58" t="s">
        <v>20</v>
      </c>
      <c r="C45" s="57" t="s">
        <v>363</v>
      </c>
      <c r="D45" s="20" t="s">
        <v>364</v>
      </c>
      <c r="E45" s="57" t="s">
        <v>70</v>
      </c>
      <c r="F45" s="57"/>
      <c r="G45" s="57"/>
      <c r="H45" s="57"/>
      <c r="I45" s="57"/>
      <c r="J45" s="57"/>
      <c r="K45" s="57"/>
      <c r="L45" s="57"/>
      <c r="M45" s="57"/>
      <c r="N45" s="57"/>
      <c r="O45" s="57" t="s">
        <v>365</v>
      </c>
    </row>
    <row r="46" spans="1:15" ht="15" x14ac:dyDescent="0.2">
      <c r="A46" s="58" t="s">
        <v>18</v>
      </c>
      <c r="B46" s="58" t="s">
        <v>19</v>
      </c>
      <c r="C46" s="57" t="s">
        <v>366</v>
      </c>
      <c r="D46" s="20" t="s">
        <v>367</v>
      </c>
      <c r="E46" s="57" t="s">
        <v>70</v>
      </c>
      <c r="F46" s="57"/>
      <c r="G46" s="57"/>
      <c r="H46" s="57"/>
      <c r="I46" s="57"/>
      <c r="J46" s="57"/>
      <c r="K46" s="57"/>
      <c r="L46" s="57"/>
      <c r="M46" s="57"/>
      <c r="N46" s="57"/>
      <c r="O46" s="57" t="s">
        <v>368</v>
      </c>
    </row>
    <row r="47" spans="1:15" ht="57" x14ac:dyDescent="0.2">
      <c r="A47" s="58" t="s">
        <v>24</v>
      </c>
      <c r="B47" s="58" t="s">
        <v>25</v>
      </c>
      <c r="C47" s="57" t="s">
        <v>369</v>
      </c>
      <c r="D47" s="20" t="s">
        <v>76</v>
      </c>
      <c r="E47" s="57" t="s">
        <v>70</v>
      </c>
      <c r="F47" s="57"/>
      <c r="G47" s="57"/>
      <c r="H47" s="57"/>
      <c r="I47" s="57"/>
      <c r="J47" s="57"/>
      <c r="K47" s="57"/>
      <c r="L47" s="57"/>
      <c r="M47" s="57"/>
      <c r="N47" s="57"/>
      <c r="O47" s="57" t="s">
        <v>370</v>
      </c>
    </row>
    <row r="48" spans="1:15" ht="15" x14ac:dyDescent="0.2">
      <c r="A48" s="58" t="s">
        <v>18</v>
      </c>
      <c r="B48" s="58" t="s">
        <v>15</v>
      </c>
      <c r="C48" s="57" t="s">
        <v>371</v>
      </c>
      <c r="D48" s="20" t="s">
        <v>204</v>
      </c>
      <c r="E48" s="57" t="s">
        <v>70</v>
      </c>
      <c r="F48" s="57"/>
      <c r="G48" s="57">
        <v>3</v>
      </c>
      <c r="H48" s="57"/>
      <c r="I48" s="57"/>
      <c r="J48" s="57"/>
      <c r="K48" s="57"/>
      <c r="L48" s="57"/>
      <c r="M48" s="57"/>
      <c r="N48" s="57"/>
      <c r="O48" s="57" t="s">
        <v>372</v>
      </c>
    </row>
    <row r="49" spans="1:15" ht="15" x14ac:dyDescent="0.2">
      <c r="A49" s="58" t="s">
        <v>18</v>
      </c>
      <c r="B49" s="58" t="s">
        <v>19</v>
      </c>
      <c r="C49" s="57" t="s">
        <v>373</v>
      </c>
      <c r="D49" s="20" t="s">
        <v>198</v>
      </c>
      <c r="E49" s="57" t="s">
        <v>70</v>
      </c>
      <c r="F49" s="57"/>
      <c r="G49" s="57">
        <v>5</v>
      </c>
      <c r="H49" s="57"/>
      <c r="I49" s="57"/>
      <c r="J49" s="57"/>
      <c r="K49" s="57"/>
      <c r="L49" s="57"/>
      <c r="M49" s="57"/>
      <c r="N49" s="57"/>
      <c r="O49" s="57" t="s">
        <v>374</v>
      </c>
    </row>
    <row r="50" spans="1:15" ht="28.5" x14ac:dyDescent="0.2">
      <c r="A50" s="58" t="s">
        <v>18</v>
      </c>
      <c r="B50" s="58" t="s">
        <v>20</v>
      </c>
      <c r="C50" s="57" t="s">
        <v>375</v>
      </c>
      <c r="D50" s="20" t="s">
        <v>376</v>
      </c>
      <c r="E50" s="57" t="s">
        <v>70</v>
      </c>
      <c r="F50" s="57"/>
      <c r="G50" s="57"/>
      <c r="H50" s="57"/>
      <c r="I50" s="57"/>
      <c r="J50" s="57"/>
      <c r="K50" s="57"/>
      <c r="L50" s="57"/>
      <c r="M50" s="57"/>
      <c r="N50" s="57"/>
      <c r="O50" s="57" t="s">
        <v>239</v>
      </c>
    </row>
    <row r="51" spans="1:15" ht="42.75" x14ac:dyDescent="0.2">
      <c r="A51" s="58" t="s">
        <v>18</v>
      </c>
      <c r="B51" s="58" t="s">
        <v>19</v>
      </c>
      <c r="C51" s="57" t="s">
        <v>377</v>
      </c>
      <c r="D51" s="20" t="s">
        <v>91</v>
      </c>
      <c r="E51" s="57" t="s">
        <v>70</v>
      </c>
      <c r="F51" s="57"/>
      <c r="G51" s="57">
        <v>13</v>
      </c>
      <c r="H51" s="57"/>
      <c r="I51" s="57"/>
      <c r="J51" s="57"/>
      <c r="K51" s="57"/>
      <c r="L51" s="57"/>
      <c r="M51" s="57"/>
      <c r="N51" s="57"/>
      <c r="O51" s="57" t="s">
        <v>378</v>
      </c>
    </row>
    <row r="52" spans="1:15" ht="28.5" x14ac:dyDescent="0.2">
      <c r="A52" s="58" t="s">
        <v>18</v>
      </c>
      <c r="B52" s="58" t="s">
        <v>19</v>
      </c>
      <c r="C52" s="57" t="s">
        <v>833</v>
      </c>
      <c r="D52" s="20" t="s">
        <v>796</v>
      </c>
      <c r="E52" s="57" t="s">
        <v>70</v>
      </c>
      <c r="F52" s="57"/>
      <c r="G52" s="57"/>
      <c r="H52" s="57"/>
      <c r="I52" s="57"/>
      <c r="J52" s="57"/>
      <c r="K52" s="57"/>
      <c r="L52" s="57"/>
      <c r="M52" s="57"/>
      <c r="N52" s="57"/>
      <c r="O52" s="57" t="s">
        <v>832</v>
      </c>
    </row>
    <row r="53" spans="1:15" ht="15" x14ac:dyDescent="0.2">
      <c r="A53" s="58" t="s">
        <v>18</v>
      </c>
      <c r="B53" s="58" t="s">
        <v>15</v>
      </c>
      <c r="C53" s="57" t="s">
        <v>379</v>
      </c>
      <c r="D53" s="20" t="s">
        <v>181</v>
      </c>
      <c r="E53" s="57" t="s">
        <v>70</v>
      </c>
      <c r="F53" s="57"/>
      <c r="G53" s="57">
        <v>3</v>
      </c>
      <c r="H53" s="57"/>
      <c r="I53" s="57"/>
      <c r="J53" s="57"/>
      <c r="K53" s="57"/>
      <c r="L53" s="57"/>
      <c r="M53" s="57"/>
      <c r="N53" s="57"/>
      <c r="O53" s="57" t="s">
        <v>380</v>
      </c>
    </row>
    <row r="54" spans="1:15" ht="15" x14ac:dyDescent="0.2">
      <c r="A54" s="58" t="s">
        <v>18</v>
      </c>
      <c r="B54" s="58" t="s">
        <v>21</v>
      </c>
      <c r="C54" s="57" t="s">
        <v>207</v>
      </c>
      <c r="D54" s="20" t="s">
        <v>209</v>
      </c>
      <c r="E54" s="57" t="s">
        <v>70</v>
      </c>
      <c r="F54" s="57"/>
      <c r="G54" s="57">
        <v>8</v>
      </c>
      <c r="H54" s="57"/>
      <c r="I54" s="57"/>
      <c r="J54" s="57"/>
      <c r="K54" s="57"/>
      <c r="L54" s="57"/>
      <c r="M54" s="57"/>
      <c r="N54" s="57"/>
      <c r="O54" s="57" t="s">
        <v>208</v>
      </c>
    </row>
    <row r="55" spans="1:15" ht="28.5" x14ac:dyDescent="0.2">
      <c r="A55" s="58" t="s">
        <v>18</v>
      </c>
      <c r="B55" s="58" t="s">
        <v>15</v>
      </c>
      <c r="C55" s="57" t="s">
        <v>384</v>
      </c>
      <c r="D55" s="20" t="s">
        <v>385</v>
      </c>
      <c r="E55" s="57" t="s">
        <v>70</v>
      </c>
      <c r="F55" s="57"/>
      <c r="G55" s="57"/>
      <c r="H55" s="57"/>
      <c r="I55" s="57"/>
      <c r="J55" s="57"/>
      <c r="K55" s="57"/>
      <c r="L55" s="57"/>
      <c r="M55" s="57"/>
      <c r="N55" s="57"/>
      <c r="O55" s="57" t="s">
        <v>4779</v>
      </c>
    </row>
    <row r="56" spans="1:15" ht="28.5" x14ac:dyDescent="0.2">
      <c r="A56" s="58" t="s">
        <v>18</v>
      </c>
      <c r="B56" s="58" t="s">
        <v>19</v>
      </c>
      <c r="C56" s="57" t="s">
        <v>387</v>
      </c>
      <c r="D56" s="20" t="s">
        <v>159</v>
      </c>
      <c r="E56" s="57" t="s">
        <v>70</v>
      </c>
      <c r="F56" s="57"/>
      <c r="G56" s="57"/>
      <c r="H56" s="57"/>
      <c r="I56" s="57"/>
      <c r="J56" s="57"/>
      <c r="K56" s="57"/>
      <c r="L56" s="57"/>
      <c r="M56" s="57"/>
      <c r="N56" s="57"/>
      <c r="O56" s="57" t="s">
        <v>4778</v>
      </c>
    </row>
    <row r="57" spans="1:15" ht="28.5" x14ac:dyDescent="0.2">
      <c r="A57" s="58" t="s">
        <v>18</v>
      </c>
      <c r="B57" s="58" t="s">
        <v>19</v>
      </c>
      <c r="C57" s="57" t="s">
        <v>99</v>
      </c>
      <c r="D57" s="20" t="s">
        <v>101</v>
      </c>
      <c r="E57" s="57" t="s">
        <v>70</v>
      </c>
      <c r="F57" s="57"/>
      <c r="G57" s="57">
        <v>5</v>
      </c>
      <c r="H57" s="57"/>
      <c r="I57" s="57"/>
      <c r="J57" s="57"/>
      <c r="K57" s="57"/>
      <c r="L57" s="57"/>
      <c r="M57" s="57"/>
      <c r="N57" s="57"/>
      <c r="O57" s="57" t="s">
        <v>100</v>
      </c>
    </row>
    <row r="58" spans="1:15" ht="15" x14ac:dyDescent="0.2">
      <c r="A58" s="58" t="s">
        <v>18</v>
      </c>
      <c r="B58" s="58" t="s">
        <v>19</v>
      </c>
      <c r="C58" s="57" t="s">
        <v>392</v>
      </c>
      <c r="D58" s="20" t="s">
        <v>155</v>
      </c>
      <c r="E58" s="57" t="s">
        <v>70</v>
      </c>
      <c r="F58" s="57"/>
      <c r="G58" s="57"/>
      <c r="H58" s="57"/>
      <c r="I58" s="57"/>
      <c r="J58" s="57"/>
      <c r="K58" s="57"/>
      <c r="L58" s="57"/>
      <c r="M58" s="57"/>
      <c r="N58" s="57"/>
      <c r="O58" s="57" t="s">
        <v>393</v>
      </c>
    </row>
    <row r="59" spans="1:15" ht="15" x14ac:dyDescent="0.2">
      <c r="A59" s="58" t="s">
        <v>18</v>
      </c>
      <c r="B59" s="58" t="s">
        <v>15</v>
      </c>
      <c r="C59" s="57" t="s">
        <v>392</v>
      </c>
      <c r="D59" s="20" t="s">
        <v>394</v>
      </c>
      <c r="E59" s="57" t="s">
        <v>70</v>
      </c>
      <c r="F59" s="57"/>
      <c r="G59" s="57"/>
      <c r="H59" s="57"/>
      <c r="I59" s="57"/>
      <c r="J59" s="57"/>
      <c r="K59" s="57"/>
      <c r="L59" s="57"/>
      <c r="M59" s="57"/>
      <c r="N59" s="57"/>
      <c r="O59" s="57" t="s">
        <v>395</v>
      </c>
    </row>
    <row r="60" spans="1:15" x14ac:dyDescent="0.2">
      <c r="A60" s="82" t="s">
        <v>4777</v>
      </c>
      <c r="B60" s="83"/>
      <c r="C60" s="83"/>
      <c r="D60" s="83"/>
      <c r="E60" s="83"/>
      <c r="F60" s="83"/>
      <c r="G60" s="83"/>
      <c r="H60" s="83"/>
      <c r="I60" s="83"/>
      <c r="J60" s="83"/>
      <c r="K60" s="83"/>
      <c r="L60" s="83"/>
      <c r="M60" s="83"/>
      <c r="N60" s="83"/>
      <c r="O60" s="84"/>
    </row>
  </sheetData>
  <mergeCells count="4">
    <mergeCell ref="A1:O1"/>
    <mergeCell ref="A2:O2"/>
    <mergeCell ref="A3:O3"/>
    <mergeCell ref="A60:O60"/>
  </mergeCells>
  <hyperlinks>
    <hyperlink ref="A2" r:id="rId1" display="https://webgate.ec.europa.eu/CITnet/jira/issues/?filter=238855"/>
    <hyperlink ref="D5" r:id="rId2" display="https://webgate.ec.europa.eu/CITnet/jira/browse/TSKACTION-217"/>
    <hyperlink ref="D6" r:id="rId3" display="https://webgate.ec.europa.eu/CITnet/jira/browse/CCARCHITEC-37"/>
    <hyperlink ref="D7" r:id="rId4" display="https://webgate.ec.europa.eu/CITnet/jira/browse/COMPCORP-114"/>
    <hyperlink ref="D8" r:id="rId5" display="https://webgate.ec.europa.eu/CITnet/jira/browse/CCDOCLIST-165"/>
    <hyperlink ref="D9" r:id="rId6" display="https://webgate.ec.europa.eu/CITnet/jira/browse/PROCESS-44"/>
    <hyperlink ref="D10" r:id="rId7" display="https://webgate.ec.europa.eu/CITnet/jira/browse/PROCESS-92"/>
    <hyperlink ref="D11" r:id="rId8" display="https://webgate.ec.europa.eu/CITnet/jira/browse/PROCESS-75"/>
    <hyperlink ref="D12" r:id="rId9" display="https://webgate.ec.europa.eu/CITnet/jira/browse/TSKACTION-278"/>
    <hyperlink ref="D13" r:id="rId10" display="https://webgate.ec.europa.eu/CITnet/jira/browse/TSKACTION-245"/>
    <hyperlink ref="D14" r:id="rId11" display="https://webgate.ec.europa.eu/CITnet/jira/browse/CCTASK-527"/>
    <hyperlink ref="D15" r:id="rId12" display="https://webgate.ec.europa.eu/CITnet/jira/browse/CCTASK-533"/>
    <hyperlink ref="D16" r:id="rId13" display="https://webgate.ec.europa.eu/CITnet/jira/browse/TSKACTION-76"/>
    <hyperlink ref="D17" r:id="rId14" display="https://webgate.ec.europa.eu/CITnet/jira/browse/CCDOCLIST-156"/>
    <hyperlink ref="D18" r:id="rId15" display="https://webgate.ec.europa.eu/CITnet/jira/browse/CCDOCLIST-19"/>
    <hyperlink ref="D19" r:id="rId16" display="https://webgate.ec.europa.eu/CITnet/jira/browse/CCDOCLIST-157"/>
    <hyperlink ref="D20" r:id="rId17" display="https://webgate.ec.europa.eu/CITnet/jira/browse/CCTASK-534"/>
    <hyperlink ref="D21" r:id="rId18" display="https://webgate.ec.europa.eu/CITnet/jira/browse/CCDOCLIST-17"/>
    <hyperlink ref="D22" r:id="rId19" display="https://webgate.ec.europa.eu/CITnet/jira/browse/CCDOCLIST-27"/>
    <hyperlink ref="D23" r:id="rId20" display="https://webgate.ec.europa.eu/CITnet/jira/browse/CCARCHITEC-49"/>
    <hyperlink ref="D24" r:id="rId21" display="https://webgate.ec.europa.eu/CITnet/jira/browse/CCTASK-579"/>
    <hyperlink ref="D25" r:id="rId22" display="https://webgate.ec.europa.eu/CITnet/jira/browse/CCDOCLIST-25"/>
    <hyperlink ref="D26" r:id="rId23" display="https://webgate.ec.europa.eu/CITnet/jira/browse/CCTASK-272"/>
    <hyperlink ref="D27" r:id="rId24" display="https://webgate.ec.europa.eu/CITnet/jira/browse/CCTASK-519"/>
    <hyperlink ref="D28" r:id="rId25" display="https://webgate.ec.europa.eu/CITnet/jira/browse/CCDOCLIST-174"/>
    <hyperlink ref="D29" r:id="rId26" display="https://webgate.ec.europa.eu/CITnet/jira/browse/CCTASK-476"/>
    <hyperlink ref="D30" r:id="rId27" display="https://webgate.ec.europa.eu/CITnet/jira/browse/TSKACTION-56"/>
    <hyperlink ref="D31" r:id="rId28" display="https://webgate.ec.europa.eu/CITnet/jira/browse/INTERCOM-55"/>
    <hyperlink ref="D32" r:id="rId29" display="https://webgate.ec.europa.eu/CITnet/jira/browse/CCPMO-129"/>
    <hyperlink ref="D33" r:id="rId30" display="https://webgate.ec.europa.eu/CITnet/jira/browse/CCPMO-77"/>
    <hyperlink ref="D34" r:id="rId31" display="https://webgate.ec.europa.eu/CITnet/jira/browse/CCPMO-63"/>
    <hyperlink ref="D35" r:id="rId32" display="https://webgate.ec.europa.eu/CITnet/jira/browse/WAVECC-42"/>
    <hyperlink ref="D36" r:id="rId33" display="https://webgate.ec.europa.eu/CITnet/jira/browse/CCADMIN-42"/>
    <hyperlink ref="D37" r:id="rId34" display="https://webgate.ec.europa.eu/CITnet/jira/browse/INTERCOM-54"/>
    <hyperlink ref="D38" r:id="rId35" display="https://webgate.ec.europa.eu/CITnet/jira/browse/INTERCOM-71"/>
    <hyperlink ref="D39" r:id="rId36" display="https://webgate.ec.europa.eu/CITnet/jira/browse/PROCESS-98"/>
    <hyperlink ref="D40" r:id="rId37" display="https://webgate.ec.europa.eu/CITnet/jira/browse/PFM-125"/>
    <hyperlink ref="D41" r:id="rId38" display="https://webgate.ec.europa.eu/CITnet/jira/browse/PROCESS-95"/>
    <hyperlink ref="D42" r:id="rId39" display="https://webgate.ec.europa.eu/CITnet/jira/browse/PROCESS-33"/>
    <hyperlink ref="D43" r:id="rId40" display="https://webgate.ec.europa.eu/CITnet/jira/browse/CCTASK-532"/>
    <hyperlink ref="D44" r:id="rId41" display="https://webgate.ec.europa.eu/CITnet/jira/browse/CCDOCLIST-181"/>
    <hyperlink ref="D45" r:id="rId42" display="https://webgate.ec.europa.eu/CITnet/jira/browse/CCDOCLIST-116"/>
    <hyperlink ref="D46" r:id="rId43" display="https://webgate.ec.europa.eu/CITnet/jira/browse/WAVECC-34"/>
    <hyperlink ref="D47" r:id="rId44" display="https://webgate.ec.europa.eu/CITnet/jira/browse/CCPMO-76"/>
    <hyperlink ref="D48" r:id="rId45" display="https://webgate.ec.europa.eu/CITnet/jira/browse/INTERCOM-75"/>
    <hyperlink ref="D49" r:id="rId46" display="https://webgate.ec.europa.eu/CITnet/jira/browse/CCADMIN-55"/>
    <hyperlink ref="D50" r:id="rId47" display="https://webgate.ec.europa.eu/CITnet/jira/browse/PROCESS-125"/>
    <hyperlink ref="D51" r:id="rId48" display="https://webgate.ec.europa.eu/CITnet/jira/browse/CCADMIN-44"/>
    <hyperlink ref="D52" r:id="rId49" display="https://webgate.ec.europa.eu/CITnet/jira/browse/INTERCOM-76"/>
    <hyperlink ref="D53" r:id="rId50" display="https://webgate.ec.europa.eu/CITnet/jira/browse/INTERCOM-59"/>
    <hyperlink ref="D54" r:id="rId51" display="https://webgate.ec.europa.eu/CITnet/jira/browse/INTERCOM-72"/>
    <hyperlink ref="D55" r:id="rId52" display="https://webgate.ec.europa.eu/CITnet/jira/browse/CCTASK-518"/>
    <hyperlink ref="D56" r:id="rId53" display="https://webgate.ec.europa.eu/CITnet/jira/browse/PFM-131"/>
    <hyperlink ref="D57" r:id="rId54" display="https://webgate.ec.europa.eu/CITnet/jira/browse/INTERCOM-52"/>
    <hyperlink ref="D58" r:id="rId55" display="https://webgate.ec.europa.eu/CITnet/jira/browse/PFM-126"/>
    <hyperlink ref="D59" r:id="rId56" display="https://webgate.ec.europa.eu/CITnet/jira/browse/PROCESS-96"/>
  </hyperlinks>
  <printOptions horizontalCentered="1" verticalCentered="1"/>
  <pageMargins left="0.25" right="0.25" top="0.25" bottom="0.5" header="0.5" footer="0.25"/>
  <pageSetup orientation="landscape" horizontalDpi="0" verticalDpi="0"/>
  <headerFooter>
    <oddFooter>&amp;R&amp;P of &amp;N</oddFooter>
  </headerFooter>
  <drawing r:id="rId57"/>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002060"/>
  </sheetPr>
  <dimension ref="A1:O58"/>
  <sheetViews>
    <sheetView workbookViewId="0">
      <selection activeCell="C8" sqref="C8"/>
    </sheetView>
  </sheetViews>
  <sheetFormatPr defaultRowHeight="12" x14ac:dyDescent="0.2"/>
  <cols>
    <col min="1" max="1" width="11.25" style="41" bestFit="1" customWidth="1"/>
    <col min="2" max="2" width="18" style="41" bestFit="1" customWidth="1"/>
    <col min="3" max="3" width="32" style="41" bestFit="1" customWidth="1"/>
    <col min="4" max="4" width="13.25" style="41" bestFit="1" customWidth="1"/>
    <col min="5" max="5" width="31.125" style="41" bestFit="1" customWidth="1"/>
    <col min="6" max="6" width="32" style="41" bestFit="1" customWidth="1"/>
    <col min="7" max="7" width="11.75" style="41" bestFit="1" customWidth="1"/>
    <col min="8" max="8" width="9" style="41" bestFit="1" customWidth="1"/>
    <col min="9" max="9" width="17.875" style="41" bestFit="1" customWidth="1"/>
    <col min="10" max="10" width="20.375" style="41" bestFit="1" customWidth="1"/>
    <col min="11" max="11" width="8.5" style="41" bestFit="1" customWidth="1"/>
    <col min="12" max="12" width="14.125" style="41" bestFit="1" customWidth="1"/>
    <col min="13" max="13" width="14.625" style="41" bestFit="1" customWidth="1"/>
    <col min="14" max="14" width="14.5" style="41" bestFit="1" customWidth="1"/>
    <col min="15" max="15" width="32" style="41" bestFit="1" customWidth="1"/>
    <col min="16" max="16384" width="9" style="41"/>
  </cols>
  <sheetData>
    <row r="1" spans="1:15" ht="27" customHeight="1" x14ac:dyDescent="0.2">
      <c r="A1" s="85"/>
      <c r="B1" s="86"/>
      <c r="C1" s="86"/>
      <c r="D1" s="86"/>
      <c r="E1" s="86"/>
      <c r="F1" s="86"/>
      <c r="G1" s="86"/>
      <c r="H1" s="86"/>
      <c r="I1" s="86"/>
      <c r="J1" s="86"/>
      <c r="K1" s="86"/>
      <c r="L1" s="86"/>
      <c r="M1" s="86"/>
      <c r="N1" s="86"/>
      <c r="O1" s="87"/>
    </row>
    <row r="2" spans="1:15" ht="15" customHeight="1" x14ac:dyDescent="0.2">
      <c r="A2" s="76" t="s">
        <v>836</v>
      </c>
      <c r="B2" s="77"/>
      <c r="C2" s="77"/>
      <c r="D2" s="77"/>
      <c r="E2" s="77"/>
      <c r="F2" s="77"/>
      <c r="G2" s="77"/>
      <c r="H2" s="77"/>
      <c r="I2" s="77"/>
      <c r="J2" s="77"/>
      <c r="K2" s="77"/>
      <c r="L2" s="77"/>
      <c r="M2" s="77"/>
      <c r="N2" s="77"/>
      <c r="O2" s="78"/>
    </row>
    <row r="3" spans="1:15" ht="15" customHeight="1" x14ac:dyDescent="0.2">
      <c r="A3" s="88" t="s">
        <v>850</v>
      </c>
      <c r="B3" s="89"/>
      <c r="C3" s="89"/>
      <c r="D3" s="89"/>
      <c r="E3" s="89"/>
      <c r="F3" s="89"/>
      <c r="G3" s="89"/>
      <c r="H3" s="89"/>
      <c r="I3" s="89"/>
      <c r="J3" s="89"/>
      <c r="K3" s="89"/>
      <c r="L3" s="89"/>
      <c r="M3" s="89"/>
      <c r="N3" s="89"/>
      <c r="O3" s="90"/>
    </row>
    <row r="4" spans="1:15" ht="15" x14ac:dyDescent="0.2">
      <c r="A4" s="42" t="s">
        <v>4</v>
      </c>
      <c r="B4" s="42" t="s">
        <v>5</v>
      </c>
      <c r="C4" s="42" t="s">
        <v>54</v>
      </c>
      <c r="D4" s="42" t="s">
        <v>6</v>
      </c>
      <c r="E4" s="42" t="s">
        <v>7</v>
      </c>
      <c r="F4" s="42" t="s">
        <v>53</v>
      </c>
      <c r="G4" s="42" t="s">
        <v>8</v>
      </c>
      <c r="H4" s="42" t="s">
        <v>427</v>
      </c>
      <c r="I4" s="42" t="s">
        <v>429</v>
      </c>
      <c r="J4" s="42" t="s">
        <v>428</v>
      </c>
      <c r="K4" s="42" t="s">
        <v>9</v>
      </c>
      <c r="L4" s="42" t="s">
        <v>10</v>
      </c>
      <c r="M4" s="42" t="s">
        <v>52</v>
      </c>
      <c r="N4" s="42" t="s">
        <v>51</v>
      </c>
      <c r="O4" s="42" t="s">
        <v>11</v>
      </c>
    </row>
    <row r="5" spans="1:15" ht="85.5" x14ac:dyDescent="0.2">
      <c r="A5" s="43" t="s">
        <v>18</v>
      </c>
      <c r="B5" s="43" t="s">
        <v>25</v>
      </c>
      <c r="C5" s="44" t="s">
        <v>68</v>
      </c>
      <c r="D5" s="20" t="s">
        <v>69</v>
      </c>
      <c r="E5" s="44" t="s">
        <v>70</v>
      </c>
      <c r="F5" s="44" t="s">
        <v>71</v>
      </c>
      <c r="G5" s="44"/>
      <c r="H5" s="44"/>
      <c r="I5" s="44">
        <v>28800</v>
      </c>
      <c r="J5" s="44">
        <v>28800</v>
      </c>
      <c r="K5" s="44"/>
      <c r="L5" s="44"/>
      <c r="M5" s="44"/>
      <c r="N5" s="44"/>
      <c r="O5" s="44" t="s">
        <v>72</v>
      </c>
    </row>
    <row r="6" spans="1:15" ht="28.5" x14ac:dyDescent="0.2">
      <c r="A6" s="43" t="s">
        <v>18</v>
      </c>
      <c r="B6" s="43" t="s">
        <v>15</v>
      </c>
      <c r="C6" s="44" t="s">
        <v>81</v>
      </c>
      <c r="D6" s="20" t="s">
        <v>82</v>
      </c>
      <c r="E6" s="44" t="s">
        <v>70</v>
      </c>
      <c r="F6" s="44" t="s">
        <v>83</v>
      </c>
      <c r="G6" s="44"/>
      <c r="H6" s="44"/>
      <c r="I6" s="44"/>
      <c r="J6" s="44"/>
      <c r="K6" s="44"/>
      <c r="L6" s="44"/>
      <c r="M6" s="44"/>
      <c r="N6" s="44"/>
      <c r="O6" s="44" t="s">
        <v>84</v>
      </c>
    </row>
    <row r="7" spans="1:15" ht="28.5" x14ac:dyDescent="0.2">
      <c r="A7" s="43" t="s">
        <v>18</v>
      </c>
      <c r="B7" s="43" t="s">
        <v>19</v>
      </c>
      <c r="C7" s="44" t="s">
        <v>115</v>
      </c>
      <c r="D7" s="20" t="s">
        <v>110</v>
      </c>
      <c r="E7" s="44" t="s">
        <v>70</v>
      </c>
      <c r="F7" s="44" t="s">
        <v>114</v>
      </c>
      <c r="G7" s="44"/>
      <c r="H7" s="44"/>
      <c r="I7" s="44"/>
      <c r="J7" s="44"/>
      <c r="K7" s="44"/>
      <c r="L7" s="44"/>
      <c r="M7" s="44"/>
      <c r="N7" s="44"/>
      <c r="O7" s="44" t="s">
        <v>116</v>
      </c>
    </row>
    <row r="8" spans="1:15" ht="28.5" x14ac:dyDescent="0.2">
      <c r="A8" s="43" t="s">
        <v>18</v>
      </c>
      <c r="B8" s="43" t="s">
        <v>20</v>
      </c>
      <c r="C8" s="44" t="s">
        <v>117</v>
      </c>
      <c r="D8" s="20" t="s">
        <v>118</v>
      </c>
      <c r="E8" s="44" t="s">
        <v>70</v>
      </c>
      <c r="F8" s="44" t="s">
        <v>114</v>
      </c>
      <c r="G8" s="44">
        <v>10</v>
      </c>
      <c r="H8" s="44"/>
      <c r="I8" s="44"/>
      <c r="J8" s="44"/>
      <c r="K8" s="44"/>
      <c r="L8" s="44"/>
      <c r="M8" s="44"/>
      <c r="N8" s="44"/>
      <c r="O8" s="44" t="s">
        <v>119</v>
      </c>
    </row>
    <row r="9" spans="1:15" ht="42.75" x14ac:dyDescent="0.2">
      <c r="A9" s="43" t="s">
        <v>18</v>
      </c>
      <c r="B9" s="43" t="s">
        <v>20</v>
      </c>
      <c r="C9" s="44" t="s">
        <v>120</v>
      </c>
      <c r="D9" s="20" t="s">
        <v>121</v>
      </c>
      <c r="E9" s="44" t="s">
        <v>113</v>
      </c>
      <c r="F9" s="44" t="s">
        <v>114</v>
      </c>
      <c r="G9" s="44"/>
      <c r="H9" s="44"/>
      <c r="I9" s="44"/>
      <c r="J9" s="44"/>
      <c r="K9" s="44"/>
      <c r="L9" s="44"/>
      <c r="M9" s="44"/>
      <c r="N9" s="44"/>
      <c r="O9" s="44" t="s">
        <v>122</v>
      </c>
    </row>
    <row r="10" spans="1:15" ht="42.75" x14ac:dyDescent="0.2">
      <c r="A10" s="43" t="s">
        <v>24</v>
      </c>
      <c r="B10" s="43" t="s">
        <v>19</v>
      </c>
      <c r="C10" s="44" t="s">
        <v>210</v>
      </c>
      <c r="D10" s="20" t="s">
        <v>211</v>
      </c>
      <c r="E10" s="44" t="s">
        <v>70</v>
      </c>
      <c r="F10" s="44" t="s">
        <v>212</v>
      </c>
      <c r="G10" s="44"/>
      <c r="H10" s="44"/>
      <c r="I10" s="44"/>
      <c r="J10" s="44"/>
      <c r="K10" s="44"/>
      <c r="L10" s="44"/>
      <c r="M10" s="44"/>
      <c r="N10" s="44"/>
      <c r="O10" s="44" t="s">
        <v>213</v>
      </c>
    </row>
    <row r="11" spans="1:15" ht="28.5" x14ac:dyDescent="0.2">
      <c r="A11" s="43" t="s">
        <v>18</v>
      </c>
      <c r="B11" s="43" t="s">
        <v>20</v>
      </c>
      <c r="C11" s="44" t="s">
        <v>214</v>
      </c>
      <c r="D11" s="20" t="s">
        <v>215</v>
      </c>
      <c r="E11" s="44" t="s">
        <v>70</v>
      </c>
      <c r="F11" s="44" t="s">
        <v>212</v>
      </c>
      <c r="G11" s="44">
        <v>8</v>
      </c>
      <c r="H11" s="44"/>
      <c r="I11" s="44"/>
      <c r="J11" s="44"/>
      <c r="K11" s="44"/>
      <c r="L11" s="44">
        <v>10</v>
      </c>
      <c r="M11" s="44"/>
      <c r="N11" s="44">
        <v>5</v>
      </c>
      <c r="O11" s="44" t="s">
        <v>216</v>
      </c>
    </row>
    <row r="12" spans="1:15" ht="28.5" x14ac:dyDescent="0.2">
      <c r="A12" s="43" t="s">
        <v>18</v>
      </c>
      <c r="B12" s="43" t="s">
        <v>23</v>
      </c>
      <c r="C12" s="44" t="s">
        <v>217</v>
      </c>
      <c r="D12" s="20" t="s">
        <v>218</v>
      </c>
      <c r="E12" s="44" t="s">
        <v>70</v>
      </c>
      <c r="F12" s="44" t="s">
        <v>219</v>
      </c>
      <c r="G12" s="44"/>
      <c r="H12" s="44"/>
      <c r="I12" s="44"/>
      <c r="J12" s="44"/>
      <c r="K12" s="44"/>
      <c r="L12" s="44"/>
      <c r="M12" s="44"/>
      <c r="N12" s="44"/>
      <c r="O12" s="44" t="s">
        <v>220</v>
      </c>
    </row>
    <row r="13" spans="1:15" ht="28.5" x14ac:dyDescent="0.2">
      <c r="A13" s="43" t="s">
        <v>18</v>
      </c>
      <c r="B13" s="43" t="s">
        <v>15</v>
      </c>
      <c r="C13" s="44" t="s">
        <v>221</v>
      </c>
      <c r="D13" s="20" t="s">
        <v>222</v>
      </c>
      <c r="E13" s="44" t="s">
        <v>70</v>
      </c>
      <c r="F13" s="44" t="s">
        <v>219</v>
      </c>
      <c r="G13" s="44">
        <v>8</v>
      </c>
      <c r="H13" s="44"/>
      <c r="I13" s="44">
        <v>7200</v>
      </c>
      <c r="J13" s="44">
        <v>7200</v>
      </c>
      <c r="K13" s="44"/>
      <c r="L13" s="44"/>
      <c r="M13" s="44"/>
      <c r="N13" s="44"/>
      <c r="O13" s="44" t="s">
        <v>223</v>
      </c>
    </row>
    <row r="14" spans="1:15" ht="28.5" x14ac:dyDescent="0.2">
      <c r="A14" s="43" t="s">
        <v>18</v>
      </c>
      <c r="B14" s="43" t="s">
        <v>15</v>
      </c>
      <c r="C14" s="44" t="s">
        <v>224</v>
      </c>
      <c r="D14" s="20" t="s">
        <v>225</v>
      </c>
      <c r="E14" s="44" t="s">
        <v>70</v>
      </c>
      <c r="F14" s="44" t="s">
        <v>219</v>
      </c>
      <c r="G14" s="44"/>
      <c r="H14" s="44"/>
      <c r="I14" s="44"/>
      <c r="J14" s="44"/>
      <c r="K14" s="44"/>
      <c r="L14" s="44"/>
      <c r="M14" s="44"/>
      <c r="N14" s="44"/>
      <c r="O14" s="44" t="s">
        <v>226</v>
      </c>
    </row>
    <row r="15" spans="1:15" ht="28.5" x14ac:dyDescent="0.2">
      <c r="A15" s="43" t="s">
        <v>18</v>
      </c>
      <c r="B15" s="43" t="s">
        <v>15</v>
      </c>
      <c r="C15" s="44" t="s">
        <v>227</v>
      </c>
      <c r="D15" s="20" t="s">
        <v>228</v>
      </c>
      <c r="E15" s="44" t="s">
        <v>70</v>
      </c>
      <c r="F15" s="44" t="s">
        <v>219</v>
      </c>
      <c r="G15" s="44">
        <v>8</v>
      </c>
      <c r="H15" s="44"/>
      <c r="I15" s="44"/>
      <c r="J15" s="44"/>
      <c r="K15" s="44"/>
      <c r="L15" s="44"/>
      <c r="M15" s="44"/>
      <c r="N15" s="44"/>
      <c r="O15" s="44" t="s">
        <v>229</v>
      </c>
    </row>
    <row r="16" spans="1:15" ht="15" x14ac:dyDescent="0.2">
      <c r="A16" s="43" t="s">
        <v>18</v>
      </c>
      <c r="B16" s="43" t="s">
        <v>22</v>
      </c>
      <c r="C16" s="44" t="s">
        <v>271</v>
      </c>
      <c r="D16" s="20" t="s">
        <v>272</v>
      </c>
      <c r="E16" s="44" t="s">
        <v>70</v>
      </c>
      <c r="F16" s="44" t="s">
        <v>273</v>
      </c>
      <c r="G16" s="44"/>
      <c r="H16" s="44"/>
      <c r="I16" s="44"/>
      <c r="J16" s="44"/>
      <c r="K16" s="44"/>
      <c r="L16" s="44"/>
      <c r="M16" s="44"/>
      <c r="N16" s="44"/>
      <c r="O16" s="44" t="s">
        <v>274</v>
      </c>
    </row>
    <row r="17" spans="1:15" ht="15" x14ac:dyDescent="0.2">
      <c r="A17" s="43" t="s">
        <v>18</v>
      </c>
      <c r="B17" s="43" t="s">
        <v>15</v>
      </c>
      <c r="C17" s="44" t="s">
        <v>275</v>
      </c>
      <c r="D17" s="20" t="s">
        <v>276</v>
      </c>
      <c r="E17" s="44" t="s">
        <v>70</v>
      </c>
      <c r="F17" s="44" t="s">
        <v>277</v>
      </c>
      <c r="G17" s="44"/>
      <c r="H17" s="44"/>
      <c r="I17" s="44"/>
      <c r="J17" s="44"/>
      <c r="K17" s="44"/>
      <c r="L17" s="44"/>
      <c r="M17" s="44"/>
      <c r="N17" s="44"/>
      <c r="O17" s="44" t="s">
        <v>278</v>
      </c>
    </row>
    <row r="18" spans="1:15" ht="28.5" x14ac:dyDescent="0.2">
      <c r="A18" s="43" t="s">
        <v>18</v>
      </c>
      <c r="B18" s="43" t="s">
        <v>15</v>
      </c>
      <c r="C18" s="44" t="s">
        <v>279</v>
      </c>
      <c r="D18" s="20" t="s">
        <v>280</v>
      </c>
      <c r="E18" s="44" t="s">
        <v>113</v>
      </c>
      <c r="F18" s="44" t="s">
        <v>277</v>
      </c>
      <c r="G18" s="44"/>
      <c r="H18" s="44"/>
      <c r="I18" s="44"/>
      <c r="J18" s="44"/>
      <c r="K18" s="44"/>
      <c r="L18" s="44"/>
      <c r="M18" s="44"/>
      <c r="N18" s="44"/>
      <c r="O18" s="44" t="s">
        <v>281</v>
      </c>
    </row>
    <row r="19" spans="1:15" ht="15" x14ac:dyDescent="0.2">
      <c r="A19" s="43" t="s">
        <v>18</v>
      </c>
      <c r="B19" s="43" t="s">
        <v>20</v>
      </c>
      <c r="C19" s="44" t="s">
        <v>282</v>
      </c>
      <c r="D19" s="20" t="s">
        <v>283</v>
      </c>
      <c r="E19" s="44" t="s">
        <v>70</v>
      </c>
      <c r="F19" s="44" t="s">
        <v>277</v>
      </c>
      <c r="G19" s="44"/>
      <c r="H19" s="44"/>
      <c r="I19" s="44"/>
      <c r="J19" s="44"/>
      <c r="K19" s="44"/>
      <c r="L19" s="44"/>
      <c r="M19" s="44"/>
      <c r="N19" s="44"/>
      <c r="O19" s="44" t="s">
        <v>284</v>
      </c>
    </row>
    <row r="20" spans="1:15" ht="42.75" x14ac:dyDescent="0.2">
      <c r="A20" s="43" t="s">
        <v>24</v>
      </c>
      <c r="B20" s="43" t="s">
        <v>19</v>
      </c>
      <c r="C20" s="44" t="s">
        <v>285</v>
      </c>
      <c r="D20" s="20" t="s">
        <v>286</v>
      </c>
      <c r="E20" s="44" t="s">
        <v>113</v>
      </c>
      <c r="F20" s="44" t="s">
        <v>287</v>
      </c>
      <c r="G20" s="44"/>
      <c r="H20" s="44"/>
      <c r="I20" s="44"/>
      <c r="J20" s="44"/>
      <c r="K20" s="44"/>
      <c r="L20" s="44"/>
      <c r="M20" s="44"/>
      <c r="N20" s="44"/>
      <c r="O20" s="44" t="s">
        <v>288</v>
      </c>
    </row>
    <row r="21" spans="1:15" ht="42.75" x14ac:dyDescent="0.2">
      <c r="A21" s="43" t="s">
        <v>18</v>
      </c>
      <c r="B21" s="43" t="s">
        <v>19</v>
      </c>
      <c r="C21" s="44" t="s">
        <v>289</v>
      </c>
      <c r="D21" s="20" t="s">
        <v>290</v>
      </c>
      <c r="E21" s="44" t="s">
        <v>70</v>
      </c>
      <c r="F21" s="44" t="s">
        <v>291</v>
      </c>
      <c r="G21" s="44"/>
      <c r="H21" s="44"/>
      <c r="I21" s="44"/>
      <c r="J21" s="44"/>
      <c r="K21" s="44"/>
      <c r="L21" s="44">
        <v>0</v>
      </c>
      <c r="M21" s="44"/>
      <c r="N21" s="44">
        <v>0</v>
      </c>
      <c r="O21" s="44" t="s">
        <v>292</v>
      </c>
    </row>
    <row r="22" spans="1:15" ht="28.5" x14ac:dyDescent="0.2">
      <c r="A22" s="43" t="s">
        <v>18</v>
      </c>
      <c r="B22" s="43" t="s">
        <v>20</v>
      </c>
      <c r="C22" s="44" t="s">
        <v>293</v>
      </c>
      <c r="D22" s="20" t="s">
        <v>296</v>
      </c>
      <c r="E22" s="44" t="s">
        <v>70</v>
      </c>
      <c r="F22" s="44" t="s">
        <v>291</v>
      </c>
      <c r="G22" s="44"/>
      <c r="H22" s="44"/>
      <c r="I22" s="44"/>
      <c r="J22" s="44"/>
      <c r="K22" s="44"/>
      <c r="L22" s="44"/>
      <c r="M22" s="44"/>
      <c r="N22" s="44"/>
      <c r="O22" s="44" t="s">
        <v>297</v>
      </c>
    </row>
    <row r="23" spans="1:15" ht="15" x14ac:dyDescent="0.2">
      <c r="A23" s="43" t="s">
        <v>18</v>
      </c>
      <c r="B23" s="43" t="s">
        <v>21</v>
      </c>
      <c r="C23" s="44" t="s">
        <v>293</v>
      </c>
      <c r="D23" s="20" t="s">
        <v>294</v>
      </c>
      <c r="E23" s="44" t="s">
        <v>70</v>
      </c>
      <c r="F23" s="44" t="s">
        <v>291</v>
      </c>
      <c r="G23" s="44"/>
      <c r="H23" s="44"/>
      <c r="I23" s="44"/>
      <c r="J23" s="44"/>
      <c r="K23" s="44"/>
      <c r="L23" s="44"/>
      <c r="M23" s="44"/>
      <c r="N23" s="44"/>
      <c r="O23" s="44" t="s">
        <v>295</v>
      </c>
    </row>
    <row r="24" spans="1:15" ht="28.5" x14ac:dyDescent="0.2">
      <c r="A24" s="43" t="s">
        <v>24</v>
      </c>
      <c r="B24" s="43" t="s">
        <v>25</v>
      </c>
      <c r="C24" s="44" t="s">
        <v>298</v>
      </c>
      <c r="D24" s="20" t="s">
        <v>299</v>
      </c>
      <c r="E24" s="44" t="s">
        <v>113</v>
      </c>
      <c r="F24" s="44" t="s">
        <v>291</v>
      </c>
      <c r="G24" s="44"/>
      <c r="H24" s="44"/>
      <c r="I24" s="44"/>
      <c r="J24" s="44"/>
      <c r="K24" s="44"/>
      <c r="L24" s="44"/>
      <c r="M24" s="44"/>
      <c r="N24" s="44"/>
      <c r="O24" s="44" t="s">
        <v>300</v>
      </c>
    </row>
    <row r="25" spans="1:15" ht="42.75" x14ac:dyDescent="0.2">
      <c r="A25" s="43" t="s">
        <v>18</v>
      </c>
      <c r="B25" s="43" t="s">
        <v>19</v>
      </c>
      <c r="C25" s="44" t="s">
        <v>301</v>
      </c>
      <c r="D25" s="20" t="s">
        <v>302</v>
      </c>
      <c r="E25" s="44" t="s">
        <v>70</v>
      </c>
      <c r="F25" s="44" t="s">
        <v>291</v>
      </c>
      <c r="G25" s="44"/>
      <c r="H25" s="44"/>
      <c r="I25" s="44"/>
      <c r="J25" s="44"/>
      <c r="K25" s="44"/>
      <c r="L25" s="44"/>
      <c r="M25" s="44"/>
      <c r="N25" s="44"/>
      <c r="O25" s="44" t="s">
        <v>303</v>
      </c>
    </row>
    <row r="26" spans="1:15" ht="42.75" x14ac:dyDescent="0.2">
      <c r="A26" s="43" t="s">
        <v>18</v>
      </c>
      <c r="B26" s="43" t="s">
        <v>21</v>
      </c>
      <c r="C26" s="44" t="s">
        <v>306</v>
      </c>
      <c r="D26" s="20" t="s">
        <v>307</v>
      </c>
      <c r="E26" s="44" t="s">
        <v>70</v>
      </c>
      <c r="F26" s="44" t="s">
        <v>291</v>
      </c>
      <c r="G26" s="44"/>
      <c r="H26" s="44"/>
      <c r="I26" s="44"/>
      <c r="J26" s="44"/>
      <c r="K26" s="44"/>
      <c r="L26" s="44"/>
      <c r="M26" s="44"/>
      <c r="N26" s="44"/>
      <c r="O26" s="44" t="s">
        <v>308</v>
      </c>
    </row>
    <row r="27" spans="1:15" ht="28.5" x14ac:dyDescent="0.2">
      <c r="A27" s="43" t="s">
        <v>18</v>
      </c>
      <c r="B27" s="43" t="s">
        <v>19</v>
      </c>
      <c r="C27" s="44" t="s">
        <v>309</v>
      </c>
      <c r="D27" s="20" t="s">
        <v>310</v>
      </c>
      <c r="E27" s="44" t="s">
        <v>70</v>
      </c>
      <c r="F27" s="44" t="s">
        <v>291</v>
      </c>
      <c r="G27" s="44"/>
      <c r="H27" s="44"/>
      <c r="I27" s="44"/>
      <c r="J27" s="44"/>
      <c r="K27" s="44"/>
      <c r="L27" s="44"/>
      <c r="M27" s="44"/>
      <c r="N27" s="44"/>
      <c r="O27" s="44" t="s">
        <v>851</v>
      </c>
    </row>
    <row r="28" spans="1:15" ht="28.5" x14ac:dyDescent="0.2">
      <c r="A28" s="43" t="s">
        <v>18</v>
      </c>
      <c r="B28" s="43" t="s">
        <v>19</v>
      </c>
      <c r="C28" s="44" t="s">
        <v>304</v>
      </c>
      <c r="D28" s="20" t="s">
        <v>234</v>
      </c>
      <c r="E28" s="44" t="s">
        <v>70</v>
      </c>
      <c r="F28" s="44" t="s">
        <v>852</v>
      </c>
      <c r="G28" s="44"/>
      <c r="H28" s="44"/>
      <c r="I28" s="44"/>
      <c r="J28" s="44"/>
      <c r="K28" s="44"/>
      <c r="L28" s="44"/>
      <c r="M28" s="44"/>
      <c r="N28" s="44"/>
      <c r="O28" s="44" t="s">
        <v>305</v>
      </c>
    </row>
    <row r="29" spans="1:15" ht="28.5" x14ac:dyDescent="0.2">
      <c r="A29" s="43" t="s">
        <v>18</v>
      </c>
      <c r="B29" s="43" t="s">
        <v>20</v>
      </c>
      <c r="C29" s="44" t="s">
        <v>330</v>
      </c>
      <c r="D29" s="20" t="s">
        <v>331</v>
      </c>
      <c r="E29" s="44" t="s">
        <v>70</v>
      </c>
      <c r="F29" s="44"/>
      <c r="G29" s="44"/>
      <c r="H29" s="44"/>
      <c r="I29" s="44"/>
      <c r="J29" s="44"/>
      <c r="K29" s="44"/>
      <c r="L29" s="44"/>
      <c r="M29" s="44"/>
      <c r="N29" s="44"/>
      <c r="O29" s="44" t="s">
        <v>332</v>
      </c>
    </row>
    <row r="30" spans="1:15" ht="15" x14ac:dyDescent="0.2">
      <c r="A30" s="43" t="s">
        <v>18</v>
      </c>
      <c r="B30" s="43" t="s">
        <v>21</v>
      </c>
      <c r="C30" s="44" t="s">
        <v>333</v>
      </c>
      <c r="D30" s="20" t="s">
        <v>329</v>
      </c>
      <c r="E30" s="44" t="s">
        <v>70</v>
      </c>
      <c r="F30" s="44"/>
      <c r="G30" s="44">
        <v>13</v>
      </c>
      <c r="H30" s="44"/>
      <c r="I30" s="44"/>
      <c r="J30" s="44"/>
      <c r="K30" s="44"/>
      <c r="L30" s="44"/>
      <c r="M30" s="44"/>
      <c r="N30" s="44"/>
      <c r="O30" s="44" t="s">
        <v>334</v>
      </c>
    </row>
    <row r="31" spans="1:15" ht="15" x14ac:dyDescent="0.2">
      <c r="A31" s="43" t="s">
        <v>24</v>
      </c>
      <c r="B31" s="43" t="s">
        <v>19</v>
      </c>
      <c r="C31" s="44" t="s">
        <v>335</v>
      </c>
      <c r="D31" s="20" t="s">
        <v>336</v>
      </c>
      <c r="E31" s="44" t="s">
        <v>70</v>
      </c>
      <c r="F31" s="44"/>
      <c r="G31" s="44"/>
      <c r="H31" s="44"/>
      <c r="I31" s="44"/>
      <c r="J31" s="44"/>
      <c r="K31" s="44"/>
      <c r="L31" s="44"/>
      <c r="M31" s="44"/>
      <c r="N31" s="44"/>
      <c r="O31" s="44"/>
    </row>
    <row r="32" spans="1:15" ht="15" x14ac:dyDescent="0.2">
      <c r="A32" s="43" t="s">
        <v>24</v>
      </c>
      <c r="B32" s="43" t="s">
        <v>20</v>
      </c>
      <c r="C32" s="44" t="s">
        <v>337</v>
      </c>
      <c r="D32" s="20" t="s">
        <v>250</v>
      </c>
      <c r="E32" s="44" t="s">
        <v>70</v>
      </c>
      <c r="F32" s="44"/>
      <c r="G32" s="44"/>
      <c r="H32" s="44"/>
      <c r="I32" s="44"/>
      <c r="J32" s="44"/>
      <c r="K32" s="44"/>
      <c r="L32" s="44"/>
      <c r="M32" s="44"/>
      <c r="N32" s="44"/>
      <c r="O32" s="44" t="s">
        <v>248</v>
      </c>
    </row>
    <row r="33" spans="1:15" ht="15" x14ac:dyDescent="0.2">
      <c r="A33" s="43" t="s">
        <v>24</v>
      </c>
      <c r="B33" s="43" t="s">
        <v>20</v>
      </c>
      <c r="C33" s="44" t="s">
        <v>338</v>
      </c>
      <c r="D33" s="20" t="s">
        <v>339</v>
      </c>
      <c r="E33" s="44" t="s">
        <v>70</v>
      </c>
      <c r="F33" s="44"/>
      <c r="G33" s="44"/>
      <c r="H33" s="44"/>
      <c r="I33" s="44"/>
      <c r="J33" s="44"/>
      <c r="K33" s="44"/>
      <c r="L33" s="44"/>
      <c r="M33" s="44"/>
      <c r="N33" s="44"/>
      <c r="O33" s="44"/>
    </row>
    <row r="34" spans="1:15" ht="28.5" x14ac:dyDescent="0.2">
      <c r="A34" s="43" t="s">
        <v>18</v>
      </c>
      <c r="B34" s="43" t="s">
        <v>19</v>
      </c>
      <c r="C34" s="44" t="s">
        <v>340</v>
      </c>
      <c r="D34" s="20" t="s">
        <v>341</v>
      </c>
      <c r="E34" s="44" t="s">
        <v>70</v>
      </c>
      <c r="F34" s="44"/>
      <c r="G34" s="44">
        <v>13</v>
      </c>
      <c r="H34" s="44"/>
      <c r="I34" s="44"/>
      <c r="J34" s="44"/>
      <c r="K34" s="44"/>
      <c r="L34" s="44"/>
      <c r="M34" s="44"/>
      <c r="N34" s="44"/>
      <c r="O34" s="44" t="s">
        <v>342</v>
      </c>
    </row>
    <row r="35" spans="1:15" ht="28.5" x14ac:dyDescent="0.2">
      <c r="A35" s="43" t="s">
        <v>18</v>
      </c>
      <c r="B35" s="43" t="s">
        <v>19</v>
      </c>
      <c r="C35" s="44" t="s">
        <v>85</v>
      </c>
      <c r="D35" s="20" t="s">
        <v>88</v>
      </c>
      <c r="E35" s="44" t="s">
        <v>70</v>
      </c>
      <c r="F35" s="44"/>
      <c r="G35" s="44">
        <v>5</v>
      </c>
      <c r="H35" s="44"/>
      <c r="I35" s="44"/>
      <c r="J35" s="44"/>
      <c r="K35" s="44"/>
      <c r="L35" s="44"/>
      <c r="M35" s="44"/>
      <c r="N35" s="44"/>
      <c r="O35" s="44" t="s">
        <v>343</v>
      </c>
    </row>
    <row r="36" spans="1:15" ht="57" x14ac:dyDescent="0.2">
      <c r="A36" s="43" t="s">
        <v>18</v>
      </c>
      <c r="B36" s="43" t="s">
        <v>19</v>
      </c>
      <c r="C36" s="44" t="s">
        <v>344</v>
      </c>
      <c r="D36" s="20" t="s">
        <v>96</v>
      </c>
      <c r="E36" s="44" t="s">
        <v>70</v>
      </c>
      <c r="F36" s="44"/>
      <c r="G36" s="44">
        <v>13</v>
      </c>
      <c r="H36" s="44"/>
      <c r="I36" s="44"/>
      <c r="J36" s="44"/>
      <c r="K36" s="44"/>
      <c r="L36" s="44"/>
      <c r="M36" s="44"/>
      <c r="N36" s="44"/>
      <c r="O36" s="44" t="s">
        <v>853</v>
      </c>
    </row>
    <row r="37" spans="1:15" ht="15" x14ac:dyDescent="0.2">
      <c r="A37" s="43" t="s">
        <v>18</v>
      </c>
      <c r="B37" s="43" t="s">
        <v>15</v>
      </c>
      <c r="C37" s="44" t="s">
        <v>351</v>
      </c>
      <c r="D37" s="20" t="s">
        <v>201</v>
      </c>
      <c r="E37" s="44" t="s">
        <v>70</v>
      </c>
      <c r="F37" s="44"/>
      <c r="G37" s="44">
        <v>5</v>
      </c>
      <c r="H37" s="44"/>
      <c r="I37" s="44"/>
      <c r="J37" s="44"/>
      <c r="K37" s="44"/>
      <c r="L37" s="44"/>
      <c r="M37" s="44"/>
      <c r="N37" s="44"/>
      <c r="O37" s="44" t="s">
        <v>352</v>
      </c>
    </row>
    <row r="38" spans="1:15" ht="28.5" x14ac:dyDescent="0.2">
      <c r="A38" s="43" t="s">
        <v>18</v>
      </c>
      <c r="B38" s="43" t="s">
        <v>20</v>
      </c>
      <c r="C38" s="44" t="s">
        <v>353</v>
      </c>
      <c r="D38" s="20" t="s">
        <v>315</v>
      </c>
      <c r="E38" s="44" t="s">
        <v>70</v>
      </c>
      <c r="F38" s="44"/>
      <c r="G38" s="44"/>
      <c r="H38" s="44"/>
      <c r="I38" s="44"/>
      <c r="J38" s="44"/>
      <c r="K38" s="44"/>
      <c r="L38" s="44"/>
      <c r="M38" s="44"/>
      <c r="N38" s="44"/>
      <c r="O38" s="44" t="s">
        <v>354</v>
      </c>
    </row>
    <row r="39" spans="1:15" ht="28.5" x14ac:dyDescent="0.2">
      <c r="A39" s="43" t="s">
        <v>18</v>
      </c>
      <c r="B39" s="43" t="s">
        <v>19</v>
      </c>
      <c r="C39" s="44" t="s">
        <v>355</v>
      </c>
      <c r="D39" s="20" t="s">
        <v>133</v>
      </c>
      <c r="E39" s="44" t="s">
        <v>70</v>
      </c>
      <c r="F39" s="44"/>
      <c r="G39" s="44"/>
      <c r="H39" s="44"/>
      <c r="I39" s="44"/>
      <c r="J39" s="44"/>
      <c r="K39" s="44"/>
      <c r="L39" s="44"/>
      <c r="M39" s="44"/>
      <c r="N39" s="44"/>
      <c r="O39" s="44" t="s">
        <v>854</v>
      </c>
    </row>
    <row r="40" spans="1:15" ht="15" x14ac:dyDescent="0.2">
      <c r="A40" s="43" t="s">
        <v>18</v>
      </c>
      <c r="B40" s="43" t="s">
        <v>19</v>
      </c>
      <c r="C40" s="44" t="s">
        <v>355</v>
      </c>
      <c r="D40" s="20" t="s">
        <v>149</v>
      </c>
      <c r="E40" s="44" t="s">
        <v>70</v>
      </c>
      <c r="F40" s="44"/>
      <c r="G40" s="44"/>
      <c r="H40" s="44"/>
      <c r="I40" s="44"/>
      <c r="J40" s="44"/>
      <c r="K40" s="44"/>
      <c r="L40" s="44"/>
      <c r="M40" s="44"/>
      <c r="N40" s="44"/>
      <c r="O40" s="44" t="s">
        <v>356</v>
      </c>
    </row>
    <row r="41" spans="1:15" ht="28.5" x14ac:dyDescent="0.2">
      <c r="A41" s="43" t="s">
        <v>18</v>
      </c>
      <c r="B41" s="43" t="s">
        <v>19</v>
      </c>
      <c r="C41" s="44" t="s">
        <v>358</v>
      </c>
      <c r="D41" s="20" t="s">
        <v>129</v>
      </c>
      <c r="E41" s="44" t="s">
        <v>359</v>
      </c>
      <c r="F41" s="44"/>
      <c r="G41" s="44"/>
      <c r="H41" s="44"/>
      <c r="I41" s="44"/>
      <c r="J41" s="44"/>
      <c r="K41" s="44"/>
      <c r="L41" s="44"/>
      <c r="M41" s="44"/>
      <c r="N41" s="44"/>
      <c r="O41" s="44" t="s">
        <v>360</v>
      </c>
    </row>
    <row r="42" spans="1:15" ht="15" x14ac:dyDescent="0.2">
      <c r="A42" s="43" t="s">
        <v>18</v>
      </c>
      <c r="B42" s="43" t="s">
        <v>22</v>
      </c>
      <c r="C42" s="44" t="s">
        <v>361</v>
      </c>
      <c r="D42" s="20" t="s">
        <v>362</v>
      </c>
      <c r="E42" s="44" t="s">
        <v>70</v>
      </c>
      <c r="F42" s="44"/>
      <c r="G42" s="44"/>
      <c r="H42" s="44"/>
      <c r="I42" s="44"/>
      <c r="J42" s="44"/>
      <c r="K42" s="44"/>
      <c r="L42" s="44"/>
      <c r="M42" s="44"/>
      <c r="N42" s="44"/>
      <c r="O42" s="44"/>
    </row>
    <row r="43" spans="1:15" ht="28.5" x14ac:dyDescent="0.2">
      <c r="A43" s="43" t="s">
        <v>18</v>
      </c>
      <c r="B43" s="43" t="s">
        <v>20</v>
      </c>
      <c r="C43" s="44" t="s">
        <v>363</v>
      </c>
      <c r="D43" s="20" t="s">
        <v>364</v>
      </c>
      <c r="E43" s="44" t="s">
        <v>70</v>
      </c>
      <c r="F43" s="44"/>
      <c r="G43" s="44"/>
      <c r="H43" s="44"/>
      <c r="I43" s="44"/>
      <c r="J43" s="44"/>
      <c r="K43" s="44"/>
      <c r="L43" s="44"/>
      <c r="M43" s="44"/>
      <c r="N43" s="44"/>
      <c r="O43" s="44" t="s">
        <v>365</v>
      </c>
    </row>
    <row r="44" spans="1:15" ht="15" x14ac:dyDescent="0.2">
      <c r="A44" s="43" t="s">
        <v>18</v>
      </c>
      <c r="B44" s="43" t="s">
        <v>19</v>
      </c>
      <c r="C44" s="44" t="s">
        <v>366</v>
      </c>
      <c r="D44" s="20" t="s">
        <v>367</v>
      </c>
      <c r="E44" s="44" t="s">
        <v>70</v>
      </c>
      <c r="F44" s="44"/>
      <c r="G44" s="44"/>
      <c r="H44" s="44"/>
      <c r="I44" s="44"/>
      <c r="J44" s="44"/>
      <c r="K44" s="44"/>
      <c r="L44" s="44"/>
      <c r="M44" s="44"/>
      <c r="N44" s="44"/>
      <c r="O44" s="44" t="s">
        <v>368</v>
      </c>
    </row>
    <row r="45" spans="1:15" ht="57" x14ac:dyDescent="0.2">
      <c r="A45" s="43" t="s">
        <v>24</v>
      </c>
      <c r="B45" s="43" t="s">
        <v>25</v>
      </c>
      <c r="C45" s="44" t="s">
        <v>369</v>
      </c>
      <c r="D45" s="20" t="s">
        <v>76</v>
      </c>
      <c r="E45" s="44" t="s">
        <v>70</v>
      </c>
      <c r="F45" s="44"/>
      <c r="G45" s="44"/>
      <c r="H45" s="44"/>
      <c r="I45" s="44"/>
      <c r="J45" s="44"/>
      <c r="K45" s="44"/>
      <c r="L45" s="44"/>
      <c r="M45" s="44"/>
      <c r="N45" s="44"/>
      <c r="O45" s="44" t="s">
        <v>370</v>
      </c>
    </row>
    <row r="46" spans="1:15" ht="15" x14ac:dyDescent="0.2">
      <c r="A46" s="43" t="s">
        <v>18</v>
      </c>
      <c r="B46" s="43" t="s">
        <v>15</v>
      </c>
      <c r="C46" s="44" t="s">
        <v>371</v>
      </c>
      <c r="D46" s="20" t="s">
        <v>204</v>
      </c>
      <c r="E46" s="44" t="s">
        <v>70</v>
      </c>
      <c r="F46" s="44"/>
      <c r="G46" s="44">
        <v>3</v>
      </c>
      <c r="H46" s="44"/>
      <c r="I46" s="44"/>
      <c r="J46" s="44"/>
      <c r="K46" s="44"/>
      <c r="L46" s="44"/>
      <c r="M46" s="44"/>
      <c r="N46" s="44"/>
      <c r="O46" s="44" t="s">
        <v>372</v>
      </c>
    </row>
    <row r="47" spans="1:15" ht="15" x14ac:dyDescent="0.2">
      <c r="A47" s="43" t="s">
        <v>18</v>
      </c>
      <c r="B47" s="43" t="s">
        <v>19</v>
      </c>
      <c r="C47" s="44" t="s">
        <v>373</v>
      </c>
      <c r="D47" s="20" t="s">
        <v>198</v>
      </c>
      <c r="E47" s="44" t="s">
        <v>70</v>
      </c>
      <c r="F47" s="44"/>
      <c r="G47" s="44">
        <v>5</v>
      </c>
      <c r="H47" s="44"/>
      <c r="I47" s="44"/>
      <c r="J47" s="44"/>
      <c r="K47" s="44"/>
      <c r="L47" s="44"/>
      <c r="M47" s="44"/>
      <c r="N47" s="44"/>
      <c r="O47" s="44" t="s">
        <v>374</v>
      </c>
    </row>
    <row r="48" spans="1:15" ht="28.5" x14ac:dyDescent="0.2">
      <c r="A48" s="43" t="s">
        <v>18</v>
      </c>
      <c r="B48" s="43" t="s">
        <v>20</v>
      </c>
      <c r="C48" s="44" t="s">
        <v>375</v>
      </c>
      <c r="D48" s="20" t="s">
        <v>376</v>
      </c>
      <c r="E48" s="44" t="s">
        <v>70</v>
      </c>
      <c r="F48" s="44"/>
      <c r="G48" s="44"/>
      <c r="H48" s="44"/>
      <c r="I48" s="44"/>
      <c r="J48" s="44"/>
      <c r="K48" s="44"/>
      <c r="L48" s="44"/>
      <c r="M48" s="44"/>
      <c r="N48" s="44"/>
      <c r="O48" s="44" t="s">
        <v>239</v>
      </c>
    </row>
    <row r="49" spans="1:15" ht="42.75" x14ac:dyDescent="0.2">
      <c r="A49" s="43" t="s">
        <v>18</v>
      </c>
      <c r="B49" s="43" t="s">
        <v>19</v>
      </c>
      <c r="C49" s="44" t="s">
        <v>377</v>
      </c>
      <c r="D49" s="20" t="s">
        <v>91</v>
      </c>
      <c r="E49" s="44" t="s">
        <v>70</v>
      </c>
      <c r="F49" s="44"/>
      <c r="G49" s="44">
        <v>13</v>
      </c>
      <c r="H49" s="44"/>
      <c r="I49" s="44"/>
      <c r="J49" s="44"/>
      <c r="K49" s="44"/>
      <c r="L49" s="44"/>
      <c r="M49" s="44"/>
      <c r="N49" s="44"/>
      <c r="O49" s="44" t="s">
        <v>378</v>
      </c>
    </row>
    <row r="50" spans="1:15" ht="28.5" x14ac:dyDescent="0.2">
      <c r="A50" s="43" t="s">
        <v>18</v>
      </c>
      <c r="B50" s="43" t="s">
        <v>19</v>
      </c>
      <c r="C50" s="44" t="s">
        <v>833</v>
      </c>
      <c r="D50" s="20" t="s">
        <v>796</v>
      </c>
      <c r="E50" s="44" t="s">
        <v>70</v>
      </c>
      <c r="F50" s="44"/>
      <c r="G50" s="44"/>
      <c r="H50" s="44"/>
      <c r="I50" s="44"/>
      <c r="J50" s="44"/>
      <c r="K50" s="44"/>
      <c r="L50" s="44"/>
      <c r="M50" s="44"/>
      <c r="N50" s="44"/>
      <c r="O50" s="44" t="s">
        <v>832</v>
      </c>
    </row>
    <row r="51" spans="1:15" ht="15" x14ac:dyDescent="0.2">
      <c r="A51" s="43" t="s">
        <v>18</v>
      </c>
      <c r="B51" s="43" t="s">
        <v>15</v>
      </c>
      <c r="C51" s="44" t="s">
        <v>379</v>
      </c>
      <c r="D51" s="20" t="s">
        <v>181</v>
      </c>
      <c r="E51" s="44" t="s">
        <v>70</v>
      </c>
      <c r="F51" s="44"/>
      <c r="G51" s="44">
        <v>3</v>
      </c>
      <c r="H51" s="44"/>
      <c r="I51" s="44"/>
      <c r="J51" s="44"/>
      <c r="K51" s="44"/>
      <c r="L51" s="44"/>
      <c r="M51" s="44"/>
      <c r="N51" s="44"/>
      <c r="O51" s="44" t="s">
        <v>380</v>
      </c>
    </row>
    <row r="52" spans="1:15" ht="15" x14ac:dyDescent="0.2">
      <c r="A52" s="43" t="s">
        <v>18</v>
      </c>
      <c r="B52" s="43" t="s">
        <v>21</v>
      </c>
      <c r="C52" s="44" t="s">
        <v>207</v>
      </c>
      <c r="D52" s="20" t="s">
        <v>209</v>
      </c>
      <c r="E52" s="44" t="s">
        <v>70</v>
      </c>
      <c r="F52" s="44"/>
      <c r="G52" s="44">
        <v>8</v>
      </c>
      <c r="H52" s="44"/>
      <c r="I52" s="44"/>
      <c r="J52" s="44"/>
      <c r="K52" s="44"/>
      <c r="L52" s="44"/>
      <c r="M52" s="44"/>
      <c r="N52" s="44"/>
      <c r="O52" s="44" t="s">
        <v>208</v>
      </c>
    </row>
    <row r="53" spans="1:15" ht="15" x14ac:dyDescent="0.2">
      <c r="A53" s="43" t="s">
        <v>18</v>
      </c>
      <c r="B53" s="43" t="s">
        <v>19</v>
      </c>
      <c r="C53" s="44" t="s">
        <v>384</v>
      </c>
      <c r="D53" s="20" t="s">
        <v>385</v>
      </c>
      <c r="E53" s="44" t="s">
        <v>70</v>
      </c>
      <c r="F53" s="44"/>
      <c r="G53" s="44"/>
      <c r="H53" s="44"/>
      <c r="I53" s="44"/>
      <c r="J53" s="44"/>
      <c r="K53" s="44"/>
      <c r="L53" s="44"/>
      <c r="M53" s="44"/>
      <c r="N53" s="44"/>
      <c r="O53" s="44" t="s">
        <v>386</v>
      </c>
    </row>
    <row r="54" spans="1:15" ht="28.5" x14ac:dyDescent="0.2">
      <c r="A54" s="43" t="s">
        <v>18</v>
      </c>
      <c r="B54" s="43" t="s">
        <v>19</v>
      </c>
      <c r="C54" s="44" t="s">
        <v>387</v>
      </c>
      <c r="D54" s="20" t="s">
        <v>159</v>
      </c>
      <c r="E54" s="44" t="s">
        <v>70</v>
      </c>
      <c r="F54" s="44"/>
      <c r="G54" s="44"/>
      <c r="H54" s="44"/>
      <c r="I54" s="44"/>
      <c r="J54" s="44"/>
      <c r="K54" s="44"/>
      <c r="L54" s="44"/>
      <c r="M54" s="44"/>
      <c r="N54" s="44"/>
      <c r="O54" s="44" t="s">
        <v>388</v>
      </c>
    </row>
    <row r="55" spans="1:15" ht="28.5" x14ac:dyDescent="0.2">
      <c r="A55" s="43" t="s">
        <v>18</v>
      </c>
      <c r="B55" s="43" t="s">
        <v>19</v>
      </c>
      <c r="C55" s="44" t="s">
        <v>99</v>
      </c>
      <c r="D55" s="20" t="s">
        <v>101</v>
      </c>
      <c r="E55" s="44" t="s">
        <v>70</v>
      </c>
      <c r="F55" s="44"/>
      <c r="G55" s="44">
        <v>5</v>
      </c>
      <c r="H55" s="44"/>
      <c r="I55" s="44"/>
      <c r="J55" s="44"/>
      <c r="K55" s="44"/>
      <c r="L55" s="44"/>
      <c r="M55" s="44"/>
      <c r="N55" s="44"/>
      <c r="O55" s="44" t="s">
        <v>100</v>
      </c>
    </row>
    <row r="56" spans="1:15" ht="15" x14ac:dyDescent="0.2">
      <c r="A56" s="43" t="s">
        <v>18</v>
      </c>
      <c r="B56" s="43" t="s">
        <v>15</v>
      </c>
      <c r="C56" s="44" t="s">
        <v>392</v>
      </c>
      <c r="D56" s="20" t="s">
        <v>394</v>
      </c>
      <c r="E56" s="44" t="s">
        <v>70</v>
      </c>
      <c r="F56" s="44"/>
      <c r="G56" s="44"/>
      <c r="H56" s="44"/>
      <c r="I56" s="44"/>
      <c r="J56" s="44"/>
      <c r="K56" s="44"/>
      <c r="L56" s="44"/>
      <c r="M56" s="44"/>
      <c r="N56" s="44"/>
      <c r="O56" s="44" t="s">
        <v>395</v>
      </c>
    </row>
    <row r="57" spans="1:15" ht="15" x14ac:dyDescent="0.2">
      <c r="A57" s="43" t="s">
        <v>18</v>
      </c>
      <c r="B57" s="43" t="s">
        <v>19</v>
      </c>
      <c r="C57" s="44" t="s">
        <v>392</v>
      </c>
      <c r="D57" s="20" t="s">
        <v>155</v>
      </c>
      <c r="E57" s="44" t="s">
        <v>70</v>
      </c>
      <c r="F57" s="44"/>
      <c r="G57" s="44"/>
      <c r="H57" s="44"/>
      <c r="I57" s="44"/>
      <c r="J57" s="44"/>
      <c r="K57" s="44"/>
      <c r="L57" s="44"/>
      <c r="M57" s="44"/>
      <c r="N57" s="44"/>
      <c r="O57" s="44" t="s">
        <v>393</v>
      </c>
    </row>
    <row r="58" spans="1:15" x14ac:dyDescent="0.2">
      <c r="A58" s="91" t="s">
        <v>855</v>
      </c>
      <c r="B58" s="92"/>
      <c r="C58" s="92"/>
      <c r="D58" s="92"/>
      <c r="E58" s="92"/>
      <c r="F58" s="92"/>
      <c r="G58" s="92"/>
      <c r="H58" s="92"/>
      <c r="I58" s="92"/>
      <c r="J58" s="92"/>
      <c r="K58" s="92"/>
      <c r="L58" s="92"/>
      <c r="M58" s="92"/>
      <c r="N58" s="92"/>
      <c r="O58" s="93"/>
    </row>
  </sheetData>
  <mergeCells count="4">
    <mergeCell ref="A1:O1"/>
    <mergeCell ref="A2:O2"/>
    <mergeCell ref="A3:O3"/>
    <mergeCell ref="A58:O58"/>
  </mergeCells>
  <hyperlinks>
    <hyperlink ref="A2" r:id="rId1" display="https://webgate.ec.europa.eu/CITnet/jira/issues/?filter=238855"/>
    <hyperlink ref="D5" r:id="rId2" display="https://webgate.ec.europa.eu/CITnet/jira/browse/TSKACTION-217"/>
    <hyperlink ref="D6" r:id="rId3" display="https://webgate.ec.europa.eu/CITnet/jira/browse/CCDOCLIST-165"/>
    <hyperlink ref="D7" r:id="rId4" display="https://webgate.ec.europa.eu/CITnet/jira/browse/PROCESS-44"/>
    <hyperlink ref="D8" r:id="rId5" display="https://webgate.ec.europa.eu/CITnet/jira/browse/PROCESS-92"/>
    <hyperlink ref="D9" r:id="rId6" display="https://webgate.ec.europa.eu/CITnet/jira/browse/PROCESS-75"/>
    <hyperlink ref="D10" r:id="rId7" display="https://webgate.ec.europa.eu/CITnet/jira/browse/CCARCHITEC-37"/>
    <hyperlink ref="D11" r:id="rId8" display="https://webgate.ec.europa.eu/CITnet/jira/browse/COMPCORP-114"/>
    <hyperlink ref="D12" r:id="rId9" display="https://webgate.ec.europa.eu/CITnet/jira/browse/CCTASK-533"/>
    <hyperlink ref="D13" r:id="rId10" display="https://webgate.ec.europa.eu/CITnet/jira/browse/CCDOCLIST-156"/>
    <hyperlink ref="D14" r:id="rId11" display="https://webgate.ec.europa.eu/CITnet/jira/browse/CCDOCLIST-19"/>
    <hyperlink ref="D15" r:id="rId12" display="https://webgate.ec.europa.eu/CITnet/jira/browse/CCDOCLIST-157"/>
    <hyperlink ref="D16" r:id="rId13" display="https://webgate.ec.europa.eu/CITnet/jira/browse/CCTASK-534"/>
    <hyperlink ref="D17" r:id="rId14" display="https://webgate.ec.europa.eu/CITnet/jira/browse/CCDOCLIST-17"/>
    <hyperlink ref="D18" r:id="rId15" display="https://webgate.ec.europa.eu/CITnet/jira/browse/CCDOCLIST-27"/>
    <hyperlink ref="D19" r:id="rId16" display="https://webgate.ec.europa.eu/CITnet/jira/browse/CCDOCLIST-25"/>
    <hyperlink ref="D20" r:id="rId17" display="https://webgate.ec.europa.eu/CITnet/jira/browse/CCARCHITEC-49"/>
    <hyperlink ref="D21" r:id="rId18" display="https://webgate.ec.europa.eu/CITnet/jira/browse/TSKACTION-245"/>
    <hyperlink ref="D22" r:id="rId19" display="https://webgate.ec.europa.eu/CITnet/jira/browse/CCTASK-579"/>
    <hyperlink ref="D23" r:id="rId20" display="https://webgate.ec.europa.eu/CITnet/jira/browse/CCDOCLIST-181"/>
    <hyperlink ref="D24" r:id="rId21" display="https://webgate.ec.europa.eu/CITnet/jira/browse/CCTASK-527"/>
    <hyperlink ref="D25" r:id="rId22" display="https://webgate.ec.europa.eu/CITnet/jira/browse/CCTASK-272"/>
    <hyperlink ref="D26" r:id="rId23" display="https://webgate.ec.europa.eu/CITnet/jira/browse/CCDOCLIST-174"/>
    <hyperlink ref="D27" r:id="rId24" display="https://webgate.ec.europa.eu/CITnet/jira/browse/CCTASK-476"/>
    <hyperlink ref="D28" r:id="rId25" display="https://webgate.ec.europa.eu/CITnet/jira/browse/CCTASK-519"/>
    <hyperlink ref="D29" r:id="rId26" display="https://webgate.ec.europa.eu/CITnet/jira/browse/TSKACTION-56"/>
    <hyperlink ref="D30" r:id="rId27" display="https://webgate.ec.europa.eu/CITnet/jira/browse/INTERCOM-55"/>
    <hyperlink ref="D31" r:id="rId28" display="https://webgate.ec.europa.eu/CITnet/jira/browse/CCPMO-129"/>
    <hyperlink ref="D32" r:id="rId29" display="https://webgate.ec.europa.eu/CITnet/jira/browse/CCPMO-77"/>
    <hyperlink ref="D33" r:id="rId30" display="https://webgate.ec.europa.eu/CITnet/jira/browse/CCPMO-63"/>
    <hyperlink ref="D34" r:id="rId31" display="https://webgate.ec.europa.eu/CITnet/jira/browse/WAVECC-42"/>
    <hyperlink ref="D35" r:id="rId32" display="https://webgate.ec.europa.eu/CITnet/jira/browse/CCADMIN-42"/>
    <hyperlink ref="D36" r:id="rId33" display="https://webgate.ec.europa.eu/CITnet/jira/browse/INTERCOM-54"/>
    <hyperlink ref="D37" r:id="rId34" display="https://webgate.ec.europa.eu/CITnet/jira/browse/INTERCOM-71"/>
    <hyperlink ref="D38" r:id="rId35" display="https://webgate.ec.europa.eu/CITnet/jira/browse/PROCESS-98"/>
    <hyperlink ref="D39" r:id="rId36" display="https://webgate.ec.europa.eu/CITnet/jira/browse/PROCESS-95"/>
    <hyperlink ref="D40" r:id="rId37" display="https://webgate.ec.europa.eu/CITnet/jira/browse/PFM-125"/>
    <hyperlink ref="D41" r:id="rId38" display="https://webgate.ec.europa.eu/CITnet/jira/browse/PROCESS-33"/>
    <hyperlink ref="D42" r:id="rId39" display="https://webgate.ec.europa.eu/CITnet/jira/browse/CCTASK-532"/>
    <hyperlink ref="D43" r:id="rId40" display="https://webgate.ec.europa.eu/CITnet/jira/browse/CCDOCLIST-116"/>
    <hyperlink ref="D44" r:id="rId41" display="https://webgate.ec.europa.eu/CITnet/jira/browse/WAVECC-34"/>
    <hyperlink ref="D45" r:id="rId42" display="https://webgate.ec.europa.eu/CITnet/jira/browse/CCPMO-76"/>
    <hyperlink ref="D46" r:id="rId43" display="https://webgate.ec.europa.eu/CITnet/jira/browse/INTERCOM-75"/>
    <hyperlink ref="D47" r:id="rId44" display="https://webgate.ec.europa.eu/CITnet/jira/browse/CCADMIN-55"/>
    <hyperlink ref="D48" r:id="rId45" display="https://webgate.ec.europa.eu/CITnet/jira/browse/PROCESS-125"/>
    <hyperlink ref="D49" r:id="rId46" display="https://webgate.ec.europa.eu/CITnet/jira/browse/CCADMIN-44"/>
    <hyperlink ref="D50" r:id="rId47" display="https://webgate.ec.europa.eu/CITnet/jira/browse/INTERCOM-76"/>
    <hyperlink ref="D51" r:id="rId48" display="https://webgate.ec.europa.eu/CITnet/jira/browse/INTERCOM-59"/>
    <hyperlink ref="D52" r:id="rId49" display="https://webgate.ec.europa.eu/CITnet/jira/browse/INTERCOM-72"/>
    <hyperlink ref="D53" r:id="rId50" display="https://webgate.ec.europa.eu/CITnet/jira/browse/CCTASK-518"/>
    <hyperlink ref="D54" r:id="rId51" display="https://webgate.ec.europa.eu/CITnet/jira/browse/PFM-131"/>
    <hyperlink ref="D55" r:id="rId52" display="https://webgate.ec.europa.eu/CITnet/jira/browse/INTERCOM-52"/>
    <hyperlink ref="D56" r:id="rId53" display="https://webgate.ec.europa.eu/CITnet/jira/browse/PROCESS-96"/>
    <hyperlink ref="D57" r:id="rId54" display="https://webgate.ec.europa.eu/CITnet/jira/browse/PFM-126"/>
  </hyperlinks>
  <printOptions horizontalCentered="1" verticalCentered="1"/>
  <pageMargins left="0.25" right="0.25" top="0.25" bottom="0.5" header="0.5" footer="0.25"/>
  <pageSetup orientation="landscape" horizontalDpi="0" verticalDpi="0"/>
  <headerFooter>
    <oddFooter>&amp;R&amp;P of &amp;N</oddFooter>
  </headerFooter>
  <drawing r:id="rId5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002060"/>
  </sheetPr>
  <dimension ref="A1:O196"/>
  <sheetViews>
    <sheetView workbookViewId="0">
      <selection activeCell="C14" sqref="C14"/>
    </sheetView>
  </sheetViews>
  <sheetFormatPr defaultRowHeight="12" x14ac:dyDescent="0.2"/>
  <cols>
    <col min="1" max="1" width="10.5" style="41" bestFit="1" customWidth="1"/>
    <col min="2" max="2" width="10.25" style="41" bestFit="1" customWidth="1"/>
    <col min="3" max="3" width="32" style="41" bestFit="1" customWidth="1"/>
    <col min="4" max="4" width="13" style="41" bestFit="1" customWidth="1"/>
    <col min="5" max="5" width="31.125" style="41" bestFit="1" customWidth="1"/>
    <col min="6" max="6" width="32" style="41" bestFit="1" customWidth="1"/>
    <col min="7" max="7" width="11.75" style="41" bestFit="1" customWidth="1"/>
    <col min="8" max="8" width="9" style="41" bestFit="1" customWidth="1"/>
    <col min="9" max="9" width="17.875" style="41" bestFit="1" customWidth="1"/>
    <col min="10" max="10" width="20.375" style="41" bestFit="1" customWidth="1"/>
    <col min="11" max="11" width="8.5" style="41" bestFit="1" customWidth="1"/>
    <col min="12" max="12" width="14.125" style="41" bestFit="1" customWidth="1"/>
    <col min="13" max="13" width="14.625" style="41" bestFit="1" customWidth="1"/>
    <col min="14" max="14" width="14.5" style="41" bestFit="1" customWidth="1"/>
    <col min="15" max="15" width="32" style="41" bestFit="1" customWidth="1"/>
    <col min="16" max="16384" width="9" style="41"/>
  </cols>
  <sheetData>
    <row r="1" spans="1:15" ht="27" customHeight="1" x14ac:dyDescent="0.2">
      <c r="A1" s="85"/>
      <c r="B1" s="86"/>
      <c r="C1" s="86"/>
      <c r="D1" s="86"/>
      <c r="E1" s="86"/>
      <c r="F1" s="86"/>
      <c r="G1" s="86"/>
      <c r="H1" s="86"/>
      <c r="I1" s="86"/>
      <c r="J1" s="86"/>
      <c r="K1" s="86"/>
      <c r="L1" s="86"/>
      <c r="M1" s="86"/>
      <c r="N1" s="86"/>
      <c r="O1" s="87"/>
    </row>
    <row r="2" spans="1:15" ht="15" customHeight="1" x14ac:dyDescent="0.2">
      <c r="A2" s="76" t="s">
        <v>426</v>
      </c>
      <c r="B2" s="77"/>
      <c r="C2" s="77"/>
      <c r="D2" s="77"/>
      <c r="E2" s="77"/>
      <c r="F2" s="77"/>
      <c r="G2" s="77"/>
      <c r="H2" s="77"/>
      <c r="I2" s="77"/>
      <c r="J2" s="77"/>
      <c r="K2" s="77"/>
      <c r="L2" s="77"/>
      <c r="M2" s="77"/>
      <c r="N2" s="77"/>
      <c r="O2" s="78"/>
    </row>
    <row r="3" spans="1:15" ht="15" customHeight="1" x14ac:dyDescent="0.2">
      <c r="A3" s="88" t="s">
        <v>856</v>
      </c>
      <c r="B3" s="89"/>
      <c r="C3" s="89"/>
      <c r="D3" s="89"/>
      <c r="E3" s="89"/>
      <c r="F3" s="89"/>
      <c r="G3" s="89"/>
      <c r="H3" s="89"/>
      <c r="I3" s="89"/>
      <c r="J3" s="89"/>
      <c r="K3" s="89"/>
      <c r="L3" s="89"/>
      <c r="M3" s="89"/>
      <c r="N3" s="89"/>
      <c r="O3" s="90"/>
    </row>
    <row r="4" spans="1:15" ht="15" x14ac:dyDescent="0.2">
      <c r="A4" s="42" t="s">
        <v>4</v>
      </c>
      <c r="B4" s="42" t="s">
        <v>5</v>
      </c>
      <c r="C4" s="42" t="s">
        <v>54</v>
      </c>
      <c r="D4" s="42" t="s">
        <v>6</v>
      </c>
      <c r="E4" s="42" t="s">
        <v>7</v>
      </c>
      <c r="F4" s="42" t="s">
        <v>53</v>
      </c>
      <c r="G4" s="42" t="s">
        <v>8</v>
      </c>
      <c r="H4" s="42" t="s">
        <v>427</v>
      </c>
      <c r="I4" s="42" t="s">
        <v>429</v>
      </c>
      <c r="J4" s="42" t="s">
        <v>428</v>
      </c>
      <c r="K4" s="42" t="s">
        <v>9</v>
      </c>
      <c r="L4" s="42" t="s">
        <v>10</v>
      </c>
      <c r="M4" s="42" t="s">
        <v>52</v>
      </c>
      <c r="N4" s="42" t="s">
        <v>51</v>
      </c>
      <c r="O4" s="42" t="s">
        <v>11</v>
      </c>
    </row>
    <row r="5" spans="1:15" ht="28.5" x14ac:dyDescent="0.2">
      <c r="A5" s="43" t="s">
        <v>12</v>
      </c>
      <c r="B5" s="43" t="s">
        <v>15</v>
      </c>
      <c r="C5" s="44" t="s">
        <v>775</v>
      </c>
      <c r="D5" s="20" t="s">
        <v>774</v>
      </c>
      <c r="E5" s="44"/>
      <c r="F5" s="44" t="s">
        <v>83</v>
      </c>
      <c r="G5" s="44"/>
      <c r="H5" s="44"/>
      <c r="I5" s="44">
        <v>180</v>
      </c>
      <c r="J5" s="44">
        <v>180</v>
      </c>
      <c r="K5" s="44"/>
      <c r="L5" s="44"/>
      <c r="M5" s="44"/>
      <c r="N5" s="44"/>
      <c r="O5" s="44" t="s">
        <v>771</v>
      </c>
    </row>
    <row r="6" spans="1:15" ht="28.5" x14ac:dyDescent="0.2">
      <c r="A6" s="43" t="s">
        <v>12</v>
      </c>
      <c r="B6" s="43" t="s">
        <v>15</v>
      </c>
      <c r="C6" s="44" t="s">
        <v>777</v>
      </c>
      <c r="D6" s="20" t="s">
        <v>776</v>
      </c>
      <c r="E6" s="44"/>
      <c r="F6" s="44" t="s">
        <v>83</v>
      </c>
      <c r="G6" s="44"/>
      <c r="H6" s="44"/>
      <c r="I6" s="44">
        <v>7200</v>
      </c>
      <c r="J6" s="44">
        <v>7200</v>
      </c>
      <c r="K6" s="44"/>
      <c r="L6" s="44"/>
      <c r="M6" s="44"/>
      <c r="N6" s="44"/>
      <c r="O6" s="44" t="s">
        <v>771</v>
      </c>
    </row>
    <row r="7" spans="1:15" ht="28.5" x14ac:dyDescent="0.2">
      <c r="A7" s="43" t="s">
        <v>12</v>
      </c>
      <c r="B7" s="43" t="s">
        <v>15</v>
      </c>
      <c r="C7" s="44" t="s">
        <v>773</v>
      </c>
      <c r="D7" s="20" t="s">
        <v>772</v>
      </c>
      <c r="E7" s="44"/>
      <c r="F7" s="44" t="s">
        <v>83</v>
      </c>
      <c r="G7" s="44"/>
      <c r="H7" s="44"/>
      <c r="I7" s="44">
        <v>7200</v>
      </c>
      <c r="J7" s="44">
        <v>7200</v>
      </c>
      <c r="K7" s="44"/>
      <c r="L7" s="44"/>
      <c r="M7" s="44"/>
      <c r="N7" s="44"/>
      <c r="O7" s="44" t="s">
        <v>771</v>
      </c>
    </row>
    <row r="8" spans="1:15" ht="28.5" x14ac:dyDescent="0.2">
      <c r="A8" s="43" t="s">
        <v>12</v>
      </c>
      <c r="B8" s="43" t="s">
        <v>15</v>
      </c>
      <c r="C8" s="44" t="s">
        <v>779</v>
      </c>
      <c r="D8" s="20" t="s">
        <v>778</v>
      </c>
      <c r="E8" s="44"/>
      <c r="F8" s="44" t="s">
        <v>83</v>
      </c>
      <c r="G8" s="44"/>
      <c r="H8" s="44"/>
      <c r="I8" s="44"/>
      <c r="J8" s="44"/>
      <c r="K8" s="44"/>
      <c r="L8" s="44"/>
      <c r="M8" s="44"/>
      <c r="N8" s="44"/>
      <c r="O8" s="44" t="s">
        <v>771</v>
      </c>
    </row>
    <row r="9" spans="1:15" ht="15" x14ac:dyDescent="0.2">
      <c r="A9" s="43" t="s">
        <v>12</v>
      </c>
      <c r="B9" s="43" t="s">
        <v>15</v>
      </c>
      <c r="C9" s="44" t="s">
        <v>810</v>
      </c>
      <c r="D9" s="20" t="s">
        <v>809</v>
      </c>
      <c r="E9" s="44"/>
      <c r="F9" s="44" t="s">
        <v>114</v>
      </c>
      <c r="G9" s="44"/>
      <c r="H9" s="44"/>
      <c r="I9" s="44"/>
      <c r="J9" s="44"/>
      <c r="K9" s="44"/>
      <c r="L9" s="44"/>
      <c r="M9" s="44"/>
      <c r="N9" s="44"/>
      <c r="O9" s="44"/>
    </row>
    <row r="10" spans="1:15" ht="28.5" x14ac:dyDescent="0.2">
      <c r="A10" s="43" t="s">
        <v>12</v>
      </c>
      <c r="B10" s="43" t="s">
        <v>15</v>
      </c>
      <c r="C10" s="44" t="s">
        <v>673</v>
      </c>
      <c r="D10" s="20" t="s">
        <v>672</v>
      </c>
      <c r="E10" s="44"/>
      <c r="F10" s="44" t="s">
        <v>655</v>
      </c>
      <c r="G10" s="44">
        <v>5</v>
      </c>
      <c r="H10" s="44">
        <v>5</v>
      </c>
      <c r="I10" s="44"/>
      <c r="J10" s="44"/>
      <c r="K10" s="44"/>
      <c r="L10" s="44"/>
      <c r="M10" s="44"/>
      <c r="N10" s="44"/>
      <c r="O10" s="44" t="s">
        <v>225</v>
      </c>
    </row>
    <row r="11" spans="1:15" ht="28.5" x14ac:dyDescent="0.2">
      <c r="A11" s="43" t="s">
        <v>12</v>
      </c>
      <c r="B11" s="43" t="s">
        <v>15</v>
      </c>
      <c r="C11" s="44" t="s">
        <v>671</v>
      </c>
      <c r="D11" s="20" t="s">
        <v>670</v>
      </c>
      <c r="E11" s="44"/>
      <c r="F11" s="44" t="s">
        <v>655</v>
      </c>
      <c r="G11" s="44">
        <v>5</v>
      </c>
      <c r="H11" s="44"/>
      <c r="I11" s="44"/>
      <c r="J11" s="44"/>
      <c r="K11" s="44"/>
      <c r="L11" s="44"/>
      <c r="M11" s="44"/>
      <c r="N11" s="44"/>
      <c r="O11" s="44" t="s">
        <v>82</v>
      </c>
    </row>
    <row r="12" spans="1:15" ht="15" x14ac:dyDescent="0.2">
      <c r="A12" s="43" t="s">
        <v>12</v>
      </c>
      <c r="B12" s="43" t="s">
        <v>15</v>
      </c>
      <c r="C12" s="44" t="s">
        <v>758</v>
      </c>
      <c r="D12" s="20" t="s">
        <v>757</v>
      </c>
      <c r="E12" s="44"/>
      <c r="F12" s="44" t="s">
        <v>83</v>
      </c>
      <c r="G12" s="44"/>
      <c r="H12" s="44"/>
      <c r="I12" s="44"/>
      <c r="J12" s="44"/>
      <c r="K12" s="44"/>
      <c r="L12" s="44"/>
      <c r="M12" s="44"/>
      <c r="N12" s="44"/>
      <c r="O12" s="44" t="s">
        <v>756</v>
      </c>
    </row>
    <row r="13" spans="1:15" ht="15" x14ac:dyDescent="0.2">
      <c r="A13" s="43" t="s">
        <v>12</v>
      </c>
      <c r="B13" s="43" t="s">
        <v>15</v>
      </c>
      <c r="C13" s="44" t="s">
        <v>760</v>
      </c>
      <c r="D13" s="20" t="s">
        <v>759</v>
      </c>
      <c r="E13" s="44"/>
      <c r="F13" s="44" t="s">
        <v>83</v>
      </c>
      <c r="G13" s="44"/>
      <c r="H13" s="44"/>
      <c r="I13" s="44"/>
      <c r="J13" s="44"/>
      <c r="K13" s="44"/>
      <c r="L13" s="44"/>
      <c r="M13" s="44"/>
      <c r="N13" s="44"/>
      <c r="O13" s="44" t="s">
        <v>756</v>
      </c>
    </row>
    <row r="14" spans="1:15" ht="15" x14ac:dyDescent="0.2">
      <c r="A14" s="43" t="s">
        <v>12</v>
      </c>
      <c r="B14" s="43" t="s">
        <v>15</v>
      </c>
      <c r="C14" s="44" t="s">
        <v>762</v>
      </c>
      <c r="D14" s="20" t="s">
        <v>761</v>
      </c>
      <c r="E14" s="44"/>
      <c r="F14" s="44" t="s">
        <v>83</v>
      </c>
      <c r="G14" s="44"/>
      <c r="H14" s="44"/>
      <c r="I14" s="44"/>
      <c r="J14" s="44"/>
      <c r="K14" s="44"/>
      <c r="L14" s="44"/>
      <c r="M14" s="44"/>
      <c r="N14" s="44"/>
      <c r="O14" s="44" t="s">
        <v>756</v>
      </c>
    </row>
    <row r="15" spans="1:15" ht="15" x14ac:dyDescent="0.2">
      <c r="A15" s="43" t="s">
        <v>12</v>
      </c>
      <c r="B15" s="43" t="s">
        <v>15</v>
      </c>
      <c r="C15" s="44" t="s">
        <v>755</v>
      </c>
      <c r="D15" s="20" t="s">
        <v>754</v>
      </c>
      <c r="E15" s="44"/>
      <c r="F15" s="44" t="s">
        <v>83</v>
      </c>
      <c r="G15" s="44"/>
      <c r="H15" s="44"/>
      <c r="I15" s="44"/>
      <c r="J15" s="44"/>
      <c r="K15" s="44"/>
      <c r="L15" s="44"/>
      <c r="M15" s="44"/>
      <c r="N15" s="44"/>
      <c r="O15" s="44" t="s">
        <v>747</v>
      </c>
    </row>
    <row r="16" spans="1:15" ht="15" x14ac:dyDescent="0.2">
      <c r="A16" s="43" t="s">
        <v>12</v>
      </c>
      <c r="B16" s="43" t="s">
        <v>15</v>
      </c>
      <c r="C16" s="44" t="s">
        <v>753</v>
      </c>
      <c r="D16" s="20" t="s">
        <v>752</v>
      </c>
      <c r="E16" s="44"/>
      <c r="F16" s="44" t="s">
        <v>83</v>
      </c>
      <c r="G16" s="44"/>
      <c r="H16" s="44"/>
      <c r="I16" s="44"/>
      <c r="J16" s="44"/>
      <c r="K16" s="44"/>
      <c r="L16" s="44"/>
      <c r="M16" s="44"/>
      <c r="N16" s="44"/>
      <c r="O16" s="44" t="s">
        <v>747</v>
      </c>
    </row>
    <row r="17" spans="1:15" ht="15" x14ac:dyDescent="0.2">
      <c r="A17" s="43" t="s">
        <v>12</v>
      </c>
      <c r="B17" s="43" t="s">
        <v>15</v>
      </c>
      <c r="C17" s="44" t="s">
        <v>751</v>
      </c>
      <c r="D17" s="20" t="s">
        <v>750</v>
      </c>
      <c r="E17" s="44"/>
      <c r="F17" s="44" t="s">
        <v>83</v>
      </c>
      <c r="G17" s="44"/>
      <c r="H17" s="44"/>
      <c r="I17" s="44"/>
      <c r="J17" s="44"/>
      <c r="K17" s="44"/>
      <c r="L17" s="44"/>
      <c r="M17" s="44"/>
      <c r="N17" s="44"/>
      <c r="O17" s="44" t="s">
        <v>747</v>
      </c>
    </row>
    <row r="18" spans="1:15" ht="15" x14ac:dyDescent="0.2">
      <c r="A18" s="43" t="s">
        <v>12</v>
      </c>
      <c r="B18" s="43" t="s">
        <v>15</v>
      </c>
      <c r="C18" s="44" t="s">
        <v>749</v>
      </c>
      <c r="D18" s="20" t="s">
        <v>748</v>
      </c>
      <c r="E18" s="44"/>
      <c r="F18" s="44" t="s">
        <v>83</v>
      </c>
      <c r="G18" s="44"/>
      <c r="H18" s="44"/>
      <c r="I18" s="44"/>
      <c r="J18" s="44"/>
      <c r="K18" s="44"/>
      <c r="L18" s="44"/>
      <c r="M18" s="44"/>
      <c r="N18" s="44"/>
      <c r="O18" s="44" t="s">
        <v>747</v>
      </c>
    </row>
    <row r="19" spans="1:15" ht="15" x14ac:dyDescent="0.2">
      <c r="A19" s="43" t="s">
        <v>12</v>
      </c>
      <c r="B19" s="43" t="s">
        <v>15</v>
      </c>
      <c r="C19" s="44" t="s">
        <v>764</v>
      </c>
      <c r="D19" s="20" t="s">
        <v>763</v>
      </c>
      <c r="E19" s="44"/>
      <c r="F19" s="44" t="s">
        <v>83</v>
      </c>
      <c r="G19" s="44"/>
      <c r="H19" s="44"/>
      <c r="I19" s="44"/>
      <c r="J19" s="44"/>
      <c r="K19" s="44"/>
      <c r="L19" s="44"/>
      <c r="M19" s="44"/>
      <c r="N19" s="44"/>
      <c r="O19" s="44" t="s">
        <v>756</v>
      </c>
    </row>
    <row r="20" spans="1:15" ht="28.5" x14ac:dyDescent="0.2">
      <c r="A20" s="43" t="s">
        <v>12</v>
      </c>
      <c r="B20" s="43" t="s">
        <v>15</v>
      </c>
      <c r="C20" s="44" t="s">
        <v>767</v>
      </c>
      <c r="D20" s="20" t="s">
        <v>766</v>
      </c>
      <c r="E20" s="44"/>
      <c r="F20" s="44" t="s">
        <v>744</v>
      </c>
      <c r="G20" s="44">
        <v>5</v>
      </c>
      <c r="H20" s="44">
        <v>5</v>
      </c>
      <c r="I20" s="44"/>
      <c r="J20" s="44">
        <v>0</v>
      </c>
      <c r="K20" s="44"/>
      <c r="L20" s="44"/>
      <c r="M20" s="44"/>
      <c r="N20" s="44"/>
      <c r="O20" s="44" t="s">
        <v>765</v>
      </c>
    </row>
    <row r="21" spans="1:15" ht="28.5" x14ac:dyDescent="0.2">
      <c r="A21" s="43" t="s">
        <v>12</v>
      </c>
      <c r="B21" s="43" t="s">
        <v>15</v>
      </c>
      <c r="C21" s="44" t="s">
        <v>202</v>
      </c>
      <c r="D21" s="20" t="s">
        <v>203</v>
      </c>
      <c r="E21" s="44" t="s">
        <v>70</v>
      </c>
      <c r="F21" s="44" t="s">
        <v>188</v>
      </c>
      <c r="G21" s="44">
        <v>3</v>
      </c>
      <c r="H21" s="44">
        <v>3</v>
      </c>
      <c r="I21" s="44">
        <v>14400</v>
      </c>
      <c r="J21" s="44">
        <v>14400</v>
      </c>
      <c r="K21" s="44"/>
      <c r="L21" s="44"/>
      <c r="M21" s="44"/>
      <c r="N21" s="44"/>
      <c r="O21" s="44" t="s">
        <v>204</v>
      </c>
    </row>
    <row r="22" spans="1:15" ht="15" x14ac:dyDescent="0.2">
      <c r="A22" s="43" t="s">
        <v>12</v>
      </c>
      <c r="B22" s="43" t="s">
        <v>15</v>
      </c>
      <c r="C22" s="44" t="s">
        <v>207</v>
      </c>
      <c r="D22" s="20" t="s">
        <v>208</v>
      </c>
      <c r="E22" s="44" t="s">
        <v>70</v>
      </c>
      <c r="F22" s="44" t="s">
        <v>188</v>
      </c>
      <c r="G22" s="44">
        <v>5</v>
      </c>
      <c r="H22" s="44">
        <v>5</v>
      </c>
      <c r="I22" s="44">
        <v>86400</v>
      </c>
      <c r="J22" s="44">
        <v>86400</v>
      </c>
      <c r="K22" s="44"/>
      <c r="L22" s="44"/>
      <c r="M22" s="44"/>
      <c r="N22" s="44"/>
      <c r="O22" s="44" t="s">
        <v>209</v>
      </c>
    </row>
    <row r="23" spans="1:15" ht="28.5" x14ac:dyDescent="0.2">
      <c r="A23" s="43" t="s">
        <v>12</v>
      </c>
      <c r="B23" s="43" t="s">
        <v>15</v>
      </c>
      <c r="C23" s="44" t="s">
        <v>205</v>
      </c>
      <c r="D23" s="20" t="s">
        <v>206</v>
      </c>
      <c r="E23" s="44" t="s">
        <v>70</v>
      </c>
      <c r="F23" s="44" t="s">
        <v>188</v>
      </c>
      <c r="G23" s="44">
        <v>8</v>
      </c>
      <c r="H23" s="44">
        <v>8</v>
      </c>
      <c r="I23" s="44">
        <v>57600</v>
      </c>
      <c r="J23" s="44">
        <v>57600</v>
      </c>
      <c r="K23" s="44"/>
      <c r="L23" s="44"/>
      <c r="M23" s="44"/>
      <c r="N23" s="44"/>
      <c r="O23" s="44" t="s">
        <v>91</v>
      </c>
    </row>
    <row r="24" spans="1:15" ht="28.5" x14ac:dyDescent="0.2">
      <c r="A24" s="43" t="s">
        <v>12</v>
      </c>
      <c r="B24" s="43" t="s">
        <v>15</v>
      </c>
      <c r="C24" s="44" t="s">
        <v>199</v>
      </c>
      <c r="D24" s="20" t="s">
        <v>200</v>
      </c>
      <c r="E24" s="44" t="s">
        <v>70</v>
      </c>
      <c r="F24" s="44" t="s">
        <v>188</v>
      </c>
      <c r="G24" s="44">
        <v>5</v>
      </c>
      <c r="H24" s="44">
        <v>5</v>
      </c>
      <c r="I24" s="44">
        <v>28800</v>
      </c>
      <c r="J24" s="44">
        <v>28800</v>
      </c>
      <c r="K24" s="44"/>
      <c r="L24" s="44"/>
      <c r="M24" s="44"/>
      <c r="N24" s="44"/>
      <c r="O24" s="44" t="s">
        <v>201</v>
      </c>
    </row>
    <row r="25" spans="1:15" ht="28.5" x14ac:dyDescent="0.2">
      <c r="A25" s="43" t="s">
        <v>12</v>
      </c>
      <c r="B25" s="43" t="s">
        <v>15</v>
      </c>
      <c r="C25" s="44" t="s">
        <v>194</v>
      </c>
      <c r="D25" s="20" t="s">
        <v>195</v>
      </c>
      <c r="E25" s="44" t="s">
        <v>70</v>
      </c>
      <c r="F25" s="44" t="s">
        <v>188</v>
      </c>
      <c r="G25" s="44">
        <v>3</v>
      </c>
      <c r="H25" s="44">
        <v>3</v>
      </c>
      <c r="I25" s="44">
        <v>28800</v>
      </c>
      <c r="J25" s="44">
        <v>28800</v>
      </c>
      <c r="K25" s="44"/>
      <c r="L25" s="44"/>
      <c r="M25" s="44"/>
      <c r="N25" s="44"/>
      <c r="O25" s="44" t="s">
        <v>91</v>
      </c>
    </row>
    <row r="26" spans="1:15" ht="28.5" x14ac:dyDescent="0.2">
      <c r="A26" s="43" t="s">
        <v>12</v>
      </c>
      <c r="B26" s="43" t="s">
        <v>15</v>
      </c>
      <c r="C26" s="44" t="s">
        <v>190</v>
      </c>
      <c r="D26" s="20" t="s">
        <v>191</v>
      </c>
      <c r="E26" s="44" t="s">
        <v>70</v>
      </c>
      <c r="F26" s="44" t="s">
        <v>188</v>
      </c>
      <c r="G26" s="44">
        <v>3</v>
      </c>
      <c r="H26" s="44">
        <v>3</v>
      </c>
      <c r="I26" s="44">
        <v>28800</v>
      </c>
      <c r="J26" s="44">
        <v>28800</v>
      </c>
      <c r="K26" s="44"/>
      <c r="L26" s="44"/>
      <c r="M26" s="44"/>
      <c r="N26" s="44"/>
      <c r="O26" s="44" t="s">
        <v>88</v>
      </c>
    </row>
    <row r="27" spans="1:15" ht="15" x14ac:dyDescent="0.2">
      <c r="A27" s="43" t="s">
        <v>12</v>
      </c>
      <c r="B27" s="43" t="s">
        <v>15</v>
      </c>
      <c r="C27" s="44" t="s">
        <v>192</v>
      </c>
      <c r="D27" s="20" t="s">
        <v>193</v>
      </c>
      <c r="E27" s="44" t="s">
        <v>70</v>
      </c>
      <c r="F27" s="44" t="s">
        <v>188</v>
      </c>
      <c r="G27" s="44">
        <v>5</v>
      </c>
      <c r="H27" s="44">
        <v>5</v>
      </c>
      <c r="I27" s="44">
        <v>28800</v>
      </c>
      <c r="J27" s="44">
        <v>28800</v>
      </c>
      <c r="K27" s="44"/>
      <c r="L27" s="44"/>
      <c r="M27" s="44"/>
      <c r="N27" s="44"/>
      <c r="O27" s="44" t="s">
        <v>96</v>
      </c>
    </row>
    <row r="28" spans="1:15" ht="28.5" x14ac:dyDescent="0.2">
      <c r="A28" s="43" t="s">
        <v>12</v>
      </c>
      <c r="B28" s="43" t="s">
        <v>15</v>
      </c>
      <c r="C28" s="44" t="s">
        <v>196</v>
      </c>
      <c r="D28" s="20" t="s">
        <v>197</v>
      </c>
      <c r="E28" s="44" t="s">
        <v>70</v>
      </c>
      <c r="F28" s="44" t="s">
        <v>188</v>
      </c>
      <c r="G28" s="44">
        <v>5</v>
      </c>
      <c r="H28" s="44">
        <v>5</v>
      </c>
      <c r="I28" s="44">
        <v>104400</v>
      </c>
      <c r="J28" s="44">
        <v>104400</v>
      </c>
      <c r="K28" s="44"/>
      <c r="L28" s="44"/>
      <c r="M28" s="44"/>
      <c r="N28" s="44"/>
      <c r="O28" s="44" t="s">
        <v>198</v>
      </c>
    </row>
    <row r="29" spans="1:15" ht="28.5" x14ac:dyDescent="0.2">
      <c r="A29" s="43" t="s">
        <v>12</v>
      </c>
      <c r="B29" s="43" t="s">
        <v>15</v>
      </c>
      <c r="C29" s="44" t="s">
        <v>160</v>
      </c>
      <c r="D29" s="20" t="s">
        <v>161</v>
      </c>
      <c r="E29" s="44" t="s">
        <v>70</v>
      </c>
      <c r="F29" s="44" t="s">
        <v>158</v>
      </c>
      <c r="G29" s="44"/>
      <c r="H29" s="44"/>
      <c r="I29" s="44"/>
      <c r="J29" s="44"/>
      <c r="K29" s="44"/>
      <c r="L29" s="44"/>
      <c r="M29" s="44"/>
      <c r="N29" s="44"/>
      <c r="O29" s="44"/>
    </row>
    <row r="30" spans="1:15" ht="42.75" x14ac:dyDescent="0.2">
      <c r="A30" s="43" t="s">
        <v>12</v>
      </c>
      <c r="B30" s="43" t="s">
        <v>15</v>
      </c>
      <c r="C30" s="44" t="s">
        <v>463</v>
      </c>
      <c r="D30" s="20" t="s">
        <v>462</v>
      </c>
      <c r="E30" s="44" t="s">
        <v>442</v>
      </c>
      <c r="F30" s="44" t="s">
        <v>464</v>
      </c>
      <c r="G30" s="44">
        <v>3</v>
      </c>
      <c r="H30" s="44">
        <v>3</v>
      </c>
      <c r="I30" s="44">
        <v>57780</v>
      </c>
      <c r="J30" s="44">
        <v>57780</v>
      </c>
      <c r="K30" s="44"/>
      <c r="L30" s="44"/>
      <c r="M30" s="44"/>
      <c r="N30" s="44"/>
      <c r="O30" s="44"/>
    </row>
    <row r="31" spans="1:15" ht="28.5" x14ac:dyDescent="0.2">
      <c r="A31" s="43" t="s">
        <v>12</v>
      </c>
      <c r="B31" s="43" t="s">
        <v>15</v>
      </c>
      <c r="C31" s="44" t="s">
        <v>818</v>
      </c>
      <c r="D31" s="20" t="s">
        <v>817</v>
      </c>
      <c r="E31" s="44"/>
      <c r="F31" s="44" t="s">
        <v>655</v>
      </c>
      <c r="G31" s="44">
        <v>5</v>
      </c>
      <c r="H31" s="44">
        <v>5</v>
      </c>
      <c r="I31" s="44"/>
      <c r="J31" s="44"/>
      <c r="K31" s="44"/>
      <c r="L31" s="44"/>
      <c r="M31" s="44"/>
      <c r="N31" s="44"/>
      <c r="O31" s="44" t="s">
        <v>816</v>
      </c>
    </row>
    <row r="32" spans="1:15" ht="28.5" x14ac:dyDescent="0.2">
      <c r="A32" s="43" t="s">
        <v>12</v>
      </c>
      <c r="B32" s="43" t="s">
        <v>15</v>
      </c>
      <c r="C32" s="44" t="s">
        <v>815</v>
      </c>
      <c r="D32" s="20" t="s">
        <v>814</v>
      </c>
      <c r="E32" s="44"/>
      <c r="F32" s="44" t="s">
        <v>813</v>
      </c>
      <c r="G32" s="44">
        <v>5</v>
      </c>
      <c r="H32" s="44">
        <v>5</v>
      </c>
      <c r="I32" s="44">
        <v>216060</v>
      </c>
      <c r="J32" s="44">
        <v>216060</v>
      </c>
      <c r="K32" s="44"/>
      <c r="L32" s="44"/>
      <c r="M32" s="44"/>
      <c r="N32" s="44"/>
      <c r="O32" s="44" t="s">
        <v>69</v>
      </c>
    </row>
    <row r="33" spans="1:15" ht="42.75" x14ac:dyDescent="0.2">
      <c r="A33" s="43" t="s">
        <v>12</v>
      </c>
      <c r="B33" s="43" t="s">
        <v>15</v>
      </c>
      <c r="C33" s="44" t="s">
        <v>454</v>
      </c>
      <c r="D33" s="20" t="s">
        <v>453</v>
      </c>
      <c r="E33" s="44" t="s">
        <v>442</v>
      </c>
      <c r="F33" s="44" t="s">
        <v>455</v>
      </c>
      <c r="G33" s="44">
        <v>3</v>
      </c>
      <c r="H33" s="44">
        <v>3</v>
      </c>
      <c r="I33" s="44"/>
      <c r="J33" s="44"/>
      <c r="K33" s="44"/>
      <c r="L33" s="44"/>
      <c r="M33" s="44"/>
      <c r="N33" s="44"/>
      <c r="O33" s="44"/>
    </row>
    <row r="34" spans="1:15" ht="28.5" x14ac:dyDescent="0.2">
      <c r="A34" s="43" t="s">
        <v>12</v>
      </c>
      <c r="B34" s="43" t="s">
        <v>15</v>
      </c>
      <c r="C34" s="44" t="s">
        <v>731</v>
      </c>
      <c r="D34" s="20" t="s">
        <v>730</v>
      </c>
      <c r="E34" s="44"/>
      <c r="F34" s="44" t="s">
        <v>729</v>
      </c>
      <c r="G34" s="44">
        <v>5</v>
      </c>
      <c r="H34" s="44">
        <v>13</v>
      </c>
      <c r="I34" s="44"/>
      <c r="J34" s="44"/>
      <c r="K34" s="44"/>
      <c r="L34" s="44"/>
      <c r="M34" s="44"/>
      <c r="N34" s="44"/>
      <c r="O34" s="44"/>
    </row>
    <row r="35" spans="1:15" ht="28.5" x14ac:dyDescent="0.2">
      <c r="A35" s="43" t="s">
        <v>12</v>
      </c>
      <c r="B35" s="43" t="s">
        <v>15</v>
      </c>
      <c r="C35" s="44" t="s">
        <v>734</v>
      </c>
      <c r="D35" s="20" t="s">
        <v>733</v>
      </c>
      <c r="E35" s="44"/>
      <c r="F35" s="44" t="s">
        <v>729</v>
      </c>
      <c r="G35" s="44">
        <v>5</v>
      </c>
      <c r="H35" s="44">
        <v>5</v>
      </c>
      <c r="I35" s="44"/>
      <c r="J35" s="44"/>
      <c r="K35" s="44"/>
      <c r="L35" s="44"/>
      <c r="M35" s="44"/>
      <c r="N35" s="44"/>
      <c r="O35" s="44" t="s">
        <v>732</v>
      </c>
    </row>
    <row r="36" spans="1:15" ht="28.5" x14ac:dyDescent="0.2">
      <c r="A36" s="43" t="s">
        <v>12</v>
      </c>
      <c r="B36" s="43" t="s">
        <v>15</v>
      </c>
      <c r="C36" s="44" t="s">
        <v>736</v>
      </c>
      <c r="D36" s="20" t="s">
        <v>732</v>
      </c>
      <c r="E36" s="44"/>
      <c r="F36" s="44" t="s">
        <v>735</v>
      </c>
      <c r="G36" s="44">
        <v>8</v>
      </c>
      <c r="H36" s="44"/>
      <c r="I36" s="44"/>
      <c r="J36" s="44"/>
      <c r="K36" s="44"/>
      <c r="L36" s="44"/>
      <c r="M36" s="44"/>
      <c r="N36" s="44"/>
      <c r="O36" s="44" t="s">
        <v>733</v>
      </c>
    </row>
    <row r="37" spans="1:15" ht="28.5" x14ac:dyDescent="0.2">
      <c r="A37" s="43" t="s">
        <v>12</v>
      </c>
      <c r="B37" s="43" t="s">
        <v>15</v>
      </c>
      <c r="C37" s="44" t="s">
        <v>743</v>
      </c>
      <c r="D37" s="20" t="s">
        <v>742</v>
      </c>
      <c r="E37" s="44"/>
      <c r="F37" s="44" t="s">
        <v>738</v>
      </c>
      <c r="G37" s="44">
        <v>5</v>
      </c>
      <c r="H37" s="44">
        <v>5</v>
      </c>
      <c r="I37" s="44"/>
      <c r="J37" s="44">
        <v>0</v>
      </c>
      <c r="K37" s="44"/>
      <c r="L37" s="44"/>
      <c r="M37" s="44"/>
      <c r="N37" s="44"/>
      <c r="O37" s="44" t="s">
        <v>741</v>
      </c>
    </row>
    <row r="38" spans="1:15" ht="28.5" x14ac:dyDescent="0.2">
      <c r="A38" s="43" t="s">
        <v>12</v>
      </c>
      <c r="B38" s="43" t="s">
        <v>15</v>
      </c>
      <c r="C38" s="44" t="s">
        <v>73</v>
      </c>
      <c r="D38" s="20" t="s">
        <v>74</v>
      </c>
      <c r="E38" s="44" t="s">
        <v>70</v>
      </c>
      <c r="F38" s="44" t="s">
        <v>75</v>
      </c>
      <c r="G38" s="44">
        <v>0</v>
      </c>
      <c r="H38" s="44"/>
      <c r="I38" s="44"/>
      <c r="J38" s="44"/>
      <c r="K38" s="44"/>
      <c r="L38" s="44"/>
      <c r="M38" s="44"/>
      <c r="N38" s="44"/>
      <c r="O38" s="44" t="s">
        <v>76</v>
      </c>
    </row>
    <row r="39" spans="1:15" ht="28.5" x14ac:dyDescent="0.2">
      <c r="A39" s="43" t="s">
        <v>12</v>
      </c>
      <c r="B39" s="43" t="s">
        <v>15</v>
      </c>
      <c r="C39" s="44" t="s">
        <v>441</v>
      </c>
      <c r="D39" s="20" t="s">
        <v>440</v>
      </c>
      <c r="E39" s="44" t="s">
        <v>442</v>
      </c>
      <c r="F39" s="44" t="s">
        <v>443</v>
      </c>
      <c r="G39" s="44">
        <v>5</v>
      </c>
      <c r="H39" s="44">
        <v>5</v>
      </c>
      <c r="I39" s="44">
        <v>259200</v>
      </c>
      <c r="J39" s="44">
        <v>259200</v>
      </c>
      <c r="K39" s="44"/>
      <c r="L39" s="44"/>
      <c r="M39" s="44"/>
      <c r="N39" s="44"/>
      <c r="O39" s="44" t="s">
        <v>439</v>
      </c>
    </row>
    <row r="40" spans="1:15" ht="15" x14ac:dyDescent="0.2">
      <c r="A40" s="43" t="s">
        <v>12</v>
      </c>
      <c r="B40" s="43" t="s">
        <v>15</v>
      </c>
      <c r="C40" s="44" t="s">
        <v>529</v>
      </c>
      <c r="D40" s="20" t="s">
        <v>528</v>
      </c>
      <c r="E40" s="44" t="s">
        <v>442</v>
      </c>
      <c r="F40" s="44" t="s">
        <v>443</v>
      </c>
      <c r="G40" s="44">
        <v>5</v>
      </c>
      <c r="H40" s="44">
        <v>5</v>
      </c>
      <c r="I40" s="44">
        <v>21600</v>
      </c>
      <c r="J40" s="44">
        <v>21600</v>
      </c>
      <c r="K40" s="44"/>
      <c r="L40" s="44"/>
      <c r="M40" s="44"/>
      <c r="N40" s="44"/>
      <c r="O40" s="44" t="s">
        <v>433</v>
      </c>
    </row>
    <row r="41" spans="1:15" ht="15" x14ac:dyDescent="0.2">
      <c r="A41" s="43" t="s">
        <v>12</v>
      </c>
      <c r="B41" s="43" t="s">
        <v>15</v>
      </c>
      <c r="C41" s="44" t="s">
        <v>527</v>
      </c>
      <c r="D41" s="20" t="s">
        <v>526</v>
      </c>
      <c r="E41" s="44" t="s">
        <v>442</v>
      </c>
      <c r="F41" s="44" t="s">
        <v>443</v>
      </c>
      <c r="G41" s="44">
        <v>5</v>
      </c>
      <c r="H41" s="44">
        <v>5</v>
      </c>
      <c r="I41" s="44">
        <v>57600</v>
      </c>
      <c r="J41" s="44">
        <v>57600</v>
      </c>
      <c r="K41" s="44"/>
      <c r="L41" s="44"/>
      <c r="M41" s="44"/>
      <c r="N41" s="44"/>
      <c r="O41" s="44" t="s">
        <v>433</v>
      </c>
    </row>
    <row r="42" spans="1:15" ht="42.75" x14ac:dyDescent="0.2">
      <c r="A42" s="43" t="s">
        <v>12</v>
      </c>
      <c r="B42" s="43" t="s">
        <v>15</v>
      </c>
      <c r="C42" s="44" t="s">
        <v>466</v>
      </c>
      <c r="D42" s="20" t="s">
        <v>465</v>
      </c>
      <c r="E42" s="44" t="s">
        <v>442</v>
      </c>
      <c r="F42" s="44" t="s">
        <v>468</v>
      </c>
      <c r="G42" s="44">
        <v>2</v>
      </c>
      <c r="H42" s="44">
        <v>2</v>
      </c>
      <c r="I42" s="44">
        <v>115200</v>
      </c>
      <c r="J42" s="44">
        <v>115200</v>
      </c>
      <c r="K42" s="44"/>
      <c r="L42" s="44"/>
      <c r="M42" s="44"/>
      <c r="N42" s="44"/>
      <c r="O42" s="44" t="s">
        <v>467</v>
      </c>
    </row>
    <row r="43" spans="1:15" ht="15" x14ac:dyDescent="0.2">
      <c r="A43" s="43" t="s">
        <v>12</v>
      </c>
      <c r="B43" s="43" t="s">
        <v>15</v>
      </c>
      <c r="C43" s="44" t="s">
        <v>77</v>
      </c>
      <c r="D43" s="20" t="s">
        <v>78</v>
      </c>
      <c r="E43" s="44" t="s">
        <v>70</v>
      </c>
      <c r="F43" s="44" t="s">
        <v>75</v>
      </c>
      <c r="G43" s="44">
        <v>0</v>
      </c>
      <c r="H43" s="44"/>
      <c r="I43" s="44">
        <v>7200</v>
      </c>
      <c r="J43" s="44">
        <v>7200</v>
      </c>
      <c r="K43" s="44"/>
      <c r="L43" s="44"/>
      <c r="M43" s="44"/>
      <c r="N43" s="44"/>
      <c r="O43" s="44" t="s">
        <v>76</v>
      </c>
    </row>
    <row r="44" spans="1:15" ht="28.5" x14ac:dyDescent="0.2">
      <c r="A44" s="43" t="s">
        <v>12</v>
      </c>
      <c r="B44" s="43" t="s">
        <v>15</v>
      </c>
      <c r="C44" s="44" t="s">
        <v>451</v>
      </c>
      <c r="D44" s="20" t="s">
        <v>450</v>
      </c>
      <c r="E44" s="44" t="s">
        <v>442</v>
      </c>
      <c r="F44" s="44" t="s">
        <v>452</v>
      </c>
      <c r="G44" s="44"/>
      <c r="H44" s="44"/>
      <c r="I44" s="44"/>
      <c r="J44" s="44"/>
      <c r="K44" s="44"/>
      <c r="L44" s="44"/>
      <c r="M44" s="44"/>
      <c r="N44" s="44"/>
      <c r="O44" s="44"/>
    </row>
    <row r="45" spans="1:15" ht="15" x14ac:dyDescent="0.2">
      <c r="A45" s="43" t="s">
        <v>12</v>
      </c>
      <c r="B45" s="43" t="s">
        <v>15</v>
      </c>
      <c r="C45" s="44" t="s">
        <v>79</v>
      </c>
      <c r="D45" s="20" t="s">
        <v>80</v>
      </c>
      <c r="E45" s="44" t="s">
        <v>70</v>
      </c>
      <c r="F45" s="44" t="s">
        <v>75</v>
      </c>
      <c r="G45" s="44">
        <v>0</v>
      </c>
      <c r="H45" s="44"/>
      <c r="I45" s="44"/>
      <c r="J45" s="44"/>
      <c r="K45" s="44"/>
      <c r="L45" s="44"/>
      <c r="M45" s="44"/>
      <c r="N45" s="44"/>
      <c r="O45" s="44" t="s">
        <v>76</v>
      </c>
    </row>
    <row r="46" spans="1:15" ht="28.5" x14ac:dyDescent="0.2">
      <c r="A46" s="43" t="s">
        <v>12</v>
      </c>
      <c r="B46" s="43" t="s">
        <v>15</v>
      </c>
      <c r="C46" s="44" t="s">
        <v>186</v>
      </c>
      <c r="D46" s="20" t="s">
        <v>187</v>
      </c>
      <c r="E46" s="44" t="s">
        <v>70</v>
      </c>
      <c r="F46" s="44" t="s">
        <v>188</v>
      </c>
      <c r="G46" s="44">
        <v>13</v>
      </c>
      <c r="H46" s="44">
        <v>13</v>
      </c>
      <c r="I46" s="44">
        <v>115200</v>
      </c>
      <c r="J46" s="44">
        <v>115200</v>
      </c>
      <c r="K46" s="44"/>
      <c r="L46" s="44"/>
      <c r="M46" s="44"/>
      <c r="N46" s="44"/>
      <c r="O46" s="44" t="s">
        <v>189</v>
      </c>
    </row>
    <row r="47" spans="1:15" ht="42.75" x14ac:dyDescent="0.2">
      <c r="A47" s="43" t="s">
        <v>12</v>
      </c>
      <c r="B47" s="43" t="s">
        <v>15</v>
      </c>
      <c r="C47" s="44" t="s">
        <v>178</v>
      </c>
      <c r="D47" s="20" t="s">
        <v>179</v>
      </c>
      <c r="E47" s="44" t="s">
        <v>70</v>
      </c>
      <c r="F47" s="44" t="s">
        <v>180</v>
      </c>
      <c r="G47" s="44">
        <v>3</v>
      </c>
      <c r="H47" s="44">
        <v>3</v>
      </c>
      <c r="I47" s="44">
        <v>86400</v>
      </c>
      <c r="J47" s="44">
        <v>86400</v>
      </c>
      <c r="K47" s="44"/>
      <c r="L47" s="44"/>
      <c r="M47" s="44"/>
      <c r="N47" s="44"/>
      <c r="O47" s="44" t="s">
        <v>181</v>
      </c>
    </row>
    <row r="48" spans="1:15" ht="28.5" x14ac:dyDescent="0.2">
      <c r="A48" s="43" t="s">
        <v>12</v>
      </c>
      <c r="B48" s="43" t="s">
        <v>15</v>
      </c>
      <c r="C48" s="44" t="s">
        <v>182</v>
      </c>
      <c r="D48" s="20" t="s">
        <v>183</v>
      </c>
      <c r="E48" s="44" t="s">
        <v>70</v>
      </c>
      <c r="F48" s="44" t="s">
        <v>180</v>
      </c>
      <c r="G48" s="44">
        <v>3</v>
      </c>
      <c r="H48" s="44">
        <v>3</v>
      </c>
      <c r="I48" s="44">
        <v>28800</v>
      </c>
      <c r="J48" s="44">
        <v>28800</v>
      </c>
      <c r="K48" s="44"/>
      <c r="L48" s="44"/>
      <c r="M48" s="44"/>
      <c r="N48" s="44"/>
      <c r="O48" s="44" t="s">
        <v>88</v>
      </c>
    </row>
    <row r="49" spans="1:15" ht="15" x14ac:dyDescent="0.2">
      <c r="A49" s="43" t="s">
        <v>12</v>
      </c>
      <c r="B49" s="43" t="s">
        <v>15</v>
      </c>
      <c r="C49" s="44" t="s">
        <v>715</v>
      </c>
      <c r="D49" s="20" t="s">
        <v>714</v>
      </c>
      <c r="E49" s="44"/>
      <c r="F49" s="44" t="s">
        <v>83</v>
      </c>
      <c r="G49" s="44">
        <v>21</v>
      </c>
      <c r="H49" s="44">
        <v>21</v>
      </c>
      <c r="I49" s="44"/>
      <c r="J49" s="44"/>
      <c r="K49" s="44"/>
      <c r="L49" s="44"/>
      <c r="M49" s="44"/>
      <c r="N49" s="44"/>
      <c r="O49" s="44" t="s">
        <v>713</v>
      </c>
    </row>
    <row r="50" spans="1:15" ht="28.5" x14ac:dyDescent="0.2">
      <c r="A50" s="43" t="s">
        <v>12</v>
      </c>
      <c r="B50" s="43" t="s">
        <v>15</v>
      </c>
      <c r="C50" s="44" t="s">
        <v>677</v>
      </c>
      <c r="D50" s="20" t="s">
        <v>676</v>
      </c>
      <c r="E50" s="44"/>
      <c r="F50" s="44" t="s">
        <v>219</v>
      </c>
      <c r="G50" s="44">
        <v>3</v>
      </c>
      <c r="H50" s="44">
        <v>3</v>
      </c>
      <c r="I50" s="44"/>
      <c r="J50" s="44"/>
      <c r="K50" s="44"/>
      <c r="L50" s="44"/>
      <c r="M50" s="44"/>
      <c r="N50" s="44"/>
      <c r="O50" s="44" t="s">
        <v>307</v>
      </c>
    </row>
    <row r="51" spans="1:15" ht="15" x14ac:dyDescent="0.2">
      <c r="A51" s="43" t="s">
        <v>12</v>
      </c>
      <c r="B51" s="43" t="s">
        <v>15</v>
      </c>
      <c r="C51" s="44" t="s">
        <v>89</v>
      </c>
      <c r="D51" s="20" t="s">
        <v>90</v>
      </c>
      <c r="E51" s="44" t="s">
        <v>70</v>
      </c>
      <c r="F51" s="44" t="s">
        <v>87</v>
      </c>
      <c r="G51" s="44">
        <v>8</v>
      </c>
      <c r="H51" s="44">
        <v>8</v>
      </c>
      <c r="I51" s="44">
        <v>129600</v>
      </c>
      <c r="J51" s="44">
        <v>129600</v>
      </c>
      <c r="K51" s="44"/>
      <c r="L51" s="44"/>
      <c r="M51" s="44"/>
      <c r="N51" s="44"/>
      <c r="O51" s="44" t="s">
        <v>91</v>
      </c>
    </row>
    <row r="52" spans="1:15" ht="15" x14ac:dyDescent="0.2">
      <c r="A52" s="43" t="s">
        <v>12</v>
      </c>
      <c r="B52" s="43" t="s">
        <v>15</v>
      </c>
      <c r="C52" s="44" t="s">
        <v>92</v>
      </c>
      <c r="D52" s="20" t="s">
        <v>93</v>
      </c>
      <c r="E52" s="44" t="s">
        <v>70</v>
      </c>
      <c r="F52" s="44" t="s">
        <v>87</v>
      </c>
      <c r="G52" s="44">
        <v>3</v>
      </c>
      <c r="H52" s="44">
        <v>3</v>
      </c>
      <c r="I52" s="44">
        <v>57600</v>
      </c>
      <c r="J52" s="44">
        <v>57600</v>
      </c>
      <c r="K52" s="44"/>
      <c r="L52" s="44"/>
      <c r="M52" s="44"/>
      <c r="N52" s="44"/>
      <c r="O52" s="44" t="s">
        <v>91</v>
      </c>
    </row>
    <row r="53" spans="1:15" ht="28.5" x14ac:dyDescent="0.2">
      <c r="A53" s="43" t="s">
        <v>12</v>
      </c>
      <c r="B53" s="43" t="s">
        <v>15</v>
      </c>
      <c r="C53" s="44" t="s">
        <v>104</v>
      </c>
      <c r="D53" s="20" t="s">
        <v>105</v>
      </c>
      <c r="E53" s="44" t="s">
        <v>70</v>
      </c>
      <c r="F53" s="44" t="s">
        <v>87</v>
      </c>
      <c r="G53" s="44">
        <v>3</v>
      </c>
      <c r="H53" s="44">
        <v>3</v>
      </c>
      <c r="I53" s="44">
        <v>28800</v>
      </c>
      <c r="J53" s="44">
        <v>28800</v>
      </c>
      <c r="K53" s="44"/>
      <c r="L53" s="44"/>
      <c r="M53" s="44"/>
      <c r="N53" s="44"/>
      <c r="O53" s="44" t="s">
        <v>91</v>
      </c>
    </row>
    <row r="54" spans="1:15" ht="15" x14ac:dyDescent="0.2">
      <c r="A54" s="43" t="s">
        <v>12</v>
      </c>
      <c r="B54" s="43" t="s">
        <v>15</v>
      </c>
      <c r="C54" s="44" t="s">
        <v>85</v>
      </c>
      <c r="D54" s="20" t="s">
        <v>86</v>
      </c>
      <c r="E54" s="44" t="s">
        <v>70</v>
      </c>
      <c r="F54" s="44" t="s">
        <v>87</v>
      </c>
      <c r="G54" s="44">
        <v>3</v>
      </c>
      <c r="H54" s="44">
        <v>3</v>
      </c>
      <c r="I54" s="44">
        <v>144000</v>
      </c>
      <c r="J54" s="44">
        <v>144000</v>
      </c>
      <c r="K54" s="44"/>
      <c r="L54" s="44"/>
      <c r="M54" s="44"/>
      <c r="N54" s="44"/>
      <c r="O54" s="44" t="s">
        <v>88</v>
      </c>
    </row>
    <row r="55" spans="1:15" ht="28.5" x14ac:dyDescent="0.2">
      <c r="A55" s="43" t="s">
        <v>12</v>
      </c>
      <c r="B55" s="43" t="s">
        <v>15</v>
      </c>
      <c r="C55" s="44" t="s">
        <v>99</v>
      </c>
      <c r="D55" s="20" t="s">
        <v>100</v>
      </c>
      <c r="E55" s="44" t="s">
        <v>70</v>
      </c>
      <c r="F55" s="44" t="s">
        <v>87</v>
      </c>
      <c r="G55" s="44">
        <v>5</v>
      </c>
      <c r="H55" s="44">
        <v>5</v>
      </c>
      <c r="I55" s="44">
        <v>57600</v>
      </c>
      <c r="J55" s="44">
        <v>57600</v>
      </c>
      <c r="K55" s="44"/>
      <c r="L55" s="44"/>
      <c r="M55" s="44"/>
      <c r="N55" s="44"/>
      <c r="O55" s="44" t="s">
        <v>101</v>
      </c>
    </row>
    <row r="56" spans="1:15" ht="15" x14ac:dyDescent="0.2">
      <c r="A56" s="43" t="s">
        <v>12</v>
      </c>
      <c r="B56" s="43" t="s">
        <v>15</v>
      </c>
      <c r="C56" s="44" t="s">
        <v>667</v>
      </c>
      <c r="D56" s="20" t="s">
        <v>666</v>
      </c>
      <c r="E56" s="44"/>
      <c r="F56" s="44" t="s">
        <v>655</v>
      </c>
      <c r="G56" s="44">
        <v>8</v>
      </c>
      <c r="H56" s="44"/>
      <c r="I56" s="44"/>
      <c r="J56" s="44"/>
      <c r="K56" s="44"/>
      <c r="L56" s="44"/>
      <c r="M56" s="44"/>
      <c r="N56" s="44"/>
      <c r="O56" s="44" t="s">
        <v>225</v>
      </c>
    </row>
    <row r="57" spans="1:15" ht="28.5" x14ac:dyDescent="0.2">
      <c r="A57" s="43" t="s">
        <v>12</v>
      </c>
      <c r="B57" s="43" t="s">
        <v>15</v>
      </c>
      <c r="C57" s="44" t="s">
        <v>695</v>
      </c>
      <c r="D57" s="20" t="s">
        <v>694</v>
      </c>
      <c r="E57" s="44"/>
      <c r="F57" s="44" t="s">
        <v>655</v>
      </c>
      <c r="G57" s="44">
        <v>5</v>
      </c>
      <c r="H57" s="44">
        <v>5</v>
      </c>
      <c r="I57" s="44"/>
      <c r="J57" s="44"/>
      <c r="K57" s="44"/>
      <c r="L57" s="44"/>
      <c r="M57" s="44"/>
      <c r="N57" s="44"/>
      <c r="O57" s="44" t="s">
        <v>385</v>
      </c>
    </row>
    <row r="58" spans="1:15" ht="28.5" x14ac:dyDescent="0.2">
      <c r="A58" s="43" t="s">
        <v>12</v>
      </c>
      <c r="B58" s="43" t="s">
        <v>15</v>
      </c>
      <c r="C58" s="44" t="s">
        <v>693</v>
      </c>
      <c r="D58" s="20" t="s">
        <v>692</v>
      </c>
      <c r="E58" s="44"/>
      <c r="F58" s="44" t="s">
        <v>655</v>
      </c>
      <c r="G58" s="44">
        <v>13</v>
      </c>
      <c r="H58" s="44">
        <v>13</v>
      </c>
      <c r="I58" s="44"/>
      <c r="J58" s="44"/>
      <c r="K58" s="44"/>
      <c r="L58" s="44"/>
      <c r="M58" s="44"/>
      <c r="N58" s="44"/>
      <c r="O58" s="44" t="s">
        <v>296</v>
      </c>
    </row>
    <row r="59" spans="1:15" ht="15" x14ac:dyDescent="0.2">
      <c r="A59" s="43" t="s">
        <v>12</v>
      </c>
      <c r="B59" s="43" t="s">
        <v>15</v>
      </c>
      <c r="C59" s="44" t="s">
        <v>770</v>
      </c>
      <c r="D59" s="20" t="s">
        <v>769</v>
      </c>
      <c r="E59" s="44"/>
      <c r="F59" s="44" t="s">
        <v>655</v>
      </c>
      <c r="G59" s="44">
        <v>8</v>
      </c>
      <c r="H59" s="44">
        <v>8</v>
      </c>
      <c r="I59" s="44"/>
      <c r="J59" s="44"/>
      <c r="K59" s="44"/>
      <c r="L59" s="44"/>
      <c r="M59" s="44"/>
      <c r="N59" s="44"/>
      <c r="O59" s="44" t="s">
        <v>768</v>
      </c>
    </row>
    <row r="60" spans="1:15" ht="28.5" x14ac:dyDescent="0.2">
      <c r="A60" s="43" t="s">
        <v>12</v>
      </c>
      <c r="B60" s="43" t="s">
        <v>15</v>
      </c>
      <c r="C60" s="44" t="s">
        <v>123</v>
      </c>
      <c r="D60" s="20" t="s">
        <v>153</v>
      </c>
      <c r="E60" s="44" t="s">
        <v>70</v>
      </c>
      <c r="F60" s="44" t="s">
        <v>154</v>
      </c>
      <c r="G60" s="44">
        <v>3</v>
      </c>
      <c r="H60" s="44">
        <v>3</v>
      </c>
      <c r="I60" s="44">
        <v>28800</v>
      </c>
      <c r="J60" s="44">
        <v>28800</v>
      </c>
      <c r="K60" s="44"/>
      <c r="L60" s="44"/>
      <c r="M60" s="44"/>
      <c r="N60" s="44"/>
      <c r="O60" s="44" t="s">
        <v>155</v>
      </c>
    </row>
    <row r="61" spans="1:15" ht="28.5" x14ac:dyDescent="0.2">
      <c r="A61" s="43" t="s">
        <v>12</v>
      </c>
      <c r="B61" s="43" t="s">
        <v>15</v>
      </c>
      <c r="C61" s="44" t="s">
        <v>788</v>
      </c>
      <c r="D61" s="20" t="s">
        <v>787</v>
      </c>
      <c r="E61" s="44"/>
      <c r="F61" s="44" t="s">
        <v>83</v>
      </c>
      <c r="G61" s="44"/>
      <c r="H61" s="44"/>
      <c r="I61" s="44"/>
      <c r="J61" s="44"/>
      <c r="K61" s="44"/>
      <c r="L61" s="44"/>
      <c r="M61" s="44"/>
      <c r="N61" s="44"/>
      <c r="O61" s="44" t="s">
        <v>780</v>
      </c>
    </row>
    <row r="62" spans="1:15" ht="28.5" x14ac:dyDescent="0.2">
      <c r="A62" s="43" t="s">
        <v>12</v>
      </c>
      <c r="B62" s="43" t="s">
        <v>15</v>
      </c>
      <c r="C62" s="44" t="s">
        <v>786</v>
      </c>
      <c r="D62" s="20" t="s">
        <v>785</v>
      </c>
      <c r="E62" s="44"/>
      <c r="F62" s="44" t="s">
        <v>219</v>
      </c>
      <c r="G62" s="44"/>
      <c r="H62" s="44"/>
      <c r="I62" s="44"/>
      <c r="J62" s="44"/>
      <c r="K62" s="44"/>
      <c r="L62" s="44"/>
      <c r="M62" s="44"/>
      <c r="N62" s="44"/>
      <c r="O62" s="44" t="s">
        <v>780</v>
      </c>
    </row>
    <row r="63" spans="1:15" ht="28.5" x14ac:dyDescent="0.2">
      <c r="A63" s="43" t="s">
        <v>12</v>
      </c>
      <c r="B63" s="43" t="s">
        <v>15</v>
      </c>
      <c r="C63" s="44" t="s">
        <v>782</v>
      </c>
      <c r="D63" s="20" t="s">
        <v>781</v>
      </c>
      <c r="E63" s="44"/>
      <c r="F63" s="44" t="s">
        <v>83</v>
      </c>
      <c r="G63" s="44"/>
      <c r="H63" s="44"/>
      <c r="I63" s="44"/>
      <c r="J63" s="44"/>
      <c r="K63" s="44"/>
      <c r="L63" s="44"/>
      <c r="M63" s="44"/>
      <c r="N63" s="44"/>
      <c r="O63" s="44" t="s">
        <v>780</v>
      </c>
    </row>
    <row r="64" spans="1:15" ht="28.5" x14ac:dyDescent="0.2">
      <c r="A64" s="43" t="s">
        <v>12</v>
      </c>
      <c r="B64" s="43" t="s">
        <v>15</v>
      </c>
      <c r="C64" s="44" t="s">
        <v>784</v>
      </c>
      <c r="D64" s="20" t="s">
        <v>783</v>
      </c>
      <c r="E64" s="44"/>
      <c r="F64" s="44" t="s">
        <v>219</v>
      </c>
      <c r="G64" s="44"/>
      <c r="H64" s="44"/>
      <c r="I64" s="44"/>
      <c r="J64" s="44"/>
      <c r="K64" s="44"/>
      <c r="L64" s="44"/>
      <c r="M64" s="44"/>
      <c r="N64" s="44"/>
      <c r="O64" s="44" t="s">
        <v>780</v>
      </c>
    </row>
    <row r="65" spans="1:15" ht="28.5" x14ac:dyDescent="0.2">
      <c r="A65" s="43" t="s">
        <v>12</v>
      </c>
      <c r="B65" s="43" t="s">
        <v>15</v>
      </c>
      <c r="C65" s="44" t="s">
        <v>156</v>
      </c>
      <c r="D65" s="20" t="s">
        <v>157</v>
      </c>
      <c r="E65" s="44" t="s">
        <v>70</v>
      </c>
      <c r="F65" s="44" t="s">
        <v>158</v>
      </c>
      <c r="G65" s="44">
        <v>5</v>
      </c>
      <c r="H65" s="44">
        <v>5</v>
      </c>
      <c r="I65" s="44">
        <v>86400</v>
      </c>
      <c r="J65" s="44">
        <v>86400</v>
      </c>
      <c r="K65" s="44"/>
      <c r="L65" s="44"/>
      <c r="M65" s="44"/>
      <c r="N65" s="44"/>
      <c r="O65" s="44" t="s">
        <v>159</v>
      </c>
    </row>
    <row r="66" spans="1:15" ht="28.5" x14ac:dyDescent="0.2">
      <c r="A66" s="43" t="s">
        <v>12</v>
      </c>
      <c r="B66" s="43" t="s">
        <v>15</v>
      </c>
      <c r="C66" s="44" t="s">
        <v>184</v>
      </c>
      <c r="D66" s="20" t="s">
        <v>185</v>
      </c>
      <c r="E66" s="44" t="s">
        <v>70</v>
      </c>
      <c r="F66" s="44" t="s">
        <v>180</v>
      </c>
      <c r="G66" s="44">
        <v>5</v>
      </c>
      <c r="H66" s="44">
        <v>5</v>
      </c>
      <c r="I66" s="44">
        <v>57600</v>
      </c>
      <c r="J66" s="44">
        <v>57600</v>
      </c>
      <c r="K66" s="44"/>
      <c r="L66" s="44"/>
      <c r="M66" s="44"/>
      <c r="N66" s="44"/>
      <c r="O66" s="44" t="s">
        <v>96</v>
      </c>
    </row>
    <row r="67" spans="1:15" ht="28.5" x14ac:dyDescent="0.2">
      <c r="A67" s="43" t="s">
        <v>12</v>
      </c>
      <c r="B67" s="43" t="s">
        <v>15</v>
      </c>
      <c r="C67" s="44" t="s">
        <v>94</v>
      </c>
      <c r="D67" s="20" t="s">
        <v>95</v>
      </c>
      <c r="E67" s="44" t="s">
        <v>70</v>
      </c>
      <c r="F67" s="44" t="s">
        <v>87</v>
      </c>
      <c r="G67" s="44">
        <v>3</v>
      </c>
      <c r="H67" s="44">
        <v>3</v>
      </c>
      <c r="I67" s="44">
        <v>28800</v>
      </c>
      <c r="J67" s="44">
        <v>28800</v>
      </c>
      <c r="K67" s="44"/>
      <c r="L67" s="44"/>
      <c r="M67" s="44"/>
      <c r="N67" s="44"/>
      <c r="O67" s="44" t="s">
        <v>96</v>
      </c>
    </row>
    <row r="68" spans="1:15" ht="15" x14ac:dyDescent="0.2">
      <c r="A68" s="43" t="s">
        <v>12</v>
      </c>
      <c r="B68" s="43" t="s">
        <v>15</v>
      </c>
      <c r="C68" s="44" t="s">
        <v>97</v>
      </c>
      <c r="D68" s="20" t="s">
        <v>98</v>
      </c>
      <c r="E68" s="44" t="s">
        <v>70</v>
      </c>
      <c r="F68" s="44" t="s">
        <v>87</v>
      </c>
      <c r="G68" s="44">
        <v>3</v>
      </c>
      <c r="H68" s="44">
        <v>3</v>
      </c>
      <c r="I68" s="44">
        <v>86400</v>
      </c>
      <c r="J68" s="44">
        <v>86400</v>
      </c>
      <c r="K68" s="44"/>
      <c r="L68" s="44"/>
      <c r="M68" s="44"/>
      <c r="N68" s="44"/>
      <c r="O68" s="44" t="s">
        <v>96</v>
      </c>
    </row>
    <row r="69" spans="1:15" ht="28.5" x14ac:dyDescent="0.2">
      <c r="A69" s="43" t="s">
        <v>12</v>
      </c>
      <c r="B69" s="43" t="s">
        <v>15</v>
      </c>
      <c r="C69" s="44" t="s">
        <v>699</v>
      </c>
      <c r="D69" s="20" t="s">
        <v>698</v>
      </c>
      <c r="E69" s="44"/>
      <c r="F69" s="44" t="s">
        <v>655</v>
      </c>
      <c r="G69" s="44">
        <v>2</v>
      </c>
      <c r="H69" s="44"/>
      <c r="I69" s="44">
        <v>0</v>
      </c>
      <c r="J69" s="44">
        <v>0</v>
      </c>
      <c r="K69" s="44"/>
      <c r="L69" s="44"/>
      <c r="M69" s="44"/>
      <c r="N69" s="44"/>
      <c r="O69" s="44"/>
    </row>
    <row r="70" spans="1:15" ht="28.5" x14ac:dyDescent="0.2">
      <c r="A70" s="43" t="s">
        <v>12</v>
      </c>
      <c r="B70" s="43" t="s">
        <v>15</v>
      </c>
      <c r="C70" s="44" t="s">
        <v>664</v>
      </c>
      <c r="D70" s="20" t="s">
        <v>229</v>
      </c>
      <c r="E70" s="44"/>
      <c r="F70" s="44" t="s">
        <v>219</v>
      </c>
      <c r="G70" s="44">
        <v>8</v>
      </c>
      <c r="H70" s="44">
        <v>8</v>
      </c>
      <c r="I70" s="44">
        <v>172800</v>
      </c>
      <c r="J70" s="44">
        <v>172800</v>
      </c>
      <c r="K70" s="44"/>
      <c r="L70" s="44"/>
      <c r="M70" s="44"/>
      <c r="N70" s="44"/>
      <c r="O70" s="44" t="s">
        <v>228</v>
      </c>
    </row>
    <row r="71" spans="1:15" ht="28.5" x14ac:dyDescent="0.2">
      <c r="A71" s="43" t="s">
        <v>12</v>
      </c>
      <c r="B71" s="43" t="s">
        <v>15</v>
      </c>
      <c r="C71" s="44" t="s">
        <v>111</v>
      </c>
      <c r="D71" s="20" t="s">
        <v>112</v>
      </c>
      <c r="E71" s="44" t="s">
        <v>113</v>
      </c>
      <c r="F71" s="44" t="s">
        <v>114</v>
      </c>
      <c r="G71" s="44"/>
      <c r="H71" s="44"/>
      <c r="I71" s="44"/>
      <c r="J71" s="44"/>
      <c r="K71" s="44"/>
      <c r="L71" s="44"/>
      <c r="M71" s="44"/>
      <c r="N71" s="44"/>
      <c r="O71" s="44" t="s">
        <v>110</v>
      </c>
    </row>
    <row r="72" spans="1:15" ht="57" x14ac:dyDescent="0.2">
      <c r="A72" s="43" t="s">
        <v>12</v>
      </c>
      <c r="B72" s="43" t="s">
        <v>15</v>
      </c>
      <c r="C72" s="44" t="s">
        <v>624</v>
      </c>
      <c r="D72" s="20" t="s">
        <v>623</v>
      </c>
      <c r="E72" s="44" t="s">
        <v>442</v>
      </c>
      <c r="F72" s="44" t="s">
        <v>443</v>
      </c>
      <c r="G72" s="44">
        <v>5</v>
      </c>
      <c r="H72" s="44">
        <v>5</v>
      </c>
      <c r="I72" s="44">
        <v>64800</v>
      </c>
      <c r="J72" s="44">
        <v>64800</v>
      </c>
      <c r="K72" s="44"/>
      <c r="L72" s="44"/>
      <c r="M72" s="44"/>
      <c r="N72" s="44"/>
      <c r="O72" s="44" t="s">
        <v>622</v>
      </c>
    </row>
    <row r="73" spans="1:15" ht="28.5" x14ac:dyDescent="0.2">
      <c r="A73" s="43" t="s">
        <v>12</v>
      </c>
      <c r="B73" s="43" t="s">
        <v>15</v>
      </c>
      <c r="C73" s="44" t="s">
        <v>621</v>
      </c>
      <c r="D73" s="20" t="s">
        <v>620</v>
      </c>
      <c r="E73" s="44" t="s">
        <v>442</v>
      </c>
      <c r="F73" s="44" t="s">
        <v>443</v>
      </c>
      <c r="G73" s="44">
        <v>5</v>
      </c>
      <c r="H73" s="44">
        <v>5</v>
      </c>
      <c r="I73" s="44">
        <v>57840</v>
      </c>
      <c r="J73" s="44">
        <v>57840</v>
      </c>
      <c r="K73" s="44"/>
      <c r="L73" s="44"/>
      <c r="M73" s="44"/>
      <c r="N73" s="44"/>
      <c r="O73" s="44" t="s">
        <v>622</v>
      </c>
    </row>
    <row r="74" spans="1:15" ht="42.75" x14ac:dyDescent="0.2">
      <c r="A74" s="43" t="s">
        <v>12</v>
      </c>
      <c r="B74" s="43" t="s">
        <v>15</v>
      </c>
      <c r="C74" s="44" t="s">
        <v>628</v>
      </c>
      <c r="D74" s="20" t="s">
        <v>627</v>
      </c>
      <c r="E74" s="44" t="s">
        <v>442</v>
      </c>
      <c r="F74" s="44" t="s">
        <v>443</v>
      </c>
      <c r="G74" s="44">
        <v>5</v>
      </c>
      <c r="H74" s="44">
        <v>5</v>
      </c>
      <c r="I74" s="44">
        <v>115200</v>
      </c>
      <c r="J74" s="44">
        <v>115200</v>
      </c>
      <c r="K74" s="44"/>
      <c r="L74" s="44"/>
      <c r="M74" s="44"/>
      <c r="N74" s="44"/>
      <c r="O74" s="44" t="s">
        <v>622</v>
      </c>
    </row>
    <row r="75" spans="1:15" ht="28.5" x14ac:dyDescent="0.2">
      <c r="A75" s="43" t="s">
        <v>12</v>
      </c>
      <c r="B75" s="43" t="s">
        <v>15</v>
      </c>
      <c r="C75" s="44" t="s">
        <v>630</v>
      </c>
      <c r="D75" s="20" t="s">
        <v>629</v>
      </c>
      <c r="E75" s="44" t="s">
        <v>442</v>
      </c>
      <c r="F75" s="44" t="s">
        <v>443</v>
      </c>
      <c r="G75" s="44">
        <v>5</v>
      </c>
      <c r="H75" s="44">
        <v>5</v>
      </c>
      <c r="I75" s="44">
        <v>86400</v>
      </c>
      <c r="J75" s="44">
        <v>86400</v>
      </c>
      <c r="K75" s="44"/>
      <c r="L75" s="44"/>
      <c r="M75" s="44"/>
      <c r="N75" s="44"/>
      <c r="O75" s="44" t="s">
        <v>622</v>
      </c>
    </row>
    <row r="76" spans="1:15" ht="15" x14ac:dyDescent="0.2">
      <c r="A76" s="43" t="s">
        <v>12</v>
      </c>
      <c r="B76" s="43" t="s">
        <v>15</v>
      </c>
      <c r="C76" s="44" t="s">
        <v>279</v>
      </c>
      <c r="D76" s="20" t="s">
        <v>614</v>
      </c>
      <c r="E76" s="44" t="s">
        <v>442</v>
      </c>
      <c r="F76" s="44" t="s">
        <v>616</v>
      </c>
      <c r="G76" s="44">
        <v>7</v>
      </c>
      <c r="H76" s="44">
        <v>5</v>
      </c>
      <c r="I76" s="44">
        <v>288000</v>
      </c>
      <c r="J76" s="44">
        <v>57600</v>
      </c>
      <c r="K76" s="44"/>
      <c r="L76" s="44"/>
      <c r="M76" s="44"/>
      <c r="N76" s="44"/>
      <c r="O76" s="44" t="s">
        <v>615</v>
      </c>
    </row>
    <row r="77" spans="1:15" ht="28.5" x14ac:dyDescent="0.2">
      <c r="A77" s="43" t="s">
        <v>12</v>
      </c>
      <c r="B77" s="43" t="s">
        <v>15</v>
      </c>
      <c r="C77" s="44" t="s">
        <v>498</v>
      </c>
      <c r="D77" s="20" t="s">
        <v>497</v>
      </c>
      <c r="E77" s="44" t="s">
        <v>442</v>
      </c>
      <c r="F77" s="44" t="s">
        <v>477</v>
      </c>
      <c r="G77" s="44">
        <v>2</v>
      </c>
      <c r="H77" s="44">
        <v>2</v>
      </c>
      <c r="I77" s="44"/>
      <c r="J77" s="44"/>
      <c r="K77" s="44"/>
      <c r="L77" s="44"/>
      <c r="M77" s="44"/>
      <c r="N77" s="44"/>
      <c r="O77" s="44" t="s">
        <v>488</v>
      </c>
    </row>
    <row r="78" spans="1:15" ht="42.75" x14ac:dyDescent="0.2">
      <c r="A78" s="43" t="s">
        <v>12</v>
      </c>
      <c r="B78" s="43" t="s">
        <v>15</v>
      </c>
      <c r="C78" s="44" t="s">
        <v>503</v>
      </c>
      <c r="D78" s="20" t="s">
        <v>502</v>
      </c>
      <c r="E78" s="44" t="s">
        <v>442</v>
      </c>
      <c r="F78" s="44" t="s">
        <v>491</v>
      </c>
      <c r="G78" s="44">
        <v>2</v>
      </c>
      <c r="H78" s="44">
        <v>2</v>
      </c>
      <c r="I78" s="44">
        <v>28800</v>
      </c>
      <c r="J78" s="44">
        <v>28800</v>
      </c>
      <c r="K78" s="44"/>
      <c r="L78" s="44"/>
      <c r="M78" s="44"/>
      <c r="N78" s="44"/>
      <c r="O78" s="44" t="s">
        <v>504</v>
      </c>
    </row>
    <row r="79" spans="1:15" ht="42.75" x14ac:dyDescent="0.2">
      <c r="A79" s="43" t="s">
        <v>12</v>
      </c>
      <c r="B79" s="43" t="s">
        <v>15</v>
      </c>
      <c r="C79" s="44" t="s">
        <v>509</v>
      </c>
      <c r="D79" s="20" t="s">
        <v>508</v>
      </c>
      <c r="E79" s="44" t="s">
        <v>442</v>
      </c>
      <c r="F79" s="44" t="s">
        <v>491</v>
      </c>
      <c r="G79" s="44">
        <v>5</v>
      </c>
      <c r="H79" s="44">
        <v>5</v>
      </c>
      <c r="I79" s="44"/>
      <c r="J79" s="44"/>
      <c r="K79" s="44"/>
      <c r="L79" s="44"/>
      <c r="M79" s="44"/>
      <c r="N79" s="44"/>
      <c r="O79" s="44" t="s">
        <v>510</v>
      </c>
    </row>
    <row r="80" spans="1:15" ht="28.5" x14ac:dyDescent="0.2">
      <c r="A80" s="43" t="s">
        <v>12</v>
      </c>
      <c r="B80" s="43" t="s">
        <v>15</v>
      </c>
      <c r="C80" s="44" t="s">
        <v>514</v>
      </c>
      <c r="D80" s="20" t="s">
        <v>513</v>
      </c>
      <c r="E80" s="44" t="s">
        <v>442</v>
      </c>
      <c r="F80" s="44" t="s">
        <v>485</v>
      </c>
      <c r="G80" s="44">
        <v>5</v>
      </c>
      <c r="H80" s="44">
        <v>5</v>
      </c>
      <c r="I80" s="44">
        <v>151200</v>
      </c>
      <c r="J80" s="44">
        <v>151200</v>
      </c>
      <c r="K80" s="44"/>
      <c r="L80" s="44"/>
      <c r="M80" s="44"/>
      <c r="N80" s="44"/>
      <c r="O80" s="44" t="s">
        <v>510</v>
      </c>
    </row>
    <row r="81" spans="1:15" ht="28.5" x14ac:dyDescent="0.2">
      <c r="A81" s="43" t="s">
        <v>12</v>
      </c>
      <c r="B81" s="43" t="s">
        <v>15</v>
      </c>
      <c r="C81" s="44" t="s">
        <v>652</v>
      </c>
      <c r="D81" s="20" t="s">
        <v>651</v>
      </c>
      <c r="E81" s="44"/>
      <c r="F81" s="44" t="s">
        <v>650</v>
      </c>
      <c r="G81" s="44">
        <v>6</v>
      </c>
      <c r="H81" s="44">
        <v>6</v>
      </c>
      <c r="I81" s="44"/>
      <c r="J81" s="44"/>
      <c r="K81" s="44"/>
      <c r="L81" s="44"/>
      <c r="M81" s="44"/>
      <c r="N81" s="44"/>
      <c r="O81" s="44" t="s">
        <v>649</v>
      </c>
    </row>
    <row r="82" spans="1:15" ht="15" x14ac:dyDescent="0.2">
      <c r="A82" s="43" t="s">
        <v>12</v>
      </c>
      <c r="B82" s="43" t="s">
        <v>15</v>
      </c>
      <c r="C82" s="44" t="s">
        <v>479</v>
      </c>
      <c r="D82" s="20" t="s">
        <v>478</v>
      </c>
      <c r="E82" s="44" t="s">
        <v>442</v>
      </c>
      <c r="F82" s="44" t="s">
        <v>481</v>
      </c>
      <c r="G82" s="44">
        <v>3</v>
      </c>
      <c r="H82" s="44">
        <v>3</v>
      </c>
      <c r="I82" s="44"/>
      <c r="J82" s="44"/>
      <c r="K82" s="44"/>
      <c r="L82" s="44"/>
      <c r="M82" s="44"/>
      <c r="N82" s="44"/>
      <c r="O82" s="44" t="s">
        <v>480</v>
      </c>
    </row>
    <row r="83" spans="1:15" ht="15" x14ac:dyDescent="0.2">
      <c r="A83" s="43" t="s">
        <v>12</v>
      </c>
      <c r="B83" s="43" t="s">
        <v>15</v>
      </c>
      <c r="C83" s="44" t="s">
        <v>657</v>
      </c>
      <c r="D83" s="20" t="s">
        <v>656</v>
      </c>
      <c r="E83" s="44"/>
      <c r="F83" s="44" t="s">
        <v>655</v>
      </c>
      <c r="G83" s="44">
        <v>4</v>
      </c>
      <c r="H83" s="44">
        <v>4</v>
      </c>
      <c r="I83" s="44">
        <v>57600</v>
      </c>
      <c r="J83" s="44">
        <v>57600</v>
      </c>
      <c r="K83" s="44"/>
      <c r="L83" s="44"/>
      <c r="M83" s="44"/>
      <c r="N83" s="44"/>
      <c r="O83" s="44" t="s">
        <v>649</v>
      </c>
    </row>
    <row r="84" spans="1:15" ht="15" x14ac:dyDescent="0.2">
      <c r="A84" s="43" t="s">
        <v>12</v>
      </c>
      <c r="B84" s="43" t="s">
        <v>15</v>
      </c>
      <c r="C84" s="44" t="s">
        <v>483</v>
      </c>
      <c r="D84" s="20" t="s">
        <v>482</v>
      </c>
      <c r="E84" s="44" t="s">
        <v>442</v>
      </c>
      <c r="F84" s="44" t="s">
        <v>485</v>
      </c>
      <c r="G84" s="44">
        <v>5</v>
      </c>
      <c r="H84" s="44">
        <v>5</v>
      </c>
      <c r="I84" s="44"/>
      <c r="J84" s="44"/>
      <c r="K84" s="44"/>
      <c r="L84" s="44"/>
      <c r="M84" s="44"/>
      <c r="N84" s="44"/>
      <c r="O84" s="44" t="s">
        <v>484</v>
      </c>
    </row>
    <row r="85" spans="1:15" ht="15" x14ac:dyDescent="0.2">
      <c r="A85" s="43" t="s">
        <v>12</v>
      </c>
      <c r="B85" s="43" t="s">
        <v>15</v>
      </c>
      <c r="C85" s="44" t="s">
        <v>665</v>
      </c>
      <c r="D85" s="20" t="s">
        <v>223</v>
      </c>
      <c r="E85" s="44"/>
      <c r="F85" s="44" t="s">
        <v>219</v>
      </c>
      <c r="G85" s="44">
        <v>8</v>
      </c>
      <c r="H85" s="44">
        <v>8</v>
      </c>
      <c r="I85" s="44">
        <v>14400</v>
      </c>
      <c r="J85" s="44">
        <v>14400</v>
      </c>
      <c r="K85" s="44"/>
      <c r="L85" s="44"/>
      <c r="M85" s="44"/>
      <c r="N85" s="44"/>
      <c r="O85" s="44" t="s">
        <v>222</v>
      </c>
    </row>
    <row r="86" spans="1:15" ht="28.5" x14ac:dyDescent="0.2">
      <c r="A86" s="43" t="s">
        <v>12</v>
      </c>
      <c r="B86" s="43" t="s">
        <v>15</v>
      </c>
      <c r="C86" s="44" t="s">
        <v>669</v>
      </c>
      <c r="D86" s="20" t="s">
        <v>668</v>
      </c>
      <c r="E86" s="44"/>
      <c r="F86" s="44" t="s">
        <v>83</v>
      </c>
      <c r="G86" s="44">
        <v>8</v>
      </c>
      <c r="H86" s="44">
        <v>8</v>
      </c>
      <c r="I86" s="44">
        <v>14400</v>
      </c>
      <c r="J86" s="44">
        <v>14400</v>
      </c>
      <c r="K86" s="44"/>
      <c r="L86" s="44"/>
      <c r="M86" s="44"/>
      <c r="N86" s="44"/>
      <c r="O86" s="44" t="s">
        <v>82</v>
      </c>
    </row>
    <row r="87" spans="1:15" ht="15" x14ac:dyDescent="0.2">
      <c r="A87" s="43" t="s">
        <v>12</v>
      </c>
      <c r="B87" s="43" t="s">
        <v>16</v>
      </c>
      <c r="C87" s="44" t="s">
        <v>708</v>
      </c>
      <c r="D87" s="20" t="s">
        <v>707</v>
      </c>
      <c r="E87" s="44"/>
      <c r="F87" s="44" t="s">
        <v>219</v>
      </c>
      <c r="G87" s="44">
        <v>3</v>
      </c>
      <c r="H87" s="44"/>
      <c r="I87" s="44"/>
      <c r="J87" s="44"/>
      <c r="K87" s="44"/>
      <c r="L87" s="44"/>
      <c r="M87" s="44"/>
      <c r="N87" s="44"/>
      <c r="O87" s="44" t="s">
        <v>302</v>
      </c>
    </row>
    <row r="88" spans="1:15" ht="28.5" x14ac:dyDescent="0.2">
      <c r="A88" s="43" t="s">
        <v>12</v>
      </c>
      <c r="B88" s="43" t="s">
        <v>16</v>
      </c>
      <c r="C88" s="44" t="s">
        <v>704</v>
      </c>
      <c r="D88" s="20" t="s">
        <v>703</v>
      </c>
      <c r="E88" s="44"/>
      <c r="F88" s="44" t="s">
        <v>219</v>
      </c>
      <c r="G88" s="44">
        <v>21</v>
      </c>
      <c r="H88" s="44"/>
      <c r="I88" s="44"/>
      <c r="J88" s="44"/>
      <c r="K88" s="44"/>
      <c r="L88" s="44"/>
      <c r="M88" s="44"/>
      <c r="N88" s="44"/>
      <c r="O88" s="44" t="s">
        <v>702</v>
      </c>
    </row>
    <row r="89" spans="1:15" ht="15" x14ac:dyDescent="0.2">
      <c r="A89" s="43" t="s">
        <v>12</v>
      </c>
      <c r="B89" s="43" t="s">
        <v>16</v>
      </c>
      <c r="C89" s="44" t="s">
        <v>681</v>
      </c>
      <c r="D89" s="20" t="s">
        <v>680</v>
      </c>
      <c r="E89" s="44"/>
      <c r="F89" s="44" t="s">
        <v>219</v>
      </c>
      <c r="G89" s="44"/>
      <c r="H89" s="44"/>
      <c r="I89" s="44">
        <v>14400</v>
      </c>
      <c r="J89" s="44">
        <v>14400</v>
      </c>
      <c r="K89" s="44"/>
      <c r="L89" s="44"/>
      <c r="M89" s="44"/>
      <c r="N89" s="44"/>
      <c r="O89" s="44" t="s">
        <v>218</v>
      </c>
    </row>
    <row r="90" spans="1:15" ht="15" x14ac:dyDescent="0.2">
      <c r="A90" s="43" t="s">
        <v>12</v>
      </c>
      <c r="B90" s="43" t="s">
        <v>16</v>
      </c>
      <c r="C90" s="44" t="s">
        <v>261</v>
      </c>
      <c r="D90" s="20" t="s">
        <v>262</v>
      </c>
      <c r="E90" s="44" t="s">
        <v>70</v>
      </c>
      <c r="F90" s="44" t="s">
        <v>249</v>
      </c>
      <c r="G90" s="44">
        <v>5</v>
      </c>
      <c r="H90" s="44"/>
      <c r="I90" s="44">
        <v>4500</v>
      </c>
      <c r="J90" s="44">
        <v>0</v>
      </c>
      <c r="K90" s="44"/>
      <c r="L90" s="44"/>
      <c r="M90" s="44"/>
      <c r="N90" s="44"/>
      <c r="O90" s="44" t="s">
        <v>253</v>
      </c>
    </row>
    <row r="91" spans="1:15" ht="15" x14ac:dyDescent="0.2">
      <c r="A91" s="43" t="s">
        <v>12</v>
      </c>
      <c r="B91" s="43" t="s">
        <v>16</v>
      </c>
      <c r="C91" s="44" t="s">
        <v>263</v>
      </c>
      <c r="D91" s="20" t="s">
        <v>264</v>
      </c>
      <c r="E91" s="44" t="s">
        <v>70</v>
      </c>
      <c r="F91" s="44" t="s">
        <v>249</v>
      </c>
      <c r="G91" s="44">
        <v>5</v>
      </c>
      <c r="H91" s="44"/>
      <c r="I91" s="44">
        <v>4500</v>
      </c>
      <c r="J91" s="44">
        <v>0</v>
      </c>
      <c r="K91" s="44"/>
      <c r="L91" s="44"/>
      <c r="M91" s="44"/>
      <c r="N91" s="44"/>
      <c r="O91" s="44" t="s">
        <v>253</v>
      </c>
    </row>
    <row r="92" spans="1:15" ht="28.5" x14ac:dyDescent="0.2">
      <c r="A92" s="43" t="s">
        <v>12</v>
      </c>
      <c r="B92" s="43" t="s">
        <v>16</v>
      </c>
      <c r="C92" s="44" t="s">
        <v>230</v>
      </c>
      <c r="D92" s="20" t="s">
        <v>231</v>
      </c>
      <c r="E92" s="44" t="s">
        <v>70</v>
      </c>
      <c r="F92" s="44" t="s">
        <v>219</v>
      </c>
      <c r="G92" s="44">
        <v>8</v>
      </c>
      <c r="H92" s="44"/>
      <c r="I92" s="44"/>
      <c r="J92" s="44"/>
      <c r="K92" s="44"/>
      <c r="L92" s="44"/>
      <c r="M92" s="44"/>
      <c r="N92" s="44"/>
      <c r="O92" s="44" t="s">
        <v>218</v>
      </c>
    </row>
    <row r="93" spans="1:15" ht="42.75" x14ac:dyDescent="0.2">
      <c r="A93" s="43" t="s">
        <v>12</v>
      </c>
      <c r="B93" s="43" t="s">
        <v>16</v>
      </c>
      <c r="C93" s="44" t="s">
        <v>258</v>
      </c>
      <c r="D93" s="20" t="s">
        <v>259</v>
      </c>
      <c r="E93" s="44" t="s">
        <v>70</v>
      </c>
      <c r="F93" s="44" t="s">
        <v>249</v>
      </c>
      <c r="G93" s="44">
        <v>5</v>
      </c>
      <c r="H93" s="44"/>
      <c r="I93" s="44">
        <v>4500</v>
      </c>
      <c r="J93" s="44">
        <v>0</v>
      </c>
      <c r="K93" s="44"/>
      <c r="L93" s="44"/>
      <c r="M93" s="44"/>
      <c r="N93" s="44"/>
      <c r="O93" s="44" t="s">
        <v>260</v>
      </c>
    </row>
    <row r="94" spans="1:15" ht="28.5" x14ac:dyDescent="0.2">
      <c r="A94" s="43" t="s">
        <v>12</v>
      </c>
      <c r="B94" s="43" t="s">
        <v>16</v>
      </c>
      <c r="C94" s="44" t="s">
        <v>691</v>
      </c>
      <c r="D94" s="20" t="s">
        <v>690</v>
      </c>
      <c r="E94" s="44"/>
      <c r="F94" s="44" t="s">
        <v>71</v>
      </c>
      <c r="G94" s="44">
        <v>13</v>
      </c>
      <c r="H94" s="44"/>
      <c r="I94" s="44">
        <v>201600</v>
      </c>
      <c r="J94" s="44">
        <v>201600</v>
      </c>
      <c r="K94" s="44"/>
      <c r="L94" s="44"/>
      <c r="M94" s="44"/>
      <c r="N94" s="44"/>
      <c r="O94" s="44" t="s">
        <v>299</v>
      </c>
    </row>
    <row r="95" spans="1:15" ht="28.5" x14ac:dyDescent="0.2">
      <c r="A95" s="43" t="s">
        <v>12</v>
      </c>
      <c r="B95" s="43" t="s">
        <v>16</v>
      </c>
      <c r="C95" s="44" t="s">
        <v>821</v>
      </c>
      <c r="D95" s="20" t="s">
        <v>820</v>
      </c>
      <c r="E95" s="44"/>
      <c r="F95" s="44" t="s">
        <v>71</v>
      </c>
      <c r="G95" s="44">
        <v>8</v>
      </c>
      <c r="H95" s="44"/>
      <c r="I95" s="44">
        <v>7200</v>
      </c>
      <c r="J95" s="44">
        <v>7200</v>
      </c>
      <c r="K95" s="44"/>
      <c r="L95" s="44"/>
      <c r="M95" s="44"/>
      <c r="N95" s="44"/>
      <c r="O95" s="44" t="s">
        <v>819</v>
      </c>
    </row>
    <row r="96" spans="1:15" ht="15" x14ac:dyDescent="0.2">
      <c r="A96" s="43" t="s">
        <v>12</v>
      </c>
      <c r="B96" s="43" t="s">
        <v>17</v>
      </c>
      <c r="C96" s="44" t="s">
        <v>102</v>
      </c>
      <c r="D96" s="20" t="s">
        <v>103</v>
      </c>
      <c r="E96" s="44" t="s">
        <v>70</v>
      </c>
      <c r="F96" s="44" t="s">
        <v>87</v>
      </c>
      <c r="G96" s="44">
        <v>1</v>
      </c>
      <c r="H96" s="44"/>
      <c r="I96" s="44">
        <v>14400</v>
      </c>
      <c r="J96" s="44">
        <v>14400</v>
      </c>
      <c r="K96" s="44"/>
      <c r="L96" s="44"/>
      <c r="M96" s="44"/>
      <c r="N96" s="44"/>
      <c r="O96" s="44"/>
    </row>
    <row r="97" spans="1:15" ht="28.5" x14ac:dyDescent="0.2">
      <c r="A97" s="43" t="s">
        <v>12</v>
      </c>
      <c r="B97" s="43" t="s">
        <v>17</v>
      </c>
      <c r="C97" s="44" t="s">
        <v>449</v>
      </c>
      <c r="D97" s="20" t="s">
        <v>448</v>
      </c>
      <c r="E97" s="44" t="s">
        <v>442</v>
      </c>
      <c r="F97" s="44"/>
      <c r="G97" s="44"/>
      <c r="H97" s="44"/>
      <c r="I97" s="44">
        <v>7200</v>
      </c>
      <c r="J97" s="44">
        <v>7200</v>
      </c>
      <c r="K97" s="44"/>
      <c r="L97" s="44"/>
      <c r="M97" s="44"/>
      <c r="N97" s="44"/>
      <c r="O97" s="44"/>
    </row>
    <row r="98" spans="1:15" ht="15" x14ac:dyDescent="0.2">
      <c r="A98" s="43" t="s">
        <v>12</v>
      </c>
      <c r="B98" s="43" t="s">
        <v>17</v>
      </c>
      <c r="C98" s="44" t="s">
        <v>697</v>
      </c>
      <c r="D98" s="20" t="s">
        <v>696</v>
      </c>
      <c r="E98" s="44"/>
      <c r="F98" s="44" t="s">
        <v>655</v>
      </c>
      <c r="G98" s="44">
        <v>13</v>
      </c>
      <c r="H98" s="44"/>
      <c r="I98" s="44"/>
      <c r="J98" s="44"/>
      <c r="K98" s="44"/>
      <c r="L98" s="44"/>
      <c r="M98" s="44"/>
      <c r="N98" s="44"/>
      <c r="O98" s="44" t="s">
        <v>302</v>
      </c>
    </row>
    <row r="99" spans="1:15" ht="28.5" x14ac:dyDescent="0.2">
      <c r="A99" s="43" t="s">
        <v>12</v>
      </c>
      <c r="B99" s="43" t="s">
        <v>17</v>
      </c>
      <c r="C99" s="44" t="s">
        <v>150</v>
      </c>
      <c r="D99" s="20" t="s">
        <v>151</v>
      </c>
      <c r="E99" s="44" t="s">
        <v>70</v>
      </c>
      <c r="F99" s="44" t="s">
        <v>152</v>
      </c>
      <c r="G99" s="44">
        <v>3</v>
      </c>
      <c r="H99" s="44"/>
      <c r="I99" s="44"/>
      <c r="J99" s="44"/>
      <c r="K99" s="44"/>
      <c r="L99" s="44"/>
      <c r="M99" s="44"/>
      <c r="N99" s="44"/>
      <c r="O99" s="44"/>
    </row>
    <row r="100" spans="1:15" ht="15" x14ac:dyDescent="0.2">
      <c r="A100" s="43" t="s">
        <v>12</v>
      </c>
      <c r="B100" s="43" t="s">
        <v>17</v>
      </c>
      <c r="C100" s="44" t="s">
        <v>808</v>
      </c>
      <c r="D100" s="20" t="s">
        <v>807</v>
      </c>
      <c r="E100" s="44"/>
      <c r="F100" s="44" t="s">
        <v>152</v>
      </c>
      <c r="G100" s="44"/>
      <c r="H100" s="44"/>
      <c r="I100" s="44"/>
      <c r="J100" s="44"/>
      <c r="K100" s="44"/>
      <c r="L100" s="44"/>
      <c r="M100" s="44"/>
      <c r="N100" s="44"/>
      <c r="O100" s="44"/>
    </row>
    <row r="101" spans="1:15" ht="15" x14ac:dyDescent="0.2">
      <c r="A101" s="43" t="s">
        <v>12</v>
      </c>
      <c r="B101" s="43" t="s">
        <v>17</v>
      </c>
      <c r="C101" s="44" t="s">
        <v>654</v>
      </c>
      <c r="D101" s="20" t="s">
        <v>653</v>
      </c>
      <c r="E101" s="44"/>
      <c r="F101" s="44" t="s">
        <v>219</v>
      </c>
      <c r="G101" s="44">
        <v>8</v>
      </c>
      <c r="H101" s="44"/>
      <c r="I101" s="44">
        <v>374400</v>
      </c>
      <c r="J101" s="44">
        <v>316800</v>
      </c>
      <c r="K101" s="44"/>
      <c r="L101" s="44"/>
      <c r="M101" s="44"/>
      <c r="N101" s="44"/>
      <c r="O101" s="44" t="s">
        <v>225</v>
      </c>
    </row>
    <row r="102" spans="1:15" ht="15" x14ac:dyDescent="0.2">
      <c r="A102" s="43" t="s">
        <v>12</v>
      </c>
      <c r="B102" s="43" t="s">
        <v>17</v>
      </c>
      <c r="C102" s="44" t="s">
        <v>243</v>
      </c>
      <c r="D102" s="20" t="s">
        <v>244</v>
      </c>
      <c r="E102" s="44" t="s">
        <v>70</v>
      </c>
      <c r="F102" s="44" t="s">
        <v>245</v>
      </c>
      <c r="G102" s="44">
        <v>2</v>
      </c>
      <c r="H102" s="44"/>
      <c r="I102" s="44"/>
      <c r="J102" s="44"/>
      <c r="K102" s="44"/>
      <c r="L102" s="44"/>
      <c r="M102" s="44"/>
      <c r="N102" s="44"/>
      <c r="O102" s="44" t="s">
        <v>246</v>
      </c>
    </row>
    <row r="103" spans="1:15" ht="28.5" x14ac:dyDescent="0.2">
      <c r="A103" s="43" t="s">
        <v>12</v>
      </c>
      <c r="B103" s="43" t="s">
        <v>17</v>
      </c>
      <c r="C103" s="44" t="s">
        <v>170</v>
      </c>
      <c r="D103" s="20" t="s">
        <v>171</v>
      </c>
      <c r="E103" s="44" t="s">
        <v>70</v>
      </c>
      <c r="F103" s="44" t="s">
        <v>172</v>
      </c>
      <c r="G103" s="44">
        <v>5</v>
      </c>
      <c r="H103" s="44"/>
      <c r="I103" s="44"/>
      <c r="J103" s="44"/>
      <c r="K103" s="44"/>
      <c r="L103" s="44"/>
      <c r="M103" s="44"/>
      <c r="N103" s="44"/>
      <c r="O103" s="44" t="s">
        <v>173</v>
      </c>
    </row>
    <row r="104" spans="1:15" ht="28.5" x14ac:dyDescent="0.2">
      <c r="A104" s="43" t="s">
        <v>12</v>
      </c>
      <c r="B104" s="43" t="s">
        <v>106</v>
      </c>
      <c r="C104" s="44" t="s">
        <v>141</v>
      </c>
      <c r="D104" s="20" t="s">
        <v>142</v>
      </c>
      <c r="E104" s="44" t="s">
        <v>70</v>
      </c>
      <c r="F104" s="44" t="s">
        <v>128</v>
      </c>
      <c r="G104" s="44">
        <v>3</v>
      </c>
      <c r="H104" s="44"/>
      <c r="I104" s="44"/>
      <c r="J104" s="44"/>
      <c r="K104" s="44"/>
      <c r="L104" s="44"/>
      <c r="M104" s="44"/>
      <c r="N104" s="44"/>
      <c r="O104" s="44" t="s">
        <v>133</v>
      </c>
    </row>
    <row r="105" spans="1:15" ht="28.5" x14ac:dyDescent="0.2">
      <c r="A105" s="43" t="s">
        <v>12</v>
      </c>
      <c r="B105" s="43" t="s">
        <v>106</v>
      </c>
      <c r="C105" s="44" t="s">
        <v>134</v>
      </c>
      <c r="D105" s="20" t="s">
        <v>135</v>
      </c>
      <c r="E105" s="44" t="s">
        <v>70</v>
      </c>
      <c r="F105" s="44" t="s">
        <v>128</v>
      </c>
      <c r="G105" s="44">
        <v>5</v>
      </c>
      <c r="H105" s="44"/>
      <c r="I105" s="44"/>
      <c r="J105" s="44"/>
      <c r="K105" s="44"/>
      <c r="L105" s="44"/>
      <c r="M105" s="44"/>
      <c r="N105" s="44"/>
      <c r="O105" s="44" t="s">
        <v>133</v>
      </c>
    </row>
    <row r="106" spans="1:15" ht="42.75" x14ac:dyDescent="0.2">
      <c r="A106" s="43" t="s">
        <v>12</v>
      </c>
      <c r="B106" s="43" t="s">
        <v>106</v>
      </c>
      <c r="C106" s="44" t="s">
        <v>107</v>
      </c>
      <c r="D106" s="20" t="s">
        <v>108</v>
      </c>
      <c r="E106" s="44" t="s">
        <v>70</v>
      </c>
      <c r="F106" s="44" t="s">
        <v>109</v>
      </c>
      <c r="G106" s="44">
        <v>3</v>
      </c>
      <c r="H106" s="44"/>
      <c r="I106" s="44"/>
      <c r="J106" s="44"/>
      <c r="K106" s="44"/>
      <c r="L106" s="44"/>
      <c r="M106" s="44"/>
      <c r="N106" s="44"/>
      <c r="O106" s="44" t="s">
        <v>110</v>
      </c>
    </row>
    <row r="107" spans="1:15" ht="28.5" x14ac:dyDescent="0.2">
      <c r="A107" s="43" t="s">
        <v>12</v>
      </c>
      <c r="B107" s="43" t="s">
        <v>106</v>
      </c>
      <c r="C107" s="44" t="s">
        <v>126</v>
      </c>
      <c r="D107" s="20" t="s">
        <v>127</v>
      </c>
      <c r="E107" s="44" t="s">
        <v>70</v>
      </c>
      <c r="F107" s="44" t="s">
        <v>128</v>
      </c>
      <c r="G107" s="44">
        <v>8</v>
      </c>
      <c r="H107" s="44"/>
      <c r="I107" s="44"/>
      <c r="J107" s="44"/>
      <c r="K107" s="44"/>
      <c r="L107" s="44"/>
      <c r="M107" s="44"/>
      <c r="N107" s="44"/>
      <c r="O107" s="44" t="s">
        <v>129</v>
      </c>
    </row>
    <row r="108" spans="1:15" ht="42.75" x14ac:dyDescent="0.2">
      <c r="A108" s="43" t="s">
        <v>12</v>
      </c>
      <c r="B108" s="43" t="s">
        <v>106</v>
      </c>
      <c r="C108" s="44" t="s">
        <v>123</v>
      </c>
      <c r="D108" s="20" t="s">
        <v>124</v>
      </c>
      <c r="E108" s="44" t="s">
        <v>70</v>
      </c>
      <c r="F108" s="44" t="s">
        <v>109</v>
      </c>
      <c r="G108" s="44">
        <v>3</v>
      </c>
      <c r="H108" s="44"/>
      <c r="I108" s="44"/>
      <c r="J108" s="44"/>
      <c r="K108" s="44"/>
      <c r="L108" s="44"/>
      <c r="M108" s="44"/>
      <c r="N108" s="44"/>
      <c r="O108" s="44" t="s">
        <v>125</v>
      </c>
    </row>
    <row r="109" spans="1:15" ht="28.5" x14ac:dyDescent="0.2">
      <c r="A109" s="43" t="s">
        <v>12</v>
      </c>
      <c r="B109" s="43" t="s">
        <v>106</v>
      </c>
      <c r="C109" s="44" t="s">
        <v>139</v>
      </c>
      <c r="D109" s="20" t="s">
        <v>140</v>
      </c>
      <c r="E109" s="44" t="s">
        <v>70</v>
      </c>
      <c r="F109" s="44" t="s">
        <v>128</v>
      </c>
      <c r="G109" s="44"/>
      <c r="H109" s="44"/>
      <c r="I109" s="44"/>
      <c r="J109" s="44"/>
      <c r="K109" s="44"/>
      <c r="L109" s="44"/>
      <c r="M109" s="44"/>
      <c r="N109" s="44"/>
      <c r="O109" s="44"/>
    </row>
    <row r="110" spans="1:15" ht="28.5" x14ac:dyDescent="0.2">
      <c r="A110" s="43" t="s">
        <v>12</v>
      </c>
      <c r="B110" s="43" t="s">
        <v>106</v>
      </c>
      <c r="C110" s="44" t="s">
        <v>136</v>
      </c>
      <c r="D110" s="20" t="s">
        <v>137</v>
      </c>
      <c r="E110" s="44" t="s">
        <v>70</v>
      </c>
      <c r="F110" s="44" t="s">
        <v>138</v>
      </c>
      <c r="G110" s="44"/>
      <c r="H110" s="44"/>
      <c r="I110" s="44"/>
      <c r="J110" s="44"/>
      <c r="K110" s="44"/>
      <c r="L110" s="44"/>
      <c r="M110" s="44"/>
      <c r="N110" s="44"/>
      <c r="O110" s="44"/>
    </row>
    <row r="111" spans="1:15" ht="28.5" x14ac:dyDescent="0.2">
      <c r="A111" s="43" t="s">
        <v>12</v>
      </c>
      <c r="B111" s="43" t="s">
        <v>106</v>
      </c>
      <c r="C111" s="44" t="s">
        <v>470</v>
      </c>
      <c r="D111" s="20" t="s">
        <v>469</v>
      </c>
      <c r="E111" s="44" t="s">
        <v>442</v>
      </c>
      <c r="F111" s="44" t="s">
        <v>471</v>
      </c>
      <c r="G111" s="44">
        <v>5</v>
      </c>
      <c r="H111" s="44"/>
      <c r="I111" s="44">
        <v>115500</v>
      </c>
      <c r="J111" s="44">
        <v>300</v>
      </c>
      <c r="K111" s="44"/>
      <c r="L111" s="44"/>
      <c r="M111" s="44"/>
      <c r="N111" s="44"/>
      <c r="O111" s="44"/>
    </row>
    <row r="112" spans="1:15" ht="15" x14ac:dyDescent="0.2">
      <c r="A112" s="43" t="s">
        <v>12</v>
      </c>
      <c r="B112" s="43" t="s">
        <v>106</v>
      </c>
      <c r="C112" s="44" t="s">
        <v>525</v>
      </c>
      <c r="D112" s="20" t="s">
        <v>524</v>
      </c>
      <c r="E112" s="44" t="s">
        <v>442</v>
      </c>
      <c r="F112" s="44" t="s">
        <v>447</v>
      </c>
      <c r="G112" s="44">
        <v>5</v>
      </c>
      <c r="H112" s="44"/>
      <c r="I112" s="44"/>
      <c r="J112" s="44"/>
      <c r="K112" s="44"/>
      <c r="L112" s="44"/>
      <c r="M112" s="44"/>
      <c r="N112" s="44"/>
      <c r="O112" s="44" t="s">
        <v>433</v>
      </c>
    </row>
    <row r="113" spans="1:15" ht="42.75" x14ac:dyDescent="0.2">
      <c r="A113" s="43" t="s">
        <v>12</v>
      </c>
      <c r="B113" s="43" t="s">
        <v>106</v>
      </c>
      <c r="C113" s="44" t="s">
        <v>445</v>
      </c>
      <c r="D113" s="20" t="s">
        <v>444</v>
      </c>
      <c r="E113" s="44" t="s">
        <v>442</v>
      </c>
      <c r="F113" s="44" t="s">
        <v>447</v>
      </c>
      <c r="G113" s="44">
        <v>5</v>
      </c>
      <c r="H113" s="44"/>
      <c r="I113" s="44">
        <v>302400</v>
      </c>
      <c r="J113" s="44">
        <v>302400</v>
      </c>
      <c r="K113" s="44"/>
      <c r="L113" s="44"/>
      <c r="M113" s="44"/>
      <c r="N113" s="44"/>
      <c r="O113" s="44" t="s">
        <v>446</v>
      </c>
    </row>
    <row r="114" spans="1:15" ht="15" x14ac:dyDescent="0.2">
      <c r="A114" s="43" t="s">
        <v>12</v>
      </c>
      <c r="B114" s="43" t="s">
        <v>106</v>
      </c>
      <c r="C114" s="44" t="s">
        <v>254</v>
      </c>
      <c r="D114" s="20" t="s">
        <v>255</v>
      </c>
      <c r="E114" s="44" t="s">
        <v>70</v>
      </c>
      <c r="F114" s="44" t="s">
        <v>249</v>
      </c>
      <c r="G114" s="44">
        <v>5</v>
      </c>
      <c r="H114" s="44"/>
      <c r="I114" s="44">
        <v>4500</v>
      </c>
      <c r="J114" s="44">
        <v>0</v>
      </c>
      <c r="K114" s="44"/>
      <c r="L114" s="44"/>
      <c r="M114" s="44"/>
      <c r="N114" s="44"/>
      <c r="O114" s="44" t="s">
        <v>253</v>
      </c>
    </row>
    <row r="115" spans="1:15" ht="15" x14ac:dyDescent="0.2">
      <c r="A115" s="43" t="s">
        <v>12</v>
      </c>
      <c r="B115" s="43" t="s">
        <v>106</v>
      </c>
      <c r="C115" s="44" t="s">
        <v>251</v>
      </c>
      <c r="D115" s="20" t="s">
        <v>252</v>
      </c>
      <c r="E115" s="44" t="s">
        <v>70</v>
      </c>
      <c r="F115" s="44" t="s">
        <v>249</v>
      </c>
      <c r="G115" s="44">
        <v>5</v>
      </c>
      <c r="H115" s="44"/>
      <c r="I115" s="44">
        <v>4500</v>
      </c>
      <c r="J115" s="44">
        <v>0</v>
      </c>
      <c r="K115" s="44"/>
      <c r="L115" s="44"/>
      <c r="M115" s="44"/>
      <c r="N115" s="44"/>
      <c r="O115" s="44" t="s">
        <v>253</v>
      </c>
    </row>
    <row r="116" spans="1:15" ht="15" x14ac:dyDescent="0.2">
      <c r="A116" s="43" t="s">
        <v>12</v>
      </c>
      <c r="B116" s="43" t="s">
        <v>106</v>
      </c>
      <c r="C116" s="44" t="s">
        <v>256</v>
      </c>
      <c r="D116" s="20" t="s">
        <v>257</v>
      </c>
      <c r="E116" s="44" t="s">
        <v>70</v>
      </c>
      <c r="F116" s="44" t="s">
        <v>249</v>
      </c>
      <c r="G116" s="44">
        <v>5</v>
      </c>
      <c r="H116" s="44"/>
      <c r="I116" s="44">
        <v>4500</v>
      </c>
      <c r="J116" s="44">
        <v>0</v>
      </c>
      <c r="K116" s="44"/>
      <c r="L116" s="44"/>
      <c r="M116" s="44"/>
      <c r="N116" s="44"/>
      <c r="O116" s="44" t="s">
        <v>253</v>
      </c>
    </row>
    <row r="117" spans="1:15" ht="28.5" x14ac:dyDescent="0.2">
      <c r="A117" s="43" t="s">
        <v>12</v>
      </c>
      <c r="B117" s="43" t="s">
        <v>106</v>
      </c>
      <c r="C117" s="44" t="s">
        <v>712</v>
      </c>
      <c r="D117" s="20" t="s">
        <v>711</v>
      </c>
      <c r="E117" s="44"/>
      <c r="F117" s="44" t="s">
        <v>83</v>
      </c>
      <c r="G117" s="44">
        <v>21</v>
      </c>
      <c r="H117" s="44"/>
      <c r="I117" s="44"/>
      <c r="J117" s="44"/>
      <c r="K117" s="44"/>
      <c r="L117" s="44"/>
      <c r="M117" s="44"/>
      <c r="N117" s="44"/>
      <c r="O117" s="44" t="s">
        <v>234</v>
      </c>
    </row>
    <row r="118" spans="1:15" ht="28.5" x14ac:dyDescent="0.2">
      <c r="A118" s="43" t="s">
        <v>12</v>
      </c>
      <c r="B118" s="43" t="s">
        <v>106</v>
      </c>
      <c r="C118" s="44" t="s">
        <v>167</v>
      </c>
      <c r="D118" s="20" t="s">
        <v>168</v>
      </c>
      <c r="E118" s="44" t="s">
        <v>70</v>
      </c>
      <c r="F118" s="44" t="s">
        <v>169</v>
      </c>
      <c r="G118" s="44">
        <v>5</v>
      </c>
      <c r="H118" s="44"/>
      <c r="I118" s="44">
        <v>86400</v>
      </c>
      <c r="J118" s="44">
        <v>86400</v>
      </c>
      <c r="K118" s="44"/>
      <c r="L118" s="44"/>
      <c r="M118" s="44"/>
      <c r="N118" s="44"/>
      <c r="O118" s="44" t="s">
        <v>149</v>
      </c>
    </row>
    <row r="119" spans="1:15" ht="15" x14ac:dyDescent="0.2">
      <c r="A119" s="43" t="s">
        <v>12</v>
      </c>
      <c r="B119" s="43" t="s">
        <v>106</v>
      </c>
      <c r="C119" s="44" t="s">
        <v>176</v>
      </c>
      <c r="D119" s="20" t="s">
        <v>177</v>
      </c>
      <c r="E119" s="44" t="s">
        <v>70</v>
      </c>
      <c r="F119" s="44" t="s">
        <v>169</v>
      </c>
      <c r="G119" s="44">
        <v>5</v>
      </c>
      <c r="H119" s="44"/>
      <c r="I119" s="44"/>
      <c r="J119" s="44"/>
      <c r="K119" s="44"/>
      <c r="L119" s="44"/>
      <c r="M119" s="44"/>
      <c r="N119" s="44"/>
      <c r="O119" s="44" t="s">
        <v>173</v>
      </c>
    </row>
    <row r="120" spans="1:15" ht="15" x14ac:dyDescent="0.2">
      <c r="A120" s="43" t="s">
        <v>12</v>
      </c>
      <c r="B120" s="43" t="s">
        <v>106</v>
      </c>
      <c r="C120" s="44" t="s">
        <v>174</v>
      </c>
      <c r="D120" s="20" t="s">
        <v>175</v>
      </c>
      <c r="E120" s="44" t="s">
        <v>70</v>
      </c>
      <c r="F120" s="44" t="s">
        <v>169</v>
      </c>
      <c r="G120" s="44">
        <v>8</v>
      </c>
      <c r="H120" s="44"/>
      <c r="I120" s="44"/>
      <c r="J120" s="44"/>
      <c r="K120" s="44"/>
      <c r="L120" s="44"/>
      <c r="M120" s="44"/>
      <c r="N120" s="44"/>
      <c r="O120" s="44" t="s">
        <v>173</v>
      </c>
    </row>
    <row r="121" spans="1:15" ht="42.75" x14ac:dyDescent="0.2">
      <c r="A121" s="43" t="s">
        <v>12</v>
      </c>
      <c r="B121" s="43" t="s">
        <v>106</v>
      </c>
      <c r="C121" s="44" t="s">
        <v>626</v>
      </c>
      <c r="D121" s="20" t="s">
        <v>625</v>
      </c>
      <c r="E121" s="44" t="s">
        <v>442</v>
      </c>
      <c r="F121" s="44" t="s">
        <v>447</v>
      </c>
      <c r="G121" s="44">
        <v>5</v>
      </c>
      <c r="H121" s="44"/>
      <c r="I121" s="44">
        <v>64800</v>
      </c>
      <c r="J121" s="44">
        <v>64800</v>
      </c>
      <c r="K121" s="44"/>
      <c r="L121" s="44"/>
      <c r="M121" s="44"/>
      <c r="N121" s="44"/>
      <c r="O121" s="44" t="s">
        <v>622</v>
      </c>
    </row>
    <row r="122" spans="1:15" ht="15" x14ac:dyDescent="0.2">
      <c r="A122" s="43" t="s">
        <v>12</v>
      </c>
      <c r="B122" s="43" t="s">
        <v>106</v>
      </c>
      <c r="C122" s="44" t="s">
        <v>487</v>
      </c>
      <c r="D122" s="20" t="s">
        <v>486</v>
      </c>
      <c r="E122" s="44" t="s">
        <v>442</v>
      </c>
      <c r="F122" s="44" t="s">
        <v>477</v>
      </c>
      <c r="G122" s="44">
        <v>2</v>
      </c>
      <c r="H122" s="44"/>
      <c r="I122" s="44">
        <v>100800</v>
      </c>
      <c r="J122" s="44">
        <v>100800</v>
      </c>
      <c r="K122" s="44"/>
      <c r="L122" s="44"/>
      <c r="M122" s="44"/>
      <c r="N122" s="44"/>
      <c r="O122" s="44" t="s">
        <v>488</v>
      </c>
    </row>
    <row r="123" spans="1:15" ht="28.5" x14ac:dyDescent="0.2">
      <c r="A123" s="43" t="s">
        <v>12</v>
      </c>
      <c r="B123" s="43" t="s">
        <v>106</v>
      </c>
      <c r="C123" s="44" t="s">
        <v>500</v>
      </c>
      <c r="D123" s="20" t="s">
        <v>499</v>
      </c>
      <c r="E123" s="44" t="s">
        <v>442</v>
      </c>
      <c r="F123" s="44" t="s">
        <v>477</v>
      </c>
      <c r="G123" s="44">
        <v>3</v>
      </c>
      <c r="H123" s="44"/>
      <c r="I123" s="44">
        <v>28800</v>
      </c>
      <c r="J123" s="44">
        <v>28800</v>
      </c>
      <c r="K123" s="44"/>
      <c r="L123" s="44"/>
      <c r="M123" s="44"/>
      <c r="N123" s="44"/>
      <c r="O123" s="44" t="s">
        <v>501</v>
      </c>
    </row>
    <row r="124" spans="1:15" ht="42.75" x14ac:dyDescent="0.2">
      <c r="A124" s="43" t="s">
        <v>12</v>
      </c>
      <c r="B124" s="43" t="s">
        <v>106</v>
      </c>
      <c r="C124" s="44" t="s">
        <v>506</v>
      </c>
      <c r="D124" s="20" t="s">
        <v>505</v>
      </c>
      <c r="E124" s="44" t="s">
        <v>442</v>
      </c>
      <c r="F124" s="44" t="s">
        <v>491</v>
      </c>
      <c r="G124" s="44">
        <v>5</v>
      </c>
      <c r="H124" s="44"/>
      <c r="I124" s="44">
        <v>7200</v>
      </c>
      <c r="J124" s="44">
        <v>7200</v>
      </c>
      <c r="K124" s="44"/>
      <c r="L124" s="44"/>
      <c r="M124" s="44"/>
      <c r="N124" s="44"/>
      <c r="O124" s="44" t="s">
        <v>507</v>
      </c>
    </row>
    <row r="125" spans="1:15" ht="15" x14ac:dyDescent="0.2">
      <c r="A125" s="43" t="s">
        <v>12</v>
      </c>
      <c r="B125" s="43" t="s">
        <v>106</v>
      </c>
      <c r="C125" s="44" t="s">
        <v>516</v>
      </c>
      <c r="D125" s="20" t="s">
        <v>515</v>
      </c>
      <c r="E125" s="44" t="s">
        <v>442</v>
      </c>
      <c r="F125" s="44" t="s">
        <v>477</v>
      </c>
      <c r="G125" s="44">
        <v>2</v>
      </c>
      <c r="H125" s="44"/>
      <c r="I125" s="44">
        <v>72000</v>
      </c>
      <c r="J125" s="44">
        <v>72000</v>
      </c>
      <c r="K125" s="44"/>
      <c r="L125" s="44"/>
      <c r="M125" s="44"/>
      <c r="N125" s="44"/>
      <c r="O125" s="44" t="s">
        <v>501</v>
      </c>
    </row>
    <row r="126" spans="1:15" ht="15" x14ac:dyDescent="0.2">
      <c r="A126" s="43" t="s">
        <v>12</v>
      </c>
      <c r="B126" s="43" t="s">
        <v>106</v>
      </c>
      <c r="C126" s="44" t="s">
        <v>518</v>
      </c>
      <c r="D126" s="20" t="s">
        <v>517</v>
      </c>
      <c r="E126" s="44" t="s">
        <v>442</v>
      </c>
      <c r="F126" s="44" t="s">
        <v>477</v>
      </c>
      <c r="G126" s="44">
        <v>3</v>
      </c>
      <c r="H126" s="44"/>
      <c r="I126" s="44">
        <v>115200</v>
      </c>
      <c r="J126" s="44">
        <v>115200</v>
      </c>
      <c r="K126" s="44"/>
      <c r="L126" s="44"/>
      <c r="M126" s="44"/>
      <c r="N126" s="44"/>
      <c r="O126" s="44" t="s">
        <v>501</v>
      </c>
    </row>
    <row r="127" spans="1:15" ht="28.5" x14ac:dyDescent="0.2">
      <c r="A127" s="43" t="s">
        <v>12</v>
      </c>
      <c r="B127" s="43" t="s">
        <v>106</v>
      </c>
      <c r="C127" s="44" t="s">
        <v>520</v>
      </c>
      <c r="D127" s="20" t="s">
        <v>519</v>
      </c>
      <c r="E127" s="44" t="s">
        <v>521</v>
      </c>
      <c r="F127" s="44" t="s">
        <v>523</v>
      </c>
      <c r="G127" s="44"/>
      <c r="H127" s="44"/>
      <c r="I127" s="44">
        <v>14400</v>
      </c>
      <c r="J127" s="44">
        <v>14400</v>
      </c>
      <c r="K127" s="44"/>
      <c r="L127" s="44"/>
      <c r="M127" s="44"/>
      <c r="N127" s="44"/>
      <c r="O127" s="44" t="s">
        <v>522</v>
      </c>
    </row>
    <row r="128" spans="1:15" ht="28.5" x14ac:dyDescent="0.2">
      <c r="A128" s="43" t="s">
        <v>12</v>
      </c>
      <c r="B128" s="43" t="s">
        <v>106</v>
      </c>
      <c r="C128" s="44" t="s">
        <v>473</v>
      </c>
      <c r="D128" s="20" t="s">
        <v>472</v>
      </c>
      <c r="E128" s="44" t="s">
        <v>442</v>
      </c>
      <c r="F128" s="44" t="s">
        <v>471</v>
      </c>
      <c r="G128" s="44">
        <v>5</v>
      </c>
      <c r="H128" s="44"/>
      <c r="I128" s="44">
        <v>57600</v>
      </c>
      <c r="J128" s="44">
        <v>57600</v>
      </c>
      <c r="K128" s="44"/>
      <c r="L128" s="44"/>
      <c r="M128" s="44"/>
      <c r="N128" s="44"/>
      <c r="O128" s="44" t="s">
        <v>474</v>
      </c>
    </row>
    <row r="129" spans="1:15" ht="28.5" x14ac:dyDescent="0.2">
      <c r="A129" s="43" t="s">
        <v>12</v>
      </c>
      <c r="B129" s="43" t="s">
        <v>106</v>
      </c>
      <c r="C129" s="44" t="s">
        <v>476</v>
      </c>
      <c r="D129" s="20" t="s">
        <v>475</v>
      </c>
      <c r="E129" s="44" t="s">
        <v>442</v>
      </c>
      <c r="F129" s="44" t="s">
        <v>477</v>
      </c>
      <c r="G129" s="44">
        <v>3</v>
      </c>
      <c r="H129" s="44"/>
      <c r="I129" s="44">
        <v>7200</v>
      </c>
      <c r="J129" s="44">
        <v>7200</v>
      </c>
      <c r="K129" s="44"/>
      <c r="L129" s="44"/>
      <c r="M129" s="44"/>
      <c r="N129" s="44"/>
      <c r="O129" s="44" t="s">
        <v>474</v>
      </c>
    </row>
    <row r="130" spans="1:15" ht="28.5" x14ac:dyDescent="0.2">
      <c r="A130" s="43" t="s">
        <v>12</v>
      </c>
      <c r="B130" s="43" t="s">
        <v>106</v>
      </c>
      <c r="C130" s="44" t="s">
        <v>143</v>
      </c>
      <c r="D130" s="20" t="s">
        <v>144</v>
      </c>
      <c r="E130" s="44" t="s">
        <v>70</v>
      </c>
      <c r="F130" s="44" t="s">
        <v>145</v>
      </c>
      <c r="G130" s="44">
        <v>1</v>
      </c>
      <c r="H130" s="44"/>
      <c r="I130" s="44"/>
      <c r="J130" s="44"/>
      <c r="K130" s="44"/>
      <c r="L130" s="44"/>
      <c r="M130" s="44"/>
      <c r="N130" s="44"/>
      <c r="O130" s="44" t="s">
        <v>129</v>
      </c>
    </row>
    <row r="131" spans="1:15" ht="42.75" x14ac:dyDescent="0.2">
      <c r="A131" s="43" t="s">
        <v>12</v>
      </c>
      <c r="B131" s="43" t="s">
        <v>106</v>
      </c>
      <c r="C131" s="44" t="s">
        <v>130</v>
      </c>
      <c r="D131" s="20" t="s">
        <v>131</v>
      </c>
      <c r="E131" s="44" t="s">
        <v>70</v>
      </c>
      <c r="F131" s="44" t="s">
        <v>132</v>
      </c>
      <c r="G131" s="44">
        <v>5</v>
      </c>
      <c r="H131" s="44"/>
      <c r="I131" s="44"/>
      <c r="J131" s="44"/>
      <c r="K131" s="44"/>
      <c r="L131" s="44"/>
      <c r="M131" s="44"/>
      <c r="N131" s="44"/>
      <c r="O131" s="44" t="s">
        <v>133</v>
      </c>
    </row>
    <row r="132" spans="1:15" ht="42.75" x14ac:dyDescent="0.2">
      <c r="A132" s="43" t="s">
        <v>12</v>
      </c>
      <c r="B132" s="43" t="s">
        <v>106</v>
      </c>
      <c r="C132" s="44" t="s">
        <v>238</v>
      </c>
      <c r="D132" s="20" t="s">
        <v>239</v>
      </c>
      <c r="E132" s="44" t="s">
        <v>70</v>
      </c>
      <c r="F132" s="44" t="s">
        <v>237</v>
      </c>
      <c r="G132" s="44">
        <v>5</v>
      </c>
      <c r="H132" s="44"/>
      <c r="I132" s="44"/>
      <c r="J132" s="44"/>
      <c r="K132" s="44"/>
      <c r="L132" s="44"/>
      <c r="M132" s="44"/>
      <c r="N132" s="44"/>
      <c r="O132" s="44" t="s">
        <v>240</v>
      </c>
    </row>
    <row r="133" spans="1:15" ht="15" x14ac:dyDescent="0.2">
      <c r="A133" s="43" t="s">
        <v>12</v>
      </c>
      <c r="B133" s="43" t="s">
        <v>106</v>
      </c>
      <c r="C133" s="44" t="s">
        <v>235</v>
      </c>
      <c r="D133" s="20" t="s">
        <v>236</v>
      </c>
      <c r="E133" s="44" t="s">
        <v>70</v>
      </c>
      <c r="F133" s="44" t="s">
        <v>237</v>
      </c>
      <c r="G133" s="44">
        <v>13</v>
      </c>
      <c r="H133" s="44"/>
      <c r="I133" s="44"/>
      <c r="J133" s="44"/>
      <c r="K133" s="44"/>
      <c r="L133" s="44"/>
      <c r="M133" s="44"/>
      <c r="N133" s="44"/>
      <c r="O133" s="44" t="s">
        <v>118</v>
      </c>
    </row>
    <row r="134" spans="1:15" ht="28.5" x14ac:dyDescent="0.2">
      <c r="A134" s="43" t="s">
        <v>12</v>
      </c>
      <c r="B134" s="43" t="s">
        <v>14</v>
      </c>
      <c r="C134" s="44" t="s">
        <v>675</v>
      </c>
      <c r="D134" s="20" t="s">
        <v>674</v>
      </c>
      <c r="E134" s="44"/>
      <c r="F134" s="44" t="s">
        <v>291</v>
      </c>
      <c r="G134" s="44">
        <v>8</v>
      </c>
      <c r="H134" s="44"/>
      <c r="I134" s="44"/>
      <c r="J134" s="44"/>
      <c r="K134" s="44"/>
      <c r="L134" s="44"/>
      <c r="M134" s="44"/>
      <c r="N134" s="44"/>
      <c r="O134" s="44" t="s">
        <v>302</v>
      </c>
    </row>
    <row r="135" spans="1:15" ht="15" x14ac:dyDescent="0.2">
      <c r="A135" s="43" t="s">
        <v>12</v>
      </c>
      <c r="B135" s="43" t="s">
        <v>14</v>
      </c>
      <c r="C135" s="44" t="s">
        <v>706</v>
      </c>
      <c r="D135" s="20" t="s">
        <v>705</v>
      </c>
      <c r="E135" s="44"/>
      <c r="F135" s="44" t="s">
        <v>219</v>
      </c>
      <c r="G135" s="44">
        <v>15</v>
      </c>
      <c r="H135" s="44"/>
      <c r="I135" s="44"/>
      <c r="J135" s="44"/>
      <c r="K135" s="44"/>
      <c r="L135" s="44"/>
      <c r="M135" s="44"/>
      <c r="N135" s="44"/>
      <c r="O135" s="44" t="s">
        <v>302</v>
      </c>
    </row>
    <row r="136" spans="1:15" ht="28.5" x14ac:dyDescent="0.2">
      <c r="A136" s="43" t="s">
        <v>12</v>
      </c>
      <c r="B136" s="43" t="s">
        <v>14</v>
      </c>
      <c r="C136" s="44" t="s">
        <v>701</v>
      </c>
      <c r="D136" s="20" t="s">
        <v>700</v>
      </c>
      <c r="E136" s="44"/>
      <c r="F136" s="44" t="s">
        <v>219</v>
      </c>
      <c r="G136" s="44">
        <v>5</v>
      </c>
      <c r="H136" s="44"/>
      <c r="I136" s="44">
        <v>115200</v>
      </c>
      <c r="J136" s="44">
        <v>115200</v>
      </c>
      <c r="K136" s="44"/>
      <c r="L136" s="44"/>
      <c r="M136" s="44"/>
      <c r="N136" s="44"/>
      <c r="O136" s="44" t="s">
        <v>302</v>
      </c>
    </row>
    <row r="137" spans="1:15" ht="15" x14ac:dyDescent="0.2">
      <c r="A137" s="43" t="s">
        <v>12</v>
      </c>
      <c r="B137" s="43" t="s">
        <v>14</v>
      </c>
      <c r="C137" s="44" t="s">
        <v>265</v>
      </c>
      <c r="D137" s="20" t="s">
        <v>266</v>
      </c>
      <c r="E137" s="44" t="s">
        <v>70</v>
      </c>
      <c r="F137" s="44" t="s">
        <v>267</v>
      </c>
      <c r="G137" s="44">
        <v>8</v>
      </c>
      <c r="H137" s="44"/>
      <c r="I137" s="44">
        <v>115200</v>
      </c>
      <c r="J137" s="44">
        <v>115200</v>
      </c>
      <c r="K137" s="44"/>
      <c r="L137" s="44"/>
      <c r="M137" s="44"/>
      <c r="N137" s="44"/>
      <c r="O137" s="44" t="s">
        <v>268</v>
      </c>
    </row>
    <row r="138" spans="1:15" ht="15" x14ac:dyDescent="0.2">
      <c r="A138" s="43" t="s">
        <v>12</v>
      </c>
      <c r="B138" s="43" t="s">
        <v>14</v>
      </c>
      <c r="C138" s="44" t="s">
        <v>857</v>
      </c>
      <c r="D138" s="20" t="s">
        <v>858</v>
      </c>
      <c r="E138" s="44" t="s">
        <v>70</v>
      </c>
      <c r="F138" s="44" t="s">
        <v>267</v>
      </c>
      <c r="G138" s="44">
        <v>5</v>
      </c>
      <c r="H138" s="44"/>
      <c r="I138" s="44">
        <v>57600</v>
      </c>
      <c r="J138" s="44">
        <v>57600</v>
      </c>
      <c r="K138" s="44"/>
      <c r="L138" s="44"/>
      <c r="M138" s="44"/>
      <c r="N138" s="44"/>
      <c r="O138" s="44" t="s">
        <v>96</v>
      </c>
    </row>
    <row r="139" spans="1:15" ht="28.5" x14ac:dyDescent="0.2">
      <c r="A139" s="43" t="s">
        <v>12</v>
      </c>
      <c r="B139" s="43" t="s">
        <v>14</v>
      </c>
      <c r="C139" s="44" t="s">
        <v>806</v>
      </c>
      <c r="D139" s="20" t="s">
        <v>805</v>
      </c>
      <c r="E139" s="44" t="s">
        <v>70</v>
      </c>
      <c r="F139" s="44" t="s">
        <v>267</v>
      </c>
      <c r="G139" s="44">
        <v>8</v>
      </c>
      <c r="H139" s="44"/>
      <c r="I139" s="44">
        <v>86400</v>
      </c>
      <c r="J139" s="44">
        <v>86400</v>
      </c>
      <c r="K139" s="44"/>
      <c r="L139" s="44"/>
      <c r="M139" s="44"/>
      <c r="N139" s="44"/>
      <c r="O139" s="44" t="s">
        <v>96</v>
      </c>
    </row>
    <row r="140" spans="1:15" ht="15" x14ac:dyDescent="0.2">
      <c r="A140" s="43" t="s">
        <v>12</v>
      </c>
      <c r="B140" s="43" t="s">
        <v>14</v>
      </c>
      <c r="C140" s="44" t="s">
        <v>804</v>
      </c>
      <c r="D140" s="20" t="s">
        <v>803</v>
      </c>
      <c r="E140" s="44" t="s">
        <v>70</v>
      </c>
      <c r="F140" s="44" t="s">
        <v>267</v>
      </c>
      <c r="G140" s="44">
        <v>8</v>
      </c>
      <c r="H140" s="44"/>
      <c r="I140" s="44">
        <v>136800</v>
      </c>
      <c r="J140" s="44">
        <v>136800</v>
      </c>
      <c r="K140" s="44"/>
      <c r="L140" s="44"/>
      <c r="M140" s="44"/>
      <c r="N140" s="44"/>
      <c r="O140" s="44"/>
    </row>
    <row r="141" spans="1:15" ht="28.5" x14ac:dyDescent="0.2">
      <c r="A141" s="43" t="s">
        <v>12</v>
      </c>
      <c r="B141" s="43" t="s">
        <v>14</v>
      </c>
      <c r="C141" s="44" t="s">
        <v>798</v>
      </c>
      <c r="D141" s="20" t="s">
        <v>797</v>
      </c>
      <c r="E141" s="44" t="s">
        <v>70</v>
      </c>
      <c r="F141" s="44" t="s">
        <v>267</v>
      </c>
      <c r="G141" s="44">
        <v>3</v>
      </c>
      <c r="H141" s="44"/>
      <c r="I141" s="44">
        <v>28800</v>
      </c>
      <c r="J141" s="44">
        <v>28800</v>
      </c>
      <c r="K141" s="44"/>
      <c r="L141" s="44"/>
      <c r="M141" s="44"/>
      <c r="N141" s="44"/>
      <c r="O141" s="44" t="s">
        <v>796</v>
      </c>
    </row>
    <row r="142" spans="1:15" ht="28.5" x14ac:dyDescent="0.2">
      <c r="A142" s="43" t="s">
        <v>12</v>
      </c>
      <c r="B142" s="43" t="s">
        <v>14</v>
      </c>
      <c r="C142" s="44" t="s">
        <v>687</v>
      </c>
      <c r="D142" s="20" t="s">
        <v>686</v>
      </c>
      <c r="E142" s="44"/>
      <c r="F142" s="44" t="s">
        <v>291</v>
      </c>
      <c r="G142" s="44"/>
      <c r="H142" s="44"/>
      <c r="I142" s="44"/>
      <c r="J142" s="44"/>
      <c r="K142" s="44"/>
      <c r="L142" s="44"/>
      <c r="M142" s="44"/>
      <c r="N142" s="44"/>
      <c r="O142" s="44" t="s">
        <v>859</v>
      </c>
    </row>
    <row r="143" spans="1:15" ht="15" x14ac:dyDescent="0.2">
      <c r="A143" s="43" t="s">
        <v>12</v>
      </c>
      <c r="B143" s="43" t="s">
        <v>14</v>
      </c>
      <c r="C143" s="44" t="s">
        <v>726</v>
      </c>
      <c r="D143" s="20" t="s">
        <v>725</v>
      </c>
      <c r="E143" s="44"/>
      <c r="F143" s="44" t="s">
        <v>291</v>
      </c>
      <c r="G143" s="44"/>
      <c r="H143" s="44"/>
      <c r="I143" s="44"/>
      <c r="J143" s="44"/>
      <c r="K143" s="44"/>
      <c r="L143" s="44"/>
      <c r="M143" s="44"/>
      <c r="N143" s="44"/>
      <c r="O143" s="44" t="s">
        <v>724</v>
      </c>
    </row>
    <row r="144" spans="1:15" ht="28.5" x14ac:dyDescent="0.2">
      <c r="A144" s="43" t="s">
        <v>12</v>
      </c>
      <c r="B144" s="43" t="s">
        <v>14</v>
      </c>
      <c r="C144" s="44" t="s">
        <v>721</v>
      </c>
      <c r="D144" s="20" t="s">
        <v>720</v>
      </c>
      <c r="E144" s="44"/>
      <c r="F144" s="44" t="s">
        <v>291</v>
      </c>
      <c r="G144" s="44"/>
      <c r="H144" s="44"/>
      <c r="I144" s="44"/>
      <c r="J144" s="44"/>
      <c r="K144" s="44"/>
      <c r="L144" s="44"/>
      <c r="M144" s="44"/>
      <c r="N144" s="44"/>
      <c r="O144" s="44"/>
    </row>
    <row r="145" spans="1:15" ht="28.5" x14ac:dyDescent="0.2">
      <c r="A145" s="43" t="s">
        <v>12</v>
      </c>
      <c r="B145" s="43" t="s">
        <v>14</v>
      </c>
      <c r="C145" s="44" t="s">
        <v>389</v>
      </c>
      <c r="D145" s="20" t="s">
        <v>390</v>
      </c>
      <c r="E145" s="44" t="s">
        <v>70</v>
      </c>
      <c r="F145" s="44"/>
      <c r="G145" s="44">
        <v>13</v>
      </c>
      <c r="H145" s="44"/>
      <c r="I145" s="44">
        <v>115200</v>
      </c>
      <c r="J145" s="44">
        <v>115200</v>
      </c>
      <c r="K145" s="44"/>
      <c r="L145" s="44"/>
      <c r="M145" s="44"/>
      <c r="N145" s="44"/>
      <c r="O145" s="44" t="s">
        <v>391</v>
      </c>
    </row>
    <row r="146" spans="1:15" ht="15" x14ac:dyDescent="0.2">
      <c r="A146" s="43" t="s">
        <v>12</v>
      </c>
      <c r="B146" s="43" t="s">
        <v>14</v>
      </c>
      <c r="C146" s="44" t="s">
        <v>326</v>
      </c>
      <c r="D146" s="20" t="s">
        <v>327</v>
      </c>
      <c r="E146" s="44" t="s">
        <v>70</v>
      </c>
      <c r="F146" s="44" t="s">
        <v>328</v>
      </c>
      <c r="G146" s="44">
        <v>13</v>
      </c>
      <c r="H146" s="44"/>
      <c r="I146" s="44">
        <v>144000</v>
      </c>
      <c r="J146" s="44">
        <v>144000</v>
      </c>
      <c r="K146" s="44"/>
      <c r="L146" s="44"/>
      <c r="M146" s="44"/>
      <c r="N146" s="44"/>
      <c r="O146" s="44" t="s">
        <v>329</v>
      </c>
    </row>
    <row r="147" spans="1:15" ht="28.5" x14ac:dyDescent="0.2">
      <c r="A147" s="43" t="s">
        <v>12</v>
      </c>
      <c r="B147" s="43" t="s">
        <v>14</v>
      </c>
      <c r="C147" s="44" t="s">
        <v>269</v>
      </c>
      <c r="D147" s="20" t="s">
        <v>270</v>
      </c>
      <c r="E147" s="44" t="s">
        <v>70</v>
      </c>
      <c r="F147" s="44" t="s">
        <v>267</v>
      </c>
      <c r="G147" s="44">
        <v>8</v>
      </c>
      <c r="H147" s="44"/>
      <c r="I147" s="44">
        <v>122400</v>
      </c>
      <c r="J147" s="44">
        <v>122400</v>
      </c>
      <c r="K147" s="44"/>
      <c r="L147" s="44"/>
      <c r="M147" s="44"/>
      <c r="N147" s="44"/>
      <c r="O147" s="44"/>
    </row>
    <row r="148" spans="1:15" ht="57" x14ac:dyDescent="0.2">
      <c r="A148" s="43" t="s">
        <v>12</v>
      </c>
      <c r="B148" s="43" t="s">
        <v>14</v>
      </c>
      <c r="C148" s="44" t="s">
        <v>146</v>
      </c>
      <c r="D148" s="20" t="s">
        <v>147</v>
      </c>
      <c r="E148" s="44" t="s">
        <v>70</v>
      </c>
      <c r="F148" s="44" t="s">
        <v>148</v>
      </c>
      <c r="G148" s="44">
        <v>5</v>
      </c>
      <c r="H148" s="44"/>
      <c r="I148" s="44"/>
      <c r="J148" s="44"/>
      <c r="K148" s="44"/>
      <c r="L148" s="44"/>
      <c r="M148" s="44"/>
      <c r="N148" s="44"/>
      <c r="O148" s="44" t="s">
        <v>149</v>
      </c>
    </row>
    <row r="149" spans="1:15" ht="28.5" x14ac:dyDescent="0.2">
      <c r="A149" s="43" t="s">
        <v>12</v>
      </c>
      <c r="B149" s="43" t="s">
        <v>14</v>
      </c>
      <c r="C149" s="44" t="s">
        <v>689</v>
      </c>
      <c r="D149" s="20" t="s">
        <v>688</v>
      </c>
      <c r="E149" s="44"/>
      <c r="F149" s="44" t="s">
        <v>219</v>
      </c>
      <c r="G149" s="44"/>
      <c r="H149" s="44"/>
      <c r="I149" s="44">
        <v>145560</v>
      </c>
      <c r="J149" s="44">
        <v>145560</v>
      </c>
      <c r="K149" s="44"/>
      <c r="L149" s="44"/>
      <c r="M149" s="44"/>
      <c r="N149" s="44"/>
      <c r="O149" s="44" t="s">
        <v>310</v>
      </c>
    </row>
    <row r="150" spans="1:15" ht="28.5" x14ac:dyDescent="0.2">
      <c r="A150" s="43" t="s">
        <v>12</v>
      </c>
      <c r="B150" s="43" t="s">
        <v>14</v>
      </c>
      <c r="C150" s="44" t="s">
        <v>812</v>
      </c>
      <c r="D150" s="20" t="s">
        <v>811</v>
      </c>
      <c r="E150" s="44"/>
      <c r="F150" s="44" t="s">
        <v>71</v>
      </c>
      <c r="G150" s="44">
        <v>13</v>
      </c>
      <c r="H150" s="44"/>
      <c r="I150" s="44"/>
      <c r="J150" s="44"/>
      <c r="K150" s="44"/>
      <c r="L150" s="44"/>
      <c r="M150" s="44"/>
      <c r="N150" s="44"/>
      <c r="O150" s="44" t="s">
        <v>69</v>
      </c>
    </row>
    <row r="151" spans="1:15" ht="28.5" x14ac:dyDescent="0.2">
      <c r="A151" s="43" t="s">
        <v>12</v>
      </c>
      <c r="B151" s="43" t="s">
        <v>14</v>
      </c>
      <c r="C151" s="44" t="s">
        <v>823</v>
      </c>
      <c r="D151" s="20" t="s">
        <v>822</v>
      </c>
      <c r="E151" s="44"/>
      <c r="F151" s="44" t="s">
        <v>219</v>
      </c>
      <c r="G151" s="44"/>
      <c r="H151" s="44"/>
      <c r="I151" s="44">
        <v>57600</v>
      </c>
      <c r="J151" s="44">
        <v>57600</v>
      </c>
      <c r="K151" s="44"/>
      <c r="L151" s="44"/>
      <c r="M151" s="44"/>
      <c r="N151" s="44"/>
      <c r="O151" s="44" t="s">
        <v>290</v>
      </c>
    </row>
    <row r="152" spans="1:15" ht="28.5" x14ac:dyDescent="0.2">
      <c r="A152" s="43" t="s">
        <v>12</v>
      </c>
      <c r="B152" s="43" t="s">
        <v>14</v>
      </c>
      <c r="C152" s="44" t="s">
        <v>829</v>
      </c>
      <c r="D152" s="20" t="s">
        <v>828</v>
      </c>
      <c r="E152" s="44"/>
      <c r="F152" s="44" t="s">
        <v>291</v>
      </c>
      <c r="G152" s="44">
        <v>5</v>
      </c>
      <c r="H152" s="44"/>
      <c r="I152" s="44">
        <v>86400</v>
      </c>
      <c r="J152" s="44">
        <v>86400</v>
      </c>
      <c r="K152" s="44"/>
      <c r="L152" s="44"/>
      <c r="M152" s="44"/>
      <c r="N152" s="44"/>
      <c r="O152" s="44"/>
    </row>
    <row r="153" spans="1:15" ht="28.5" x14ac:dyDescent="0.2">
      <c r="A153" s="43" t="s">
        <v>12</v>
      </c>
      <c r="B153" s="43" t="s">
        <v>14</v>
      </c>
      <c r="C153" s="44" t="s">
        <v>719</v>
      </c>
      <c r="D153" s="20" t="s">
        <v>718</v>
      </c>
      <c r="E153" s="44"/>
      <c r="F153" s="44" t="s">
        <v>291</v>
      </c>
      <c r="G153" s="44">
        <v>5</v>
      </c>
      <c r="H153" s="44"/>
      <c r="I153" s="44"/>
      <c r="J153" s="44"/>
      <c r="K153" s="44"/>
      <c r="L153" s="44"/>
      <c r="M153" s="44"/>
      <c r="N153" s="44"/>
      <c r="O153" s="44" t="s">
        <v>299</v>
      </c>
    </row>
    <row r="154" spans="1:15" ht="15" x14ac:dyDescent="0.2">
      <c r="A154" s="43" t="s">
        <v>12</v>
      </c>
      <c r="B154" s="43" t="s">
        <v>13</v>
      </c>
      <c r="C154" s="44" t="s">
        <v>381</v>
      </c>
      <c r="D154" s="20" t="s">
        <v>382</v>
      </c>
      <c r="E154" s="44" t="s">
        <v>70</v>
      </c>
      <c r="F154" s="44"/>
      <c r="G154" s="44"/>
      <c r="H154" s="44"/>
      <c r="I154" s="44"/>
      <c r="J154" s="44"/>
      <c r="K154" s="44"/>
      <c r="L154" s="44"/>
      <c r="M154" s="44"/>
      <c r="N154" s="44"/>
      <c r="O154" s="44" t="s">
        <v>383</v>
      </c>
    </row>
    <row r="155" spans="1:15" ht="28.5" x14ac:dyDescent="0.2">
      <c r="A155" s="43" t="s">
        <v>12</v>
      </c>
      <c r="B155" s="43" t="s">
        <v>13</v>
      </c>
      <c r="C155" s="44" t="s">
        <v>531</v>
      </c>
      <c r="D155" s="20" t="s">
        <v>530</v>
      </c>
      <c r="E155" s="44" t="s">
        <v>442</v>
      </c>
      <c r="F155" s="44" t="s">
        <v>277</v>
      </c>
      <c r="G155" s="44"/>
      <c r="H155" s="44"/>
      <c r="I155" s="44">
        <v>43200</v>
      </c>
      <c r="J155" s="44">
        <v>43200</v>
      </c>
      <c r="K155" s="44"/>
      <c r="L155" s="44"/>
      <c r="M155" s="44"/>
      <c r="N155" s="44"/>
      <c r="O155" s="44"/>
    </row>
    <row r="156" spans="1:15" ht="28.5" x14ac:dyDescent="0.2">
      <c r="A156" s="43" t="s">
        <v>12</v>
      </c>
      <c r="B156" s="43" t="s">
        <v>13</v>
      </c>
      <c r="C156" s="44" t="s">
        <v>802</v>
      </c>
      <c r="D156" s="20" t="s">
        <v>801</v>
      </c>
      <c r="E156" s="44" t="s">
        <v>70</v>
      </c>
      <c r="F156" s="44" t="s">
        <v>267</v>
      </c>
      <c r="G156" s="44">
        <v>8</v>
      </c>
      <c r="H156" s="44"/>
      <c r="I156" s="44">
        <v>180000</v>
      </c>
      <c r="J156" s="44">
        <v>180000</v>
      </c>
      <c r="K156" s="44"/>
      <c r="L156" s="44"/>
      <c r="M156" s="44"/>
      <c r="N156" s="44"/>
      <c r="O156" s="44" t="s">
        <v>96</v>
      </c>
    </row>
    <row r="157" spans="1:15" ht="28.5" x14ac:dyDescent="0.2">
      <c r="A157" s="43" t="s">
        <v>12</v>
      </c>
      <c r="B157" s="43" t="s">
        <v>13</v>
      </c>
      <c r="C157" s="44" t="s">
        <v>800</v>
      </c>
      <c r="D157" s="20" t="s">
        <v>799</v>
      </c>
      <c r="E157" s="44" t="s">
        <v>70</v>
      </c>
      <c r="F157" s="44" t="s">
        <v>267</v>
      </c>
      <c r="G157" s="44">
        <v>3</v>
      </c>
      <c r="H157" s="44"/>
      <c r="I157" s="44">
        <v>28800</v>
      </c>
      <c r="J157" s="44">
        <v>28800</v>
      </c>
      <c r="K157" s="44"/>
      <c r="L157" s="44"/>
      <c r="M157" s="44"/>
      <c r="N157" s="44"/>
      <c r="O157" s="44" t="s">
        <v>796</v>
      </c>
    </row>
    <row r="158" spans="1:15" ht="15" x14ac:dyDescent="0.2">
      <c r="A158" s="43" t="s">
        <v>12</v>
      </c>
      <c r="B158" s="43" t="s">
        <v>13</v>
      </c>
      <c r="C158" s="44" t="s">
        <v>728</v>
      </c>
      <c r="D158" s="20" t="s">
        <v>727</v>
      </c>
      <c r="E158" s="44"/>
      <c r="F158" s="44" t="s">
        <v>291</v>
      </c>
      <c r="G158" s="44"/>
      <c r="H158" s="44"/>
      <c r="I158" s="44"/>
      <c r="J158" s="44"/>
      <c r="K158" s="44"/>
      <c r="L158" s="44"/>
      <c r="M158" s="44"/>
      <c r="N158" s="44"/>
      <c r="O158" s="44" t="s">
        <v>724</v>
      </c>
    </row>
    <row r="159" spans="1:15" ht="28.5" x14ac:dyDescent="0.2">
      <c r="A159" s="43" t="s">
        <v>12</v>
      </c>
      <c r="B159" s="43" t="s">
        <v>13</v>
      </c>
      <c r="C159" s="44" t="s">
        <v>723</v>
      </c>
      <c r="D159" s="20" t="s">
        <v>722</v>
      </c>
      <c r="E159" s="44"/>
      <c r="F159" s="44" t="s">
        <v>291</v>
      </c>
      <c r="G159" s="44"/>
      <c r="H159" s="44"/>
      <c r="I159" s="44"/>
      <c r="J159" s="44"/>
      <c r="K159" s="44"/>
      <c r="L159" s="44"/>
      <c r="M159" s="44"/>
      <c r="N159" s="44"/>
      <c r="O159" s="44" t="s">
        <v>299</v>
      </c>
    </row>
    <row r="160" spans="1:15" ht="15" x14ac:dyDescent="0.2">
      <c r="A160" s="43" t="s">
        <v>12</v>
      </c>
      <c r="B160" s="43" t="s">
        <v>13</v>
      </c>
      <c r="C160" s="44" t="s">
        <v>793</v>
      </c>
      <c r="D160" s="20" t="s">
        <v>792</v>
      </c>
      <c r="E160" s="44"/>
      <c r="F160" s="44" t="s">
        <v>291</v>
      </c>
      <c r="G160" s="44"/>
      <c r="H160" s="44"/>
      <c r="I160" s="44"/>
      <c r="J160" s="44"/>
      <c r="K160" s="44"/>
      <c r="L160" s="44"/>
      <c r="M160" s="44"/>
      <c r="N160" s="44"/>
      <c r="O160" s="44"/>
    </row>
    <row r="161" spans="1:15" ht="15" x14ac:dyDescent="0.2">
      <c r="A161" s="43" t="s">
        <v>12</v>
      </c>
      <c r="B161" s="43" t="s">
        <v>13</v>
      </c>
      <c r="C161" s="44" t="s">
        <v>795</v>
      </c>
      <c r="D161" s="20" t="s">
        <v>794</v>
      </c>
      <c r="E161" s="44"/>
      <c r="F161" s="44" t="s">
        <v>291</v>
      </c>
      <c r="G161" s="44"/>
      <c r="H161" s="44"/>
      <c r="I161" s="44"/>
      <c r="J161" s="44"/>
      <c r="K161" s="44"/>
      <c r="L161" s="44"/>
      <c r="M161" s="44"/>
      <c r="N161" s="44"/>
      <c r="O161" s="44"/>
    </row>
    <row r="162" spans="1:15" ht="28.5" x14ac:dyDescent="0.2">
      <c r="A162" s="43" t="s">
        <v>12</v>
      </c>
      <c r="B162" s="43" t="s">
        <v>13</v>
      </c>
      <c r="C162" s="44" t="s">
        <v>685</v>
      </c>
      <c r="D162" s="20" t="s">
        <v>684</v>
      </c>
      <c r="E162" s="44"/>
      <c r="F162" s="44" t="s">
        <v>291</v>
      </c>
      <c r="G162" s="44">
        <v>5</v>
      </c>
      <c r="H162" s="44"/>
      <c r="I162" s="44"/>
      <c r="J162" s="44"/>
      <c r="K162" s="44"/>
      <c r="L162" s="44"/>
      <c r="M162" s="44"/>
      <c r="N162" s="44"/>
      <c r="O162" s="44" t="s">
        <v>294</v>
      </c>
    </row>
    <row r="163" spans="1:15" ht="28.5" x14ac:dyDescent="0.2">
      <c r="A163" s="43" t="s">
        <v>12</v>
      </c>
      <c r="B163" s="43" t="s">
        <v>13</v>
      </c>
      <c r="C163" s="44" t="s">
        <v>717</v>
      </c>
      <c r="D163" s="20" t="s">
        <v>716</v>
      </c>
      <c r="E163" s="44"/>
      <c r="F163" s="44" t="s">
        <v>219</v>
      </c>
      <c r="G163" s="44"/>
      <c r="H163" s="44"/>
      <c r="I163" s="44"/>
      <c r="J163" s="44"/>
      <c r="K163" s="44"/>
      <c r="L163" s="44"/>
      <c r="M163" s="44"/>
      <c r="N163" s="44"/>
      <c r="O163" s="44"/>
    </row>
    <row r="164" spans="1:15" ht="42.75" x14ac:dyDescent="0.2">
      <c r="A164" s="43" t="s">
        <v>12</v>
      </c>
      <c r="B164" s="43" t="s">
        <v>13</v>
      </c>
      <c r="C164" s="44" t="s">
        <v>791</v>
      </c>
      <c r="D164" s="20" t="s">
        <v>790</v>
      </c>
      <c r="E164" s="44"/>
      <c r="F164" s="44" t="s">
        <v>291</v>
      </c>
      <c r="G164" s="44">
        <v>5</v>
      </c>
      <c r="H164" s="44"/>
      <c r="I164" s="44"/>
      <c r="J164" s="44"/>
      <c r="K164" s="44"/>
      <c r="L164" s="44"/>
      <c r="M164" s="44"/>
      <c r="N164" s="44"/>
      <c r="O164" s="44" t="s">
        <v>789</v>
      </c>
    </row>
    <row r="165" spans="1:15" ht="28.5" x14ac:dyDescent="0.2">
      <c r="A165" s="43" t="s">
        <v>12</v>
      </c>
      <c r="B165" s="43" t="s">
        <v>13</v>
      </c>
      <c r="C165" s="44" t="s">
        <v>827</v>
      </c>
      <c r="D165" s="20" t="s">
        <v>826</v>
      </c>
      <c r="E165" s="44"/>
      <c r="F165" s="44" t="s">
        <v>219</v>
      </c>
      <c r="G165" s="44">
        <v>8</v>
      </c>
      <c r="H165" s="44"/>
      <c r="I165" s="44"/>
      <c r="J165" s="44"/>
      <c r="K165" s="44"/>
      <c r="L165" s="44"/>
      <c r="M165" s="44"/>
      <c r="N165" s="44"/>
      <c r="O165" s="44" t="s">
        <v>69</v>
      </c>
    </row>
    <row r="166" spans="1:15" ht="15" x14ac:dyDescent="0.2">
      <c r="A166" s="43" t="s">
        <v>12</v>
      </c>
      <c r="B166" s="43" t="s">
        <v>13</v>
      </c>
      <c r="C166" s="44" t="s">
        <v>683</v>
      </c>
      <c r="D166" s="20" t="s">
        <v>682</v>
      </c>
      <c r="E166" s="44"/>
      <c r="F166" s="44" t="s">
        <v>291</v>
      </c>
      <c r="G166" s="44">
        <v>5</v>
      </c>
      <c r="H166" s="44"/>
      <c r="I166" s="44"/>
      <c r="J166" s="44"/>
      <c r="K166" s="44"/>
      <c r="L166" s="44"/>
      <c r="M166" s="44"/>
      <c r="N166" s="44"/>
      <c r="O166" s="44" t="s">
        <v>299</v>
      </c>
    </row>
    <row r="167" spans="1:15" ht="28.5" x14ac:dyDescent="0.2">
      <c r="A167" s="43" t="s">
        <v>12</v>
      </c>
      <c r="B167" s="43" t="s">
        <v>13</v>
      </c>
      <c r="C167" s="44" t="s">
        <v>663</v>
      </c>
      <c r="D167" s="20" t="s">
        <v>662</v>
      </c>
      <c r="E167" s="44"/>
      <c r="F167" s="44" t="s">
        <v>291</v>
      </c>
      <c r="G167" s="44">
        <v>3</v>
      </c>
      <c r="H167" s="44"/>
      <c r="I167" s="44"/>
      <c r="J167" s="44"/>
      <c r="K167" s="44"/>
      <c r="L167" s="44"/>
      <c r="M167" s="44"/>
      <c r="N167" s="44"/>
      <c r="O167" s="44" t="s">
        <v>661</v>
      </c>
    </row>
    <row r="168" spans="1:15" ht="28.5" x14ac:dyDescent="0.2">
      <c r="A168" s="43" t="s">
        <v>12</v>
      </c>
      <c r="B168" s="43" t="s">
        <v>13</v>
      </c>
      <c r="C168" s="44" t="s">
        <v>660</v>
      </c>
      <c r="D168" s="20" t="s">
        <v>659</v>
      </c>
      <c r="E168" s="44"/>
      <c r="F168" s="44" t="s">
        <v>291</v>
      </c>
      <c r="G168" s="44">
        <v>5</v>
      </c>
      <c r="H168" s="44"/>
      <c r="I168" s="44"/>
      <c r="J168" s="44"/>
      <c r="K168" s="44"/>
      <c r="L168" s="44"/>
      <c r="M168" s="44"/>
      <c r="N168" s="44"/>
      <c r="O168" s="44"/>
    </row>
    <row r="169" spans="1:15" ht="42.75" x14ac:dyDescent="0.2">
      <c r="A169" s="43" t="s">
        <v>12</v>
      </c>
      <c r="B169" s="43" t="s">
        <v>13</v>
      </c>
      <c r="C169" s="44" t="s">
        <v>740</v>
      </c>
      <c r="D169" s="20" t="s">
        <v>739</v>
      </c>
      <c r="E169" s="44"/>
      <c r="F169" s="44" t="s">
        <v>738</v>
      </c>
      <c r="G169" s="44">
        <v>5</v>
      </c>
      <c r="H169" s="44"/>
      <c r="I169" s="44"/>
      <c r="J169" s="44"/>
      <c r="K169" s="44"/>
      <c r="L169" s="44"/>
      <c r="M169" s="44"/>
      <c r="N169" s="44"/>
      <c r="O169" s="44" t="s">
        <v>737</v>
      </c>
    </row>
    <row r="170" spans="1:15" ht="28.5" x14ac:dyDescent="0.2">
      <c r="A170" s="43" t="s">
        <v>12</v>
      </c>
      <c r="B170" s="43" t="s">
        <v>13</v>
      </c>
      <c r="C170" s="44" t="s">
        <v>533</v>
      </c>
      <c r="D170" s="20" t="s">
        <v>532</v>
      </c>
      <c r="E170" s="44" t="s">
        <v>442</v>
      </c>
      <c r="F170" s="44"/>
      <c r="G170" s="44"/>
      <c r="H170" s="44"/>
      <c r="I170" s="44"/>
      <c r="J170" s="44"/>
      <c r="K170" s="44"/>
      <c r="L170" s="44"/>
      <c r="M170" s="44"/>
      <c r="N170" s="44"/>
      <c r="O170" s="44" t="s">
        <v>310</v>
      </c>
    </row>
    <row r="171" spans="1:15" ht="28.5" x14ac:dyDescent="0.2">
      <c r="A171" s="43" t="s">
        <v>12</v>
      </c>
      <c r="B171" s="43" t="s">
        <v>13</v>
      </c>
      <c r="C171" s="44" t="s">
        <v>247</v>
      </c>
      <c r="D171" s="20" t="s">
        <v>248</v>
      </c>
      <c r="E171" s="44" t="s">
        <v>70</v>
      </c>
      <c r="F171" s="44" t="s">
        <v>249</v>
      </c>
      <c r="G171" s="44">
        <v>8</v>
      </c>
      <c r="H171" s="44"/>
      <c r="I171" s="44"/>
      <c r="J171" s="44"/>
      <c r="K171" s="44"/>
      <c r="L171" s="44"/>
      <c r="M171" s="44"/>
      <c r="N171" s="44"/>
      <c r="O171" s="44" t="s">
        <v>250</v>
      </c>
    </row>
    <row r="172" spans="1:15" ht="28.5" x14ac:dyDescent="0.2">
      <c r="A172" s="43" t="s">
        <v>12</v>
      </c>
      <c r="B172" s="43" t="s">
        <v>13</v>
      </c>
      <c r="C172" s="44" t="s">
        <v>746</v>
      </c>
      <c r="D172" s="20" t="s">
        <v>745</v>
      </c>
      <c r="E172" s="44"/>
      <c r="F172" s="44" t="s">
        <v>744</v>
      </c>
      <c r="G172" s="44">
        <v>5</v>
      </c>
      <c r="H172" s="44"/>
      <c r="I172" s="44"/>
      <c r="J172" s="44"/>
      <c r="K172" s="44"/>
      <c r="L172" s="44"/>
      <c r="M172" s="44"/>
      <c r="N172" s="44"/>
      <c r="O172" s="44" t="s">
        <v>737</v>
      </c>
    </row>
    <row r="173" spans="1:15" ht="28.5" x14ac:dyDescent="0.2">
      <c r="A173" s="43" t="s">
        <v>12</v>
      </c>
      <c r="B173" s="43" t="s">
        <v>13</v>
      </c>
      <c r="C173" s="44" t="s">
        <v>232</v>
      </c>
      <c r="D173" s="20" t="s">
        <v>233</v>
      </c>
      <c r="E173" s="44" t="s">
        <v>70</v>
      </c>
      <c r="F173" s="44" t="s">
        <v>219</v>
      </c>
      <c r="G173" s="44">
        <v>13</v>
      </c>
      <c r="H173" s="44"/>
      <c r="I173" s="44"/>
      <c r="J173" s="44"/>
      <c r="K173" s="44"/>
      <c r="L173" s="44"/>
      <c r="M173" s="44"/>
      <c r="N173" s="44"/>
      <c r="O173" s="44" t="s">
        <v>234</v>
      </c>
    </row>
    <row r="174" spans="1:15" ht="28.5" x14ac:dyDescent="0.2">
      <c r="A174" s="43" t="s">
        <v>12</v>
      </c>
      <c r="B174" s="43" t="s">
        <v>13</v>
      </c>
      <c r="C174" s="44" t="s">
        <v>679</v>
      </c>
      <c r="D174" s="20" t="s">
        <v>678</v>
      </c>
      <c r="E174" s="44"/>
      <c r="F174" s="44" t="s">
        <v>291</v>
      </c>
      <c r="G174" s="44">
        <v>5</v>
      </c>
      <c r="H174" s="44"/>
      <c r="I174" s="44"/>
      <c r="J174" s="44"/>
      <c r="K174" s="44"/>
      <c r="L174" s="44"/>
      <c r="M174" s="44"/>
      <c r="N174" s="44"/>
      <c r="O174" s="44" t="s">
        <v>307</v>
      </c>
    </row>
    <row r="175" spans="1:15" ht="42.75" x14ac:dyDescent="0.2">
      <c r="A175" s="43" t="s">
        <v>12</v>
      </c>
      <c r="B175" s="43" t="s">
        <v>13</v>
      </c>
      <c r="C175" s="44" t="s">
        <v>162</v>
      </c>
      <c r="D175" s="20" t="s">
        <v>163</v>
      </c>
      <c r="E175" s="44" t="s">
        <v>70</v>
      </c>
      <c r="F175" s="44" t="s">
        <v>164</v>
      </c>
      <c r="G175" s="44">
        <v>8</v>
      </c>
      <c r="H175" s="44"/>
      <c r="I175" s="44">
        <v>0</v>
      </c>
      <c r="J175" s="44">
        <v>0</v>
      </c>
      <c r="K175" s="44"/>
      <c r="L175" s="44"/>
      <c r="M175" s="44"/>
      <c r="N175" s="44"/>
      <c r="O175" s="44" t="s">
        <v>159</v>
      </c>
    </row>
    <row r="176" spans="1:15" ht="42.75" x14ac:dyDescent="0.2">
      <c r="A176" s="43" t="s">
        <v>12</v>
      </c>
      <c r="B176" s="43" t="s">
        <v>13</v>
      </c>
      <c r="C176" s="44" t="s">
        <v>165</v>
      </c>
      <c r="D176" s="20" t="s">
        <v>166</v>
      </c>
      <c r="E176" s="44" t="s">
        <v>70</v>
      </c>
      <c r="F176" s="44" t="s">
        <v>164</v>
      </c>
      <c r="G176" s="44">
        <v>5</v>
      </c>
      <c r="H176" s="44"/>
      <c r="I176" s="44">
        <v>120</v>
      </c>
      <c r="J176" s="44">
        <v>120</v>
      </c>
      <c r="K176" s="44"/>
      <c r="L176" s="44"/>
      <c r="M176" s="44"/>
      <c r="N176" s="44"/>
      <c r="O176" s="44" t="s">
        <v>159</v>
      </c>
    </row>
    <row r="177" spans="1:15" ht="28.5" x14ac:dyDescent="0.2">
      <c r="A177" s="43" t="s">
        <v>12</v>
      </c>
      <c r="B177" s="43" t="s">
        <v>13</v>
      </c>
      <c r="C177" s="44" t="s">
        <v>316</v>
      </c>
      <c r="D177" s="20" t="s">
        <v>317</v>
      </c>
      <c r="E177" s="44" t="s">
        <v>70</v>
      </c>
      <c r="F177" s="44" t="s">
        <v>314</v>
      </c>
      <c r="G177" s="44">
        <v>3</v>
      </c>
      <c r="H177" s="44"/>
      <c r="I177" s="44"/>
      <c r="J177" s="44"/>
      <c r="K177" s="44"/>
      <c r="L177" s="44"/>
      <c r="M177" s="44"/>
      <c r="N177" s="44"/>
      <c r="O177" s="44" t="s">
        <v>315</v>
      </c>
    </row>
    <row r="178" spans="1:15" ht="28.5" x14ac:dyDescent="0.2">
      <c r="A178" s="43" t="s">
        <v>12</v>
      </c>
      <c r="B178" s="43" t="s">
        <v>13</v>
      </c>
      <c r="C178" s="44" t="s">
        <v>320</v>
      </c>
      <c r="D178" s="20" t="s">
        <v>321</v>
      </c>
      <c r="E178" s="44" t="s">
        <v>70</v>
      </c>
      <c r="F178" s="44" t="s">
        <v>314</v>
      </c>
      <c r="G178" s="44">
        <v>5</v>
      </c>
      <c r="H178" s="44"/>
      <c r="I178" s="44"/>
      <c r="J178" s="44"/>
      <c r="K178" s="44"/>
      <c r="L178" s="44"/>
      <c r="M178" s="44"/>
      <c r="N178" s="44"/>
      <c r="O178" s="44" t="s">
        <v>121</v>
      </c>
    </row>
    <row r="179" spans="1:15" ht="15" x14ac:dyDescent="0.2">
      <c r="A179" s="43" t="s">
        <v>12</v>
      </c>
      <c r="B179" s="43" t="s">
        <v>13</v>
      </c>
      <c r="C179" s="44" t="s">
        <v>322</v>
      </c>
      <c r="D179" s="20" t="s">
        <v>323</v>
      </c>
      <c r="E179" s="44" t="s">
        <v>70</v>
      </c>
      <c r="F179" s="44" t="s">
        <v>314</v>
      </c>
      <c r="G179" s="44">
        <v>3</v>
      </c>
      <c r="H179" s="44"/>
      <c r="I179" s="44"/>
      <c r="J179" s="44"/>
      <c r="K179" s="44"/>
      <c r="L179" s="44"/>
      <c r="M179" s="44"/>
      <c r="N179" s="44"/>
      <c r="O179" s="44" t="s">
        <v>121</v>
      </c>
    </row>
    <row r="180" spans="1:15" ht="28.5" x14ac:dyDescent="0.2">
      <c r="A180" s="43" t="s">
        <v>12</v>
      </c>
      <c r="B180" s="43" t="s">
        <v>13</v>
      </c>
      <c r="C180" s="44" t="s">
        <v>324</v>
      </c>
      <c r="D180" s="20" t="s">
        <v>325</v>
      </c>
      <c r="E180" s="44" t="s">
        <v>70</v>
      </c>
      <c r="F180" s="44" t="s">
        <v>314</v>
      </c>
      <c r="G180" s="44"/>
      <c r="H180" s="44"/>
      <c r="I180" s="44"/>
      <c r="J180" s="44"/>
      <c r="K180" s="44"/>
      <c r="L180" s="44"/>
      <c r="M180" s="44"/>
      <c r="N180" s="44"/>
      <c r="O180" s="44"/>
    </row>
    <row r="181" spans="1:15" ht="28.5" x14ac:dyDescent="0.2">
      <c r="A181" s="43" t="s">
        <v>12</v>
      </c>
      <c r="B181" s="43" t="s">
        <v>13</v>
      </c>
      <c r="C181" s="44" t="s">
        <v>241</v>
      </c>
      <c r="D181" s="20" t="s">
        <v>242</v>
      </c>
      <c r="E181" s="44" t="s">
        <v>70</v>
      </c>
      <c r="F181" s="44" t="s">
        <v>237</v>
      </c>
      <c r="G181" s="44">
        <v>13</v>
      </c>
      <c r="H181" s="44"/>
      <c r="I181" s="44"/>
      <c r="J181" s="44"/>
      <c r="K181" s="44"/>
      <c r="L181" s="44"/>
      <c r="M181" s="44"/>
      <c r="N181" s="44"/>
      <c r="O181" s="44" t="s">
        <v>129</v>
      </c>
    </row>
    <row r="182" spans="1:15" ht="28.5" x14ac:dyDescent="0.2">
      <c r="A182" s="43" t="s">
        <v>12</v>
      </c>
      <c r="B182" s="43" t="s">
        <v>13</v>
      </c>
      <c r="C182" s="44" t="s">
        <v>318</v>
      </c>
      <c r="D182" s="20" t="s">
        <v>319</v>
      </c>
      <c r="E182" s="44" t="s">
        <v>70</v>
      </c>
      <c r="F182" s="44" t="s">
        <v>314</v>
      </c>
      <c r="G182" s="44">
        <v>3</v>
      </c>
      <c r="H182" s="44"/>
      <c r="I182" s="44"/>
      <c r="J182" s="44"/>
      <c r="K182" s="44"/>
      <c r="L182" s="44"/>
      <c r="M182" s="44"/>
      <c r="N182" s="44"/>
      <c r="O182" s="44" t="s">
        <v>315</v>
      </c>
    </row>
    <row r="183" spans="1:15" ht="15" x14ac:dyDescent="0.2">
      <c r="A183" s="43" t="s">
        <v>12</v>
      </c>
      <c r="B183" s="43" t="s">
        <v>13</v>
      </c>
      <c r="C183" s="44" t="s">
        <v>312</v>
      </c>
      <c r="D183" s="20" t="s">
        <v>313</v>
      </c>
      <c r="E183" s="44" t="s">
        <v>70</v>
      </c>
      <c r="F183" s="44" t="s">
        <v>314</v>
      </c>
      <c r="G183" s="44">
        <v>1</v>
      </c>
      <c r="H183" s="44"/>
      <c r="I183" s="44"/>
      <c r="J183" s="44"/>
      <c r="K183" s="44"/>
      <c r="L183" s="44"/>
      <c r="M183" s="44"/>
      <c r="N183" s="44"/>
      <c r="O183" s="44" t="s">
        <v>315</v>
      </c>
    </row>
    <row r="184" spans="1:15" ht="28.5" x14ac:dyDescent="0.2">
      <c r="A184" s="43" t="s">
        <v>12</v>
      </c>
      <c r="B184" s="43" t="s">
        <v>13</v>
      </c>
      <c r="C184" s="44" t="s">
        <v>710</v>
      </c>
      <c r="D184" s="20" t="s">
        <v>709</v>
      </c>
      <c r="E184" s="44"/>
      <c r="F184" s="44" t="s">
        <v>219</v>
      </c>
      <c r="G184" s="44">
        <v>5</v>
      </c>
      <c r="H184" s="44"/>
      <c r="I184" s="44"/>
      <c r="J184" s="44"/>
      <c r="K184" s="44"/>
      <c r="L184" s="44"/>
      <c r="M184" s="44"/>
      <c r="N184" s="44"/>
      <c r="O184" s="44" t="s">
        <v>296</v>
      </c>
    </row>
    <row r="185" spans="1:15" ht="28.5" x14ac:dyDescent="0.2">
      <c r="A185" s="43" t="s">
        <v>12</v>
      </c>
      <c r="B185" s="43" t="s">
        <v>13</v>
      </c>
      <c r="C185" s="44" t="s">
        <v>825</v>
      </c>
      <c r="D185" s="20" t="s">
        <v>824</v>
      </c>
      <c r="E185" s="44"/>
      <c r="F185" s="44" t="s">
        <v>219</v>
      </c>
      <c r="G185" s="44"/>
      <c r="H185" s="44"/>
      <c r="I185" s="44"/>
      <c r="J185" s="44"/>
      <c r="K185" s="44"/>
      <c r="L185" s="44"/>
      <c r="M185" s="44"/>
      <c r="N185" s="44"/>
      <c r="O185" s="44" t="s">
        <v>290</v>
      </c>
    </row>
    <row r="186" spans="1:15" ht="28.5" x14ac:dyDescent="0.2">
      <c r="A186" s="43" t="s">
        <v>12</v>
      </c>
      <c r="B186" s="43" t="s">
        <v>13</v>
      </c>
      <c r="C186" s="44" t="s">
        <v>457</v>
      </c>
      <c r="D186" s="20" t="s">
        <v>456</v>
      </c>
      <c r="E186" s="44" t="s">
        <v>442</v>
      </c>
      <c r="F186" s="44" t="s">
        <v>459</v>
      </c>
      <c r="G186" s="44"/>
      <c r="H186" s="44"/>
      <c r="I186" s="44"/>
      <c r="J186" s="44"/>
      <c r="K186" s="44"/>
      <c r="L186" s="44"/>
      <c r="M186" s="44"/>
      <c r="N186" s="44"/>
      <c r="O186" s="44" t="s">
        <v>458</v>
      </c>
    </row>
    <row r="187" spans="1:15" ht="28.5" x14ac:dyDescent="0.2">
      <c r="A187" s="43" t="s">
        <v>12</v>
      </c>
      <c r="B187" s="43" t="s">
        <v>13</v>
      </c>
      <c r="C187" s="44" t="s">
        <v>490</v>
      </c>
      <c r="D187" s="20" t="s">
        <v>489</v>
      </c>
      <c r="E187" s="44" t="s">
        <v>442</v>
      </c>
      <c r="F187" s="44" t="s">
        <v>491</v>
      </c>
      <c r="G187" s="44">
        <v>10</v>
      </c>
      <c r="H187" s="44"/>
      <c r="I187" s="44"/>
      <c r="J187" s="44"/>
      <c r="K187" s="44"/>
      <c r="L187" s="44"/>
      <c r="M187" s="44"/>
      <c r="N187" s="44"/>
      <c r="O187" s="44" t="s">
        <v>173</v>
      </c>
    </row>
    <row r="188" spans="1:15" ht="42.75" x14ac:dyDescent="0.2">
      <c r="A188" s="43" t="s">
        <v>12</v>
      </c>
      <c r="B188" s="43" t="s">
        <v>13</v>
      </c>
      <c r="C188" s="44" t="s">
        <v>493</v>
      </c>
      <c r="D188" s="20" t="s">
        <v>492</v>
      </c>
      <c r="E188" s="44" t="s">
        <v>442</v>
      </c>
      <c r="F188" s="44" t="s">
        <v>464</v>
      </c>
      <c r="G188" s="44">
        <v>10</v>
      </c>
      <c r="H188" s="44"/>
      <c r="I188" s="44">
        <v>144000</v>
      </c>
      <c r="J188" s="44">
        <v>144000</v>
      </c>
      <c r="K188" s="44"/>
      <c r="L188" s="44"/>
      <c r="M188" s="44"/>
      <c r="N188" s="44"/>
      <c r="O188" s="44" t="s">
        <v>173</v>
      </c>
    </row>
    <row r="189" spans="1:15" ht="57" x14ac:dyDescent="0.2">
      <c r="A189" s="43" t="s">
        <v>12</v>
      </c>
      <c r="B189" s="43" t="s">
        <v>13</v>
      </c>
      <c r="C189" s="44" t="s">
        <v>495</v>
      </c>
      <c r="D189" s="20" t="s">
        <v>494</v>
      </c>
      <c r="E189" s="44" t="s">
        <v>442</v>
      </c>
      <c r="F189" s="44" t="s">
        <v>496</v>
      </c>
      <c r="G189" s="44">
        <v>10</v>
      </c>
      <c r="H189" s="44"/>
      <c r="I189" s="44"/>
      <c r="J189" s="44"/>
      <c r="K189" s="44"/>
      <c r="L189" s="44"/>
      <c r="M189" s="44"/>
      <c r="N189" s="44"/>
      <c r="O189" s="44" t="s">
        <v>173</v>
      </c>
    </row>
    <row r="190" spans="1:15" ht="42.75" x14ac:dyDescent="0.2">
      <c r="A190" s="43" t="s">
        <v>12</v>
      </c>
      <c r="B190" s="43" t="s">
        <v>13</v>
      </c>
      <c r="C190" s="44" t="s">
        <v>396</v>
      </c>
      <c r="D190" s="20" t="s">
        <v>397</v>
      </c>
      <c r="E190" s="44" t="s">
        <v>113</v>
      </c>
      <c r="F190" s="44"/>
      <c r="G190" s="44"/>
      <c r="H190" s="44"/>
      <c r="I190" s="44"/>
      <c r="J190" s="44"/>
      <c r="K190" s="44"/>
      <c r="L190" s="44"/>
      <c r="M190" s="44"/>
      <c r="N190" s="44"/>
      <c r="O190" s="44" t="s">
        <v>246</v>
      </c>
    </row>
    <row r="191" spans="1:15" ht="42.75" x14ac:dyDescent="0.2">
      <c r="A191" s="43" t="s">
        <v>12</v>
      </c>
      <c r="B191" s="43" t="s">
        <v>13</v>
      </c>
      <c r="C191" s="44" t="s">
        <v>512</v>
      </c>
      <c r="D191" s="20" t="s">
        <v>511</v>
      </c>
      <c r="E191" s="44" t="s">
        <v>442</v>
      </c>
      <c r="F191" s="44" t="s">
        <v>464</v>
      </c>
      <c r="G191" s="44">
        <v>8</v>
      </c>
      <c r="H191" s="44"/>
      <c r="I191" s="44"/>
      <c r="J191" s="44"/>
      <c r="K191" s="44"/>
      <c r="L191" s="44"/>
      <c r="M191" s="44"/>
      <c r="N191" s="44"/>
      <c r="O191" s="44" t="s">
        <v>510</v>
      </c>
    </row>
    <row r="192" spans="1:15" ht="42.75" x14ac:dyDescent="0.2">
      <c r="A192" s="43" t="s">
        <v>12</v>
      </c>
      <c r="B192" s="43" t="s">
        <v>13</v>
      </c>
      <c r="C192" s="44" t="s">
        <v>349</v>
      </c>
      <c r="D192" s="20" t="s">
        <v>350</v>
      </c>
      <c r="E192" s="44" t="s">
        <v>113</v>
      </c>
      <c r="F192" s="44"/>
      <c r="G192" s="44"/>
      <c r="H192" s="44"/>
      <c r="I192" s="44"/>
      <c r="J192" s="44"/>
      <c r="K192" s="44"/>
      <c r="L192" s="44"/>
      <c r="M192" s="44"/>
      <c r="N192" s="44"/>
      <c r="O192" s="44" t="s">
        <v>121</v>
      </c>
    </row>
    <row r="193" spans="1:15" ht="15" x14ac:dyDescent="0.2">
      <c r="A193" s="43" t="s">
        <v>12</v>
      </c>
      <c r="B193" s="43" t="s">
        <v>13</v>
      </c>
      <c r="C193" s="44" t="s">
        <v>461</v>
      </c>
      <c r="D193" s="20" t="s">
        <v>460</v>
      </c>
      <c r="E193" s="44" t="s">
        <v>442</v>
      </c>
      <c r="F193" s="44"/>
      <c r="G193" s="44"/>
      <c r="H193" s="44"/>
      <c r="I193" s="44"/>
      <c r="J193" s="44"/>
      <c r="K193" s="44"/>
      <c r="L193" s="44"/>
      <c r="M193" s="44"/>
      <c r="N193" s="44"/>
      <c r="O193" s="44" t="s">
        <v>121</v>
      </c>
    </row>
    <row r="194" spans="1:15" ht="42.75" x14ac:dyDescent="0.2">
      <c r="A194" s="43" t="s">
        <v>12</v>
      </c>
      <c r="B194" s="43" t="s">
        <v>13</v>
      </c>
      <c r="C194" s="44" t="s">
        <v>346</v>
      </c>
      <c r="D194" s="20" t="s">
        <v>347</v>
      </c>
      <c r="E194" s="44" t="s">
        <v>113</v>
      </c>
      <c r="F194" s="44"/>
      <c r="G194" s="44"/>
      <c r="H194" s="44"/>
      <c r="I194" s="44"/>
      <c r="J194" s="44"/>
      <c r="K194" s="44"/>
      <c r="L194" s="44"/>
      <c r="M194" s="44"/>
      <c r="N194" s="44"/>
      <c r="O194" s="44" t="s">
        <v>348</v>
      </c>
    </row>
    <row r="195" spans="1:15" ht="15" x14ac:dyDescent="0.2">
      <c r="A195" s="43" t="s">
        <v>12</v>
      </c>
      <c r="B195" s="43" t="s">
        <v>13</v>
      </c>
      <c r="C195" s="44" t="s">
        <v>282</v>
      </c>
      <c r="D195" s="20" t="s">
        <v>658</v>
      </c>
      <c r="E195" s="44"/>
      <c r="F195" s="44" t="s">
        <v>291</v>
      </c>
      <c r="G195" s="44">
        <v>8</v>
      </c>
      <c r="H195" s="44"/>
      <c r="I195" s="44">
        <v>288000</v>
      </c>
      <c r="J195" s="44">
        <v>288000</v>
      </c>
      <c r="K195" s="44"/>
      <c r="L195" s="44"/>
      <c r="M195" s="44"/>
      <c r="N195" s="44"/>
      <c r="O195" s="44" t="s">
        <v>283</v>
      </c>
    </row>
    <row r="196" spans="1:15" x14ac:dyDescent="0.2">
      <c r="A196" s="91" t="s">
        <v>860</v>
      </c>
      <c r="B196" s="92"/>
      <c r="C196" s="92"/>
      <c r="D196" s="92"/>
      <c r="E196" s="92"/>
      <c r="F196" s="92"/>
      <c r="G196" s="92"/>
      <c r="H196" s="92"/>
      <c r="I196" s="92"/>
      <c r="J196" s="92"/>
      <c r="K196" s="92"/>
      <c r="L196" s="92"/>
      <c r="M196" s="92"/>
      <c r="N196" s="92"/>
      <c r="O196" s="93"/>
    </row>
  </sheetData>
  <mergeCells count="4">
    <mergeCell ref="A1:O1"/>
    <mergeCell ref="A2:O2"/>
    <mergeCell ref="A3:O3"/>
    <mergeCell ref="A196:O196"/>
  </mergeCells>
  <hyperlinks>
    <hyperlink ref="A2" r:id="rId1" display="https://webgate.ec.europa.eu/CITnet/jira/issues/?jql=issuetype+in+%28Story%29+AND+project+in+%28COMPCORP%2C+CCADMIN%2C+CCARCHITEC%2C+CCDOCLIST%2C+ECKL%2C+CCINFRAEC%2C+INTERCOM%2C+CCPMO%2C+PFM%2C+PROCESS%2C+CCTASK%2C+TSKACTION%2C+WAVECC%2C+COMPASS%29+AND+%28fixversion+in+%28COMPCORP-PI4%2C+COMPCORP-PI3%2C+COMPCORP-PI2%2C+COMPCORP-PI1%29+OR+sprint+in+%28%22CC+Process+Centre+PI4+It1%22%2C+%22CC+Portfolio+Manager+PI4+It1%22%2C+%22Comp+Corp+RTD+PI4+It1%22%2C+%22Comp+Corp+REGIO+PI4+It1%22%2C+%22EC+eUI+My+Workplace+PI9+It1%22%2C+COMCORP-PMO-4.1%2C+%22CC+Process+Centre+PI4+It2%22%2C+%22CC+Portfolio+Manager+PI4+It2%22%2C+%22Comp+Corp+RTD+PI4+It2%22%2C+%22Comp+Corp+REGIO+PI4+It2%22%2C+%22EC+eUI+My+Workplace+PI9+It2%22%2C+COMCORP-PMO-4.2%2C+%22CC+Process+Centre+PI4+It3%22%2C+%22CC+Portfolio+Manager+PI4+It3%22%2C+%22Comp+Corp+RTD+PI4+It3%22%2C+%22Comp+Corp+REGIO+PI4+It3%22%2C+%22EC+eUI+My+Workplace+PI9+It3%22%2C+%22CC+Process+Centre+PI4+It4%22%2C+%22CC+Portfolio+Manager+PI4+It4%22%2C+%22Comp+Corp+RTD+PI4+It4%22%2C+%22Comp+Corp+REGIO+PI4+It4%22%2C+%22EC+eUI+My+Workplace+PI9+It4%22%2C+%22CC+Process+Centre+PI4+It5%22%2C+%22CC+Portfolio+Manager+PI4+It5%22%2C+%22Comp+Corp+RTD+PI4+It5%22%2C+%22Comp+Corp+REGIO+PI4+It5%22%2C+%22EC+eUI+My+Workplace+PI9+It5%22%29%29+ORDER+BY+status+DESC"/>
    <hyperlink ref="D5" r:id="rId2" display="https://webgate.ec.europa.eu/CITnet/jira/browse/COMPASS-277"/>
    <hyperlink ref="D6" r:id="rId3" display="https://webgate.ec.europa.eu/CITnet/jira/browse/COMPASS-278"/>
    <hyperlink ref="D7" r:id="rId4" display="https://webgate.ec.europa.eu/CITnet/jira/browse/COMPASS-276"/>
    <hyperlink ref="D8" r:id="rId5" display="https://webgate.ec.europa.eu/CITnet/jira/browse/COMPASS-279"/>
    <hyperlink ref="D9" r:id="rId6" display="https://webgate.ec.europa.eu/CITnet/jira/browse/PROCESS-124"/>
    <hyperlink ref="D10" r:id="rId7" display="https://webgate.ec.europa.eu/CITnet/jira/browse/CCDOCLIST-169"/>
    <hyperlink ref="D11" r:id="rId8" display="https://webgate.ec.europa.eu/CITnet/jira/browse/CCDOCLIST-167"/>
    <hyperlink ref="D12" r:id="rId9" display="https://webgate.ec.europa.eu/CITnet/jira/browse/COMPASS-244"/>
    <hyperlink ref="D13" r:id="rId10" display="https://webgate.ec.europa.eu/CITnet/jira/browse/COMPASS-245"/>
    <hyperlink ref="D14" r:id="rId11" display="https://webgate.ec.europa.eu/CITnet/jira/browse/COMPASS-246"/>
    <hyperlink ref="D15" r:id="rId12" display="https://webgate.ec.europa.eu/CITnet/jira/browse/COMPASS-243"/>
    <hyperlink ref="D16" r:id="rId13" display="https://webgate.ec.europa.eu/CITnet/jira/browse/COMPASS-242"/>
    <hyperlink ref="D17" r:id="rId14" display="https://webgate.ec.europa.eu/CITnet/jira/browse/COMPASS-241"/>
    <hyperlink ref="D18" r:id="rId15" display="https://webgate.ec.europa.eu/CITnet/jira/browse/COMPASS-240"/>
    <hyperlink ref="D19" r:id="rId16" display="https://webgate.ec.europa.eu/CITnet/jira/browse/COMPASS-247"/>
    <hyperlink ref="D20" r:id="rId17" display="https://webgate.ec.europa.eu/CITnet/jira/browse/COMPASS-248"/>
    <hyperlink ref="D21" r:id="rId18" display="https://webgate.ec.europa.eu/CITnet/jira/browse/INTERCOM-74"/>
    <hyperlink ref="D22" r:id="rId19" display="https://webgate.ec.europa.eu/CITnet/jira/browse/INTERCOM-73"/>
    <hyperlink ref="D23" r:id="rId20" display="https://webgate.ec.europa.eu/CITnet/jira/browse/CCADMIN-53"/>
    <hyperlink ref="D24" r:id="rId21" display="https://webgate.ec.europa.eu/CITnet/jira/browse/INTERCOM-70"/>
    <hyperlink ref="D25" r:id="rId22" display="https://webgate.ec.europa.eu/CITnet/jira/browse/CCADMIN-52"/>
    <hyperlink ref="D26" r:id="rId23" display="https://webgate.ec.europa.eu/CITnet/jira/browse/INTERCOM-65"/>
    <hyperlink ref="D27" r:id="rId24" display="https://webgate.ec.europa.eu/CITnet/jira/browse/INTERCOM-64"/>
    <hyperlink ref="D28" r:id="rId25" display="https://webgate.ec.europa.eu/CITnet/jira/browse/CCADMIN-56"/>
    <hyperlink ref="D29" r:id="rId26" display="https://webgate.ec.europa.eu/CITnet/jira/browse/PFM-160"/>
    <hyperlink ref="D30" r:id="rId27" display="https://webgate.ec.europa.eu/CITnet/jira/browse/PFM-116"/>
    <hyperlink ref="D31" r:id="rId28" display="https://webgate.ec.europa.eu/CITnet/jira/browse/TSKACTION-219"/>
    <hyperlink ref="D32" r:id="rId29" display="https://webgate.ec.europa.eu/CITnet/jira/browse/TSKACTION-218"/>
    <hyperlink ref="D33" r:id="rId30" display="https://webgate.ec.europa.eu/CITnet/jira/browse/PROCESS-86"/>
    <hyperlink ref="D34" r:id="rId31" display="https://webgate.ec.europa.eu/CITnet/jira/browse/COMPASS-201"/>
    <hyperlink ref="D35" r:id="rId32" display="https://webgate.ec.europa.eu/CITnet/jira/browse/COMPASS-202"/>
    <hyperlink ref="D36" r:id="rId33" display="https://webgate.ec.europa.eu/CITnet/jira/browse/COMPASS-206"/>
    <hyperlink ref="D37" r:id="rId34" display="https://webgate.ec.europa.eu/CITnet/jira/browse/COMPASS-210"/>
    <hyperlink ref="D38" r:id="rId35" display="https://webgate.ec.europa.eu/CITnet/jira/browse/CCPMO-46"/>
    <hyperlink ref="D39" r:id="rId36" display="https://webgate.ec.europa.eu/CITnet/jira/browse/WAVECC-7"/>
    <hyperlink ref="D40" r:id="rId37" display="https://webgate.ec.europa.eu/CITnet/jira/browse/INTERCOM-36"/>
    <hyperlink ref="D41" r:id="rId38" display="https://webgate.ec.europa.eu/CITnet/jira/browse/INTERCOM-41"/>
    <hyperlink ref="D42" r:id="rId39" display="https://webgate.ec.europa.eu/CITnet/jira/browse/PFM-114"/>
    <hyperlink ref="D43" r:id="rId40" display="https://webgate.ec.europa.eu/CITnet/jira/browse/CCPMO-59"/>
    <hyperlink ref="D44" r:id="rId41" display="https://webgate.ec.europa.eu/CITnet/jira/browse/PROCESS-89"/>
    <hyperlink ref="D45" r:id="rId42" display="https://webgate.ec.europa.eu/CITnet/jira/browse/CCPMO-58"/>
    <hyperlink ref="D46" r:id="rId43" display="https://webgate.ec.europa.eu/CITnet/jira/browse/WAVECC-43"/>
    <hyperlink ref="D47" r:id="rId44" display="https://webgate.ec.europa.eu/CITnet/jira/browse/INTERCOM-60"/>
    <hyperlink ref="D48" r:id="rId45" display="https://webgate.ec.europa.eu/CITnet/jira/browse/CCADMIN-51"/>
    <hyperlink ref="D49" r:id="rId46" display="https://webgate.ec.europa.eu/CITnet/jira/browse/CCTASK-563"/>
    <hyperlink ref="D50" r:id="rId47" display="https://webgate.ec.europa.eu/CITnet/jira/browse/CCDOCLIST-172"/>
    <hyperlink ref="D51" r:id="rId48" display="https://webgate.ec.europa.eu/CITnet/jira/browse/CCADMIN-47"/>
    <hyperlink ref="D52" r:id="rId49" display="https://webgate.ec.europa.eu/CITnet/jira/browse/CCADMIN-46"/>
    <hyperlink ref="D53" r:id="rId50" display="https://webgate.ec.europa.eu/CITnet/jira/browse/CCADMIN-45"/>
    <hyperlink ref="D54" r:id="rId51" display="https://webgate.ec.europa.eu/CITnet/jira/browse/CCADMIN-43"/>
    <hyperlink ref="D55" r:id="rId52" display="https://webgate.ec.europa.eu/CITnet/jira/browse/INTERCOM-53"/>
    <hyperlink ref="D56" r:id="rId53" display="https://webgate.ec.europa.eu/CITnet/jira/browse/CCDOCLIST-163"/>
    <hyperlink ref="D57" r:id="rId54" display="https://webgate.ec.europa.eu/CITnet/jira/browse/CCTASK-538"/>
    <hyperlink ref="D58" r:id="rId55" display="https://webgate.ec.europa.eu/CITnet/jira/browse/CCTASK-536"/>
    <hyperlink ref="D59" r:id="rId56" display="https://webgate.ec.europa.eu/CITnet/jira/browse/COMPASS-274"/>
    <hyperlink ref="D60" r:id="rId57" display="https://webgate.ec.europa.eu/CITnet/jira/browse/PFM-144"/>
    <hyperlink ref="D61" r:id="rId58" display="https://webgate.ec.europa.eu/CITnet/jira/browse/COMPASS-284"/>
    <hyperlink ref="D62" r:id="rId59" display="https://webgate.ec.europa.eu/CITnet/jira/browse/COMPASS-283"/>
    <hyperlink ref="D63" r:id="rId60" display="https://webgate.ec.europa.eu/CITnet/jira/browse/COMPASS-281"/>
    <hyperlink ref="D64" r:id="rId61" display="https://webgate.ec.europa.eu/CITnet/jira/browse/COMPASS-282"/>
    <hyperlink ref="D65" r:id="rId62" display="https://webgate.ec.europa.eu/CITnet/jira/browse/PFM-155"/>
    <hyperlink ref="D66" r:id="rId63" display="https://webgate.ec.europa.eu/CITnet/jira/browse/INTERCOM-58"/>
    <hyperlink ref="D67" r:id="rId64" display="https://webgate.ec.europa.eu/CITnet/jira/browse/INTERCOM-57"/>
    <hyperlink ref="D68" r:id="rId65" display="https://webgate.ec.europa.eu/CITnet/jira/browse/INTERCOM-56"/>
    <hyperlink ref="D69" r:id="rId66" display="https://webgate.ec.europa.eu/CITnet/jira/browse/CCTASK-547"/>
    <hyperlink ref="D70" r:id="rId67" display="https://webgate.ec.europa.eu/CITnet/jira/browse/CCDOCLIST-159"/>
    <hyperlink ref="D71" r:id="rId68" display="https://webgate.ec.europa.eu/CITnet/jira/browse/PROCESS-76"/>
    <hyperlink ref="D72" r:id="rId69" display="https://webgate.ec.europa.eu/CITnet/jira/browse/CCADMIN-15"/>
    <hyperlink ref="D73" r:id="rId70" display="https://webgate.ec.europa.eu/CITnet/jira/browse/CCADMIN-16"/>
    <hyperlink ref="D74" r:id="rId71" display="https://webgate.ec.europa.eu/CITnet/jira/browse/CCADMIN-13"/>
    <hyperlink ref="D75" r:id="rId72" display="https://webgate.ec.europa.eu/CITnet/jira/browse/CCADMIN-12"/>
    <hyperlink ref="D76" r:id="rId73" display="https://webgate.ec.europa.eu/CITnet/jira/browse/CCDOCLIST-63"/>
    <hyperlink ref="D77" r:id="rId74" display="https://webgate.ec.europa.eu/CITnet/jira/browse/PFM-64"/>
    <hyperlink ref="D78" r:id="rId75" display="https://webgate.ec.europa.eu/CITnet/jira/browse/PFM-56"/>
    <hyperlink ref="D79" r:id="rId76" display="https://webgate.ec.europa.eu/CITnet/jira/browse/PFM-53"/>
    <hyperlink ref="D80" r:id="rId77" display="https://webgate.ec.europa.eu/CITnet/jira/browse/PFM-51"/>
    <hyperlink ref="D81" r:id="rId78" display="https://webgate.ec.europa.eu/CITnet/jira/browse/CCDOCLIST-62"/>
    <hyperlink ref="D82" r:id="rId79" display="https://webgate.ec.europa.eu/CITnet/jira/browse/PFM-87"/>
    <hyperlink ref="D83" r:id="rId80" display="https://webgate.ec.europa.eu/CITnet/jira/browse/CCDOCLIST-121"/>
    <hyperlink ref="D84" r:id="rId81" display="https://webgate.ec.europa.eu/CITnet/jira/browse/PFM-81"/>
    <hyperlink ref="D85" r:id="rId82" display="https://webgate.ec.europa.eu/CITnet/jira/browse/CCDOCLIST-161"/>
    <hyperlink ref="D86" r:id="rId83" display="https://webgate.ec.europa.eu/CITnet/jira/browse/CCDOCLIST-166"/>
    <hyperlink ref="D87" r:id="rId84" display="https://webgate.ec.europa.eu/CITnet/jira/browse/CCTASK-553"/>
    <hyperlink ref="D88" r:id="rId85" display="https://webgate.ec.europa.eu/CITnet/jira/browse/CCTASK-551"/>
    <hyperlink ref="D89" r:id="rId86" display="https://webgate.ec.europa.eu/CITnet/jira/browse/CCDOCLIST-183"/>
    <hyperlink ref="D90" r:id="rId87" display="https://webgate.ec.europa.eu/CITnet/jira/browse/CCPMO-103"/>
    <hyperlink ref="D91" r:id="rId88" display="https://webgate.ec.europa.eu/CITnet/jira/browse/CCPMO-111"/>
    <hyperlink ref="D92" r:id="rId89" display="https://webgate.ec.europa.eu/CITnet/jira/browse/CCTASK-567"/>
    <hyperlink ref="D93" r:id="rId90" display="https://webgate.ec.europa.eu/CITnet/jira/browse/CCPMO-79"/>
    <hyperlink ref="D94" r:id="rId91" display="https://webgate.ec.europa.eu/CITnet/jira/browse/CCTASK-423"/>
    <hyperlink ref="D95" r:id="rId92" display="https://webgate.ec.europa.eu/CITnet/jira/browse/TSKACTION-237"/>
    <hyperlink ref="D96" r:id="rId93" display="https://webgate.ec.europa.eu/CITnet/jira/browse/CCADMIN-48"/>
    <hyperlink ref="D97" r:id="rId94" display="https://webgate.ec.europa.eu/CITnet/jira/browse/PROCESS-90"/>
    <hyperlink ref="D98" r:id="rId95" display="https://webgate.ec.europa.eu/CITnet/jira/browse/CCTASK-540"/>
    <hyperlink ref="D99" r:id="rId96" display="https://webgate.ec.europa.eu/CITnet/jira/browse/PFM-142"/>
    <hyperlink ref="D100" r:id="rId97" display="https://webgate.ec.europa.eu/CITnet/jira/browse/PFM-153"/>
    <hyperlink ref="D101" r:id="rId98" display="https://webgate.ec.europa.eu/CITnet/jira/browse/CCDOCLIST-117"/>
    <hyperlink ref="D102" r:id="rId99" display="https://webgate.ec.europa.eu/CITnet/jira/browse/PFM-152"/>
    <hyperlink ref="D103" r:id="rId100" display="https://webgate.ec.europa.eu/CITnet/jira/browse/PFM-151"/>
    <hyperlink ref="D104" r:id="rId101" display="https://webgate.ec.europa.eu/CITnet/jira/browse/PROCESS-110"/>
    <hyperlink ref="D105" r:id="rId102" display="https://webgate.ec.europa.eu/CITnet/jira/browse/PROCESS-111"/>
    <hyperlink ref="D106" r:id="rId103" display="https://webgate.ec.europa.eu/CITnet/jira/browse/PROCESS-108"/>
    <hyperlink ref="D107" r:id="rId104" display="https://webgate.ec.europa.eu/CITnet/jira/browse/PROCESS-109"/>
    <hyperlink ref="D108" r:id="rId105" display="https://webgate.ec.europa.eu/CITnet/jira/browse/PROCESS-107"/>
    <hyperlink ref="D109" r:id="rId106" display="https://webgate.ec.europa.eu/CITnet/jira/browse/PROCESS-129"/>
    <hyperlink ref="D110" r:id="rId107" display="https://webgate.ec.europa.eu/CITnet/jira/browse/PROCESS-128"/>
    <hyperlink ref="D111" r:id="rId108" display="https://webgate.ec.europa.eu/CITnet/jira/browse/PFM-110"/>
    <hyperlink ref="D112" r:id="rId109" display="https://webgate.ec.europa.eu/CITnet/jira/browse/INTERCOM-43"/>
    <hyperlink ref="D113" r:id="rId110" display="https://webgate.ec.europa.eu/CITnet/jira/browse/WAVECC-6"/>
    <hyperlink ref="D114" r:id="rId111" display="https://webgate.ec.europa.eu/CITnet/jira/browse/CCPMO-87"/>
    <hyperlink ref="D115" r:id="rId112" display="https://webgate.ec.europa.eu/CITnet/jira/browse/CCPMO-119"/>
    <hyperlink ref="D116" r:id="rId113" display="https://webgate.ec.europa.eu/CITnet/jira/browse/CCPMO-95"/>
    <hyperlink ref="D117" r:id="rId114" display="https://webgate.ec.europa.eu/CITnet/jira/browse/CCTASK-562"/>
    <hyperlink ref="D118" r:id="rId115" display="https://webgate.ec.europa.eu/CITnet/jira/browse/PFM-148"/>
    <hyperlink ref="D119" r:id="rId116" display="https://webgate.ec.europa.eu/CITnet/jira/browse/PFM-149"/>
    <hyperlink ref="D120" r:id="rId117" display="https://webgate.ec.europa.eu/CITnet/jira/browse/PFM-150"/>
    <hyperlink ref="D121" r:id="rId118" display="https://webgate.ec.europa.eu/CITnet/jira/browse/CCADMIN-14"/>
    <hyperlink ref="D122" r:id="rId119" display="https://webgate.ec.europa.eu/CITnet/jira/browse/PFM-73"/>
    <hyperlink ref="D123" r:id="rId120" display="https://webgate.ec.europa.eu/CITnet/jira/browse/PFM-63"/>
    <hyperlink ref="D124" r:id="rId121" display="https://webgate.ec.europa.eu/CITnet/jira/browse/PFM-54"/>
    <hyperlink ref="D125" r:id="rId122" display="https://webgate.ec.europa.eu/CITnet/jira/browse/PFM-50"/>
    <hyperlink ref="D126" r:id="rId123" display="https://webgate.ec.europa.eu/CITnet/jira/browse/PFM-49"/>
    <hyperlink ref="D127" r:id="rId124" display="https://webgate.ec.europa.eu/CITnet/jira/browse/PFM-8"/>
    <hyperlink ref="D128" r:id="rId125" display="https://webgate.ec.europa.eu/CITnet/jira/browse/PFM-92"/>
    <hyperlink ref="D129" r:id="rId126" display="https://webgate.ec.europa.eu/CITnet/jira/browse/PFM-91"/>
    <hyperlink ref="D130" r:id="rId127" display="https://webgate.ec.europa.eu/CITnet/jira/browse/PROCESS-113"/>
    <hyperlink ref="D131" r:id="rId128" display="https://webgate.ec.europa.eu/CITnet/jira/browse/PROCESS-112"/>
    <hyperlink ref="D132" r:id="rId129" display="https://webgate.ec.europa.eu/CITnet/jira/browse/PROCESS-116"/>
    <hyperlink ref="D133" r:id="rId130" display="https://webgate.ec.europa.eu/CITnet/jira/browse/PROCESS-115"/>
    <hyperlink ref="D134" r:id="rId131" display="https://webgate.ec.europa.eu/CITnet/jira/browse/CCDOCLIST-171"/>
    <hyperlink ref="D135" r:id="rId132" display="https://webgate.ec.europa.eu/CITnet/jira/browse/CCTASK-552"/>
    <hyperlink ref="D136" r:id="rId133" display="https://webgate.ec.europa.eu/CITnet/jira/browse/CCTASK-550"/>
    <hyperlink ref="D137" r:id="rId134" display="https://webgate.ec.europa.eu/CITnet/jira/browse/WAVECC-35"/>
    <hyperlink ref="D138" r:id="rId135" display="https://webgate.ec.europa.eu/CITnet/jira/browse/INTERCOM-90"/>
    <hyperlink ref="D139" r:id="rId136" display="https://webgate.ec.europa.eu/CITnet/jira/browse/INTERCOM-89"/>
    <hyperlink ref="D140" r:id="rId137" display="https://webgate.ec.europa.eu/CITnet/jira/browse/INTERCOM-83"/>
    <hyperlink ref="D141" r:id="rId138" display="https://webgate.ec.europa.eu/CITnet/jira/browse/INTERCOM-77"/>
    <hyperlink ref="D142" r:id="rId139" display="https://webgate.ec.europa.eu/CITnet/jira/browse/CCDOCLIST-190"/>
    <hyperlink ref="D143" r:id="rId140" display="https://webgate.ec.europa.eu/CITnet/jira/browse/CCTASK-592"/>
    <hyperlink ref="D144" r:id="rId141" display="https://webgate.ec.europa.eu/CITnet/jira/browse/CCTASK-590"/>
    <hyperlink ref="D145" r:id="rId142" display="https://webgate.ec.europa.eu/CITnet/jira/browse/WAVECC-44"/>
    <hyperlink ref="D146" r:id="rId143" display="https://webgate.ec.europa.eu/CITnet/jira/browse/INTERCOM-67"/>
    <hyperlink ref="D147" r:id="rId144" display="https://webgate.ec.europa.eu/CITnet/jira/browse/INTERCOM-66"/>
    <hyperlink ref="D148" r:id="rId145" display="https://webgate.ec.europa.eu/CITnet/jira/browse/PFM-143"/>
    <hyperlink ref="D149" r:id="rId146" display="https://webgate.ec.europa.eu/CITnet/jira/browse/CCTASK-291"/>
    <hyperlink ref="D150" r:id="rId147" display="https://webgate.ec.europa.eu/CITnet/jira/browse/TSKACTION-216"/>
    <hyperlink ref="D151" r:id="rId148" display="https://webgate.ec.europa.eu/CITnet/jira/browse/TSKACTION-259"/>
    <hyperlink ref="D152" r:id="rId149" display="https://webgate.ec.europa.eu/CITnet/jira/browse/TSKACTION-273"/>
    <hyperlink ref="D153" r:id="rId150" display="https://webgate.ec.europa.eu/CITnet/jira/browse/CCTASK-584"/>
    <hyperlink ref="D154" r:id="rId151" display="https://webgate.ec.europa.eu/CITnet/jira/browse/CCTASK-512"/>
    <hyperlink ref="D155" r:id="rId152" display="https://webgate.ec.europa.eu/CITnet/jira/browse/CCTASK-522"/>
    <hyperlink ref="D156" r:id="rId153" display="https://webgate.ec.europa.eu/CITnet/jira/browse/INTERCOM-79"/>
    <hyperlink ref="D157" r:id="rId154" display="https://webgate.ec.europa.eu/CITnet/jira/browse/INTERCOM-78"/>
    <hyperlink ref="D158" r:id="rId155" display="https://webgate.ec.europa.eu/CITnet/jira/browse/CCTASK-593"/>
    <hyperlink ref="D159" r:id="rId156" display="https://webgate.ec.europa.eu/CITnet/jira/browse/CCTASK-591"/>
    <hyperlink ref="D160" r:id="rId157" display="https://webgate.ec.europa.eu/CITnet/jira/browse/COMPASS-298"/>
    <hyperlink ref="D161" r:id="rId158" display="https://webgate.ec.europa.eu/CITnet/jira/browse/COMPASS-299"/>
    <hyperlink ref="D162" r:id="rId159" display="https://webgate.ec.europa.eu/CITnet/jira/browse/CCDOCLIST-186"/>
    <hyperlink ref="D163" r:id="rId160" display="https://webgate.ec.europa.eu/CITnet/jira/browse/CCTASK-581"/>
    <hyperlink ref="D164" r:id="rId161" display="https://webgate.ec.europa.eu/CITnet/jira/browse/COMPASS-293"/>
    <hyperlink ref="D165" r:id="rId162" display="https://webgate.ec.europa.eu/CITnet/jira/browse/TSKACTION-271"/>
    <hyperlink ref="D166" r:id="rId163" display="https://webgate.ec.europa.eu/CITnet/jira/browse/CCDOCLIST-184"/>
    <hyperlink ref="D167" r:id="rId164" display="https://webgate.ec.europa.eu/CITnet/jira/browse/CCDOCLIST-149"/>
    <hyperlink ref="D168" r:id="rId165" display="https://webgate.ec.europa.eu/CITnet/jira/browse/CCDOCLIST-142"/>
    <hyperlink ref="D169" r:id="rId166" display="https://webgate.ec.europa.eu/CITnet/jira/browse/COMPASS-208"/>
    <hyperlink ref="D170" r:id="rId167" display="https://webgate.ec.europa.eu/CITnet/jira/browse/CCTASK-455"/>
    <hyperlink ref="D171" r:id="rId168" display="https://webgate.ec.europa.eu/CITnet/jira/browse/CCPMO-62"/>
    <hyperlink ref="D172" r:id="rId169" display="https://webgate.ec.europa.eu/CITnet/jira/browse/COMPASS-223"/>
    <hyperlink ref="D173" r:id="rId170" display="https://webgate.ec.europa.eu/CITnet/jira/browse/CCTASK-564"/>
    <hyperlink ref="D174" r:id="rId171" display="https://webgate.ec.europa.eu/CITnet/jira/browse/CCDOCLIST-173"/>
    <hyperlink ref="D175" r:id="rId172" display="https://webgate.ec.europa.eu/CITnet/jira/browse/PFM-147"/>
    <hyperlink ref="D176" r:id="rId173" display="https://webgate.ec.europa.eu/CITnet/jira/browse/PFM-146"/>
    <hyperlink ref="D177" r:id="rId174" display="https://webgate.ec.europa.eu/CITnet/jira/browse/PROCESS-118"/>
    <hyperlink ref="D178" r:id="rId175" display="https://webgate.ec.europa.eu/CITnet/jira/browse/PROCESS-120"/>
    <hyperlink ref="D179" r:id="rId176" display="https://webgate.ec.europa.eu/CITnet/jira/browse/PROCESS-121"/>
    <hyperlink ref="D180" r:id="rId177" display="https://webgate.ec.europa.eu/CITnet/jira/browse/PROCESS-122"/>
    <hyperlink ref="D181" r:id="rId178" display="https://webgate.ec.europa.eu/CITnet/jira/browse/PROCESS-114"/>
    <hyperlink ref="D182" r:id="rId179" display="https://webgate.ec.europa.eu/CITnet/jira/browse/PROCESS-119"/>
    <hyperlink ref="D183" r:id="rId180" display="https://webgate.ec.europa.eu/CITnet/jira/browse/PROCESS-117"/>
    <hyperlink ref="D184" r:id="rId181" display="https://webgate.ec.europa.eu/CITnet/jira/browse/CCTASK-561"/>
    <hyperlink ref="D185" r:id="rId182" display="https://webgate.ec.europa.eu/CITnet/jira/browse/TSKACTION-260"/>
    <hyperlink ref="D186" r:id="rId183" display="https://webgate.ec.europa.eu/CITnet/jira/browse/PROCESS-74"/>
    <hyperlink ref="D187" r:id="rId184" display="https://webgate.ec.europa.eu/CITnet/jira/browse/PFM-71"/>
    <hyperlink ref="D188" r:id="rId185" display="https://webgate.ec.europa.eu/CITnet/jira/browse/PFM-69"/>
    <hyperlink ref="D189" r:id="rId186" display="https://webgate.ec.europa.eu/CITnet/jira/browse/PFM-68"/>
    <hyperlink ref="D190" r:id="rId187" display="https://webgate.ec.europa.eu/CITnet/jira/browse/PFM-59"/>
    <hyperlink ref="D191" r:id="rId188" display="https://webgate.ec.europa.eu/CITnet/jira/browse/PFM-52"/>
    <hyperlink ref="D192" r:id="rId189" display="https://webgate.ec.europa.eu/CITnet/jira/browse/PROCESS-48"/>
    <hyperlink ref="D193" r:id="rId190" display="https://webgate.ec.europa.eu/CITnet/jira/browse/PROCESS-49"/>
    <hyperlink ref="D194" r:id="rId191" display="https://webgate.ec.europa.eu/CITnet/jira/browse/PFM-82"/>
    <hyperlink ref="D195" r:id="rId192" display="https://webgate.ec.europa.eu/CITnet/jira/browse/CCDOCLIST-122"/>
  </hyperlinks>
  <printOptions horizontalCentered="1" verticalCentered="1"/>
  <pageMargins left="0.25" right="0.25" top="0.25" bottom="0.5" header="0.5" footer="0.25"/>
  <pageSetup orientation="landscape" horizontalDpi="0" verticalDpi="0"/>
  <headerFooter>
    <oddFooter>&amp;R&amp;P of &amp;N</oddFooter>
  </headerFooter>
  <drawing r:id="rId19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002060"/>
  </sheetPr>
  <dimension ref="A1:O58"/>
  <sheetViews>
    <sheetView workbookViewId="0">
      <selection activeCell="C10" sqref="C10"/>
    </sheetView>
  </sheetViews>
  <sheetFormatPr defaultRowHeight="12" x14ac:dyDescent="0.2"/>
  <cols>
    <col min="1" max="1" width="11.25" style="34" bestFit="1" customWidth="1"/>
    <col min="2" max="2" width="18" style="34" bestFit="1" customWidth="1"/>
    <col min="3" max="3" width="32" style="34" bestFit="1" customWidth="1"/>
    <col min="4" max="4" width="13.25" style="34" bestFit="1" customWidth="1"/>
    <col min="5" max="5" width="31.125" style="34" bestFit="1" customWidth="1"/>
    <col min="6" max="6" width="32" style="34" bestFit="1" customWidth="1"/>
    <col min="7" max="7" width="11.75" style="34" bestFit="1" customWidth="1"/>
    <col min="8" max="8" width="9" style="34" bestFit="1" customWidth="1"/>
    <col min="9" max="9" width="17.875" style="34" bestFit="1" customWidth="1"/>
    <col min="10" max="10" width="20.375" style="34" bestFit="1" customWidth="1"/>
    <col min="11" max="11" width="8.5" style="34" bestFit="1" customWidth="1"/>
    <col min="12" max="12" width="14.125" style="34" bestFit="1" customWidth="1"/>
    <col min="13" max="13" width="14.625" style="34" bestFit="1" customWidth="1"/>
    <col min="14" max="14" width="14.5" style="34" bestFit="1" customWidth="1"/>
    <col min="15" max="15" width="32" style="34" bestFit="1" customWidth="1"/>
    <col min="16" max="16384" width="9" style="34"/>
  </cols>
  <sheetData>
    <row r="1" spans="1:15" ht="27" customHeight="1" x14ac:dyDescent="0.2">
      <c r="A1" s="94"/>
      <c r="B1" s="95"/>
      <c r="C1" s="95"/>
      <c r="D1" s="95"/>
      <c r="E1" s="95"/>
      <c r="F1" s="95"/>
      <c r="G1" s="95"/>
      <c r="H1" s="95"/>
      <c r="I1" s="95"/>
      <c r="J1" s="95"/>
      <c r="K1" s="95"/>
      <c r="L1" s="95"/>
      <c r="M1" s="95"/>
      <c r="N1" s="95"/>
      <c r="O1" s="96"/>
    </row>
    <row r="2" spans="1:15" ht="15" customHeight="1" x14ac:dyDescent="0.2">
      <c r="A2" s="76" t="s">
        <v>836</v>
      </c>
      <c r="B2" s="77"/>
      <c r="C2" s="77"/>
      <c r="D2" s="77"/>
      <c r="E2" s="77"/>
      <c r="F2" s="77"/>
      <c r="G2" s="77"/>
      <c r="H2" s="77"/>
      <c r="I2" s="77"/>
      <c r="J2" s="77"/>
      <c r="K2" s="77"/>
      <c r="L2" s="77"/>
      <c r="M2" s="77"/>
      <c r="N2" s="77"/>
      <c r="O2" s="78"/>
    </row>
    <row r="3" spans="1:15" ht="15" customHeight="1" x14ac:dyDescent="0.2">
      <c r="A3" s="97" t="s">
        <v>835</v>
      </c>
      <c r="B3" s="98"/>
      <c r="C3" s="98"/>
      <c r="D3" s="98"/>
      <c r="E3" s="98"/>
      <c r="F3" s="98"/>
      <c r="G3" s="98"/>
      <c r="H3" s="98"/>
      <c r="I3" s="98"/>
      <c r="J3" s="98"/>
      <c r="K3" s="98"/>
      <c r="L3" s="98"/>
      <c r="M3" s="98"/>
      <c r="N3" s="98"/>
      <c r="O3" s="99"/>
    </row>
    <row r="4" spans="1:15" ht="15" x14ac:dyDescent="0.2">
      <c r="A4" s="37" t="s">
        <v>4</v>
      </c>
      <c r="B4" s="37" t="s">
        <v>5</v>
      </c>
      <c r="C4" s="37" t="s">
        <v>54</v>
      </c>
      <c r="D4" s="37" t="s">
        <v>6</v>
      </c>
      <c r="E4" s="37" t="s">
        <v>7</v>
      </c>
      <c r="F4" s="37" t="s">
        <v>53</v>
      </c>
      <c r="G4" s="37" t="s">
        <v>8</v>
      </c>
      <c r="H4" s="37" t="s">
        <v>427</v>
      </c>
      <c r="I4" s="37" t="s">
        <v>429</v>
      </c>
      <c r="J4" s="37" t="s">
        <v>428</v>
      </c>
      <c r="K4" s="37" t="s">
        <v>9</v>
      </c>
      <c r="L4" s="37" t="s">
        <v>10</v>
      </c>
      <c r="M4" s="37" t="s">
        <v>52</v>
      </c>
      <c r="N4" s="37" t="s">
        <v>51</v>
      </c>
      <c r="O4" s="37" t="s">
        <v>11</v>
      </c>
    </row>
    <row r="5" spans="1:15" ht="85.5" x14ac:dyDescent="0.2">
      <c r="A5" s="36" t="s">
        <v>18</v>
      </c>
      <c r="B5" s="36" t="s">
        <v>25</v>
      </c>
      <c r="C5" s="35" t="s">
        <v>68</v>
      </c>
      <c r="D5" s="20" t="s">
        <v>69</v>
      </c>
      <c r="E5" s="35" t="s">
        <v>70</v>
      </c>
      <c r="F5" s="35" t="s">
        <v>71</v>
      </c>
      <c r="G5" s="35"/>
      <c r="H5" s="35"/>
      <c r="I5" s="35">
        <v>28800</v>
      </c>
      <c r="J5" s="35">
        <v>28800</v>
      </c>
      <c r="K5" s="35"/>
      <c r="L5" s="35"/>
      <c r="M5" s="35"/>
      <c r="N5" s="35"/>
      <c r="O5" s="35" t="s">
        <v>72</v>
      </c>
    </row>
    <row r="6" spans="1:15" ht="28.5" x14ac:dyDescent="0.2">
      <c r="A6" s="36" t="s">
        <v>18</v>
      </c>
      <c r="B6" s="36" t="s">
        <v>15</v>
      </c>
      <c r="C6" s="35" t="s">
        <v>81</v>
      </c>
      <c r="D6" s="20" t="s">
        <v>82</v>
      </c>
      <c r="E6" s="35" t="s">
        <v>70</v>
      </c>
      <c r="F6" s="35" t="s">
        <v>83</v>
      </c>
      <c r="G6" s="35"/>
      <c r="H6" s="35"/>
      <c r="I6" s="35"/>
      <c r="J6" s="35"/>
      <c r="K6" s="35"/>
      <c r="L6" s="35"/>
      <c r="M6" s="35"/>
      <c r="N6" s="35"/>
      <c r="O6" s="35" t="s">
        <v>84</v>
      </c>
    </row>
    <row r="7" spans="1:15" ht="28.5" x14ac:dyDescent="0.2">
      <c r="A7" s="36" t="s">
        <v>18</v>
      </c>
      <c r="B7" s="36" t="s">
        <v>19</v>
      </c>
      <c r="C7" s="35" t="s">
        <v>115</v>
      </c>
      <c r="D7" s="20" t="s">
        <v>110</v>
      </c>
      <c r="E7" s="35" t="s">
        <v>70</v>
      </c>
      <c r="F7" s="35" t="s">
        <v>114</v>
      </c>
      <c r="G7" s="35"/>
      <c r="H7" s="35"/>
      <c r="I7" s="35"/>
      <c r="J7" s="35"/>
      <c r="K7" s="35"/>
      <c r="L7" s="35"/>
      <c r="M7" s="35"/>
      <c r="N7" s="35"/>
      <c r="O7" s="35" t="s">
        <v>116</v>
      </c>
    </row>
    <row r="8" spans="1:15" ht="28.5" x14ac:dyDescent="0.2">
      <c r="A8" s="36" t="s">
        <v>18</v>
      </c>
      <c r="B8" s="36" t="s">
        <v>20</v>
      </c>
      <c r="C8" s="35" t="s">
        <v>117</v>
      </c>
      <c r="D8" s="20" t="s">
        <v>118</v>
      </c>
      <c r="E8" s="35" t="s">
        <v>70</v>
      </c>
      <c r="F8" s="35" t="s">
        <v>114</v>
      </c>
      <c r="G8" s="35">
        <v>10</v>
      </c>
      <c r="H8" s="35"/>
      <c r="I8" s="35"/>
      <c r="J8" s="35"/>
      <c r="K8" s="35"/>
      <c r="L8" s="35"/>
      <c r="M8" s="35"/>
      <c r="N8" s="35"/>
      <c r="O8" s="35" t="s">
        <v>119</v>
      </c>
    </row>
    <row r="9" spans="1:15" ht="42.75" x14ac:dyDescent="0.2">
      <c r="A9" s="36" t="s">
        <v>18</v>
      </c>
      <c r="B9" s="36" t="s">
        <v>20</v>
      </c>
      <c r="C9" s="35" t="s">
        <v>120</v>
      </c>
      <c r="D9" s="20" t="s">
        <v>121</v>
      </c>
      <c r="E9" s="35" t="s">
        <v>113</v>
      </c>
      <c r="F9" s="35" t="s">
        <v>114</v>
      </c>
      <c r="G9" s="35"/>
      <c r="H9" s="35"/>
      <c r="I9" s="35"/>
      <c r="J9" s="35"/>
      <c r="K9" s="35"/>
      <c r="L9" s="35"/>
      <c r="M9" s="35"/>
      <c r="N9" s="35"/>
      <c r="O9" s="35" t="s">
        <v>122</v>
      </c>
    </row>
    <row r="10" spans="1:15" ht="42.75" x14ac:dyDescent="0.2">
      <c r="A10" s="36" t="s">
        <v>24</v>
      </c>
      <c r="B10" s="36" t="s">
        <v>19</v>
      </c>
      <c r="C10" s="35" t="s">
        <v>210</v>
      </c>
      <c r="D10" s="20" t="s">
        <v>211</v>
      </c>
      <c r="E10" s="35" t="s">
        <v>70</v>
      </c>
      <c r="F10" s="35" t="s">
        <v>212</v>
      </c>
      <c r="G10" s="35"/>
      <c r="H10" s="35"/>
      <c r="I10" s="35"/>
      <c r="J10" s="35"/>
      <c r="K10" s="35"/>
      <c r="L10" s="35"/>
      <c r="M10" s="35"/>
      <c r="N10" s="35"/>
      <c r="O10" s="35" t="s">
        <v>213</v>
      </c>
    </row>
    <row r="11" spans="1:15" ht="28.5" x14ac:dyDescent="0.2">
      <c r="A11" s="36" t="s">
        <v>18</v>
      </c>
      <c r="B11" s="36" t="s">
        <v>20</v>
      </c>
      <c r="C11" s="35" t="s">
        <v>214</v>
      </c>
      <c r="D11" s="20" t="s">
        <v>215</v>
      </c>
      <c r="E11" s="35" t="s">
        <v>70</v>
      </c>
      <c r="F11" s="35" t="s">
        <v>212</v>
      </c>
      <c r="G11" s="35">
        <v>8</v>
      </c>
      <c r="H11" s="35"/>
      <c r="I11" s="35"/>
      <c r="J11" s="35"/>
      <c r="K11" s="35"/>
      <c r="L11" s="35">
        <v>10</v>
      </c>
      <c r="M11" s="35"/>
      <c r="N11" s="35">
        <v>5</v>
      </c>
      <c r="O11" s="35" t="s">
        <v>216</v>
      </c>
    </row>
    <row r="12" spans="1:15" ht="28.5" x14ac:dyDescent="0.2">
      <c r="A12" s="36" t="s">
        <v>18</v>
      </c>
      <c r="B12" s="36" t="s">
        <v>23</v>
      </c>
      <c r="C12" s="35" t="s">
        <v>217</v>
      </c>
      <c r="D12" s="20" t="s">
        <v>218</v>
      </c>
      <c r="E12" s="35" t="s">
        <v>70</v>
      </c>
      <c r="F12" s="35" t="s">
        <v>219</v>
      </c>
      <c r="G12" s="35"/>
      <c r="H12" s="35"/>
      <c r="I12" s="35"/>
      <c r="J12" s="35"/>
      <c r="K12" s="35"/>
      <c r="L12" s="35"/>
      <c r="M12" s="35"/>
      <c r="N12" s="35"/>
      <c r="O12" s="35" t="s">
        <v>220</v>
      </c>
    </row>
    <row r="13" spans="1:15" ht="28.5" x14ac:dyDescent="0.2">
      <c r="A13" s="36" t="s">
        <v>18</v>
      </c>
      <c r="B13" s="36" t="s">
        <v>15</v>
      </c>
      <c r="C13" s="35" t="s">
        <v>221</v>
      </c>
      <c r="D13" s="20" t="s">
        <v>222</v>
      </c>
      <c r="E13" s="35" t="s">
        <v>70</v>
      </c>
      <c r="F13" s="35" t="s">
        <v>219</v>
      </c>
      <c r="G13" s="35">
        <v>8</v>
      </c>
      <c r="H13" s="35"/>
      <c r="I13" s="35">
        <v>7200</v>
      </c>
      <c r="J13" s="35">
        <v>7200</v>
      </c>
      <c r="K13" s="35"/>
      <c r="L13" s="35"/>
      <c r="M13" s="35"/>
      <c r="N13" s="35"/>
      <c r="O13" s="35" t="s">
        <v>223</v>
      </c>
    </row>
    <row r="14" spans="1:15" ht="28.5" x14ac:dyDescent="0.2">
      <c r="A14" s="36" t="s">
        <v>18</v>
      </c>
      <c r="B14" s="36" t="s">
        <v>15</v>
      </c>
      <c r="C14" s="35" t="s">
        <v>224</v>
      </c>
      <c r="D14" s="20" t="s">
        <v>225</v>
      </c>
      <c r="E14" s="35" t="s">
        <v>70</v>
      </c>
      <c r="F14" s="35" t="s">
        <v>219</v>
      </c>
      <c r="G14" s="35"/>
      <c r="H14" s="35"/>
      <c r="I14" s="35"/>
      <c r="J14" s="35"/>
      <c r="K14" s="35"/>
      <c r="L14" s="35"/>
      <c r="M14" s="35"/>
      <c r="N14" s="35"/>
      <c r="O14" s="35" t="s">
        <v>226</v>
      </c>
    </row>
    <row r="15" spans="1:15" ht="28.5" x14ac:dyDescent="0.2">
      <c r="A15" s="36" t="s">
        <v>18</v>
      </c>
      <c r="B15" s="36" t="s">
        <v>15</v>
      </c>
      <c r="C15" s="35" t="s">
        <v>227</v>
      </c>
      <c r="D15" s="20" t="s">
        <v>228</v>
      </c>
      <c r="E15" s="35" t="s">
        <v>70</v>
      </c>
      <c r="F15" s="35" t="s">
        <v>219</v>
      </c>
      <c r="G15" s="35">
        <v>8</v>
      </c>
      <c r="H15" s="35"/>
      <c r="I15" s="35"/>
      <c r="J15" s="35"/>
      <c r="K15" s="35"/>
      <c r="L15" s="35"/>
      <c r="M15" s="35"/>
      <c r="N15" s="35"/>
      <c r="O15" s="35" t="s">
        <v>229</v>
      </c>
    </row>
    <row r="16" spans="1:15" ht="15" x14ac:dyDescent="0.2">
      <c r="A16" s="36" t="s">
        <v>18</v>
      </c>
      <c r="B16" s="36" t="s">
        <v>22</v>
      </c>
      <c r="C16" s="35" t="s">
        <v>271</v>
      </c>
      <c r="D16" s="20" t="s">
        <v>272</v>
      </c>
      <c r="E16" s="35" t="s">
        <v>70</v>
      </c>
      <c r="F16" s="35" t="s">
        <v>273</v>
      </c>
      <c r="G16" s="35"/>
      <c r="H16" s="35"/>
      <c r="I16" s="35"/>
      <c r="J16" s="35"/>
      <c r="K16" s="35"/>
      <c r="L16" s="35"/>
      <c r="M16" s="35"/>
      <c r="N16" s="35"/>
      <c r="O16" s="35" t="s">
        <v>274</v>
      </c>
    </row>
    <row r="17" spans="1:15" ht="15" x14ac:dyDescent="0.2">
      <c r="A17" s="36" t="s">
        <v>18</v>
      </c>
      <c r="B17" s="36" t="s">
        <v>15</v>
      </c>
      <c r="C17" s="35" t="s">
        <v>275</v>
      </c>
      <c r="D17" s="20" t="s">
        <v>276</v>
      </c>
      <c r="E17" s="35" t="s">
        <v>70</v>
      </c>
      <c r="F17" s="35" t="s">
        <v>277</v>
      </c>
      <c r="G17" s="35"/>
      <c r="H17" s="35"/>
      <c r="I17" s="35"/>
      <c r="J17" s="35"/>
      <c r="K17" s="35"/>
      <c r="L17" s="35"/>
      <c r="M17" s="35"/>
      <c r="N17" s="35"/>
      <c r="O17" s="35" t="s">
        <v>278</v>
      </c>
    </row>
    <row r="18" spans="1:15" ht="28.5" x14ac:dyDescent="0.2">
      <c r="A18" s="36" t="s">
        <v>18</v>
      </c>
      <c r="B18" s="36" t="s">
        <v>15</v>
      </c>
      <c r="C18" s="35" t="s">
        <v>279</v>
      </c>
      <c r="D18" s="20" t="s">
        <v>280</v>
      </c>
      <c r="E18" s="35" t="s">
        <v>113</v>
      </c>
      <c r="F18" s="35" t="s">
        <v>277</v>
      </c>
      <c r="G18" s="35"/>
      <c r="H18" s="35"/>
      <c r="I18" s="35"/>
      <c r="J18" s="35"/>
      <c r="K18" s="35"/>
      <c r="L18" s="35"/>
      <c r="M18" s="35"/>
      <c r="N18" s="35"/>
      <c r="O18" s="35" t="s">
        <v>281</v>
      </c>
    </row>
    <row r="19" spans="1:15" ht="15" x14ac:dyDescent="0.2">
      <c r="A19" s="36" t="s">
        <v>18</v>
      </c>
      <c r="B19" s="36" t="s">
        <v>20</v>
      </c>
      <c r="C19" s="35" t="s">
        <v>282</v>
      </c>
      <c r="D19" s="20" t="s">
        <v>283</v>
      </c>
      <c r="E19" s="35" t="s">
        <v>70</v>
      </c>
      <c r="F19" s="35" t="s">
        <v>277</v>
      </c>
      <c r="G19" s="35"/>
      <c r="H19" s="35"/>
      <c r="I19" s="35"/>
      <c r="J19" s="35"/>
      <c r="K19" s="35"/>
      <c r="L19" s="35"/>
      <c r="M19" s="35"/>
      <c r="N19" s="35"/>
      <c r="O19" s="35" t="s">
        <v>284</v>
      </c>
    </row>
    <row r="20" spans="1:15" ht="42.75" x14ac:dyDescent="0.2">
      <c r="A20" s="36" t="s">
        <v>24</v>
      </c>
      <c r="B20" s="36" t="s">
        <v>19</v>
      </c>
      <c r="C20" s="35" t="s">
        <v>285</v>
      </c>
      <c r="D20" s="20" t="s">
        <v>286</v>
      </c>
      <c r="E20" s="35" t="s">
        <v>113</v>
      </c>
      <c r="F20" s="35" t="s">
        <v>287</v>
      </c>
      <c r="G20" s="35"/>
      <c r="H20" s="35"/>
      <c r="I20" s="35"/>
      <c r="J20" s="35"/>
      <c r="K20" s="35"/>
      <c r="L20" s="35"/>
      <c r="M20" s="35"/>
      <c r="N20" s="35"/>
      <c r="O20" s="35" t="s">
        <v>288</v>
      </c>
    </row>
    <row r="21" spans="1:15" ht="42.75" x14ac:dyDescent="0.2">
      <c r="A21" s="36" t="s">
        <v>18</v>
      </c>
      <c r="B21" s="36" t="s">
        <v>19</v>
      </c>
      <c r="C21" s="35" t="s">
        <v>289</v>
      </c>
      <c r="D21" s="20" t="s">
        <v>290</v>
      </c>
      <c r="E21" s="35" t="s">
        <v>70</v>
      </c>
      <c r="F21" s="35" t="s">
        <v>291</v>
      </c>
      <c r="G21" s="35"/>
      <c r="H21" s="35"/>
      <c r="I21" s="35"/>
      <c r="J21" s="35"/>
      <c r="K21" s="35"/>
      <c r="L21" s="35">
        <v>0</v>
      </c>
      <c r="M21" s="35"/>
      <c r="N21" s="35">
        <v>0</v>
      </c>
      <c r="O21" s="35" t="s">
        <v>292</v>
      </c>
    </row>
    <row r="22" spans="1:15" ht="28.5" x14ac:dyDescent="0.2">
      <c r="A22" s="36" t="s">
        <v>18</v>
      </c>
      <c r="B22" s="36" t="s">
        <v>20</v>
      </c>
      <c r="C22" s="35" t="s">
        <v>293</v>
      </c>
      <c r="D22" s="20" t="s">
        <v>296</v>
      </c>
      <c r="E22" s="35" t="s">
        <v>70</v>
      </c>
      <c r="F22" s="35" t="s">
        <v>291</v>
      </c>
      <c r="G22" s="35"/>
      <c r="H22" s="35"/>
      <c r="I22" s="35"/>
      <c r="J22" s="35"/>
      <c r="K22" s="35"/>
      <c r="L22" s="35"/>
      <c r="M22" s="35"/>
      <c r="N22" s="35"/>
      <c r="O22" s="35" t="s">
        <v>297</v>
      </c>
    </row>
    <row r="23" spans="1:15" ht="15" x14ac:dyDescent="0.2">
      <c r="A23" s="36" t="s">
        <v>18</v>
      </c>
      <c r="B23" s="36" t="s">
        <v>21</v>
      </c>
      <c r="C23" s="35" t="s">
        <v>293</v>
      </c>
      <c r="D23" s="20" t="s">
        <v>294</v>
      </c>
      <c r="E23" s="35" t="s">
        <v>70</v>
      </c>
      <c r="F23" s="35" t="s">
        <v>291</v>
      </c>
      <c r="G23" s="35"/>
      <c r="H23" s="35"/>
      <c r="I23" s="35"/>
      <c r="J23" s="35"/>
      <c r="K23" s="35"/>
      <c r="L23" s="35"/>
      <c r="M23" s="35"/>
      <c r="N23" s="35"/>
      <c r="O23" s="35" t="s">
        <v>295</v>
      </c>
    </row>
    <row r="24" spans="1:15" ht="28.5" x14ac:dyDescent="0.2">
      <c r="A24" s="36" t="s">
        <v>24</v>
      </c>
      <c r="B24" s="36" t="s">
        <v>19</v>
      </c>
      <c r="C24" s="35" t="s">
        <v>298</v>
      </c>
      <c r="D24" s="20" t="s">
        <v>299</v>
      </c>
      <c r="E24" s="35" t="s">
        <v>113</v>
      </c>
      <c r="F24" s="35" t="s">
        <v>291</v>
      </c>
      <c r="G24" s="35"/>
      <c r="H24" s="35"/>
      <c r="I24" s="35"/>
      <c r="J24" s="35"/>
      <c r="K24" s="35"/>
      <c r="L24" s="35"/>
      <c r="M24" s="35"/>
      <c r="N24" s="35"/>
      <c r="O24" s="35" t="s">
        <v>300</v>
      </c>
    </row>
    <row r="25" spans="1:15" ht="42.75" x14ac:dyDescent="0.2">
      <c r="A25" s="36" t="s">
        <v>18</v>
      </c>
      <c r="B25" s="36" t="s">
        <v>19</v>
      </c>
      <c r="C25" s="35" t="s">
        <v>301</v>
      </c>
      <c r="D25" s="20" t="s">
        <v>302</v>
      </c>
      <c r="E25" s="35" t="s">
        <v>70</v>
      </c>
      <c r="F25" s="35" t="s">
        <v>291</v>
      </c>
      <c r="G25" s="35"/>
      <c r="H25" s="35"/>
      <c r="I25" s="35"/>
      <c r="J25" s="35"/>
      <c r="K25" s="35"/>
      <c r="L25" s="35"/>
      <c r="M25" s="35"/>
      <c r="N25" s="35"/>
      <c r="O25" s="35" t="s">
        <v>303</v>
      </c>
    </row>
    <row r="26" spans="1:15" ht="28.5" x14ac:dyDescent="0.2">
      <c r="A26" s="36" t="s">
        <v>18</v>
      </c>
      <c r="B26" s="36" t="s">
        <v>19</v>
      </c>
      <c r="C26" s="35" t="s">
        <v>304</v>
      </c>
      <c r="D26" s="20" t="s">
        <v>234</v>
      </c>
      <c r="E26" s="35" t="s">
        <v>70</v>
      </c>
      <c r="F26" s="35" t="s">
        <v>291</v>
      </c>
      <c r="G26" s="35"/>
      <c r="H26" s="35"/>
      <c r="I26" s="35"/>
      <c r="J26" s="35"/>
      <c r="K26" s="35"/>
      <c r="L26" s="35"/>
      <c r="M26" s="35"/>
      <c r="N26" s="35"/>
      <c r="O26" s="35" t="s">
        <v>305</v>
      </c>
    </row>
    <row r="27" spans="1:15" ht="42.75" x14ac:dyDescent="0.2">
      <c r="A27" s="36" t="s">
        <v>18</v>
      </c>
      <c r="B27" s="36" t="s">
        <v>21</v>
      </c>
      <c r="C27" s="35" t="s">
        <v>306</v>
      </c>
      <c r="D27" s="20" t="s">
        <v>307</v>
      </c>
      <c r="E27" s="35" t="s">
        <v>70</v>
      </c>
      <c r="F27" s="35" t="s">
        <v>291</v>
      </c>
      <c r="G27" s="35"/>
      <c r="H27" s="35"/>
      <c r="I27" s="35"/>
      <c r="J27" s="35"/>
      <c r="K27" s="35"/>
      <c r="L27" s="35"/>
      <c r="M27" s="35"/>
      <c r="N27" s="35"/>
      <c r="O27" s="35" t="s">
        <v>308</v>
      </c>
    </row>
    <row r="28" spans="1:15" ht="28.5" x14ac:dyDescent="0.2">
      <c r="A28" s="36" t="s">
        <v>18</v>
      </c>
      <c r="B28" s="36" t="s">
        <v>19</v>
      </c>
      <c r="C28" s="35" t="s">
        <v>309</v>
      </c>
      <c r="D28" s="20" t="s">
        <v>310</v>
      </c>
      <c r="E28" s="35" t="s">
        <v>70</v>
      </c>
      <c r="F28" s="35" t="s">
        <v>291</v>
      </c>
      <c r="G28" s="35"/>
      <c r="H28" s="35"/>
      <c r="I28" s="35"/>
      <c r="J28" s="35"/>
      <c r="K28" s="35"/>
      <c r="L28" s="35"/>
      <c r="M28" s="35"/>
      <c r="N28" s="35"/>
      <c r="O28" s="35" t="s">
        <v>311</v>
      </c>
    </row>
    <row r="29" spans="1:15" ht="28.5" x14ac:dyDescent="0.2">
      <c r="A29" s="36" t="s">
        <v>18</v>
      </c>
      <c r="B29" s="36" t="s">
        <v>20</v>
      </c>
      <c r="C29" s="35" t="s">
        <v>330</v>
      </c>
      <c r="D29" s="20" t="s">
        <v>331</v>
      </c>
      <c r="E29" s="35" t="s">
        <v>70</v>
      </c>
      <c r="F29" s="35"/>
      <c r="G29" s="35"/>
      <c r="H29" s="35"/>
      <c r="I29" s="35"/>
      <c r="J29" s="35"/>
      <c r="K29" s="35"/>
      <c r="L29" s="35"/>
      <c r="M29" s="35"/>
      <c r="N29" s="35"/>
      <c r="O29" s="35" t="s">
        <v>332</v>
      </c>
    </row>
    <row r="30" spans="1:15" ht="15" x14ac:dyDescent="0.2">
      <c r="A30" s="36" t="s">
        <v>18</v>
      </c>
      <c r="B30" s="36" t="s">
        <v>21</v>
      </c>
      <c r="C30" s="35" t="s">
        <v>333</v>
      </c>
      <c r="D30" s="20" t="s">
        <v>329</v>
      </c>
      <c r="E30" s="35" t="s">
        <v>70</v>
      </c>
      <c r="F30" s="35"/>
      <c r="G30" s="35">
        <v>13</v>
      </c>
      <c r="H30" s="35"/>
      <c r="I30" s="35"/>
      <c r="J30" s="35"/>
      <c r="K30" s="35"/>
      <c r="L30" s="35"/>
      <c r="M30" s="35"/>
      <c r="N30" s="35"/>
      <c r="O30" s="35" t="s">
        <v>334</v>
      </c>
    </row>
    <row r="31" spans="1:15" ht="15" x14ac:dyDescent="0.2">
      <c r="A31" s="36" t="s">
        <v>24</v>
      </c>
      <c r="B31" s="36" t="s">
        <v>19</v>
      </c>
      <c r="C31" s="35" t="s">
        <v>335</v>
      </c>
      <c r="D31" s="20" t="s">
        <v>336</v>
      </c>
      <c r="E31" s="35" t="s">
        <v>70</v>
      </c>
      <c r="F31" s="35"/>
      <c r="G31" s="35"/>
      <c r="H31" s="35"/>
      <c r="I31" s="35"/>
      <c r="J31" s="35"/>
      <c r="K31" s="35"/>
      <c r="L31" s="35"/>
      <c r="M31" s="35"/>
      <c r="N31" s="35"/>
      <c r="O31" s="35"/>
    </row>
    <row r="32" spans="1:15" ht="15" x14ac:dyDescent="0.2">
      <c r="A32" s="36" t="s">
        <v>24</v>
      </c>
      <c r="B32" s="36" t="s">
        <v>20</v>
      </c>
      <c r="C32" s="35" t="s">
        <v>337</v>
      </c>
      <c r="D32" s="20" t="s">
        <v>250</v>
      </c>
      <c r="E32" s="35" t="s">
        <v>70</v>
      </c>
      <c r="F32" s="35"/>
      <c r="G32" s="35"/>
      <c r="H32" s="35"/>
      <c r="I32" s="35"/>
      <c r="J32" s="35"/>
      <c r="K32" s="35"/>
      <c r="L32" s="35"/>
      <c r="M32" s="35"/>
      <c r="N32" s="35"/>
      <c r="O32" s="35" t="s">
        <v>248</v>
      </c>
    </row>
    <row r="33" spans="1:15" ht="15" x14ac:dyDescent="0.2">
      <c r="A33" s="36" t="s">
        <v>24</v>
      </c>
      <c r="B33" s="36" t="s">
        <v>20</v>
      </c>
      <c r="C33" s="35" t="s">
        <v>338</v>
      </c>
      <c r="D33" s="20" t="s">
        <v>339</v>
      </c>
      <c r="E33" s="35" t="s">
        <v>70</v>
      </c>
      <c r="F33" s="35"/>
      <c r="G33" s="35"/>
      <c r="H33" s="35"/>
      <c r="I33" s="35"/>
      <c r="J33" s="35"/>
      <c r="K33" s="35"/>
      <c r="L33" s="35"/>
      <c r="M33" s="35"/>
      <c r="N33" s="35"/>
      <c r="O33" s="35"/>
    </row>
    <row r="34" spans="1:15" ht="28.5" x14ac:dyDescent="0.2">
      <c r="A34" s="36" t="s">
        <v>18</v>
      </c>
      <c r="B34" s="36" t="s">
        <v>19</v>
      </c>
      <c r="C34" s="35" t="s">
        <v>340</v>
      </c>
      <c r="D34" s="20" t="s">
        <v>341</v>
      </c>
      <c r="E34" s="35" t="s">
        <v>70</v>
      </c>
      <c r="F34" s="35"/>
      <c r="G34" s="35">
        <v>13</v>
      </c>
      <c r="H34" s="35"/>
      <c r="I34" s="35"/>
      <c r="J34" s="35"/>
      <c r="K34" s="35"/>
      <c r="L34" s="35"/>
      <c r="M34" s="35"/>
      <c r="N34" s="35"/>
      <c r="O34" s="35" t="s">
        <v>342</v>
      </c>
    </row>
    <row r="35" spans="1:15" ht="28.5" x14ac:dyDescent="0.2">
      <c r="A35" s="36" t="s">
        <v>18</v>
      </c>
      <c r="B35" s="36" t="s">
        <v>19</v>
      </c>
      <c r="C35" s="35" t="s">
        <v>85</v>
      </c>
      <c r="D35" s="20" t="s">
        <v>88</v>
      </c>
      <c r="E35" s="35" t="s">
        <v>70</v>
      </c>
      <c r="F35" s="35"/>
      <c r="G35" s="35">
        <v>5</v>
      </c>
      <c r="H35" s="35"/>
      <c r="I35" s="35"/>
      <c r="J35" s="35"/>
      <c r="K35" s="35"/>
      <c r="L35" s="35"/>
      <c r="M35" s="35"/>
      <c r="N35" s="35"/>
      <c r="O35" s="35" t="s">
        <v>343</v>
      </c>
    </row>
    <row r="36" spans="1:15" ht="57" x14ac:dyDescent="0.2">
      <c r="A36" s="36" t="s">
        <v>18</v>
      </c>
      <c r="B36" s="36" t="s">
        <v>19</v>
      </c>
      <c r="C36" s="35" t="s">
        <v>344</v>
      </c>
      <c r="D36" s="20" t="s">
        <v>96</v>
      </c>
      <c r="E36" s="35" t="s">
        <v>70</v>
      </c>
      <c r="F36" s="35"/>
      <c r="G36" s="35">
        <v>13</v>
      </c>
      <c r="H36" s="35"/>
      <c r="I36" s="35"/>
      <c r="J36" s="35"/>
      <c r="K36" s="35"/>
      <c r="L36" s="35"/>
      <c r="M36" s="35"/>
      <c r="N36" s="35"/>
      <c r="O36" s="35" t="s">
        <v>834</v>
      </c>
    </row>
    <row r="37" spans="1:15" ht="15" x14ac:dyDescent="0.2">
      <c r="A37" s="36" t="s">
        <v>18</v>
      </c>
      <c r="B37" s="36" t="s">
        <v>15</v>
      </c>
      <c r="C37" s="35" t="s">
        <v>351</v>
      </c>
      <c r="D37" s="20" t="s">
        <v>201</v>
      </c>
      <c r="E37" s="35" t="s">
        <v>70</v>
      </c>
      <c r="F37" s="35"/>
      <c r="G37" s="35">
        <v>5</v>
      </c>
      <c r="H37" s="35"/>
      <c r="I37" s="35"/>
      <c r="J37" s="35"/>
      <c r="K37" s="35"/>
      <c r="L37" s="35"/>
      <c r="M37" s="35"/>
      <c r="N37" s="35"/>
      <c r="O37" s="35" t="s">
        <v>352</v>
      </c>
    </row>
    <row r="38" spans="1:15" ht="28.5" x14ac:dyDescent="0.2">
      <c r="A38" s="36" t="s">
        <v>18</v>
      </c>
      <c r="B38" s="36" t="s">
        <v>20</v>
      </c>
      <c r="C38" s="35" t="s">
        <v>353</v>
      </c>
      <c r="D38" s="20" t="s">
        <v>315</v>
      </c>
      <c r="E38" s="35" t="s">
        <v>70</v>
      </c>
      <c r="F38" s="35"/>
      <c r="G38" s="35"/>
      <c r="H38" s="35"/>
      <c r="I38" s="35"/>
      <c r="J38" s="35"/>
      <c r="K38" s="35"/>
      <c r="L38" s="35"/>
      <c r="M38" s="35"/>
      <c r="N38" s="35"/>
      <c r="O38" s="35" t="s">
        <v>354</v>
      </c>
    </row>
    <row r="39" spans="1:15" ht="15" x14ac:dyDescent="0.2">
      <c r="A39" s="36" t="s">
        <v>18</v>
      </c>
      <c r="B39" s="36" t="s">
        <v>19</v>
      </c>
      <c r="C39" s="35" t="s">
        <v>355</v>
      </c>
      <c r="D39" s="20" t="s">
        <v>149</v>
      </c>
      <c r="E39" s="35" t="s">
        <v>70</v>
      </c>
      <c r="F39" s="35"/>
      <c r="G39" s="35"/>
      <c r="H39" s="35"/>
      <c r="I39" s="35"/>
      <c r="J39" s="35"/>
      <c r="K39" s="35"/>
      <c r="L39" s="35"/>
      <c r="M39" s="35"/>
      <c r="N39" s="35"/>
      <c r="O39" s="35" t="s">
        <v>356</v>
      </c>
    </row>
    <row r="40" spans="1:15" ht="28.5" x14ac:dyDescent="0.2">
      <c r="A40" s="36" t="s">
        <v>18</v>
      </c>
      <c r="B40" s="36" t="s">
        <v>19</v>
      </c>
      <c r="C40" s="35" t="s">
        <v>355</v>
      </c>
      <c r="D40" s="20" t="s">
        <v>133</v>
      </c>
      <c r="E40" s="35" t="s">
        <v>70</v>
      </c>
      <c r="F40" s="35"/>
      <c r="G40" s="35"/>
      <c r="H40" s="35"/>
      <c r="I40" s="35"/>
      <c r="J40" s="35"/>
      <c r="K40" s="35"/>
      <c r="L40" s="35"/>
      <c r="M40" s="35"/>
      <c r="N40" s="35"/>
      <c r="O40" s="35" t="s">
        <v>357</v>
      </c>
    </row>
    <row r="41" spans="1:15" ht="28.5" x14ac:dyDescent="0.2">
      <c r="A41" s="36" t="s">
        <v>18</v>
      </c>
      <c r="B41" s="36" t="s">
        <v>19</v>
      </c>
      <c r="C41" s="35" t="s">
        <v>358</v>
      </c>
      <c r="D41" s="20" t="s">
        <v>129</v>
      </c>
      <c r="E41" s="35" t="s">
        <v>359</v>
      </c>
      <c r="F41" s="35"/>
      <c r="G41" s="35"/>
      <c r="H41" s="35"/>
      <c r="I41" s="35"/>
      <c r="J41" s="35"/>
      <c r="K41" s="35"/>
      <c r="L41" s="35"/>
      <c r="M41" s="35"/>
      <c r="N41" s="35"/>
      <c r="O41" s="35" t="s">
        <v>360</v>
      </c>
    </row>
    <row r="42" spans="1:15" ht="15" x14ac:dyDescent="0.2">
      <c r="A42" s="36" t="s">
        <v>18</v>
      </c>
      <c r="B42" s="36" t="s">
        <v>22</v>
      </c>
      <c r="C42" s="35" t="s">
        <v>361</v>
      </c>
      <c r="D42" s="20" t="s">
        <v>362</v>
      </c>
      <c r="E42" s="35" t="s">
        <v>70</v>
      </c>
      <c r="F42" s="35"/>
      <c r="G42" s="35"/>
      <c r="H42" s="35"/>
      <c r="I42" s="35"/>
      <c r="J42" s="35"/>
      <c r="K42" s="35"/>
      <c r="L42" s="35"/>
      <c r="M42" s="35"/>
      <c r="N42" s="35"/>
      <c r="O42" s="35"/>
    </row>
    <row r="43" spans="1:15" ht="28.5" x14ac:dyDescent="0.2">
      <c r="A43" s="36" t="s">
        <v>18</v>
      </c>
      <c r="B43" s="36" t="s">
        <v>20</v>
      </c>
      <c r="C43" s="35" t="s">
        <v>363</v>
      </c>
      <c r="D43" s="20" t="s">
        <v>364</v>
      </c>
      <c r="E43" s="35" t="s">
        <v>70</v>
      </c>
      <c r="F43" s="35"/>
      <c r="G43" s="35"/>
      <c r="H43" s="35"/>
      <c r="I43" s="35"/>
      <c r="J43" s="35"/>
      <c r="K43" s="35"/>
      <c r="L43" s="35"/>
      <c r="M43" s="35"/>
      <c r="N43" s="35"/>
      <c r="O43" s="35" t="s">
        <v>365</v>
      </c>
    </row>
    <row r="44" spans="1:15" ht="15" x14ac:dyDescent="0.2">
      <c r="A44" s="36" t="s">
        <v>18</v>
      </c>
      <c r="B44" s="36" t="s">
        <v>19</v>
      </c>
      <c r="C44" s="35" t="s">
        <v>366</v>
      </c>
      <c r="D44" s="20" t="s">
        <v>367</v>
      </c>
      <c r="E44" s="35" t="s">
        <v>70</v>
      </c>
      <c r="F44" s="35"/>
      <c r="G44" s="35"/>
      <c r="H44" s="35"/>
      <c r="I44" s="35"/>
      <c r="J44" s="35"/>
      <c r="K44" s="35"/>
      <c r="L44" s="35"/>
      <c r="M44" s="35"/>
      <c r="N44" s="35"/>
      <c r="O44" s="35" t="s">
        <v>368</v>
      </c>
    </row>
    <row r="45" spans="1:15" ht="57" x14ac:dyDescent="0.2">
      <c r="A45" s="36" t="s">
        <v>24</v>
      </c>
      <c r="B45" s="36" t="s">
        <v>25</v>
      </c>
      <c r="C45" s="35" t="s">
        <v>369</v>
      </c>
      <c r="D45" s="20" t="s">
        <v>76</v>
      </c>
      <c r="E45" s="35" t="s">
        <v>70</v>
      </c>
      <c r="F45" s="35"/>
      <c r="G45" s="35"/>
      <c r="H45" s="35"/>
      <c r="I45" s="35"/>
      <c r="J45" s="35"/>
      <c r="K45" s="35"/>
      <c r="L45" s="35"/>
      <c r="M45" s="35"/>
      <c r="N45" s="35"/>
      <c r="O45" s="35" t="s">
        <v>370</v>
      </c>
    </row>
    <row r="46" spans="1:15" ht="15" x14ac:dyDescent="0.2">
      <c r="A46" s="36" t="s">
        <v>18</v>
      </c>
      <c r="B46" s="36" t="s">
        <v>15</v>
      </c>
      <c r="C46" s="35" t="s">
        <v>371</v>
      </c>
      <c r="D46" s="20" t="s">
        <v>204</v>
      </c>
      <c r="E46" s="35" t="s">
        <v>70</v>
      </c>
      <c r="F46" s="35"/>
      <c r="G46" s="35">
        <v>3</v>
      </c>
      <c r="H46" s="35"/>
      <c r="I46" s="35"/>
      <c r="J46" s="35"/>
      <c r="K46" s="35"/>
      <c r="L46" s="35"/>
      <c r="M46" s="35"/>
      <c r="N46" s="35"/>
      <c r="O46" s="35" t="s">
        <v>372</v>
      </c>
    </row>
    <row r="47" spans="1:15" ht="15" x14ac:dyDescent="0.2">
      <c r="A47" s="36" t="s">
        <v>18</v>
      </c>
      <c r="B47" s="36" t="s">
        <v>19</v>
      </c>
      <c r="C47" s="35" t="s">
        <v>373</v>
      </c>
      <c r="D47" s="20" t="s">
        <v>198</v>
      </c>
      <c r="E47" s="35" t="s">
        <v>70</v>
      </c>
      <c r="F47" s="35"/>
      <c r="G47" s="35">
        <v>5</v>
      </c>
      <c r="H47" s="35"/>
      <c r="I47" s="35"/>
      <c r="J47" s="35"/>
      <c r="K47" s="35"/>
      <c r="L47" s="35"/>
      <c r="M47" s="35"/>
      <c r="N47" s="35"/>
      <c r="O47" s="35" t="s">
        <v>374</v>
      </c>
    </row>
    <row r="48" spans="1:15" ht="28.5" x14ac:dyDescent="0.2">
      <c r="A48" s="36" t="s">
        <v>18</v>
      </c>
      <c r="B48" s="36" t="s">
        <v>20</v>
      </c>
      <c r="C48" s="35" t="s">
        <v>375</v>
      </c>
      <c r="D48" s="20" t="s">
        <v>376</v>
      </c>
      <c r="E48" s="35" t="s">
        <v>70</v>
      </c>
      <c r="F48" s="35"/>
      <c r="G48" s="35"/>
      <c r="H48" s="35"/>
      <c r="I48" s="35"/>
      <c r="J48" s="35"/>
      <c r="K48" s="35"/>
      <c r="L48" s="35"/>
      <c r="M48" s="35"/>
      <c r="N48" s="35"/>
      <c r="O48" s="35" t="s">
        <v>239</v>
      </c>
    </row>
    <row r="49" spans="1:15" ht="42.75" x14ac:dyDescent="0.2">
      <c r="A49" s="36" t="s">
        <v>18</v>
      </c>
      <c r="B49" s="36" t="s">
        <v>19</v>
      </c>
      <c r="C49" s="35" t="s">
        <v>377</v>
      </c>
      <c r="D49" s="20" t="s">
        <v>91</v>
      </c>
      <c r="E49" s="35" t="s">
        <v>70</v>
      </c>
      <c r="F49" s="35"/>
      <c r="G49" s="35">
        <v>13</v>
      </c>
      <c r="H49" s="35"/>
      <c r="I49" s="35"/>
      <c r="J49" s="35"/>
      <c r="K49" s="35"/>
      <c r="L49" s="35"/>
      <c r="M49" s="35"/>
      <c r="N49" s="35"/>
      <c r="O49" s="35" t="s">
        <v>378</v>
      </c>
    </row>
    <row r="50" spans="1:15" ht="28.5" x14ac:dyDescent="0.2">
      <c r="A50" s="36" t="s">
        <v>18</v>
      </c>
      <c r="B50" s="36" t="s">
        <v>19</v>
      </c>
      <c r="C50" s="35" t="s">
        <v>833</v>
      </c>
      <c r="D50" s="20" t="s">
        <v>796</v>
      </c>
      <c r="E50" s="35" t="s">
        <v>70</v>
      </c>
      <c r="F50" s="35"/>
      <c r="G50" s="35"/>
      <c r="H50" s="35"/>
      <c r="I50" s="35"/>
      <c r="J50" s="35"/>
      <c r="K50" s="35"/>
      <c r="L50" s="35"/>
      <c r="M50" s="35"/>
      <c r="N50" s="35"/>
      <c r="O50" s="35" t="s">
        <v>832</v>
      </c>
    </row>
    <row r="51" spans="1:15" ht="15" x14ac:dyDescent="0.2">
      <c r="A51" s="36" t="s">
        <v>18</v>
      </c>
      <c r="B51" s="36" t="s">
        <v>15</v>
      </c>
      <c r="C51" s="35" t="s">
        <v>379</v>
      </c>
      <c r="D51" s="20" t="s">
        <v>181</v>
      </c>
      <c r="E51" s="35" t="s">
        <v>70</v>
      </c>
      <c r="F51" s="35"/>
      <c r="G51" s="35">
        <v>3</v>
      </c>
      <c r="H51" s="35"/>
      <c r="I51" s="35"/>
      <c r="J51" s="35"/>
      <c r="K51" s="35"/>
      <c r="L51" s="35"/>
      <c r="M51" s="35"/>
      <c r="N51" s="35"/>
      <c r="O51" s="35" t="s">
        <v>380</v>
      </c>
    </row>
    <row r="52" spans="1:15" ht="15" x14ac:dyDescent="0.2">
      <c r="A52" s="36" t="s">
        <v>18</v>
      </c>
      <c r="B52" s="36" t="s">
        <v>21</v>
      </c>
      <c r="C52" s="35" t="s">
        <v>207</v>
      </c>
      <c r="D52" s="20" t="s">
        <v>209</v>
      </c>
      <c r="E52" s="35" t="s">
        <v>70</v>
      </c>
      <c r="F52" s="35"/>
      <c r="G52" s="35">
        <v>8</v>
      </c>
      <c r="H52" s="35"/>
      <c r="I52" s="35"/>
      <c r="J52" s="35"/>
      <c r="K52" s="35"/>
      <c r="L52" s="35"/>
      <c r="M52" s="35"/>
      <c r="N52" s="35"/>
      <c r="O52" s="35" t="s">
        <v>208</v>
      </c>
    </row>
    <row r="53" spans="1:15" ht="15" x14ac:dyDescent="0.2">
      <c r="A53" s="36" t="s">
        <v>18</v>
      </c>
      <c r="B53" s="36" t="s">
        <v>19</v>
      </c>
      <c r="C53" s="35" t="s">
        <v>384</v>
      </c>
      <c r="D53" s="20" t="s">
        <v>385</v>
      </c>
      <c r="E53" s="35" t="s">
        <v>70</v>
      </c>
      <c r="F53" s="35"/>
      <c r="G53" s="35"/>
      <c r="H53" s="35"/>
      <c r="I53" s="35"/>
      <c r="J53" s="35"/>
      <c r="K53" s="35"/>
      <c r="L53" s="35"/>
      <c r="M53" s="35"/>
      <c r="N53" s="35"/>
      <c r="O53" s="35" t="s">
        <v>386</v>
      </c>
    </row>
    <row r="54" spans="1:15" ht="28.5" x14ac:dyDescent="0.2">
      <c r="A54" s="36" t="s">
        <v>18</v>
      </c>
      <c r="B54" s="36" t="s">
        <v>19</v>
      </c>
      <c r="C54" s="35" t="s">
        <v>387</v>
      </c>
      <c r="D54" s="20" t="s">
        <v>159</v>
      </c>
      <c r="E54" s="35" t="s">
        <v>70</v>
      </c>
      <c r="F54" s="35"/>
      <c r="G54" s="35"/>
      <c r="H54" s="35"/>
      <c r="I54" s="35"/>
      <c r="J54" s="35"/>
      <c r="K54" s="35"/>
      <c r="L54" s="35"/>
      <c r="M54" s="35"/>
      <c r="N54" s="35"/>
      <c r="O54" s="35" t="s">
        <v>388</v>
      </c>
    </row>
    <row r="55" spans="1:15" ht="28.5" x14ac:dyDescent="0.2">
      <c r="A55" s="36" t="s">
        <v>18</v>
      </c>
      <c r="B55" s="36" t="s">
        <v>19</v>
      </c>
      <c r="C55" s="35" t="s">
        <v>99</v>
      </c>
      <c r="D55" s="20" t="s">
        <v>101</v>
      </c>
      <c r="E55" s="35" t="s">
        <v>70</v>
      </c>
      <c r="F55" s="35"/>
      <c r="G55" s="35">
        <v>5</v>
      </c>
      <c r="H55" s="35"/>
      <c r="I55" s="35"/>
      <c r="J55" s="35"/>
      <c r="K55" s="35"/>
      <c r="L55" s="35"/>
      <c r="M55" s="35"/>
      <c r="N55" s="35"/>
      <c r="O55" s="35" t="s">
        <v>100</v>
      </c>
    </row>
    <row r="56" spans="1:15" ht="15" x14ac:dyDescent="0.2">
      <c r="A56" s="36" t="s">
        <v>18</v>
      </c>
      <c r="B56" s="36" t="s">
        <v>19</v>
      </c>
      <c r="C56" s="35" t="s">
        <v>392</v>
      </c>
      <c r="D56" s="20" t="s">
        <v>155</v>
      </c>
      <c r="E56" s="35" t="s">
        <v>70</v>
      </c>
      <c r="F56" s="35"/>
      <c r="G56" s="35"/>
      <c r="H56" s="35"/>
      <c r="I56" s="35"/>
      <c r="J56" s="35"/>
      <c r="K56" s="35"/>
      <c r="L56" s="35"/>
      <c r="M56" s="35"/>
      <c r="N56" s="35"/>
      <c r="O56" s="35" t="s">
        <v>393</v>
      </c>
    </row>
    <row r="57" spans="1:15" ht="15" x14ac:dyDescent="0.2">
      <c r="A57" s="36" t="s">
        <v>18</v>
      </c>
      <c r="B57" s="36" t="s">
        <v>15</v>
      </c>
      <c r="C57" s="35" t="s">
        <v>392</v>
      </c>
      <c r="D57" s="20" t="s">
        <v>394</v>
      </c>
      <c r="E57" s="35" t="s">
        <v>70</v>
      </c>
      <c r="F57" s="35"/>
      <c r="G57" s="35"/>
      <c r="H57" s="35"/>
      <c r="I57" s="35"/>
      <c r="J57" s="35"/>
      <c r="K57" s="35"/>
      <c r="L57" s="35"/>
      <c r="M57" s="35"/>
      <c r="N57" s="35"/>
      <c r="O57" s="35" t="s">
        <v>395</v>
      </c>
    </row>
    <row r="58" spans="1:15" x14ac:dyDescent="0.2">
      <c r="A58" s="100" t="s">
        <v>831</v>
      </c>
      <c r="B58" s="101"/>
      <c r="C58" s="101"/>
      <c r="D58" s="101"/>
      <c r="E58" s="101"/>
      <c r="F58" s="101"/>
      <c r="G58" s="101"/>
      <c r="H58" s="101"/>
      <c r="I58" s="101"/>
      <c r="J58" s="101"/>
      <c r="K58" s="101"/>
      <c r="L58" s="101"/>
      <c r="M58" s="101"/>
      <c r="N58" s="101"/>
      <c r="O58" s="102"/>
    </row>
  </sheetData>
  <mergeCells count="4">
    <mergeCell ref="A1:O1"/>
    <mergeCell ref="A2:O2"/>
    <mergeCell ref="A3:O3"/>
    <mergeCell ref="A58:O58"/>
  </mergeCells>
  <hyperlinks>
    <hyperlink ref="A2" r:id="rId1" display="https://webgate.ec.europa.eu/CITnet/jira/issues/?filter=238855"/>
    <hyperlink ref="D5" r:id="rId2" display="https://webgate.ec.europa.eu/CITnet/jira/browse/TSKACTION-217"/>
    <hyperlink ref="D6" r:id="rId3" display="https://webgate.ec.europa.eu/CITnet/jira/browse/CCDOCLIST-165"/>
    <hyperlink ref="D7" r:id="rId4" display="https://webgate.ec.europa.eu/CITnet/jira/browse/PROCESS-44"/>
    <hyperlink ref="D8" r:id="rId5" display="https://webgate.ec.europa.eu/CITnet/jira/browse/PROCESS-92"/>
    <hyperlink ref="D9" r:id="rId6" display="https://webgate.ec.europa.eu/CITnet/jira/browse/PROCESS-75"/>
    <hyperlink ref="D10" r:id="rId7" display="https://webgate.ec.europa.eu/CITnet/jira/browse/CCARCHITEC-37"/>
    <hyperlink ref="D11" r:id="rId8" display="https://webgate.ec.europa.eu/CITnet/jira/browse/COMPCORP-114"/>
    <hyperlink ref="D12" r:id="rId9" display="https://webgate.ec.europa.eu/CITnet/jira/browse/CCTASK-533"/>
    <hyperlink ref="D13" r:id="rId10" display="https://webgate.ec.europa.eu/CITnet/jira/browse/CCDOCLIST-156"/>
    <hyperlink ref="D14" r:id="rId11" display="https://webgate.ec.europa.eu/CITnet/jira/browse/CCDOCLIST-19"/>
    <hyperlink ref="D15" r:id="rId12" display="https://webgate.ec.europa.eu/CITnet/jira/browse/CCDOCLIST-157"/>
    <hyperlink ref="D16" r:id="rId13" display="https://webgate.ec.europa.eu/CITnet/jira/browse/CCTASK-534"/>
    <hyperlink ref="D17" r:id="rId14" display="https://webgate.ec.europa.eu/CITnet/jira/browse/CCDOCLIST-17"/>
    <hyperlink ref="D18" r:id="rId15" display="https://webgate.ec.europa.eu/CITnet/jira/browse/CCDOCLIST-27"/>
    <hyperlink ref="D19" r:id="rId16" display="https://webgate.ec.europa.eu/CITnet/jira/browse/CCDOCLIST-25"/>
    <hyperlink ref="D20" r:id="rId17" display="https://webgate.ec.europa.eu/CITnet/jira/browse/CCARCHITEC-49"/>
    <hyperlink ref="D21" r:id="rId18" display="https://webgate.ec.europa.eu/CITnet/jira/browse/TSKACTION-245"/>
    <hyperlink ref="D22" r:id="rId19" display="https://webgate.ec.europa.eu/CITnet/jira/browse/CCTASK-579"/>
    <hyperlink ref="D23" r:id="rId20" display="https://webgate.ec.europa.eu/CITnet/jira/browse/CCDOCLIST-181"/>
    <hyperlink ref="D24" r:id="rId21" display="https://webgate.ec.europa.eu/CITnet/jira/browse/CCTASK-527"/>
    <hyperlink ref="D25" r:id="rId22" display="https://webgate.ec.europa.eu/CITnet/jira/browse/CCTASK-272"/>
    <hyperlink ref="D26" r:id="rId23" display="https://webgate.ec.europa.eu/CITnet/jira/browse/CCTASK-519"/>
    <hyperlink ref="D27" r:id="rId24" display="https://webgate.ec.europa.eu/CITnet/jira/browse/CCDOCLIST-174"/>
    <hyperlink ref="D28" r:id="rId25" display="https://webgate.ec.europa.eu/CITnet/jira/browse/CCTASK-476"/>
    <hyperlink ref="D29" r:id="rId26" display="https://webgate.ec.europa.eu/CITnet/jira/browse/TSKACTION-56"/>
    <hyperlink ref="D30" r:id="rId27" display="https://webgate.ec.europa.eu/CITnet/jira/browse/INTERCOM-55"/>
    <hyperlink ref="D31" r:id="rId28" display="https://webgate.ec.europa.eu/CITnet/jira/browse/CCPMO-129"/>
    <hyperlink ref="D32" r:id="rId29" display="https://webgate.ec.europa.eu/CITnet/jira/browse/CCPMO-77"/>
    <hyperlink ref="D33" r:id="rId30" display="https://webgate.ec.europa.eu/CITnet/jira/browse/CCPMO-63"/>
    <hyperlink ref="D34" r:id="rId31" display="https://webgate.ec.europa.eu/CITnet/jira/browse/WAVECC-42"/>
    <hyperlink ref="D35" r:id="rId32" display="https://webgate.ec.europa.eu/CITnet/jira/browse/CCADMIN-42"/>
    <hyperlink ref="D36" r:id="rId33" display="https://webgate.ec.europa.eu/CITnet/jira/browse/INTERCOM-54"/>
    <hyperlink ref="D37" r:id="rId34" display="https://webgate.ec.europa.eu/CITnet/jira/browse/INTERCOM-71"/>
    <hyperlink ref="D38" r:id="rId35" display="https://webgate.ec.europa.eu/CITnet/jira/browse/PROCESS-98"/>
    <hyperlink ref="D39" r:id="rId36" display="https://webgate.ec.europa.eu/CITnet/jira/browse/PFM-125"/>
    <hyperlink ref="D40" r:id="rId37" display="https://webgate.ec.europa.eu/CITnet/jira/browse/PROCESS-95"/>
    <hyperlink ref="D41" r:id="rId38" display="https://webgate.ec.europa.eu/CITnet/jira/browse/PROCESS-33"/>
    <hyperlink ref="D42" r:id="rId39" display="https://webgate.ec.europa.eu/CITnet/jira/browse/CCTASK-532"/>
    <hyperlink ref="D43" r:id="rId40" display="https://webgate.ec.europa.eu/CITnet/jira/browse/CCDOCLIST-116"/>
    <hyperlink ref="D44" r:id="rId41" display="https://webgate.ec.europa.eu/CITnet/jira/browse/WAVECC-34"/>
    <hyperlink ref="D45" r:id="rId42" display="https://webgate.ec.europa.eu/CITnet/jira/browse/CCPMO-76"/>
    <hyperlink ref="D46" r:id="rId43" display="https://webgate.ec.europa.eu/CITnet/jira/browse/INTERCOM-75"/>
    <hyperlink ref="D47" r:id="rId44" display="https://webgate.ec.europa.eu/CITnet/jira/browse/CCADMIN-55"/>
    <hyperlink ref="D48" r:id="rId45" display="https://webgate.ec.europa.eu/CITnet/jira/browse/PROCESS-125"/>
    <hyperlink ref="D49" r:id="rId46" display="https://webgate.ec.europa.eu/CITnet/jira/browse/CCADMIN-44"/>
    <hyperlink ref="D50" r:id="rId47" display="https://webgate.ec.europa.eu/CITnet/jira/browse/INTERCOM-76"/>
    <hyperlink ref="D51" r:id="rId48" display="https://webgate.ec.europa.eu/CITnet/jira/browse/INTERCOM-59"/>
    <hyperlink ref="D52" r:id="rId49" display="https://webgate.ec.europa.eu/CITnet/jira/browse/INTERCOM-72"/>
    <hyperlink ref="D53" r:id="rId50" display="https://webgate.ec.europa.eu/CITnet/jira/browse/CCTASK-518"/>
    <hyperlink ref="D54" r:id="rId51" display="https://webgate.ec.europa.eu/CITnet/jira/browse/PFM-131"/>
    <hyperlink ref="D55" r:id="rId52" display="https://webgate.ec.europa.eu/CITnet/jira/browse/INTERCOM-52"/>
    <hyperlink ref="D56" r:id="rId53" display="https://webgate.ec.europa.eu/CITnet/jira/browse/PFM-126"/>
    <hyperlink ref="D57" r:id="rId54" display="https://webgate.ec.europa.eu/CITnet/jira/browse/PROCESS-96"/>
  </hyperlinks>
  <printOptions horizontalCentered="1" verticalCentered="1"/>
  <pageMargins left="0.25" right="0.25" top="0.25" bottom="0.5" header="0.5" footer="0.25"/>
  <pageSetup orientation="landscape" horizontalDpi="0" verticalDpi="0"/>
  <headerFooter>
    <oddFooter>&amp;R&amp;P of &amp;N</oddFooter>
  </headerFooter>
  <drawing r:id="rId5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002060"/>
  </sheetPr>
  <dimension ref="A1:O195"/>
  <sheetViews>
    <sheetView workbookViewId="0">
      <selection activeCell="C13" sqref="C13"/>
    </sheetView>
  </sheetViews>
  <sheetFormatPr defaultRowHeight="12" x14ac:dyDescent="0.2"/>
  <cols>
    <col min="1" max="1" width="10.5" style="34" bestFit="1" customWidth="1"/>
    <col min="2" max="2" width="10.25" style="34" bestFit="1" customWidth="1"/>
    <col min="3" max="3" width="32" style="34" bestFit="1" customWidth="1"/>
    <col min="4" max="4" width="13" style="34" bestFit="1" customWidth="1"/>
    <col min="5" max="5" width="31.125" style="34" bestFit="1" customWidth="1"/>
    <col min="6" max="6" width="32" style="34" bestFit="1" customWidth="1"/>
    <col min="7" max="7" width="11.75" style="34" bestFit="1" customWidth="1"/>
    <col min="8" max="8" width="9" style="34" bestFit="1" customWidth="1"/>
    <col min="9" max="9" width="17.875" style="34" bestFit="1" customWidth="1"/>
    <col min="10" max="10" width="20.375" style="34" bestFit="1" customWidth="1"/>
    <col min="11" max="11" width="8.5" style="34" bestFit="1" customWidth="1"/>
    <col min="12" max="12" width="14.125" style="34" bestFit="1" customWidth="1"/>
    <col min="13" max="13" width="14.625" style="34" bestFit="1" customWidth="1"/>
    <col min="14" max="14" width="14.5" style="34" bestFit="1" customWidth="1"/>
    <col min="15" max="15" width="32" style="34" bestFit="1" customWidth="1"/>
    <col min="16" max="16384" width="9" style="34"/>
  </cols>
  <sheetData>
    <row r="1" spans="1:15" ht="27" customHeight="1" x14ac:dyDescent="0.2">
      <c r="A1" s="94"/>
      <c r="B1" s="95"/>
      <c r="C1" s="95"/>
      <c r="D1" s="95"/>
      <c r="E1" s="95"/>
      <c r="F1" s="95"/>
      <c r="G1" s="95"/>
      <c r="H1" s="95"/>
      <c r="I1" s="95"/>
      <c r="J1" s="95"/>
      <c r="K1" s="95"/>
      <c r="L1" s="95"/>
      <c r="M1" s="95"/>
      <c r="N1" s="95"/>
      <c r="O1" s="96"/>
    </row>
    <row r="2" spans="1:15" ht="15" customHeight="1" x14ac:dyDescent="0.2">
      <c r="A2" s="76" t="s">
        <v>426</v>
      </c>
      <c r="B2" s="77"/>
      <c r="C2" s="77"/>
      <c r="D2" s="77"/>
      <c r="E2" s="77"/>
      <c r="F2" s="77"/>
      <c r="G2" s="77"/>
      <c r="H2" s="77"/>
      <c r="I2" s="77"/>
      <c r="J2" s="77"/>
      <c r="K2" s="77"/>
      <c r="L2" s="77"/>
      <c r="M2" s="77"/>
      <c r="N2" s="77"/>
      <c r="O2" s="78"/>
    </row>
    <row r="3" spans="1:15" ht="15" customHeight="1" x14ac:dyDescent="0.2">
      <c r="A3" s="97" t="s">
        <v>830</v>
      </c>
      <c r="B3" s="98"/>
      <c r="C3" s="98"/>
      <c r="D3" s="98"/>
      <c r="E3" s="98"/>
      <c r="F3" s="98"/>
      <c r="G3" s="98"/>
      <c r="H3" s="98"/>
      <c r="I3" s="98"/>
      <c r="J3" s="98"/>
      <c r="K3" s="98"/>
      <c r="L3" s="98"/>
      <c r="M3" s="98"/>
      <c r="N3" s="98"/>
      <c r="O3" s="99"/>
    </row>
    <row r="4" spans="1:15" ht="15" x14ac:dyDescent="0.2">
      <c r="A4" s="37" t="s">
        <v>4</v>
      </c>
      <c r="B4" s="37" t="s">
        <v>5</v>
      </c>
      <c r="C4" s="37" t="s">
        <v>54</v>
      </c>
      <c r="D4" s="37" t="s">
        <v>6</v>
      </c>
      <c r="E4" s="37" t="s">
        <v>7</v>
      </c>
      <c r="F4" s="37" t="s">
        <v>53</v>
      </c>
      <c r="G4" s="37" t="s">
        <v>8</v>
      </c>
      <c r="H4" s="37" t="s">
        <v>427</v>
      </c>
      <c r="I4" s="37" t="s">
        <v>429</v>
      </c>
      <c r="J4" s="37" t="s">
        <v>428</v>
      </c>
      <c r="K4" s="37" t="s">
        <v>9</v>
      </c>
      <c r="L4" s="37" t="s">
        <v>10</v>
      </c>
      <c r="M4" s="37" t="s">
        <v>52</v>
      </c>
      <c r="N4" s="37" t="s">
        <v>51</v>
      </c>
      <c r="O4" s="37" t="s">
        <v>11</v>
      </c>
    </row>
    <row r="5" spans="1:15" ht="28.5" x14ac:dyDescent="0.2">
      <c r="A5" s="36" t="s">
        <v>12</v>
      </c>
      <c r="B5" s="36" t="s">
        <v>14</v>
      </c>
      <c r="C5" s="35" t="s">
        <v>389</v>
      </c>
      <c r="D5" s="20" t="s">
        <v>390</v>
      </c>
      <c r="E5" s="35" t="s">
        <v>70</v>
      </c>
      <c r="F5" s="35"/>
      <c r="G5" s="35">
        <v>13</v>
      </c>
      <c r="H5" s="35"/>
      <c r="I5" s="35">
        <v>115200</v>
      </c>
      <c r="J5" s="35">
        <v>115200</v>
      </c>
      <c r="K5" s="35"/>
      <c r="L5" s="35"/>
      <c r="M5" s="35"/>
      <c r="N5" s="35"/>
      <c r="O5" s="35" t="s">
        <v>391</v>
      </c>
    </row>
    <row r="6" spans="1:15" ht="28.5" x14ac:dyDescent="0.2">
      <c r="A6" s="36" t="s">
        <v>12</v>
      </c>
      <c r="B6" s="36" t="s">
        <v>15</v>
      </c>
      <c r="C6" s="35" t="s">
        <v>186</v>
      </c>
      <c r="D6" s="20" t="s">
        <v>187</v>
      </c>
      <c r="E6" s="35" t="s">
        <v>70</v>
      </c>
      <c r="F6" s="35" t="s">
        <v>188</v>
      </c>
      <c r="G6" s="35">
        <v>13</v>
      </c>
      <c r="H6" s="35">
        <v>13</v>
      </c>
      <c r="I6" s="35">
        <v>115200</v>
      </c>
      <c r="J6" s="35">
        <v>115200</v>
      </c>
      <c r="K6" s="35"/>
      <c r="L6" s="35"/>
      <c r="M6" s="35"/>
      <c r="N6" s="35"/>
      <c r="O6" s="35" t="s">
        <v>189</v>
      </c>
    </row>
    <row r="7" spans="1:15" ht="15" x14ac:dyDescent="0.2">
      <c r="A7" s="36" t="s">
        <v>12</v>
      </c>
      <c r="B7" s="36" t="s">
        <v>14</v>
      </c>
      <c r="C7" s="35" t="s">
        <v>265</v>
      </c>
      <c r="D7" s="20" t="s">
        <v>266</v>
      </c>
      <c r="E7" s="35" t="s">
        <v>70</v>
      </c>
      <c r="F7" s="35" t="s">
        <v>267</v>
      </c>
      <c r="G7" s="35">
        <v>8</v>
      </c>
      <c r="H7" s="35"/>
      <c r="I7" s="35">
        <v>115200</v>
      </c>
      <c r="J7" s="35">
        <v>115200</v>
      </c>
      <c r="K7" s="35"/>
      <c r="L7" s="35"/>
      <c r="M7" s="35"/>
      <c r="N7" s="35"/>
      <c r="O7" s="35" t="s">
        <v>268</v>
      </c>
    </row>
    <row r="8" spans="1:15" ht="28.5" x14ac:dyDescent="0.2">
      <c r="A8" s="36" t="s">
        <v>12</v>
      </c>
      <c r="B8" s="36" t="s">
        <v>15</v>
      </c>
      <c r="C8" s="35" t="s">
        <v>441</v>
      </c>
      <c r="D8" s="20" t="s">
        <v>440</v>
      </c>
      <c r="E8" s="35" t="s">
        <v>442</v>
      </c>
      <c r="F8" s="35" t="s">
        <v>443</v>
      </c>
      <c r="G8" s="35">
        <v>5</v>
      </c>
      <c r="H8" s="35">
        <v>5</v>
      </c>
      <c r="I8" s="35">
        <v>259200</v>
      </c>
      <c r="J8" s="35">
        <v>259200</v>
      </c>
      <c r="K8" s="35"/>
      <c r="L8" s="35"/>
      <c r="M8" s="35"/>
      <c r="N8" s="35"/>
      <c r="O8" s="35" t="s">
        <v>439</v>
      </c>
    </row>
    <row r="9" spans="1:15" ht="42.75" x14ac:dyDescent="0.2">
      <c r="A9" s="36" t="s">
        <v>12</v>
      </c>
      <c r="B9" s="36" t="s">
        <v>106</v>
      </c>
      <c r="C9" s="35" t="s">
        <v>445</v>
      </c>
      <c r="D9" s="20" t="s">
        <v>444</v>
      </c>
      <c r="E9" s="35" t="s">
        <v>442</v>
      </c>
      <c r="F9" s="35" t="s">
        <v>447</v>
      </c>
      <c r="G9" s="35">
        <v>5</v>
      </c>
      <c r="H9" s="35"/>
      <c r="I9" s="35">
        <v>302400</v>
      </c>
      <c r="J9" s="35">
        <v>302400</v>
      </c>
      <c r="K9" s="35"/>
      <c r="L9" s="35"/>
      <c r="M9" s="35"/>
      <c r="N9" s="35"/>
      <c r="O9" s="35" t="s">
        <v>446</v>
      </c>
    </row>
    <row r="10" spans="1:15" ht="28.5" x14ac:dyDescent="0.2">
      <c r="A10" s="36" t="s">
        <v>12</v>
      </c>
      <c r="B10" s="36" t="s">
        <v>14</v>
      </c>
      <c r="C10" s="35" t="s">
        <v>829</v>
      </c>
      <c r="D10" s="20" t="s">
        <v>828</v>
      </c>
      <c r="E10" s="35"/>
      <c r="F10" s="35" t="s">
        <v>291</v>
      </c>
      <c r="G10" s="35">
        <v>5</v>
      </c>
      <c r="H10" s="35"/>
      <c r="I10" s="35">
        <v>28800</v>
      </c>
      <c r="J10" s="35">
        <v>28800</v>
      </c>
      <c r="K10" s="35"/>
      <c r="L10" s="35"/>
      <c r="M10" s="35"/>
      <c r="N10" s="35"/>
      <c r="O10" s="35"/>
    </row>
    <row r="11" spans="1:15" ht="28.5" x14ac:dyDescent="0.2">
      <c r="A11" s="36" t="s">
        <v>12</v>
      </c>
      <c r="B11" s="36" t="s">
        <v>13</v>
      </c>
      <c r="C11" s="35" t="s">
        <v>827</v>
      </c>
      <c r="D11" s="20" t="s">
        <v>826</v>
      </c>
      <c r="E11" s="35"/>
      <c r="F11" s="35" t="s">
        <v>219</v>
      </c>
      <c r="G11" s="35">
        <v>8</v>
      </c>
      <c r="H11" s="35"/>
      <c r="I11" s="35"/>
      <c r="J11" s="35"/>
      <c r="K11" s="35"/>
      <c r="L11" s="35"/>
      <c r="M11" s="35"/>
      <c r="N11" s="35"/>
      <c r="O11" s="35" t="s">
        <v>69</v>
      </c>
    </row>
    <row r="12" spans="1:15" ht="28.5" x14ac:dyDescent="0.2">
      <c r="A12" s="36" t="s">
        <v>12</v>
      </c>
      <c r="B12" s="36" t="s">
        <v>13</v>
      </c>
      <c r="C12" s="35" t="s">
        <v>825</v>
      </c>
      <c r="D12" s="20" t="s">
        <v>824</v>
      </c>
      <c r="E12" s="35"/>
      <c r="F12" s="35" t="s">
        <v>219</v>
      </c>
      <c r="G12" s="35"/>
      <c r="H12" s="35"/>
      <c r="I12" s="35"/>
      <c r="J12" s="35"/>
      <c r="K12" s="35"/>
      <c r="L12" s="35"/>
      <c r="M12" s="35"/>
      <c r="N12" s="35"/>
      <c r="O12" s="35" t="s">
        <v>290</v>
      </c>
    </row>
    <row r="13" spans="1:15" ht="28.5" x14ac:dyDescent="0.2">
      <c r="A13" s="36" t="s">
        <v>12</v>
      </c>
      <c r="B13" s="36" t="s">
        <v>14</v>
      </c>
      <c r="C13" s="35" t="s">
        <v>823</v>
      </c>
      <c r="D13" s="20" t="s">
        <v>822</v>
      </c>
      <c r="E13" s="35"/>
      <c r="F13" s="35" t="s">
        <v>219</v>
      </c>
      <c r="G13" s="35"/>
      <c r="H13" s="35"/>
      <c r="I13" s="35">
        <v>57600</v>
      </c>
      <c r="J13" s="35">
        <v>57600</v>
      </c>
      <c r="K13" s="35"/>
      <c r="L13" s="35"/>
      <c r="M13" s="35"/>
      <c r="N13" s="35"/>
      <c r="O13" s="35" t="s">
        <v>290</v>
      </c>
    </row>
    <row r="14" spans="1:15" ht="28.5" x14ac:dyDescent="0.2">
      <c r="A14" s="36" t="s">
        <v>12</v>
      </c>
      <c r="B14" s="36" t="s">
        <v>14</v>
      </c>
      <c r="C14" s="35" t="s">
        <v>821</v>
      </c>
      <c r="D14" s="20" t="s">
        <v>820</v>
      </c>
      <c r="E14" s="35"/>
      <c r="F14" s="35" t="s">
        <v>71</v>
      </c>
      <c r="G14" s="35">
        <v>8</v>
      </c>
      <c r="H14" s="35"/>
      <c r="I14" s="35">
        <v>7200</v>
      </c>
      <c r="J14" s="35">
        <v>7200</v>
      </c>
      <c r="K14" s="35"/>
      <c r="L14" s="35"/>
      <c r="M14" s="35"/>
      <c r="N14" s="35"/>
      <c r="O14" s="35" t="s">
        <v>819</v>
      </c>
    </row>
    <row r="15" spans="1:15" ht="28.5" x14ac:dyDescent="0.2">
      <c r="A15" s="36" t="s">
        <v>12</v>
      </c>
      <c r="B15" s="36" t="s">
        <v>15</v>
      </c>
      <c r="C15" s="35" t="s">
        <v>818</v>
      </c>
      <c r="D15" s="20" t="s">
        <v>817</v>
      </c>
      <c r="E15" s="35"/>
      <c r="F15" s="35" t="s">
        <v>655</v>
      </c>
      <c r="G15" s="35">
        <v>5</v>
      </c>
      <c r="H15" s="35">
        <v>5</v>
      </c>
      <c r="I15" s="35"/>
      <c r="J15" s="35"/>
      <c r="K15" s="35"/>
      <c r="L15" s="35"/>
      <c r="M15" s="35"/>
      <c r="N15" s="35"/>
      <c r="O15" s="35" t="s">
        <v>816</v>
      </c>
    </row>
    <row r="16" spans="1:15" ht="28.5" x14ac:dyDescent="0.2">
      <c r="A16" s="36" t="s">
        <v>12</v>
      </c>
      <c r="B16" s="36" t="s">
        <v>15</v>
      </c>
      <c r="C16" s="35" t="s">
        <v>815</v>
      </c>
      <c r="D16" s="20" t="s">
        <v>814</v>
      </c>
      <c r="E16" s="35"/>
      <c r="F16" s="35" t="s">
        <v>813</v>
      </c>
      <c r="G16" s="35">
        <v>5</v>
      </c>
      <c r="H16" s="35">
        <v>5</v>
      </c>
      <c r="I16" s="35">
        <v>216060</v>
      </c>
      <c r="J16" s="35">
        <v>216060</v>
      </c>
      <c r="K16" s="35"/>
      <c r="L16" s="35"/>
      <c r="M16" s="35"/>
      <c r="N16" s="35"/>
      <c r="O16" s="35" t="s">
        <v>69</v>
      </c>
    </row>
    <row r="17" spans="1:15" ht="28.5" x14ac:dyDescent="0.2">
      <c r="A17" s="36" t="s">
        <v>12</v>
      </c>
      <c r="B17" s="36" t="s">
        <v>14</v>
      </c>
      <c r="C17" s="35" t="s">
        <v>812</v>
      </c>
      <c r="D17" s="20" t="s">
        <v>811</v>
      </c>
      <c r="E17" s="35"/>
      <c r="F17" s="35" t="s">
        <v>71</v>
      </c>
      <c r="G17" s="35">
        <v>13</v>
      </c>
      <c r="H17" s="35"/>
      <c r="I17" s="35"/>
      <c r="J17" s="35"/>
      <c r="K17" s="35"/>
      <c r="L17" s="35"/>
      <c r="M17" s="35"/>
      <c r="N17" s="35"/>
      <c r="O17" s="35" t="s">
        <v>69</v>
      </c>
    </row>
    <row r="18" spans="1:15" ht="28.5" x14ac:dyDescent="0.2">
      <c r="A18" s="36" t="s">
        <v>12</v>
      </c>
      <c r="B18" s="36" t="s">
        <v>106</v>
      </c>
      <c r="C18" s="35" t="s">
        <v>139</v>
      </c>
      <c r="D18" s="20" t="s">
        <v>140</v>
      </c>
      <c r="E18" s="35" t="s">
        <v>70</v>
      </c>
      <c r="F18" s="35" t="s">
        <v>128</v>
      </c>
      <c r="G18" s="35"/>
      <c r="H18" s="35"/>
      <c r="I18" s="35"/>
      <c r="J18" s="35"/>
      <c r="K18" s="35"/>
      <c r="L18" s="35"/>
      <c r="M18" s="35"/>
      <c r="N18" s="35"/>
      <c r="O18" s="35"/>
    </row>
    <row r="19" spans="1:15" ht="28.5" x14ac:dyDescent="0.2">
      <c r="A19" s="36" t="s">
        <v>12</v>
      </c>
      <c r="B19" s="36" t="s">
        <v>106</v>
      </c>
      <c r="C19" s="35" t="s">
        <v>136</v>
      </c>
      <c r="D19" s="20" t="s">
        <v>137</v>
      </c>
      <c r="E19" s="35" t="s">
        <v>70</v>
      </c>
      <c r="F19" s="35" t="s">
        <v>138</v>
      </c>
      <c r="G19" s="35"/>
      <c r="H19" s="35"/>
      <c r="I19" s="35"/>
      <c r="J19" s="35"/>
      <c r="K19" s="35"/>
      <c r="L19" s="35"/>
      <c r="M19" s="35"/>
      <c r="N19" s="35"/>
      <c r="O19" s="35"/>
    </row>
    <row r="20" spans="1:15" ht="15" x14ac:dyDescent="0.2">
      <c r="A20" s="36" t="s">
        <v>12</v>
      </c>
      <c r="B20" s="36" t="s">
        <v>15</v>
      </c>
      <c r="C20" s="35" t="s">
        <v>810</v>
      </c>
      <c r="D20" s="20" t="s">
        <v>809</v>
      </c>
      <c r="E20" s="35"/>
      <c r="F20" s="35" t="s">
        <v>114</v>
      </c>
      <c r="G20" s="35"/>
      <c r="H20" s="35"/>
      <c r="I20" s="35"/>
      <c r="J20" s="35"/>
      <c r="K20" s="35"/>
      <c r="L20" s="35"/>
      <c r="M20" s="35"/>
      <c r="N20" s="35"/>
      <c r="O20" s="35"/>
    </row>
    <row r="21" spans="1:15" ht="28.5" x14ac:dyDescent="0.2">
      <c r="A21" s="36" t="s">
        <v>12</v>
      </c>
      <c r="B21" s="36" t="s">
        <v>13</v>
      </c>
      <c r="C21" s="35" t="s">
        <v>324</v>
      </c>
      <c r="D21" s="20" t="s">
        <v>325</v>
      </c>
      <c r="E21" s="35" t="s">
        <v>70</v>
      </c>
      <c r="F21" s="35" t="s">
        <v>314</v>
      </c>
      <c r="G21" s="35"/>
      <c r="H21" s="35"/>
      <c r="I21" s="35"/>
      <c r="J21" s="35"/>
      <c r="K21" s="35"/>
      <c r="L21" s="35"/>
      <c r="M21" s="35"/>
      <c r="N21" s="35"/>
      <c r="O21" s="35"/>
    </row>
    <row r="22" spans="1:15" ht="15" x14ac:dyDescent="0.2">
      <c r="A22" s="36" t="s">
        <v>12</v>
      </c>
      <c r="B22" s="36" t="s">
        <v>13</v>
      </c>
      <c r="C22" s="35" t="s">
        <v>322</v>
      </c>
      <c r="D22" s="20" t="s">
        <v>323</v>
      </c>
      <c r="E22" s="35" t="s">
        <v>70</v>
      </c>
      <c r="F22" s="35" t="s">
        <v>314</v>
      </c>
      <c r="G22" s="35">
        <v>3</v>
      </c>
      <c r="H22" s="35"/>
      <c r="I22" s="35"/>
      <c r="J22" s="35"/>
      <c r="K22" s="35"/>
      <c r="L22" s="35"/>
      <c r="M22" s="35"/>
      <c r="N22" s="35"/>
      <c r="O22" s="35" t="s">
        <v>121</v>
      </c>
    </row>
    <row r="23" spans="1:15" ht="28.5" x14ac:dyDescent="0.2">
      <c r="A23" s="36" t="s">
        <v>12</v>
      </c>
      <c r="B23" s="36" t="s">
        <v>13</v>
      </c>
      <c r="C23" s="35" t="s">
        <v>320</v>
      </c>
      <c r="D23" s="20" t="s">
        <v>321</v>
      </c>
      <c r="E23" s="35" t="s">
        <v>70</v>
      </c>
      <c r="F23" s="35" t="s">
        <v>314</v>
      </c>
      <c r="G23" s="35">
        <v>5</v>
      </c>
      <c r="H23" s="35"/>
      <c r="I23" s="35"/>
      <c r="J23" s="35"/>
      <c r="K23" s="35"/>
      <c r="L23" s="35"/>
      <c r="M23" s="35"/>
      <c r="N23" s="35"/>
      <c r="O23" s="35" t="s">
        <v>121</v>
      </c>
    </row>
    <row r="24" spans="1:15" ht="28.5" x14ac:dyDescent="0.2">
      <c r="A24" s="36" t="s">
        <v>12</v>
      </c>
      <c r="B24" s="36" t="s">
        <v>13</v>
      </c>
      <c r="C24" s="35" t="s">
        <v>318</v>
      </c>
      <c r="D24" s="20" t="s">
        <v>319</v>
      </c>
      <c r="E24" s="35" t="s">
        <v>70</v>
      </c>
      <c r="F24" s="35" t="s">
        <v>314</v>
      </c>
      <c r="G24" s="35">
        <v>3</v>
      </c>
      <c r="H24" s="35"/>
      <c r="I24" s="35"/>
      <c r="J24" s="35"/>
      <c r="K24" s="35"/>
      <c r="L24" s="35"/>
      <c r="M24" s="35"/>
      <c r="N24" s="35"/>
      <c r="O24" s="35" t="s">
        <v>315</v>
      </c>
    </row>
    <row r="25" spans="1:15" ht="28.5" x14ac:dyDescent="0.2">
      <c r="A25" s="36" t="s">
        <v>12</v>
      </c>
      <c r="B25" s="36" t="s">
        <v>13</v>
      </c>
      <c r="C25" s="35" t="s">
        <v>316</v>
      </c>
      <c r="D25" s="20" t="s">
        <v>317</v>
      </c>
      <c r="E25" s="35" t="s">
        <v>70</v>
      </c>
      <c r="F25" s="35" t="s">
        <v>314</v>
      </c>
      <c r="G25" s="35">
        <v>3</v>
      </c>
      <c r="H25" s="35"/>
      <c r="I25" s="35"/>
      <c r="J25" s="35"/>
      <c r="K25" s="35"/>
      <c r="L25" s="35"/>
      <c r="M25" s="35"/>
      <c r="N25" s="35"/>
      <c r="O25" s="35" t="s">
        <v>315</v>
      </c>
    </row>
    <row r="26" spans="1:15" ht="15" x14ac:dyDescent="0.2">
      <c r="A26" s="36" t="s">
        <v>12</v>
      </c>
      <c r="B26" s="36" t="s">
        <v>13</v>
      </c>
      <c r="C26" s="35" t="s">
        <v>312</v>
      </c>
      <c r="D26" s="20" t="s">
        <v>313</v>
      </c>
      <c r="E26" s="35" t="s">
        <v>70</v>
      </c>
      <c r="F26" s="35" t="s">
        <v>314</v>
      </c>
      <c r="G26" s="35">
        <v>1</v>
      </c>
      <c r="H26" s="35"/>
      <c r="I26" s="35"/>
      <c r="J26" s="35"/>
      <c r="K26" s="35"/>
      <c r="L26" s="35"/>
      <c r="M26" s="35"/>
      <c r="N26" s="35"/>
      <c r="O26" s="35" t="s">
        <v>315</v>
      </c>
    </row>
    <row r="27" spans="1:15" ht="42.75" x14ac:dyDescent="0.2">
      <c r="A27" s="36" t="s">
        <v>12</v>
      </c>
      <c r="B27" s="36" t="s">
        <v>13</v>
      </c>
      <c r="C27" s="35" t="s">
        <v>238</v>
      </c>
      <c r="D27" s="20" t="s">
        <v>239</v>
      </c>
      <c r="E27" s="35" t="s">
        <v>70</v>
      </c>
      <c r="F27" s="35" t="s">
        <v>237</v>
      </c>
      <c r="G27" s="35">
        <v>5</v>
      </c>
      <c r="H27" s="35"/>
      <c r="I27" s="35"/>
      <c r="J27" s="35"/>
      <c r="K27" s="35"/>
      <c r="L27" s="35"/>
      <c r="M27" s="35"/>
      <c r="N27" s="35"/>
      <c r="O27" s="35" t="s">
        <v>240</v>
      </c>
    </row>
    <row r="28" spans="1:15" ht="15" x14ac:dyDescent="0.2">
      <c r="A28" s="36" t="s">
        <v>12</v>
      </c>
      <c r="B28" s="36" t="s">
        <v>13</v>
      </c>
      <c r="C28" s="35" t="s">
        <v>235</v>
      </c>
      <c r="D28" s="20" t="s">
        <v>236</v>
      </c>
      <c r="E28" s="35" t="s">
        <v>70</v>
      </c>
      <c r="F28" s="35" t="s">
        <v>237</v>
      </c>
      <c r="G28" s="35">
        <v>13</v>
      </c>
      <c r="H28" s="35"/>
      <c r="I28" s="35"/>
      <c r="J28" s="35"/>
      <c r="K28" s="35"/>
      <c r="L28" s="35"/>
      <c r="M28" s="35"/>
      <c r="N28" s="35"/>
      <c r="O28" s="35" t="s">
        <v>118</v>
      </c>
    </row>
    <row r="29" spans="1:15" ht="28.5" x14ac:dyDescent="0.2">
      <c r="A29" s="36" t="s">
        <v>12</v>
      </c>
      <c r="B29" s="36" t="s">
        <v>13</v>
      </c>
      <c r="C29" s="35" t="s">
        <v>241</v>
      </c>
      <c r="D29" s="20" t="s">
        <v>242</v>
      </c>
      <c r="E29" s="35" t="s">
        <v>70</v>
      </c>
      <c r="F29" s="35" t="s">
        <v>237</v>
      </c>
      <c r="G29" s="35">
        <v>13</v>
      </c>
      <c r="H29" s="35"/>
      <c r="I29" s="35"/>
      <c r="J29" s="35"/>
      <c r="K29" s="35"/>
      <c r="L29" s="35"/>
      <c r="M29" s="35"/>
      <c r="N29" s="35"/>
      <c r="O29" s="35" t="s">
        <v>129</v>
      </c>
    </row>
    <row r="30" spans="1:15" ht="28.5" x14ac:dyDescent="0.2">
      <c r="A30" s="36" t="s">
        <v>12</v>
      </c>
      <c r="B30" s="36" t="s">
        <v>106</v>
      </c>
      <c r="C30" s="35" t="s">
        <v>143</v>
      </c>
      <c r="D30" s="20" t="s">
        <v>144</v>
      </c>
      <c r="E30" s="35" t="s">
        <v>70</v>
      </c>
      <c r="F30" s="35" t="s">
        <v>145</v>
      </c>
      <c r="G30" s="35">
        <v>1</v>
      </c>
      <c r="H30" s="35"/>
      <c r="I30" s="35"/>
      <c r="J30" s="35"/>
      <c r="K30" s="35"/>
      <c r="L30" s="35"/>
      <c r="M30" s="35"/>
      <c r="N30" s="35"/>
      <c r="O30" s="35" t="s">
        <v>129</v>
      </c>
    </row>
    <row r="31" spans="1:15" ht="42.75" x14ac:dyDescent="0.2">
      <c r="A31" s="36" t="s">
        <v>12</v>
      </c>
      <c r="B31" s="36" t="s">
        <v>14</v>
      </c>
      <c r="C31" s="35" t="s">
        <v>130</v>
      </c>
      <c r="D31" s="20" t="s">
        <v>131</v>
      </c>
      <c r="E31" s="35" t="s">
        <v>70</v>
      </c>
      <c r="F31" s="35" t="s">
        <v>132</v>
      </c>
      <c r="G31" s="35">
        <v>5</v>
      </c>
      <c r="H31" s="35"/>
      <c r="I31" s="35"/>
      <c r="J31" s="35"/>
      <c r="K31" s="35"/>
      <c r="L31" s="35"/>
      <c r="M31" s="35"/>
      <c r="N31" s="35"/>
      <c r="O31" s="35" t="s">
        <v>133</v>
      </c>
    </row>
    <row r="32" spans="1:15" ht="28.5" x14ac:dyDescent="0.2">
      <c r="A32" s="36" t="s">
        <v>12</v>
      </c>
      <c r="B32" s="36" t="s">
        <v>106</v>
      </c>
      <c r="C32" s="35" t="s">
        <v>134</v>
      </c>
      <c r="D32" s="20" t="s">
        <v>135</v>
      </c>
      <c r="E32" s="35" t="s">
        <v>70</v>
      </c>
      <c r="F32" s="35" t="s">
        <v>128</v>
      </c>
      <c r="G32" s="35">
        <v>5</v>
      </c>
      <c r="H32" s="35"/>
      <c r="I32" s="35"/>
      <c r="J32" s="35"/>
      <c r="K32" s="35"/>
      <c r="L32" s="35"/>
      <c r="M32" s="35"/>
      <c r="N32" s="35"/>
      <c r="O32" s="35" t="s">
        <v>133</v>
      </c>
    </row>
    <row r="33" spans="1:15" ht="28.5" x14ac:dyDescent="0.2">
      <c r="A33" s="36" t="s">
        <v>12</v>
      </c>
      <c r="B33" s="36" t="s">
        <v>106</v>
      </c>
      <c r="C33" s="35" t="s">
        <v>141</v>
      </c>
      <c r="D33" s="20" t="s">
        <v>142</v>
      </c>
      <c r="E33" s="35" t="s">
        <v>70</v>
      </c>
      <c r="F33" s="35" t="s">
        <v>128</v>
      </c>
      <c r="G33" s="35">
        <v>3</v>
      </c>
      <c r="H33" s="35"/>
      <c r="I33" s="35"/>
      <c r="J33" s="35"/>
      <c r="K33" s="35"/>
      <c r="L33" s="35"/>
      <c r="M33" s="35"/>
      <c r="N33" s="35"/>
      <c r="O33" s="35" t="s">
        <v>133</v>
      </c>
    </row>
    <row r="34" spans="1:15" ht="28.5" x14ac:dyDescent="0.2">
      <c r="A34" s="36" t="s">
        <v>12</v>
      </c>
      <c r="B34" s="36" t="s">
        <v>106</v>
      </c>
      <c r="C34" s="35" t="s">
        <v>126</v>
      </c>
      <c r="D34" s="20" t="s">
        <v>127</v>
      </c>
      <c r="E34" s="35" t="s">
        <v>70</v>
      </c>
      <c r="F34" s="35" t="s">
        <v>128</v>
      </c>
      <c r="G34" s="35">
        <v>8</v>
      </c>
      <c r="H34" s="35"/>
      <c r="I34" s="35"/>
      <c r="J34" s="35"/>
      <c r="K34" s="35"/>
      <c r="L34" s="35"/>
      <c r="M34" s="35"/>
      <c r="N34" s="35"/>
      <c r="O34" s="35" t="s">
        <v>129</v>
      </c>
    </row>
    <row r="35" spans="1:15" ht="42.75" x14ac:dyDescent="0.2">
      <c r="A35" s="36" t="s">
        <v>12</v>
      </c>
      <c r="B35" s="36" t="s">
        <v>106</v>
      </c>
      <c r="C35" s="35" t="s">
        <v>107</v>
      </c>
      <c r="D35" s="20" t="s">
        <v>108</v>
      </c>
      <c r="E35" s="35" t="s">
        <v>70</v>
      </c>
      <c r="F35" s="35" t="s">
        <v>109</v>
      </c>
      <c r="G35" s="35">
        <v>3</v>
      </c>
      <c r="H35" s="35"/>
      <c r="I35" s="35"/>
      <c r="J35" s="35"/>
      <c r="K35" s="35"/>
      <c r="L35" s="35"/>
      <c r="M35" s="35"/>
      <c r="N35" s="35"/>
      <c r="O35" s="35" t="s">
        <v>110</v>
      </c>
    </row>
    <row r="36" spans="1:15" ht="42.75" x14ac:dyDescent="0.2">
      <c r="A36" s="36" t="s">
        <v>12</v>
      </c>
      <c r="B36" s="36" t="s">
        <v>106</v>
      </c>
      <c r="C36" s="35" t="s">
        <v>123</v>
      </c>
      <c r="D36" s="20" t="s">
        <v>124</v>
      </c>
      <c r="E36" s="35" t="s">
        <v>70</v>
      </c>
      <c r="F36" s="35" t="s">
        <v>109</v>
      </c>
      <c r="G36" s="35">
        <v>3</v>
      </c>
      <c r="H36" s="35"/>
      <c r="I36" s="35"/>
      <c r="J36" s="35"/>
      <c r="K36" s="35"/>
      <c r="L36" s="35"/>
      <c r="M36" s="35"/>
      <c r="N36" s="35"/>
      <c r="O36" s="35" t="s">
        <v>125</v>
      </c>
    </row>
    <row r="37" spans="1:15" ht="28.5" x14ac:dyDescent="0.2">
      <c r="A37" s="36" t="s">
        <v>12</v>
      </c>
      <c r="B37" s="36" t="s">
        <v>17</v>
      </c>
      <c r="C37" s="35" t="s">
        <v>449</v>
      </c>
      <c r="D37" s="20" t="s">
        <v>448</v>
      </c>
      <c r="E37" s="35" t="s">
        <v>442</v>
      </c>
      <c r="F37" s="35"/>
      <c r="G37" s="35"/>
      <c r="H37" s="35"/>
      <c r="I37" s="35">
        <v>7200</v>
      </c>
      <c r="J37" s="35">
        <v>7200</v>
      </c>
      <c r="K37" s="35"/>
      <c r="L37" s="35"/>
      <c r="M37" s="35"/>
      <c r="N37" s="35"/>
      <c r="O37" s="35"/>
    </row>
    <row r="38" spans="1:15" ht="28.5" x14ac:dyDescent="0.2">
      <c r="A38" s="36" t="s">
        <v>12</v>
      </c>
      <c r="B38" s="36" t="s">
        <v>15</v>
      </c>
      <c r="C38" s="35" t="s">
        <v>451</v>
      </c>
      <c r="D38" s="20" t="s">
        <v>450</v>
      </c>
      <c r="E38" s="35" t="s">
        <v>442</v>
      </c>
      <c r="F38" s="35" t="s">
        <v>452</v>
      </c>
      <c r="G38" s="35"/>
      <c r="H38" s="35"/>
      <c r="I38" s="35"/>
      <c r="J38" s="35"/>
      <c r="K38" s="35"/>
      <c r="L38" s="35"/>
      <c r="M38" s="35"/>
      <c r="N38" s="35"/>
      <c r="O38" s="35"/>
    </row>
    <row r="39" spans="1:15" ht="42.75" x14ac:dyDescent="0.2">
      <c r="A39" s="36" t="s">
        <v>12</v>
      </c>
      <c r="B39" s="36" t="s">
        <v>15</v>
      </c>
      <c r="C39" s="35" t="s">
        <v>454</v>
      </c>
      <c r="D39" s="20" t="s">
        <v>453</v>
      </c>
      <c r="E39" s="35" t="s">
        <v>442</v>
      </c>
      <c r="F39" s="35" t="s">
        <v>455</v>
      </c>
      <c r="G39" s="35">
        <v>3</v>
      </c>
      <c r="H39" s="35">
        <v>3</v>
      </c>
      <c r="I39" s="35"/>
      <c r="J39" s="35"/>
      <c r="K39" s="35"/>
      <c r="L39" s="35"/>
      <c r="M39" s="35"/>
      <c r="N39" s="35"/>
      <c r="O39" s="35"/>
    </row>
    <row r="40" spans="1:15" ht="28.5" x14ac:dyDescent="0.2">
      <c r="A40" s="36" t="s">
        <v>12</v>
      </c>
      <c r="B40" s="36" t="s">
        <v>15</v>
      </c>
      <c r="C40" s="35" t="s">
        <v>111</v>
      </c>
      <c r="D40" s="20" t="s">
        <v>112</v>
      </c>
      <c r="E40" s="35" t="s">
        <v>113</v>
      </c>
      <c r="F40" s="35" t="s">
        <v>114</v>
      </c>
      <c r="G40" s="35"/>
      <c r="H40" s="35"/>
      <c r="I40" s="35"/>
      <c r="J40" s="35"/>
      <c r="K40" s="35"/>
      <c r="L40" s="35"/>
      <c r="M40" s="35"/>
      <c r="N40" s="35"/>
      <c r="O40" s="35" t="s">
        <v>110</v>
      </c>
    </row>
    <row r="41" spans="1:15" ht="28.5" x14ac:dyDescent="0.2">
      <c r="A41" s="36" t="s">
        <v>12</v>
      </c>
      <c r="B41" s="36" t="s">
        <v>13</v>
      </c>
      <c r="C41" s="35" t="s">
        <v>457</v>
      </c>
      <c r="D41" s="20" t="s">
        <v>456</v>
      </c>
      <c r="E41" s="35" t="s">
        <v>442</v>
      </c>
      <c r="F41" s="35" t="s">
        <v>459</v>
      </c>
      <c r="G41" s="35"/>
      <c r="H41" s="35"/>
      <c r="I41" s="35"/>
      <c r="J41" s="35"/>
      <c r="K41" s="35"/>
      <c r="L41" s="35"/>
      <c r="M41" s="35"/>
      <c r="N41" s="35"/>
      <c r="O41" s="35" t="s">
        <v>458</v>
      </c>
    </row>
    <row r="42" spans="1:15" ht="15" x14ac:dyDescent="0.2">
      <c r="A42" s="36" t="s">
        <v>12</v>
      </c>
      <c r="B42" s="36" t="s">
        <v>13</v>
      </c>
      <c r="C42" s="35" t="s">
        <v>461</v>
      </c>
      <c r="D42" s="20" t="s">
        <v>460</v>
      </c>
      <c r="E42" s="35" t="s">
        <v>442</v>
      </c>
      <c r="F42" s="35"/>
      <c r="G42" s="35"/>
      <c r="H42" s="35"/>
      <c r="I42" s="35"/>
      <c r="J42" s="35"/>
      <c r="K42" s="35"/>
      <c r="L42" s="35"/>
      <c r="M42" s="35"/>
      <c r="N42" s="35"/>
      <c r="O42" s="35" t="s">
        <v>121</v>
      </c>
    </row>
    <row r="43" spans="1:15" ht="42.75" x14ac:dyDescent="0.2">
      <c r="A43" s="36" t="s">
        <v>12</v>
      </c>
      <c r="B43" s="36" t="s">
        <v>13</v>
      </c>
      <c r="C43" s="35" t="s">
        <v>349</v>
      </c>
      <c r="D43" s="20" t="s">
        <v>350</v>
      </c>
      <c r="E43" s="35" t="s">
        <v>113</v>
      </c>
      <c r="F43" s="35"/>
      <c r="G43" s="35"/>
      <c r="H43" s="35"/>
      <c r="I43" s="35"/>
      <c r="J43" s="35"/>
      <c r="K43" s="35"/>
      <c r="L43" s="35"/>
      <c r="M43" s="35"/>
      <c r="N43" s="35"/>
      <c r="O43" s="35" t="s">
        <v>121</v>
      </c>
    </row>
    <row r="44" spans="1:15" ht="28.5" x14ac:dyDescent="0.2">
      <c r="A44" s="36" t="s">
        <v>12</v>
      </c>
      <c r="B44" s="36" t="s">
        <v>15</v>
      </c>
      <c r="C44" s="35" t="s">
        <v>160</v>
      </c>
      <c r="D44" s="20" t="s">
        <v>161</v>
      </c>
      <c r="E44" s="35" t="s">
        <v>70</v>
      </c>
      <c r="F44" s="35" t="s">
        <v>158</v>
      </c>
      <c r="G44" s="35"/>
      <c r="H44" s="35"/>
      <c r="I44" s="35"/>
      <c r="J44" s="35"/>
      <c r="K44" s="35"/>
      <c r="L44" s="35"/>
      <c r="M44" s="35"/>
      <c r="N44" s="35"/>
      <c r="O44" s="35"/>
    </row>
    <row r="45" spans="1:15" ht="28.5" x14ac:dyDescent="0.2">
      <c r="A45" s="36" t="s">
        <v>12</v>
      </c>
      <c r="B45" s="36" t="s">
        <v>15</v>
      </c>
      <c r="C45" s="35" t="s">
        <v>156</v>
      </c>
      <c r="D45" s="20" t="s">
        <v>157</v>
      </c>
      <c r="E45" s="35" t="s">
        <v>70</v>
      </c>
      <c r="F45" s="35" t="s">
        <v>158</v>
      </c>
      <c r="G45" s="35">
        <v>5</v>
      </c>
      <c r="H45" s="35">
        <v>5</v>
      </c>
      <c r="I45" s="35">
        <v>86400</v>
      </c>
      <c r="J45" s="35">
        <v>86400</v>
      </c>
      <c r="K45" s="35"/>
      <c r="L45" s="35"/>
      <c r="M45" s="35"/>
      <c r="N45" s="35"/>
      <c r="O45" s="35" t="s">
        <v>159</v>
      </c>
    </row>
    <row r="46" spans="1:15" ht="15" x14ac:dyDescent="0.2">
      <c r="A46" s="36" t="s">
        <v>12</v>
      </c>
      <c r="B46" s="36" t="s">
        <v>17</v>
      </c>
      <c r="C46" s="35" t="s">
        <v>808</v>
      </c>
      <c r="D46" s="20" t="s">
        <v>807</v>
      </c>
      <c r="E46" s="35"/>
      <c r="F46" s="35" t="s">
        <v>152</v>
      </c>
      <c r="G46" s="35"/>
      <c r="H46" s="35"/>
      <c r="I46" s="35"/>
      <c r="J46" s="35"/>
      <c r="K46" s="35"/>
      <c r="L46" s="35"/>
      <c r="M46" s="35"/>
      <c r="N46" s="35"/>
      <c r="O46" s="35"/>
    </row>
    <row r="47" spans="1:15" ht="15" x14ac:dyDescent="0.2">
      <c r="A47" s="36" t="s">
        <v>12</v>
      </c>
      <c r="B47" s="36" t="s">
        <v>13</v>
      </c>
      <c r="C47" s="35" t="s">
        <v>243</v>
      </c>
      <c r="D47" s="20" t="s">
        <v>244</v>
      </c>
      <c r="E47" s="35" t="s">
        <v>70</v>
      </c>
      <c r="F47" s="35" t="s">
        <v>245</v>
      </c>
      <c r="G47" s="35">
        <v>2</v>
      </c>
      <c r="H47" s="35"/>
      <c r="I47" s="35"/>
      <c r="J47" s="35"/>
      <c r="K47" s="35"/>
      <c r="L47" s="35"/>
      <c r="M47" s="35"/>
      <c r="N47" s="35"/>
      <c r="O47" s="35" t="s">
        <v>246</v>
      </c>
    </row>
    <row r="48" spans="1:15" ht="28.5" x14ac:dyDescent="0.2">
      <c r="A48" s="36" t="s">
        <v>12</v>
      </c>
      <c r="B48" s="36" t="s">
        <v>13</v>
      </c>
      <c r="C48" s="35" t="s">
        <v>170</v>
      </c>
      <c r="D48" s="20" t="s">
        <v>171</v>
      </c>
      <c r="E48" s="35" t="s">
        <v>70</v>
      </c>
      <c r="F48" s="35" t="s">
        <v>172</v>
      </c>
      <c r="G48" s="35">
        <v>5</v>
      </c>
      <c r="H48" s="35"/>
      <c r="I48" s="35"/>
      <c r="J48" s="35"/>
      <c r="K48" s="35"/>
      <c r="L48" s="35"/>
      <c r="M48" s="35"/>
      <c r="N48" s="35"/>
      <c r="O48" s="35" t="s">
        <v>173</v>
      </c>
    </row>
    <row r="49" spans="1:15" ht="15" x14ac:dyDescent="0.2">
      <c r="A49" s="36" t="s">
        <v>12</v>
      </c>
      <c r="B49" s="36" t="s">
        <v>106</v>
      </c>
      <c r="C49" s="35" t="s">
        <v>174</v>
      </c>
      <c r="D49" s="20" t="s">
        <v>175</v>
      </c>
      <c r="E49" s="35" t="s">
        <v>70</v>
      </c>
      <c r="F49" s="35" t="s">
        <v>169</v>
      </c>
      <c r="G49" s="35">
        <v>8</v>
      </c>
      <c r="H49" s="35"/>
      <c r="I49" s="35"/>
      <c r="J49" s="35"/>
      <c r="K49" s="35"/>
      <c r="L49" s="35"/>
      <c r="M49" s="35"/>
      <c r="N49" s="35"/>
      <c r="O49" s="35" t="s">
        <v>173</v>
      </c>
    </row>
    <row r="50" spans="1:15" ht="15" x14ac:dyDescent="0.2">
      <c r="A50" s="36" t="s">
        <v>12</v>
      </c>
      <c r="B50" s="36" t="s">
        <v>106</v>
      </c>
      <c r="C50" s="35" t="s">
        <v>176</v>
      </c>
      <c r="D50" s="20" t="s">
        <v>177</v>
      </c>
      <c r="E50" s="35" t="s">
        <v>70</v>
      </c>
      <c r="F50" s="35" t="s">
        <v>169</v>
      </c>
      <c r="G50" s="35">
        <v>5</v>
      </c>
      <c r="H50" s="35"/>
      <c r="I50" s="35"/>
      <c r="J50" s="35"/>
      <c r="K50" s="35"/>
      <c r="L50" s="35"/>
      <c r="M50" s="35"/>
      <c r="N50" s="35"/>
      <c r="O50" s="35" t="s">
        <v>173</v>
      </c>
    </row>
    <row r="51" spans="1:15" ht="28.5" x14ac:dyDescent="0.2">
      <c r="A51" s="36" t="s">
        <v>12</v>
      </c>
      <c r="B51" s="36" t="s">
        <v>106</v>
      </c>
      <c r="C51" s="35" t="s">
        <v>167</v>
      </c>
      <c r="D51" s="20" t="s">
        <v>168</v>
      </c>
      <c r="E51" s="35" t="s">
        <v>70</v>
      </c>
      <c r="F51" s="35" t="s">
        <v>169</v>
      </c>
      <c r="G51" s="35">
        <v>5</v>
      </c>
      <c r="H51" s="35"/>
      <c r="I51" s="35">
        <v>86400</v>
      </c>
      <c r="J51" s="35">
        <v>86400</v>
      </c>
      <c r="K51" s="35"/>
      <c r="L51" s="35"/>
      <c r="M51" s="35"/>
      <c r="N51" s="35"/>
      <c r="O51" s="35" t="s">
        <v>149</v>
      </c>
    </row>
    <row r="52" spans="1:15" ht="42.75" x14ac:dyDescent="0.2">
      <c r="A52" s="36" t="s">
        <v>12</v>
      </c>
      <c r="B52" s="36" t="s">
        <v>13</v>
      </c>
      <c r="C52" s="35" t="s">
        <v>162</v>
      </c>
      <c r="D52" s="20" t="s">
        <v>163</v>
      </c>
      <c r="E52" s="35" t="s">
        <v>70</v>
      </c>
      <c r="F52" s="35" t="s">
        <v>164</v>
      </c>
      <c r="G52" s="35">
        <v>8</v>
      </c>
      <c r="H52" s="35"/>
      <c r="I52" s="35">
        <v>0</v>
      </c>
      <c r="J52" s="35">
        <v>0</v>
      </c>
      <c r="K52" s="35"/>
      <c r="L52" s="35"/>
      <c r="M52" s="35"/>
      <c r="N52" s="35"/>
      <c r="O52" s="35" t="s">
        <v>159</v>
      </c>
    </row>
    <row r="53" spans="1:15" ht="42.75" x14ac:dyDescent="0.2">
      <c r="A53" s="36" t="s">
        <v>12</v>
      </c>
      <c r="B53" s="36" t="s">
        <v>13</v>
      </c>
      <c r="C53" s="35" t="s">
        <v>165</v>
      </c>
      <c r="D53" s="20" t="s">
        <v>166</v>
      </c>
      <c r="E53" s="35" t="s">
        <v>70</v>
      </c>
      <c r="F53" s="35" t="s">
        <v>164</v>
      </c>
      <c r="G53" s="35">
        <v>5</v>
      </c>
      <c r="H53" s="35"/>
      <c r="I53" s="35">
        <v>120</v>
      </c>
      <c r="J53" s="35">
        <v>120</v>
      </c>
      <c r="K53" s="35"/>
      <c r="L53" s="35"/>
      <c r="M53" s="35"/>
      <c r="N53" s="35"/>
      <c r="O53" s="35" t="s">
        <v>159</v>
      </c>
    </row>
    <row r="54" spans="1:15" ht="28.5" x14ac:dyDescent="0.2">
      <c r="A54" s="36" t="s">
        <v>12</v>
      </c>
      <c r="B54" s="36" t="s">
        <v>15</v>
      </c>
      <c r="C54" s="35" t="s">
        <v>123</v>
      </c>
      <c r="D54" s="20" t="s">
        <v>153</v>
      </c>
      <c r="E54" s="35" t="s">
        <v>70</v>
      </c>
      <c r="F54" s="35" t="s">
        <v>154</v>
      </c>
      <c r="G54" s="35">
        <v>3</v>
      </c>
      <c r="H54" s="35">
        <v>3</v>
      </c>
      <c r="I54" s="35">
        <v>28800</v>
      </c>
      <c r="J54" s="35">
        <v>28800</v>
      </c>
      <c r="K54" s="35"/>
      <c r="L54" s="35"/>
      <c r="M54" s="35"/>
      <c r="N54" s="35"/>
      <c r="O54" s="35" t="s">
        <v>155</v>
      </c>
    </row>
    <row r="55" spans="1:15" ht="57" x14ac:dyDescent="0.2">
      <c r="A55" s="36" t="s">
        <v>12</v>
      </c>
      <c r="B55" s="36" t="s">
        <v>14</v>
      </c>
      <c r="C55" s="35" t="s">
        <v>146</v>
      </c>
      <c r="D55" s="20" t="s">
        <v>147</v>
      </c>
      <c r="E55" s="35" t="s">
        <v>70</v>
      </c>
      <c r="F55" s="35" t="s">
        <v>148</v>
      </c>
      <c r="G55" s="35">
        <v>5</v>
      </c>
      <c r="H55" s="35"/>
      <c r="I55" s="35"/>
      <c r="J55" s="35"/>
      <c r="K55" s="35"/>
      <c r="L55" s="35"/>
      <c r="M55" s="35"/>
      <c r="N55" s="35"/>
      <c r="O55" s="35" t="s">
        <v>149</v>
      </c>
    </row>
    <row r="56" spans="1:15" ht="28.5" x14ac:dyDescent="0.2">
      <c r="A56" s="36" t="s">
        <v>12</v>
      </c>
      <c r="B56" s="36" t="s">
        <v>17</v>
      </c>
      <c r="C56" s="35" t="s">
        <v>150</v>
      </c>
      <c r="D56" s="20" t="s">
        <v>151</v>
      </c>
      <c r="E56" s="35" t="s">
        <v>70</v>
      </c>
      <c r="F56" s="35" t="s">
        <v>152</v>
      </c>
      <c r="G56" s="35">
        <v>3</v>
      </c>
      <c r="H56" s="35"/>
      <c r="I56" s="35"/>
      <c r="J56" s="35"/>
      <c r="K56" s="35"/>
      <c r="L56" s="35"/>
      <c r="M56" s="35"/>
      <c r="N56" s="35"/>
      <c r="O56" s="35"/>
    </row>
    <row r="57" spans="1:15" ht="42.75" x14ac:dyDescent="0.2">
      <c r="A57" s="36" t="s">
        <v>12</v>
      </c>
      <c r="B57" s="36" t="s">
        <v>15</v>
      </c>
      <c r="C57" s="35" t="s">
        <v>463</v>
      </c>
      <c r="D57" s="20" t="s">
        <v>462</v>
      </c>
      <c r="E57" s="35" t="s">
        <v>442</v>
      </c>
      <c r="F57" s="35" t="s">
        <v>464</v>
      </c>
      <c r="G57" s="35">
        <v>3</v>
      </c>
      <c r="H57" s="35">
        <v>3</v>
      </c>
      <c r="I57" s="35">
        <v>57780</v>
      </c>
      <c r="J57" s="35">
        <v>57780</v>
      </c>
      <c r="K57" s="35"/>
      <c r="L57" s="35"/>
      <c r="M57" s="35"/>
      <c r="N57" s="35"/>
      <c r="O57" s="35"/>
    </row>
    <row r="58" spans="1:15" ht="42.75" x14ac:dyDescent="0.2">
      <c r="A58" s="36" t="s">
        <v>12</v>
      </c>
      <c r="B58" s="36" t="s">
        <v>15</v>
      </c>
      <c r="C58" s="35" t="s">
        <v>466</v>
      </c>
      <c r="D58" s="20" t="s">
        <v>465</v>
      </c>
      <c r="E58" s="35" t="s">
        <v>442</v>
      </c>
      <c r="F58" s="35" t="s">
        <v>468</v>
      </c>
      <c r="G58" s="35">
        <v>2</v>
      </c>
      <c r="H58" s="35">
        <v>2</v>
      </c>
      <c r="I58" s="35">
        <v>115200</v>
      </c>
      <c r="J58" s="35">
        <v>115200</v>
      </c>
      <c r="K58" s="35"/>
      <c r="L58" s="35"/>
      <c r="M58" s="35"/>
      <c r="N58" s="35"/>
      <c r="O58" s="35" t="s">
        <v>467</v>
      </c>
    </row>
    <row r="59" spans="1:15" ht="28.5" x14ac:dyDescent="0.2">
      <c r="A59" s="36" t="s">
        <v>12</v>
      </c>
      <c r="B59" s="36" t="s">
        <v>106</v>
      </c>
      <c r="C59" s="35" t="s">
        <v>470</v>
      </c>
      <c r="D59" s="20" t="s">
        <v>469</v>
      </c>
      <c r="E59" s="35" t="s">
        <v>442</v>
      </c>
      <c r="F59" s="35" t="s">
        <v>471</v>
      </c>
      <c r="G59" s="35">
        <v>5</v>
      </c>
      <c r="H59" s="35"/>
      <c r="I59" s="35">
        <v>115500</v>
      </c>
      <c r="J59" s="35">
        <v>300</v>
      </c>
      <c r="K59" s="35"/>
      <c r="L59" s="35"/>
      <c r="M59" s="35"/>
      <c r="N59" s="35"/>
      <c r="O59" s="35"/>
    </row>
    <row r="60" spans="1:15" ht="28.5" x14ac:dyDescent="0.2">
      <c r="A60" s="36" t="s">
        <v>12</v>
      </c>
      <c r="B60" s="36" t="s">
        <v>106</v>
      </c>
      <c r="C60" s="35" t="s">
        <v>473</v>
      </c>
      <c r="D60" s="20" t="s">
        <v>472</v>
      </c>
      <c r="E60" s="35" t="s">
        <v>442</v>
      </c>
      <c r="F60" s="35" t="s">
        <v>471</v>
      </c>
      <c r="G60" s="35">
        <v>5</v>
      </c>
      <c r="H60" s="35"/>
      <c r="I60" s="35">
        <v>57600</v>
      </c>
      <c r="J60" s="35">
        <v>57600</v>
      </c>
      <c r="K60" s="35"/>
      <c r="L60" s="35"/>
      <c r="M60" s="35"/>
      <c r="N60" s="35"/>
      <c r="O60" s="35" t="s">
        <v>474</v>
      </c>
    </row>
    <row r="61" spans="1:15" ht="28.5" x14ac:dyDescent="0.2">
      <c r="A61" s="36" t="s">
        <v>12</v>
      </c>
      <c r="B61" s="36" t="s">
        <v>106</v>
      </c>
      <c r="C61" s="35" t="s">
        <v>476</v>
      </c>
      <c r="D61" s="20" t="s">
        <v>475</v>
      </c>
      <c r="E61" s="35" t="s">
        <v>442</v>
      </c>
      <c r="F61" s="35" t="s">
        <v>477</v>
      </c>
      <c r="G61" s="35">
        <v>3</v>
      </c>
      <c r="H61" s="35"/>
      <c r="I61" s="35">
        <v>7200</v>
      </c>
      <c r="J61" s="35">
        <v>7200</v>
      </c>
      <c r="K61" s="35"/>
      <c r="L61" s="35"/>
      <c r="M61" s="35"/>
      <c r="N61" s="35"/>
      <c r="O61" s="35" t="s">
        <v>474</v>
      </c>
    </row>
    <row r="62" spans="1:15" ht="15" x14ac:dyDescent="0.2">
      <c r="A62" s="36" t="s">
        <v>12</v>
      </c>
      <c r="B62" s="36" t="s">
        <v>15</v>
      </c>
      <c r="C62" s="35" t="s">
        <v>479</v>
      </c>
      <c r="D62" s="20" t="s">
        <v>478</v>
      </c>
      <c r="E62" s="35" t="s">
        <v>442</v>
      </c>
      <c r="F62" s="35" t="s">
        <v>481</v>
      </c>
      <c r="G62" s="35">
        <v>3</v>
      </c>
      <c r="H62" s="35">
        <v>3</v>
      </c>
      <c r="I62" s="35"/>
      <c r="J62" s="35"/>
      <c r="K62" s="35"/>
      <c r="L62" s="35"/>
      <c r="M62" s="35"/>
      <c r="N62" s="35"/>
      <c r="O62" s="35" t="s">
        <v>480</v>
      </c>
    </row>
    <row r="63" spans="1:15" ht="42.75" x14ac:dyDescent="0.2">
      <c r="A63" s="36" t="s">
        <v>12</v>
      </c>
      <c r="B63" s="36" t="s">
        <v>13</v>
      </c>
      <c r="C63" s="35" t="s">
        <v>346</v>
      </c>
      <c r="D63" s="20" t="s">
        <v>347</v>
      </c>
      <c r="E63" s="35" t="s">
        <v>113</v>
      </c>
      <c r="F63" s="35"/>
      <c r="G63" s="35"/>
      <c r="H63" s="35"/>
      <c r="I63" s="35"/>
      <c r="J63" s="35"/>
      <c r="K63" s="35"/>
      <c r="L63" s="35"/>
      <c r="M63" s="35"/>
      <c r="N63" s="35"/>
      <c r="O63" s="35" t="s">
        <v>348</v>
      </c>
    </row>
    <row r="64" spans="1:15" ht="15" x14ac:dyDescent="0.2">
      <c r="A64" s="36" t="s">
        <v>12</v>
      </c>
      <c r="B64" s="36" t="s">
        <v>15</v>
      </c>
      <c r="C64" s="35" t="s">
        <v>483</v>
      </c>
      <c r="D64" s="20" t="s">
        <v>482</v>
      </c>
      <c r="E64" s="35" t="s">
        <v>442</v>
      </c>
      <c r="F64" s="35" t="s">
        <v>485</v>
      </c>
      <c r="G64" s="35">
        <v>5</v>
      </c>
      <c r="H64" s="35">
        <v>5</v>
      </c>
      <c r="I64" s="35"/>
      <c r="J64" s="35"/>
      <c r="K64" s="35"/>
      <c r="L64" s="35"/>
      <c r="M64" s="35"/>
      <c r="N64" s="35"/>
      <c r="O64" s="35" t="s">
        <v>484</v>
      </c>
    </row>
    <row r="65" spans="1:15" ht="15" x14ac:dyDescent="0.2">
      <c r="A65" s="36" t="s">
        <v>12</v>
      </c>
      <c r="B65" s="36" t="s">
        <v>106</v>
      </c>
      <c r="C65" s="35" t="s">
        <v>487</v>
      </c>
      <c r="D65" s="20" t="s">
        <v>486</v>
      </c>
      <c r="E65" s="35" t="s">
        <v>442</v>
      </c>
      <c r="F65" s="35" t="s">
        <v>477</v>
      </c>
      <c r="G65" s="35">
        <v>2</v>
      </c>
      <c r="H65" s="35"/>
      <c r="I65" s="35">
        <v>100800</v>
      </c>
      <c r="J65" s="35">
        <v>100800</v>
      </c>
      <c r="K65" s="35"/>
      <c r="L65" s="35"/>
      <c r="M65" s="35"/>
      <c r="N65" s="35"/>
      <c r="O65" s="35" t="s">
        <v>488</v>
      </c>
    </row>
    <row r="66" spans="1:15" ht="28.5" x14ac:dyDescent="0.2">
      <c r="A66" s="36" t="s">
        <v>12</v>
      </c>
      <c r="B66" s="36" t="s">
        <v>13</v>
      </c>
      <c r="C66" s="35" t="s">
        <v>490</v>
      </c>
      <c r="D66" s="20" t="s">
        <v>489</v>
      </c>
      <c r="E66" s="35" t="s">
        <v>442</v>
      </c>
      <c r="F66" s="35" t="s">
        <v>491</v>
      </c>
      <c r="G66" s="35">
        <v>10</v>
      </c>
      <c r="H66" s="35"/>
      <c r="I66" s="35"/>
      <c r="J66" s="35"/>
      <c r="K66" s="35"/>
      <c r="L66" s="35"/>
      <c r="M66" s="35"/>
      <c r="N66" s="35"/>
      <c r="O66" s="35" t="s">
        <v>173</v>
      </c>
    </row>
    <row r="67" spans="1:15" ht="42.75" x14ac:dyDescent="0.2">
      <c r="A67" s="36" t="s">
        <v>12</v>
      </c>
      <c r="B67" s="36" t="s">
        <v>13</v>
      </c>
      <c r="C67" s="35" t="s">
        <v>493</v>
      </c>
      <c r="D67" s="20" t="s">
        <v>492</v>
      </c>
      <c r="E67" s="35" t="s">
        <v>442</v>
      </c>
      <c r="F67" s="35" t="s">
        <v>464</v>
      </c>
      <c r="G67" s="35">
        <v>10</v>
      </c>
      <c r="H67" s="35"/>
      <c r="I67" s="35">
        <v>144000</v>
      </c>
      <c r="J67" s="35">
        <v>144000</v>
      </c>
      <c r="K67" s="35"/>
      <c r="L67" s="35"/>
      <c r="M67" s="35"/>
      <c r="N67" s="35"/>
      <c r="O67" s="35" t="s">
        <v>173</v>
      </c>
    </row>
    <row r="68" spans="1:15" ht="57" x14ac:dyDescent="0.2">
      <c r="A68" s="36" t="s">
        <v>12</v>
      </c>
      <c r="B68" s="36" t="s">
        <v>13</v>
      </c>
      <c r="C68" s="35" t="s">
        <v>495</v>
      </c>
      <c r="D68" s="20" t="s">
        <v>494</v>
      </c>
      <c r="E68" s="35" t="s">
        <v>442</v>
      </c>
      <c r="F68" s="35" t="s">
        <v>496</v>
      </c>
      <c r="G68" s="35">
        <v>10</v>
      </c>
      <c r="H68" s="35"/>
      <c r="I68" s="35"/>
      <c r="J68" s="35"/>
      <c r="K68" s="35"/>
      <c r="L68" s="35"/>
      <c r="M68" s="35"/>
      <c r="N68" s="35"/>
      <c r="O68" s="35" t="s">
        <v>173</v>
      </c>
    </row>
    <row r="69" spans="1:15" ht="28.5" x14ac:dyDescent="0.2">
      <c r="A69" s="36" t="s">
        <v>12</v>
      </c>
      <c r="B69" s="36" t="s">
        <v>15</v>
      </c>
      <c r="C69" s="35" t="s">
        <v>498</v>
      </c>
      <c r="D69" s="20" t="s">
        <v>497</v>
      </c>
      <c r="E69" s="35" t="s">
        <v>442</v>
      </c>
      <c r="F69" s="35" t="s">
        <v>477</v>
      </c>
      <c r="G69" s="35">
        <v>2</v>
      </c>
      <c r="H69" s="35">
        <v>2</v>
      </c>
      <c r="I69" s="35"/>
      <c r="J69" s="35"/>
      <c r="K69" s="35"/>
      <c r="L69" s="35"/>
      <c r="M69" s="35"/>
      <c r="N69" s="35"/>
      <c r="O69" s="35" t="s">
        <v>488</v>
      </c>
    </row>
    <row r="70" spans="1:15" ht="28.5" x14ac:dyDescent="0.2">
      <c r="A70" s="36" t="s">
        <v>12</v>
      </c>
      <c r="B70" s="36" t="s">
        <v>106</v>
      </c>
      <c r="C70" s="35" t="s">
        <v>500</v>
      </c>
      <c r="D70" s="20" t="s">
        <v>499</v>
      </c>
      <c r="E70" s="35" t="s">
        <v>442</v>
      </c>
      <c r="F70" s="35" t="s">
        <v>477</v>
      </c>
      <c r="G70" s="35">
        <v>3</v>
      </c>
      <c r="H70" s="35"/>
      <c r="I70" s="35">
        <v>28800</v>
      </c>
      <c r="J70" s="35">
        <v>28800</v>
      </c>
      <c r="K70" s="35"/>
      <c r="L70" s="35"/>
      <c r="M70" s="35"/>
      <c r="N70" s="35"/>
      <c r="O70" s="35" t="s">
        <v>501</v>
      </c>
    </row>
    <row r="71" spans="1:15" ht="42.75" x14ac:dyDescent="0.2">
      <c r="A71" s="36" t="s">
        <v>12</v>
      </c>
      <c r="B71" s="36" t="s">
        <v>13</v>
      </c>
      <c r="C71" s="35" t="s">
        <v>396</v>
      </c>
      <c r="D71" s="20" t="s">
        <v>397</v>
      </c>
      <c r="E71" s="35" t="s">
        <v>113</v>
      </c>
      <c r="F71" s="35"/>
      <c r="G71" s="35"/>
      <c r="H71" s="35"/>
      <c r="I71" s="35"/>
      <c r="J71" s="35"/>
      <c r="K71" s="35"/>
      <c r="L71" s="35"/>
      <c r="M71" s="35"/>
      <c r="N71" s="35"/>
      <c r="O71" s="35" t="s">
        <v>246</v>
      </c>
    </row>
    <row r="72" spans="1:15" ht="42.75" x14ac:dyDescent="0.2">
      <c r="A72" s="36" t="s">
        <v>12</v>
      </c>
      <c r="B72" s="36" t="s">
        <v>15</v>
      </c>
      <c r="C72" s="35" t="s">
        <v>503</v>
      </c>
      <c r="D72" s="20" t="s">
        <v>502</v>
      </c>
      <c r="E72" s="35" t="s">
        <v>442</v>
      </c>
      <c r="F72" s="35" t="s">
        <v>491</v>
      </c>
      <c r="G72" s="35">
        <v>2</v>
      </c>
      <c r="H72" s="35">
        <v>2</v>
      </c>
      <c r="I72" s="35">
        <v>28800</v>
      </c>
      <c r="J72" s="35">
        <v>28800</v>
      </c>
      <c r="K72" s="35"/>
      <c r="L72" s="35"/>
      <c r="M72" s="35"/>
      <c r="N72" s="35"/>
      <c r="O72" s="35" t="s">
        <v>504</v>
      </c>
    </row>
    <row r="73" spans="1:15" ht="42.75" x14ac:dyDescent="0.2">
      <c r="A73" s="36" t="s">
        <v>12</v>
      </c>
      <c r="B73" s="36" t="s">
        <v>106</v>
      </c>
      <c r="C73" s="35" t="s">
        <v>506</v>
      </c>
      <c r="D73" s="20" t="s">
        <v>505</v>
      </c>
      <c r="E73" s="35" t="s">
        <v>442</v>
      </c>
      <c r="F73" s="35" t="s">
        <v>491</v>
      </c>
      <c r="G73" s="35">
        <v>5</v>
      </c>
      <c r="H73" s="35"/>
      <c r="I73" s="35">
        <v>7200</v>
      </c>
      <c r="J73" s="35">
        <v>7200</v>
      </c>
      <c r="K73" s="35"/>
      <c r="L73" s="35"/>
      <c r="M73" s="35"/>
      <c r="N73" s="35"/>
      <c r="O73" s="35" t="s">
        <v>507</v>
      </c>
    </row>
    <row r="74" spans="1:15" ht="42.75" x14ac:dyDescent="0.2">
      <c r="A74" s="36" t="s">
        <v>12</v>
      </c>
      <c r="B74" s="36" t="s">
        <v>15</v>
      </c>
      <c r="C74" s="35" t="s">
        <v>509</v>
      </c>
      <c r="D74" s="20" t="s">
        <v>508</v>
      </c>
      <c r="E74" s="35" t="s">
        <v>442</v>
      </c>
      <c r="F74" s="35" t="s">
        <v>491</v>
      </c>
      <c r="G74" s="35">
        <v>5</v>
      </c>
      <c r="H74" s="35">
        <v>5</v>
      </c>
      <c r="I74" s="35"/>
      <c r="J74" s="35"/>
      <c r="K74" s="35"/>
      <c r="L74" s="35"/>
      <c r="M74" s="35"/>
      <c r="N74" s="35"/>
      <c r="O74" s="35" t="s">
        <v>510</v>
      </c>
    </row>
    <row r="75" spans="1:15" ht="42.75" x14ac:dyDescent="0.2">
      <c r="A75" s="36" t="s">
        <v>12</v>
      </c>
      <c r="B75" s="36" t="s">
        <v>13</v>
      </c>
      <c r="C75" s="35" t="s">
        <v>512</v>
      </c>
      <c r="D75" s="20" t="s">
        <v>511</v>
      </c>
      <c r="E75" s="35" t="s">
        <v>442</v>
      </c>
      <c r="F75" s="35" t="s">
        <v>464</v>
      </c>
      <c r="G75" s="35">
        <v>8</v>
      </c>
      <c r="H75" s="35"/>
      <c r="I75" s="35"/>
      <c r="J75" s="35"/>
      <c r="K75" s="35"/>
      <c r="L75" s="35"/>
      <c r="M75" s="35"/>
      <c r="N75" s="35"/>
      <c r="O75" s="35" t="s">
        <v>510</v>
      </c>
    </row>
    <row r="76" spans="1:15" ht="28.5" x14ac:dyDescent="0.2">
      <c r="A76" s="36" t="s">
        <v>12</v>
      </c>
      <c r="B76" s="36" t="s">
        <v>15</v>
      </c>
      <c r="C76" s="35" t="s">
        <v>514</v>
      </c>
      <c r="D76" s="20" t="s">
        <v>513</v>
      </c>
      <c r="E76" s="35" t="s">
        <v>442</v>
      </c>
      <c r="F76" s="35" t="s">
        <v>485</v>
      </c>
      <c r="G76" s="35">
        <v>5</v>
      </c>
      <c r="H76" s="35">
        <v>5</v>
      </c>
      <c r="I76" s="35">
        <v>151200</v>
      </c>
      <c r="J76" s="35">
        <v>151200</v>
      </c>
      <c r="K76" s="35"/>
      <c r="L76" s="35"/>
      <c r="M76" s="35"/>
      <c r="N76" s="35"/>
      <c r="O76" s="35" t="s">
        <v>510</v>
      </c>
    </row>
    <row r="77" spans="1:15" ht="15" x14ac:dyDescent="0.2">
      <c r="A77" s="36" t="s">
        <v>12</v>
      </c>
      <c r="B77" s="36" t="s">
        <v>106</v>
      </c>
      <c r="C77" s="35" t="s">
        <v>516</v>
      </c>
      <c r="D77" s="20" t="s">
        <v>515</v>
      </c>
      <c r="E77" s="35" t="s">
        <v>442</v>
      </c>
      <c r="F77" s="35" t="s">
        <v>477</v>
      </c>
      <c r="G77" s="35">
        <v>2</v>
      </c>
      <c r="H77" s="35"/>
      <c r="I77" s="35">
        <v>72000</v>
      </c>
      <c r="J77" s="35">
        <v>72000</v>
      </c>
      <c r="K77" s="35"/>
      <c r="L77" s="35"/>
      <c r="M77" s="35"/>
      <c r="N77" s="35"/>
      <c r="O77" s="35" t="s">
        <v>501</v>
      </c>
    </row>
    <row r="78" spans="1:15" ht="15" x14ac:dyDescent="0.2">
      <c r="A78" s="36" t="s">
        <v>12</v>
      </c>
      <c r="B78" s="36" t="s">
        <v>106</v>
      </c>
      <c r="C78" s="35" t="s">
        <v>518</v>
      </c>
      <c r="D78" s="20" t="s">
        <v>517</v>
      </c>
      <c r="E78" s="35" t="s">
        <v>442</v>
      </c>
      <c r="F78" s="35" t="s">
        <v>477</v>
      </c>
      <c r="G78" s="35">
        <v>3</v>
      </c>
      <c r="H78" s="35"/>
      <c r="I78" s="35">
        <v>115200</v>
      </c>
      <c r="J78" s="35">
        <v>115200</v>
      </c>
      <c r="K78" s="35"/>
      <c r="L78" s="35"/>
      <c r="M78" s="35"/>
      <c r="N78" s="35"/>
      <c r="O78" s="35" t="s">
        <v>501</v>
      </c>
    </row>
    <row r="79" spans="1:15" ht="28.5" x14ac:dyDescent="0.2">
      <c r="A79" s="36" t="s">
        <v>12</v>
      </c>
      <c r="B79" s="36" t="s">
        <v>106</v>
      </c>
      <c r="C79" s="35" t="s">
        <v>520</v>
      </c>
      <c r="D79" s="20" t="s">
        <v>519</v>
      </c>
      <c r="E79" s="35" t="s">
        <v>521</v>
      </c>
      <c r="F79" s="35" t="s">
        <v>523</v>
      </c>
      <c r="G79" s="35"/>
      <c r="H79" s="35"/>
      <c r="I79" s="35">
        <v>14400</v>
      </c>
      <c r="J79" s="35">
        <v>14400</v>
      </c>
      <c r="K79" s="35"/>
      <c r="L79" s="35"/>
      <c r="M79" s="35"/>
      <c r="N79" s="35"/>
      <c r="O79" s="35" t="s">
        <v>522</v>
      </c>
    </row>
    <row r="80" spans="1:15" ht="28.5" x14ac:dyDescent="0.2">
      <c r="A80" s="36" t="s">
        <v>12</v>
      </c>
      <c r="B80" s="36" t="s">
        <v>14</v>
      </c>
      <c r="C80" s="35" t="s">
        <v>806</v>
      </c>
      <c r="D80" s="20" t="s">
        <v>805</v>
      </c>
      <c r="E80" s="35" t="s">
        <v>70</v>
      </c>
      <c r="F80" s="35" t="s">
        <v>267</v>
      </c>
      <c r="G80" s="35">
        <v>8</v>
      </c>
      <c r="H80" s="35"/>
      <c r="I80" s="35">
        <v>86400</v>
      </c>
      <c r="J80" s="35">
        <v>86400</v>
      </c>
      <c r="K80" s="35"/>
      <c r="L80" s="35"/>
      <c r="M80" s="35"/>
      <c r="N80" s="35"/>
      <c r="O80" s="35" t="s">
        <v>96</v>
      </c>
    </row>
    <row r="81" spans="1:15" ht="15" x14ac:dyDescent="0.2">
      <c r="A81" s="36" t="s">
        <v>12</v>
      </c>
      <c r="B81" s="36" t="s">
        <v>14</v>
      </c>
      <c r="C81" s="35" t="s">
        <v>804</v>
      </c>
      <c r="D81" s="20" t="s">
        <v>803</v>
      </c>
      <c r="E81" s="35" t="s">
        <v>70</v>
      </c>
      <c r="F81" s="35" t="s">
        <v>267</v>
      </c>
      <c r="G81" s="35">
        <v>8</v>
      </c>
      <c r="H81" s="35"/>
      <c r="I81" s="35">
        <v>136800</v>
      </c>
      <c r="J81" s="35">
        <v>136800</v>
      </c>
      <c r="K81" s="35"/>
      <c r="L81" s="35"/>
      <c r="M81" s="35"/>
      <c r="N81" s="35"/>
      <c r="O81" s="35"/>
    </row>
    <row r="82" spans="1:15" ht="28.5" x14ac:dyDescent="0.2">
      <c r="A82" s="36" t="s">
        <v>12</v>
      </c>
      <c r="B82" s="36" t="s">
        <v>13</v>
      </c>
      <c r="C82" s="35" t="s">
        <v>802</v>
      </c>
      <c r="D82" s="20" t="s">
        <v>801</v>
      </c>
      <c r="E82" s="35" t="s">
        <v>70</v>
      </c>
      <c r="F82" s="35" t="s">
        <v>267</v>
      </c>
      <c r="G82" s="35">
        <v>8</v>
      </c>
      <c r="H82" s="35"/>
      <c r="I82" s="35">
        <v>180000</v>
      </c>
      <c r="J82" s="35">
        <v>180000</v>
      </c>
      <c r="K82" s="35"/>
      <c r="L82" s="35"/>
      <c r="M82" s="35"/>
      <c r="N82" s="35"/>
      <c r="O82" s="35" t="s">
        <v>96</v>
      </c>
    </row>
    <row r="83" spans="1:15" ht="28.5" x14ac:dyDescent="0.2">
      <c r="A83" s="36" t="s">
        <v>12</v>
      </c>
      <c r="B83" s="36" t="s">
        <v>13</v>
      </c>
      <c r="C83" s="35" t="s">
        <v>800</v>
      </c>
      <c r="D83" s="20" t="s">
        <v>799</v>
      </c>
      <c r="E83" s="35" t="s">
        <v>70</v>
      </c>
      <c r="F83" s="35" t="s">
        <v>267</v>
      </c>
      <c r="G83" s="35">
        <v>3</v>
      </c>
      <c r="H83" s="35"/>
      <c r="I83" s="35">
        <v>28800</v>
      </c>
      <c r="J83" s="35">
        <v>28800</v>
      </c>
      <c r="K83" s="35"/>
      <c r="L83" s="35"/>
      <c r="M83" s="35"/>
      <c r="N83" s="35"/>
      <c r="O83" s="35" t="s">
        <v>796</v>
      </c>
    </row>
    <row r="84" spans="1:15" ht="28.5" x14ac:dyDescent="0.2">
      <c r="A84" s="36" t="s">
        <v>12</v>
      </c>
      <c r="B84" s="36" t="s">
        <v>14</v>
      </c>
      <c r="C84" s="35" t="s">
        <v>798</v>
      </c>
      <c r="D84" s="20" t="s">
        <v>797</v>
      </c>
      <c r="E84" s="35" t="s">
        <v>70</v>
      </c>
      <c r="F84" s="35" t="s">
        <v>267</v>
      </c>
      <c r="G84" s="35">
        <v>3</v>
      </c>
      <c r="H84" s="35"/>
      <c r="I84" s="35">
        <v>28800</v>
      </c>
      <c r="J84" s="35">
        <v>28800</v>
      </c>
      <c r="K84" s="35"/>
      <c r="L84" s="35"/>
      <c r="M84" s="35"/>
      <c r="N84" s="35"/>
      <c r="O84" s="35" t="s">
        <v>796</v>
      </c>
    </row>
    <row r="85" spans="1:15" ht="28.5" x14ac:dyDescent="0.2">
      <c r="A85" s="36" t="s">
        <v>12</v>
      </c>
      <c r="B85" s="36" t="s">
        <v>15</v>
      </c>
      <c r="C85" s="35" t="s">
        <v>202</v>
      </c>
      <c r="D85" s="20" t="s">
        <v>203</v>
      </c>
      <c r="E85" s="35" t="s">
        <v>70</v>
      </c>
      <c r="F85" s="35" t="s">
        <v>188</v>
      </c>
      <c r="G85" s="35">
        <v>3</v>
      </c>
      <c r="H85" s="35">
        <v>3</v>
      </c>
      <c r="I85" s="35">
        <v>14400</v>
      </c>
      <c r="J85" s="35">
        <v>14400</v>
      </c>
      <c r="K85" s="35"/>
      <c r="L85" s="35"/>
      <c r="M85" s="35"/>
      <c r="N85" s="35"/>
      <c r="O85" s="35" t="s">
        <v>204</v>
      </c>
    </row>
    <row r="86" spans="1:15" ht="15" x14ac:dyDescent="0.2">
      <c r="A86" s="36" t="s">
        <v>12</v>
      </c>
      <c r="B86" s="36" t="s">
        <v>15</v>
      </c>
      <c r="C86" s="35" t="s">
        <v>207</v>
      </c>
      <c r="D86" s="20" t="s">
        <v>208</v>
      </c>
      <c r="E86" s="35" t="s">
        <v>70</v>
      </c>
      <c r="F86" s="35" t="s">
        <v>188</v>
      </c>
      <c r="G86" s="35">
        <v>5</v>
      </c>
      <c r="H86" s="35">
        <v>5</v>
      </c>
      <c r="I86" s="35">
        <v>86400</v>
      </c>
      <c r="J86" s="35">
        <v>86400</v>
      </c>
      <c r="K86" s="35"/>
      <c r="L86" s="35"/>
      <c r="M86" s="35"/>
      <c r="N86" s="35"/>
      <c r="O86" s="35" t="s">
        <v>209</v>
      </c>
    </row>
    <row r="87" spans="1:15" ht="28.5" x14ac:dyDescent="0.2">
      <c r="A87" s="36" t="s">
        <v>12</v>
      </c>
      <c r="B87" s="36" t="s">
        <v>15</v>
      </c>
      <c r="C87" s="35" t="s">
        <v>199</v>
      </c>
      <c r="D87" s="20" t="s">
        <v>200</v>
      </c>
      <c r="E87" s="35" t="s">
        <v>70</v>
      </c>
      <c r="F87" s="35" t="s">
        <v>188</v>
      </c>
      <c r="G87" s="35">
        <v>5</v>
      </c>
      <c r="H87" s="35">
        <v>5</v>
      </c>
      <c r="I87" s="35">
        <v>28800</v>
      </c>
      <c r="J87" s="35">
        <v>28800</v>
      </c>
      <c r="K87" s="35"/>
      <c r="L87" s="35"/>
      <c r="M87" s="35"/>
      <c r="N87" s="35"/>
      <c r="O87" s="35" t="s">
        <v>201</v>
      </c>
    </row>
    <row r="88" spans="1:15" ht="15" x14ac:dyDescent="0.2">
      <c r="A88" s="36" t="s">
        <v>12</v>
      </c>
      <c r="B88" s="36" t="s">
        <v>14</v>
      </c>
      <c r="C88" s="35" t="s">
        <v>326</v>
      </c>
      <c r="D88" s="20" t="s">
        <v>327</v>
      </c>
      <c r="E88" s="35" t="s">
        <v>70</v>
      </c>
      <c r="F88" s="35" t="s">
        <v>328</v>
      </c>
      <c r="G88" s="35">
        <v>13</v>
      </c>
      <c r="H88" s="35"/>
      <c r="I88" s="35">
        <v>144000</v>
      </c>
      <c r="J88" s="35">
        <v>144000</v>
      </c>
      <c r="K88" s="35"/>
      <c r="L88" s="35"/>
      <c r="M88" s="35"/>
      <c r="N88" s="35"/>
      <c r="O88" s="35" t="s">
        <v>329</v>
      </c>
    </row>
    <row r="89" spans="1:15" ht="28.5" x14ac:dyDescent="0.2">
      <c r="A89" s="36" t="s">
        <v>12</v>
      </c>
      <c r="B89" s="36" t="s">
        <v>14</v>
      </c>
      <c r="C89" s="35" t="s">
        <v>269</v>
      </c>
      <c r="D89" s="20" t="s">
        <v>270</v>
      </c>
      <c r="E89" s="35" t="s">
        <v>70</v>
      </c>
      <c r="F89" s="35" t="s">
        <v>267</v>
      </c>
      <c r="G89" s="35">
        <v>8</v>
      </c>
      <c r="H89" s="35"/>
      <c r="I89" s="35">
        <v>122400</v>
      </c>
      <c r="J89" s="35">
        <v>122400</v>
      </c>
      <c r="K89" s="35"/>
      <c r="L89" s="35"/>
      <c r="M89" s="35"/>
      <c r="N89" s="35"/>
      <c r="O89" s="35"/>
    </row>
    <row r="90" spans="1:15" ht="28.5" x14ac:dyDescent="0.2">
      <c r="A90" s="36" t="s">
        <v>12</v>
      </c>
      <c r="B90" s="36" t="s">
        <v>15</v>
      </c>
      <c r="C90" s="35" t="s">
        <v>190</v>
      </c>
      <c r="D90" s="20" t="s">
        <v>191</v>
      </c>
      <c r="E90" s="35" t="s">
        <v>70</v>
      </c>
      <c r="F90" s="35" t="s">
        <v>188</v>
      </c>
      <c r="G90" s="35">
        <v>3</v>
      </c>
      <c r="H90" s="35">
        <v>3</v>
      </c>
      <c r="I90" s="35">
        <v>28800</v>
      </c>
      <c r="J90" s="35">
        <v>28800</v>
      </c>
      <c r="K90" s="35"/>
      <c r="L90" s="35"/>
      <c r="M90" s="35"/>
      <c r="N90" s="35"/>
      <c r="O90" s="35" t="s">
        <v>88</v>
      </c>
    </row>
    <row r="91" spans="1:15" ht="15" x14ac:dyDescent="0.2">
      <c r="A91" s="36" t="s">
        <v>12</v>
      </c>
      <c r="B91" s="36" t="s">
        <v>15</v>
      </c>
      <c r="C91" s="35" t="s">
        <v>192</v>
      </c>
      <c r="D91" s="20" t="s">
        <v>193</v>
      </c>
      <c r="E91" s="35" t="s">
        <v>70</v>
      </c>
      <c r="F91" s="35" t="s">
        <v>188</v>
      </c>
      <c r="G91" s="35">
        <v>5</v>
      </c>
      <c r="H91" s="35">
        <v>5</v>
      </c>
      <c r="I91" s="35">
        <v>28800</v>
      </c>
      <c r="J91" s="35">
        <v>28800</v>
      </c>
      <c r="K91" s="35"/>
      <c r="L91" s="35"/>
      <c r="M91" s="35"/>
      <c r="N91" s="35"/>
      <c r="O91" s="35" t="s">
        <v>96</v>
      </c>
    </row>
    <row r="92" spans="1:15" ht="42.75" x14ac:dyDescent="0.2">
      <c r="A92" s="36" t="s">
        <v>12</v>
      </c>
      <c r="B92" s="36" t="s">
        <v>15</v>
      </c>
      <c r="C92" s="35" t="s">
        <v>178</v>
      </c>
      <c r="D92" s="20" t="s">
        <v>179</v>
      </c>
      <c r="E92" s="35" t="s">
        <v>70</v>
      </c>
      <c r="F92" s="35" t="s">
        <v>180</v>
      </c>
      <c r="G92" s="35">
        <v>3</v>
      </c>
      <c r="H92" s="35">
        <v>3</v>
      </c>
      <c r="I92" s="35">
        <v>86400</v>
      </c>
      <c r="J92" s="35">
        <v>86400</v>
      </c>
      <c r="K92" s="35"/>
      <c r="L92" s="35"/>
      <c r="M92" s="35"/>
      <c r="N92" s="35"/>
      <c r="O92" s="35" t="s">
        <v>181</v>
      </c>
    </row>
    <row r="93" spans="1:15" ht="28.5" x14ac:dyDescent="0.2">
      <c r="A93" s="36" t="s">
        <v>12</v>
      </c>
      <c r="B93" s="36" t="s">
        <v>15</v>
      </c>
      <c r="C93" s="35" t="s">
        <v>184</v>
      </c>
      <c r="D93" s="20" t="s">
        <v>185</v>
      </c>
      <c r="E93" s="35" t="s">
        <v>70</v>
      </c>
      <c r="F93" s="35" t="s">
        <v>180</v>
      </c>
      <c r="G93" s="35">
        <v>5</v>
      </c>
      <c r="H93" s="35">
        <v>5</v>
      </c>
      <c r="I93" s="35">
        <v>57600</v>
      </c>
      <c r="J93" s="35">
        <v>57600</v>
      </c>
      <c r="K93" s="35"/>
      <c r="L93" s="35"/>
      <c r="M93" s="35"/>
      <c r="N93" s="35"/>
      <c r="O93" s="35" t="s">
        <v>96</v>
      </c>
    </row>
    <row r="94" spans="1:15" ht="28.5" x14ac:dyDescent="0.2">
      <c r="A94" s="36" t="s">
        <v>12</v>
      </c>
      <c r="B94" s="36" t="s">
        <v>15</v>
      </c>
      <c r="C94" s="35" t="s">
        <v>94</v>
      </c>
      <c r="D94" s="20" t="s">
        <v>95</v>
      </c>
      <c r="E94" s="35" t="s">
        <v>70</v>
      </c>
      <c r="F94" s="35" t="s">
        <v>87</v>
      </c>
      <c r="G94" s="35">
        <v>3</v>
      </c>
      <c r="H94" s="35">
        <v>3</v>
      </c>
      <c r="I94" s="35">
        <v>28800</v>
      </c>
      <c r="J94" s="35">
        <v>28800</v>
      </c>
      <c r="K94" s="35"/>
      <c r="L94" s="35"/>
      <c r="M94" s="35"/>
      <c r="N94" s="35"/>
      <c r="O94" s="35" t="s">
        <v>96</v>
      </c>
    </row>
    <row r="95" spans="1:15" ht="15" x14ac:dyDescent="0.2">
      <c r="A95" s="36" t="s">
        <v>12</v>
      </c>
      <c r="B95" s="36" t="s">
        <v>15</v>
      </c>
      <c r="C95" s="35" t="s">
        <v>97</v>
      </c>
      <c r="D95" s="20" t="s">
        <v>98</v>
      </c>
      <c r="E95" s="35" t="s">
        <v>70</v>
      </c>
      <c r="F95" s="35" t="s">
        <v>87</v>
      </c>
      <c r="G95" s="35">
        <v>3</v>
      </c>
      <c r="H95" s="35">
        <v>3</v>
      </c>
      <c r="I95" s="35">
        <v>86400</v>
      </c>
      <c r="J95" s="35">
        <v>86400</v>
      </c>
      <c r="K95" s="35"/>
      <c r="L95" s="35"/>
      <c r="M95" s="35"/>
      <c r="N95" s="35"/>
      <c r="O95" s="35" t="s">
        <v>96</v>
      </c>
    </row>
    <row r="96" spans="1:15" ht="28.5" x14ac:dyDescent="0.2">
      <c r="A96" s="36" t="s">
        <v>12</v>
      </c>
      <c r="B96" s="36" t="s">
        <v>15</v>
      </c>
      <c r="C96" s="35" t="s">
        <v>99</v>
      </c>
      <c r="D96" s="20" t="s">
        <v>100</v>
      </c>
      <c r="E96" s="35" t="s">
        <v>70</v>
      </c>
      <c r="F96" s="35" t="s">
        <v>87</v>
      </c>
      <c r="G96" s="35">
        <v>5</v>
      </c>
      <c r="H96" s="35">
        <v>5</v>
      </c>
      <c r="I96" s="35">
        <v>57600</v>
      </c>
      <c r="J96" s="35">
        <v>57600</v>
      </c>
      <c r="K96" s="35"/>
      <c r="L96" s="35"/>
      <c r="M96" s="35"/>
      <c r="N96" s="35"/>
      <c r="O96" s="35" t="s">
        <v>101</v>
      </c>
    </row>
    <row r="97" spans="1:15" ht="15" x14ac:dyDescent="0.2">
      <c r="A97" s="36" t="s">
        <v>12</v>
      </c>
      <c r="B97" s="36" t="s">
        <v>106</v>
      </c>
      <c r="C97" s="35" t="s">
        <v>525</v>
      </c>
      <c r="D97" s="20" t="s">
        <v>524</v>
      </c>
      <c r="E97" s="35" t="s">
        <v>442</v>
      </c>
      <c r="F97" s="35" t="s">
        <v>447</v>
      </c>
      <c r="G97" s="35">
        <v>5</v>
      </c>
      <c r="H97" s="35"/>
      <c r="I97" s="35"/>
      <c r="J97" s="35"/>
      <c r="K97" s="35"/>
      <c r="L97" s="35"/>
      <c r="M97" s="35"/>
      <c r="N97" s="35"/>
      <c r="O97" s="35" t="s">
        <v>433</v>
      </c>
    </row>
    <row r="98" spans="1:15" ht="15" x14ac:dyDescent="0.2">
      <c r="A98" s="36" t="s">
        <v>12</v>
      </c>
      <c r="B98" s="36" t="s">
        <v>15</v>
      </c>
      <c r="C98" s="35" t="s">
        <v>527</v>
      </c>
      <c r="D98" s="20" t="s">
        <v>526</v>
      </c>
      <c r="E98" s="35" t="s">
        <v>442</v>
      </c>
      <c r="F98" s="35" t="s">
        <v>443</v>
      </c>
      <c r="G98" s="35">
        <v>5</v>
      </c>
      <c r="H98" s="35">
        <v>5</v>
      </c>
      <c r="I98" s="35">
        <v>57600</v>
      </c>
      <c r="J98" s="35">
        <v>57600</v>
      </c>
      <c r="K98" s="35"/>
      <c r="L98" s="35"/>
      <c r="M98" s="35"/>
      <c r="N98" s="35"/>
      <c r="O98" s="35" t="s">
        <v>433</v>
      </c>
    </row>
    <row r="99" spans="1:15" ht="15" x14ac:dyDescent="0.2">
      <c r="A99" s="36" t="s">
        <v>12</v>
      </c>
      <c r="B99" s="36" t="s">
        <v>15</v>
      </c>
      <c r="C99" s="35" t="s">
        <v>529</v>
      </c>
      <c r="D99" s="20" t="s">
        <v>528</v>
      </c>
      <c r="E99" s="35" t="s">
        <v>442</v>
      </c>
      <c r="F99" s="35" t="s">
        <v>443</v>
      </c>
      <c r="G99" s="35">
        <v>5</v>
      </c>
      <c r="H99" s="35">
        <v>5</v>
      </c>
      <c r="I99" s="35">
        <v>21600</v>
      </c>
      <c r="J99" s="35">
        <v>21600</v>
      </c>
      <c r="K99" s="35"/>
      <c r="L99" s="35"/>
      <c r="M99" s="35"/>
      <c r="N99" s="35"/>
      <c r="O99" s="35" t="s">
        <v>433</v>
      </c>
    </row>
    <row r="100" spans="1:15" ht="15" x14ac:dyDescent="0.2">
      <c r="A100" s="36" t="s">
        <v>12</v>
      </c>
      <c r="B100" s="36" t="s">
        <v>13</v>
      </c>
      <c r="C100" s="35" t="s">
        <v>795</v>
      </c>
      <c r="D100" s="20" t="s">
        <v>794</v>
      </c>
      <c r="E100" s="35"/>
      <c r="F100" s="35" t="s">
        <v>291</v>
      </c>
      <c r="G100" s="35"/>
      <c r="H100" s="35"/>
      <c r="I100" s="35"/>
      <c r="J100" s="35"/>
      <c r="K100" s="35"/>
      <c r="L100" s="35"/>
      <c r="M100" s="35"/>
      <c r="N100" s="35"/>
      <c r="O100" s="35"/>
    </row>
    <row r="101" spans="1:15" ht="15" x14ac:dyDescent="0.2">
      <c r="A101" s="36" t="s">
        <v>12</v>
      </c>
      <c r="B101" s="36" t="s">
        <v>13</v>
      </c>
      <c r="C101" s="35" t="s">
        <v>793</v>
      </c>
      <c r="D101" s="20" t="s">
        <v>792</v>
      </c>
      <c r="E101" s="35"/>
      <c r="F101" s="35" t="s">
        <v>291</v>
      </c>
      <c r="G101" s="35"/>
      <c r="H101" s="35"/>
      <c r="I101" s="35"/>
      <c r="J101" s="35"/>
      <c r="K101" s="35"/>
      <c r="L101" s="35"/>
      <c r="M101" s="35"/>
      <c r="N101" s="35"/>
      <c r="O101" s="35"/>
    </row>
    <row r="102" spans="1:15" ht="42.75" x14ac:dyDescent="0.2">
      <c r="A102" s="36" t="s">
        <v>12</v>
      </c>
      <c r="B102" s="36" t="s">
        <v>13</v>
      </c>
      <c r="C102" s="35" t="s">
        <v>791</v>
      </c>
      <c r="D102" s="20" t="s">
        <v>790</v>
      </c>
      <c r="E102" s="35"/>
      <c r="F102" s="35" t="s">
        <v>291</v>
      </c>
      <c r="G102" s="35">
        <v>5</v>
      </c>
      <c r="H102" s="35"/>
      <c r="I102" s="35"/>
      <c r="J102" s="35"/>
      <c r="K102" s="35"/>
      <c r="L102" s="35"/>
      <c r="M102" s="35"/>
      <c r="N102" s="35"/>
      <c r="O102" s="35" t="s">
        <v>789</v>
      </c>
    </row>
    <row r="103" spans="1:15" ht="28.5" x14ac:dyDescent="0.2">
      <c r="A103" s="36" t="s">
        <v>12</v>
      </c>
      <c r="B103" s="36" t="s">
        <v>15</v>
      </c>
      <c r="C103" s="35" t="s">
        <v>788</v>
      </c>
      <c r="D103" s="20" t="s">
        <v>787</v>
      </c>
      <c r="E103" s="35"/>
      <c r="F103" s="35" t="s">
        <v>83</v>
      </c>
      <c r="G103" s="35"/>
      <c r="H103" s="35"/>
      <c r="I103" s="35"/>
      <c r="J103" s="35"/>
      <c r="K103" s="35"/>
      <c r="L103" s="35"/>
      <c r="M103" s="35"/>
      <c r="N103" s="35"/>
      <c r="O103" s="35" t="s">
        <v>780</v>
      </c>
    </row>
    <row r="104" spans="1:15" ht="28.5" x14ac:dyDescent="0.2">
      <c r="A104" s="36" t="s">
        <v>12</v>
      </c>
      <c r="B104" s="36" t="s">
        <v>15</v>
      </c>
      <c r="C104" s="35" t="s">
        <v>786</v>
      </c>
      <c r="D104" s="20" t="s">
        <v>785</v>
      </c>
      <c r="E104" s="35"/>
      <c r="F104" s="35" t="s">
        <v>219</v>
      </c>
      <c r="G104" s="35"/>
      <c r="H104" s="35"/>
      <c r="I104" s="35"/>
      <c r="J104" s="35"/>
      <c r="K104" s="35"/>
      <c r="L104" s="35"/>
      <c r="M104" s="35"/>
      <c r="N104" s="35"/>
      <c r="O104" s="35" t="s">
        <v>780</v>
      </c>
    </row>
    <row r="105" spans="1:15" ht="28.5" x14ac:dyDescent="0.2">
      <c r="A105" s="36" t="s">
        <v>12</v>
      </c>
      <c r="B105" s="36" t="s">
        <v>15</v>
      </c>
      <c r="C105" s="35" t="s">
        <v>784</v>
      </c>
      <c r="D105" s="20" t="s">
        <v>783</v>
      </c>
      <c r="E105" s="35"/>
      <c r="F105" s="35" t="s">
        <v>219</v>
      </c>
      <c r="G105" s="35"/>
      <c r="H105" s="35"/>
      <c r="I105" s="35"/>
      <c r="J105" s="35"/>
      <c r="K105" s="35"/>
      <c r="L105" s="35"/>
      <c r="M105" s="35"/>
      <c r="N105" s="35"/>
      <c r="O105" s="35" t="s">
        <v>780</v>
      </c>
    </row>
    <row r="106" spans="1:15" ht="28.5" x14ac:dyDescent="0.2">
      <c r="A106" s="36" t="s">
        <v>12</v>
      </c>
      <c r="B106" s="36" t="s">
        <v>15</v>
      </c>
      <c r="C106" s="35" t="s">
        <v>782</v>
      </c>
      <c r="D106" s="20" t="s">
        <v>781</v>
      </c>
      <c r="E106" s="35"/>
      <c r="F106" s="35" t="s">
        <v>83</v>
      </c>
      <c r="G106" s="35"/>
      <c r="H106" s="35"/>
      <c r="I106" s="35"/>
      <c r="J106" s="35"/>
      <c r="K106" s="35"/>
      <c r="L106" s="35"/>
      <c r="M106" s="35"/>
      <c r="N106" s="35"/>
      <c r="O106" s="35" t="s">
        <v>780</v>
      </c>
    </row>
    <row r="107" spans="1:15" ht="28.5" x14ac:dyDescent="0.2">
      <c r="A107" s="36" t="s">
        <v>12</v>
      </c>
      <c r="B107" s="36" t="s">
        <v>15</v>
      </c>
      <c r="C107" s="35" t="s">
        <v>779</v>
      </c>
      <c r="D107" s="20" t="s">
        <v>778</v>
      </c>
      <c r="E107" s="35"/>
      <c r="F107" s="35" t="s">
        <v>83</v>
      </c>
      <c r="G107" s="35"/>
      <c r="H107" s="35"/>
      <c r="I107" s="35"/>
      <c r="J107" s="35"/>
      <c r="K107" s="35"/>
      <c r="L107" s="35"/>
      <c r="M107" s="35"/>
      <c r="N107" s="35"/>
      <c r="O107" s="35" t="s">
        <v>771</v>
      </c>
    </row>
    <row r="108" spans="1:15" ht="28.5" x14ac:dyDescent="0.2">
      <c r="A108" s="36" t="s">
        <v>12</v>
      </c>
      <c r="B108" s="36" t="s">
        <v>15</v>
      </c>
      <c r="C108" s="35" t="s">
        <v>777</v>
      </c>
      <c r="D108" s="20" t="s">
        <v>776</v>
      </c>
      <c r="E108" s="35"/>
      <c r="F108" s="35" t="s">
        <v>83</v>
      </c>
      <c r="G108" s="35"/>
      <c r="H108" s="35"/>
      <c r="I108" s="35">
        <v>7200</v>
      </c>
      <c r="J108" s="35">
        <v>7200</v>
      </c>
      <c r="K108" s="35"/>
      <c r="L108" s="35"/>
      <c r="M108" s="35"/>
      <c r="N108" s="35"/>
      <c r="O108" s="35" t="s">
        <v>771</v>
      </c>
    </row>
    <row r="109" spans="1:15" ht="28.5" x14ac:dyDescent="0.2">
      <c r="A109" s="36" t="s">
        <v>12</v>
      </c>
      <c r="B109" s="36" t="s">
        <v>15</v>
      </c>
      <c r="C109" s="35" t="s">
        <v>775</v>
      </c>
      <c r="D109" s="20" t="s">
        <v>774</v>
      </c>
      <c r="E109" s="35"/>
      <c r="F109" s="35" t="s">
        <v>83</v>
      </c>
      <c r="G109" s="35"/>
      <c r="H109" s="35"/>
      <c r="I109" s="35">
        <v>180</v>
      </c>
      <c r="J109" s="35">
        <v>180</v>
      </c>
      <c r="K109" s="35"/>
      <c r="L109" s="35"/>
      <c r="M109" s="35"/>
      <c r="N109" s="35"/>
      <c r="O109" s="35" t="s">
        <v>771</v>
      </c>
    </row>
    <row r="110" spans="1:15" ht="28.5" x14ac:dyDescent="0.2">
      <c r="A110" s="36" t="s">
        <v>12</v>
      </c>
      <c r="B110" s="36" t="s">
        <v>15</v>
      </c>
      <c r="C110" s="35" t="s">
        <v>773</v>
      </c>
      <c r="D110" s="20" t="s">
        <v>772</v>
      </c>
      <c r="E110" s="35"/>
      <c r="F110" s="35" t="s">
        <v>83</v>
      </c>
      <c r="G110" s="35"/>
      <c r="H110" s="35"/>
      <c r="I110" s="35">
        <v>7200</v>
      </c>
      <c r="J110" s="35">
        <v>7200</v>
      </c>
      <c r="K110" s="35"/>
      <c r="L110" s="35"/>
      <c r="M110" s="35"/>
      <c r="N110" s="35"/>
      <c r="O110" s="35" t="s">
        <v>771</v>
      </c>
    </row>
    <row r="111" spans="1:15" ht="15" x14ac:dyDescent="0.2">
      <c r="A111" s="36" t="s">
        <v>12</v>
      </c>
      <c r="B111" s="36" t="s">
        <v>15</v>
      </c>
      <c r="C111" s="35" t="s">
        <v>770</v>
      </c>
      <c r="D111" s="20" t="s">
        <v>769</v>
      </c>
      <c r="E111" s="35"/>
      <c r="F111" s="35" t="s">
        <v>655</v>
      </c>
      <c r="G111" s="35">
        <v>8</v>
      </c>
      <c r="H111" s="35">
        <v>8</v>
      </c>
      <c r="I111" s="35"/>
      <c r="J111" s="35"/>
      <c r="K111" s="35"/>
      <c r="L111" s="35"/>
      <c r="M111" s="35"/>
      <c r="N111" s="35"/>
      <c r="O111" s="35" t="s">
        <v>768</v>
      </c>
    </row>
    <row r="112" spans="1:15" ht="28.5" x14ac:dyDescent="0.2">
      <c r="A112" s="36" t="s">
        <v>12</v>
      </c>
      <c r="B112" s="36" t="s">
        <v>15</v>
      </c>
      <c r="C112" s="35" t="s">
        <v>767</v>
      </c>
      <c r="D112" s="20" t="s">
        <v>766</v>
      </c>
      <c r="E112" s="35"/>
      <c r="F112" s="35" t="s">
        <v>744</v>
      </c>
      <c r="G112" s="35">
        <v>5</v>
      </c>
      <c r="H112" s="35">
        <v>5</v>
      </c>
      <c r="I112" s="35"/>
      <c r="J112" s="35">
        <v>0</v>
      </c>
      <c r="K112" s="35"/>
      <c r="L112" s="35"/>
      <c r="M112" s="35"/>
      <c r="N112" s="35"/>
      <c r="O112" s="35" t="s">
        <v>765</v>
      </c>
    </row>
    <row r="113" spans="1:15" ht="15" x14ac:dyDescent="0.2">
      <c r="A113" s="36" t="s">
        <v>12</v>
      </c>
      <c r="B113" s="36" t="s">
        <v>15</v>
      </c>
      <c r="C113" s="35" t="s">
        <v>764</v>
      </c>
      <c r="D113" s="20" t="s">
        <v>763</v>
      </c>
      <c r="E113" s="35"/>
      <c r="F113" s="35" t="s">
        <v>83</v>
      </c>
      <c r="G113" s="35"/>
      <c r="H113" s="35"/>
      <c r="I113" s="35"/>
      <c r="J113" s="35"/>
      <c r="K113" s="35"/>
      <c r="L113" s="35"/>
      <c r="M113" s="35"/>
      <c r="N113" s="35"/>
      <c r="O113" s="35" t="s">
        <v>756</v>
      </c>
    </row>
    <row r="114" spans="1:15" ht="15" x14ac:dyDescent="0.2">
      <c r="A114" s="36" t="s">
        <v>12</v>
      </c>
      <c r="B114" s="36" t="s">
        <v>15</v>
      </c>
      <c r="C114" s="35" t="s">
        <v>762</v>
      </c>
      <c r="D114" s="20" t="s">
        <v>761</v>
      </c>
      <c r="E114" s="35"/>
      <c r="F114" s="35" t="s">
        <v>83</v>
      </c>
      <c r="G114" s="35"/>
      <c r="H114" s="35"/>
      <c r="I114" s="35"/>
      <c r="J114" s="35"/>
      <c r="K114" s="35"/>
      <c r="L114" s="35"/>
      <c r="M114" s="35"/>
      <c r="N114" s="35"/>
      <c r="O114" s="35" t="s">
        <v>756</v>
      </c>
    </row>
    <row r="115" spans="1:15" ht="15" x14ac:dyDescent="0.2">
      <c r="A115" s="36" t="s">
        <v>12</v>
      </c>
      <c r="B115" s="36" t="s">
        <v>15</v>
      </c>
      <c r="C115" s="35" t="s">
        <v>760</v>
      </c>
      <c r="D115" s="20" t="s">
        <v>759</v>
      </c>
      <c r="E115" s="35"/>
      <c r="F115" s="35" t="s">
        <v>83</v>
      </c>
      <c r="G115" s="35"/>
      <c r="H115" s="35"/>
      <c r="I115" s="35"/>
      <c r="J115" s="35"/>
      <c r="K115" s="35"/>
      <c r="L115" s="35"/>
      <c r="M115" s="35"/>
      <c r="N115" s="35"/>
      <c r="O115" s="35" t="s">
        <v>756</v>
      </c>
    </row>
    <row r="116" spans="1:15" ht="15" x14ac:dyDescent="0.2">
      <c r="A116" s="36" t="s">
        <v>12</v>
      </c>
      <c r="B116" s="36" t="s">
        <v>15</v>
      </c>
      <c r="C116" s="35" t="s">
        <v>758</v>
      </c>
      <c r="D116" s="20" t="s">
        <v>757</v>
      </c>
      <c r="E116" s="35"/>
      <c r="F116" s="35" t="s">
        <v>83</v>
      </c>
      <c r="G116" s="35"/>
      <c r="H116" s="35"/>
      <c r="I116" s="35"/>
      <c r="J116" s="35"/>
      <c r="K116" s="35"/>
      <c r="L116" s="35"/>
      <c r="M116" s="35"/>
      <c r="N116" s="35"/>
      <c r="O116" s="35" t="s">
        <v>756</v>
      </c>
    </row>
    <row r="117" spans="1:15" ht="15" x14ac:dyDescent="0.2">
      <c r="A117" s="36" t="s">
        <v>12</v>
      </c>
      <c r="B117" s="36" t="s">
        <v>15</v>
      </c>
      <c r="C117" s="35" t="s">
        <v>755</v>
      </c>
      <c r="D117" s="20" t="s">
        <v>754</v>
      </c>
      <c r="E117" s="35"/>
      <c r="F117" s="35" t="s">
        <v>83</v>
      </c>
      <c r="G117" s="35"/>
      <c r="H117" s="35"/>
      <c r="I117" s="35"/>
      <c r="J117" s="35"/>
      <c r="K117" s="35"/>
      <c r="L117" s="35"/>
      <c r="M117" s="35"/>
      <c r="N117" s="35"/>
      <c r="O117" s="35" t="s">
        <v>747</v>
      </c>
    </row>
    <row r="118" spans="1:15" ht="15" x14ac:dyDescent="0.2">
      <c r="A118" s="36" t="s">
        <v>12</v>
      </c>
      <c r="B118" s="36" t="s">
        <v>15</v>
      </c>
      <c r="C118" s="35" t="s">
        <v>753</v>
      </c>
      <c r="D118" s="20" t="s">
        <v>752</v>
      </c>
      <c r="E118" s="35"/>
      <c r="F118" s="35" t="s">
        <v>83</v>
      </c>
      <c r="G118" s="35"/>
      <c r="H118" s="35"/>
      <c r="I118" s="35"/>
      <c r="J118" s="35"/>
      <c r="K118" s="35"/>
      <c r="L118" s="35"/>
      <c r="M118" s="35"/>
      <c r="N118" s="35"/>
      <c r="O118" s="35" t="s">
        <v>747</v>
      </c>
    </row>
    <row r="119" spans="1:15" ht="15" x14ac:dyDescent="0.2">
      <c r="A119" s="36" t="s">
        <v>12</v>
      </c>
      <c r="B119" s="36" t="s">
        <v>15</v>
      </c>
      <c r="C119" s="35" t="s">
        <v>751</v>
      </c>
      <c r="D119" s="20" t="s">
        <v>750</v>
      </c>
      <c r="E119" s="35"/>
      <c r="F119" s="35" t="s">
        <v>83</v>
      </c>
      <c r="G119" s="35"/>
      <c r="H119" s="35"/>
      <c r="I119" s="35"/>
      <c r="J119" s="35"/>
      <c r="K119" s="35"/>
      <c r="L119" s="35"/>
      <c r="M119" s="35"/>
      <c r="N119" s="35"/>
      <c r="O119" s="35" t="s">
        <v>747</v>
      </c>
    </row>
    <row r="120" spans="1:15" ht="15" x14ac:dyDescent="0.2">
      <c r="A120" s="36" t="s">
        <v>12</v>
      </c>
      <c r="B120" s="36" t="s">
        <v>15</v>
      </c>
      <c r="C120" s="35" t="s">
        <v>749</v>
      </c>
      <c r="D120" s="20" t="s">
        <v>748</v>
      </c>
      <c r="E120" s="35"/>
      <c r="F120" s="35" t="s">
        <v>83</v>
      </c>
      <c r="G120" s="35"/>
      <c r="H120" s="35"/>
      <c r="I120" s="35"/>
      <c r="J120" s="35"/>
      <c r="K120" s="35"/>
      <c r="L120" s="35"/>
      <c r="M120" s="35"/>
      <c r="N120" s="35"/>
      <c r="O120" s="35" t="s">
        <v>747</v>
      </c>
    </row>
    <row r="121" spans="1:15" ht="28.5" x14ac:dyDescent="0.2">
      <c r="A121" s="36" t="s">
        <v>12</v>
      </c>
      <c r="B121" s="36" t="s">
        <v>13</v>
      </c>
      <c r="C121" s="35" t="s">
        <v>746</v>
      </c>
      <c r="D121" s="20" t="s">
        <v>745</v>
      </c>
      <c r="E121" s="35"/>
      <c r="F121" s="35" t="s">
        <v>744</v>
      </c>
      <c r="G121" s="35">
        <v>5</v>
      </c>
      <c r="H121" s="35"/>
      <c r="I121" s="35"/>
      <c r="J121" s="35"/>
      <c r="K121" s="35"/>
      <c r="L121" s="35"/>
      <c r="M121" s="35"/>
      <c r="N121" s="35"/>
      <c r="O121" s="35" t="s">
        <v>737</v>
      </c>
    </row>
    <row r="122" spans="1:15" ht="28.5" x14ac:dyDescent="0.2">
      <c r="A122" s="36" t="s">
        <v>12</v>
      </c>
      <c r="B122" s="36" t="s">
        <v>15</v>
      </c>
      <c r="C122" s="35" t="s">
        <v>743</v>
      </c>
      <c r="D122" s="20" t="s">
        <v>742</v>
      </c>
      <c r="E122" s="35"/>
      <c r="F122" s="35" t="s">
        <v>738</v>
      </c>
      <c r="G122" s="35">
        <v>5</v>
      </c>
      <c r="H122" s="35">
        <v>5</v>
      </c>
      <c r="I122" s="35"/>
      <c r="J122" s="35">
        <v>0</v>
      </c>
      <c r="K122" s="35"/>
      <c r="L122" s="35"/>
      <c r="M122" s="35"/>
      <c r="N122" s="35"/>
      <c r="O122" s="35" t="s">
        <v>741</v>
      </c>
    </row>
    <row r="123" spans="1:15" ht="42.75" x14ac:dyDescent="0.2">
      <c r="A123" s="36" t="s">
        <v>12</v>
      </c>
      <c r="B123" s="36" t="s">
        <v>13</v>
      </c>
      <c r="C123" s="35" t="s">
        <v>740</v>
      </c>
      <c r="D123" s="20" t="s">
        <v>739</v>
      </c>
      <c r="E123" s="35"/>
      <c r="F123" s="35" t="s">
        <v>738</v>
      </c>
      <c r="G123" s="35">
        <v>5</v>
      </c>
      <c r="H123" s="35"/>
      <c r="I123" s="35"/>
      <c r="J123" s="35"/>
      <c r="K123" s="35"/>
      <c r="L123" s="35"/>
      <c r="M123" s="35"/>
      <c r="N123" s="35"/>
      <c r="O123" s="35" t="s">
        <v>737</v>
      </c>
    </row>
    <row r="124" spans="1:15" ht="28.5" x14ac:dyDescent="0.2">
      <c r="A124" s="36" t="s">
        <v>12</v>
      </c>
      <c r="B124" s="36" t="s">
        <v>15</v>
      </c>
      <c r="C124" s="35" t="s">
        <v>736</v>
      </c>
      <c r="D124" s="20" t="s">
        <v>732</v>
      </c>
      <c r="E124" s="35"/>
      <c r="F124" s="35" t="s">
        <v>735</v>
      </c>
      <c r="G124" s="35">
        <v>8</v>
      </c>
      <c r="H124" s="35"/>
      <c r="I124" s="35"/>
      <c r="J124" s="35"/>
      <c r="K124" s="35"/>
      <c r="L124" s="35"/>
      <c r="M124" s="35"/>
      <c r="N124" s="35"/>
      <c r="O124" s="35" t="s">
        <v>733</v>
      </c>
    </row>
    <row r="125" spans="1:15" ht="28.5" x14ac:dyDescent="0.2">
      <c r="A125" s="36" t="s">
        <v>12</v>
      </c>
      <c r="B125" s="36" t="s">
        <v>15</v>
      </c>
      <c r="C125" s="35" t="s">
        <v>734</v>
      </c>
      <c r="D125" s="20" t="s">
        <v>733</v>
      </c>
      <c r="E125" s="35"/>
      <c r="F125" s="35" t="s">
        <v>729</v>
      </c>
      <c r="G125" s="35">
        <v>5</v>
      </c>
      <c r="H125" s="35">
        <v>5</v>
      </c>
      <c r="I125" s="35"/>
      <c r="J125" s="35"/>
      <c r="K125" s="35"/>
      <c r="L125" s="35"/>
      <c r="M125" s="35"/>
      <c r="N125" s="35"/>
      <c r="O125" s="35" t="s">
        <v>732</v>
      </c>
    </row>
    <row r="126" spans="1:15" ht="28.5" x14ac:dyDescent="0.2">
      <c r="A126" s="36" t="s">
        <v>12</v>
      </c>
      <c r="B126" s="36" t="s">
        <v>15</v>
      </c>
      <c r="C126" s="35" t="s">
        <v>731</v>
      </c>
      <c r="D126" s="20" t="s">
        <v>730</v>
      </c>
      <c r="E126" s="35"/>
      <c r="F126" s="35" t="s">
        <v>729</v>
      </c>
      <c r="G126" s="35">
        <v>5</v>
      </c>
      <c r="H126" s="35">
        <v>13</v>
      </c>
      <c r="I126" s="35"/>
      <c r="J126" s="35"/>
      <c r="K126" s="35"/>
      <c r="L126" s="35"/>
      <c r="M126" s="35"/>
      <c r="N126" s="35"/>
      <c r="O126" s="35"/>
    </row>
    <row r="127" spans="1:15" ht="15" x14ac:dyDescent="0.2">
      <c r="A127" s="36" t="s">
        <v>12</v>
      </c>
      <c r="B127" s="36" t="s">
        <v>13</v>
      </c>
      <c r="C127" s="35" t="s">
        <v>728</v>
      </c>
      <c r="D127" s="20" t="s">
        <v>727</v>
      </c>
      <c r="E127" s="35"/>
      <c r="F127" s="35" t="s">
        <v>291</v>
      </c>
      <c r="G127" s="35"/>
      <c r="H127" s="35"/>
      <c r="I127" s="35"/>
      <c r="J127" s="35"/>
      <c r="K127" s="35"/>
      <c r="L127" s="35"/>
      <c r="M127" s="35"/>
      <c r="N127" s="35"/>
      <c r="O127" s="35" t="s">
        <v>724</v>
      </c>
    </row>
    <row r="128" spans="1:15" ht="15" x14ac:dyDescent="0.2">
      <c r="A128" s="36" t="s">
        <v>12</v>
      </c>
      <c r="B128" s="36" t="s">
        <v>14</v>
      </c>
      <c r="C128" s="35" t="s">
        <v>726</v>
      </c>
      <c r="D128" s="20" t="s">
        <v>725</v>
      </c>
      <c r="E128" s="35"/>
      <c r="F128" s="35" t="s">
        <v>291</v>
      </c>
      <c r="G128" s="35"/>
      <c r="H128" s="35"/>
      <c r="I128" s="35"/>
      <c r="J128" s="35"/>
      <c r="K128" s="35"/>
      <c r="L128" s="35"/>
      <c r="M128" s="35"/>
      <c r="N128" s="35"/>
      <c r="O128" s="35" t="s">
        <v>724</v>
      </c>
    </row>
    <row r="129" spans="1:15" ht="28.5" x14ac:dyDescent="0.2">
      <c r="A129" s="36" t="s">
        <v>12</v>
      </c>
      <c r="B129" s="36" t="s">
        <v>13</v>
      </c>
      <c r="C129" s="35" t="s">
        <v>723</v>
      </c>
      <c r="D129" s="20" t="s">
        <v>722</v>
      </c>
      <c r="E129" s="35"/>
      <c r="F129" s="35" t="s">
        <v>291</v>
      </c>
      <c r="G129" s="35"/>
      <c r="H129" s="35"/>
      <c r="I129" s="35"/>
      <c r="J129" s="35"/>
      <c r="K129" s="35"/>
      <c r="L129" s="35"/>
      <c r="M129" s="35"/>
      <c r="N129" s="35"/>
      <c r="O129" s="35" t="s">
        <v>299</v>
      </c>
    </row>
    <row r="130" spans="1:15" ht="28.5" x14ac:dyDescent="0.2">
      <c r="A130" s="36" t="s">
        <v>12</v>
      </c>
      <c r="B130" s="36" t="s">
        <v>13</v>
      </c>
      <c r="C130" s="35" t="s">
        <v>721</v>
      </c>
      <c r="D130" s="20" t="s">
        <v>720</v>
      </c>
      <c r="E130" s="35"/>
      <c r="F130" s="35" t="s">
        <v>291</v>
      </c>
      <c r="G130" s="35"/>
      <c r="H130" s="35"/>
      <c r="I130" s="35"/>
      <c r="J130" s="35"/>
      <c r="K130" s="35"/>
      <c r="L130" s="35"/>
      <c r="M130" s="35"/>
      <c r="N130" s="35"/>
      <c r="O130" s="35"/>
    </row>
    <row r="131" spans="1:15" ht="28.5" x14ac:dyDescent="0.2">
      <c r="A131" s="36" t="s">
        <v>12</v>
      </c>
      <c r="B131" s="36" t="s">
        <v>14</v>
      </c>
      <c r="C131" s="35" t="s">
        <v>719</v>
      </c>
      <c r="D131" s="20" t="s">
        <v>718</v>
      </c>
      <c r="E131" s="35"/>
      <c r="F131" s="35" t="s">
        <v>291</v>
      </c>
      <c r="G131" s="35">
        <v>5</v>
      </c>
      <c r="H131" s="35"/>
      <c r="I131" s="35"/>
      <c r="J131" s="35"/>
      <c r="K131" s="35"/>
      <c r="L131" s="35"/>
      <c r="M131" s="35"/>
      <c r="N131" s="35"/>
      <c r="O131" s="35" t="s">
        <v>299</v>
      </c>
    </row>
    <row r="132" spans="1:15" ht="28.5" x14ac:dyDescent="0.2">
      <c r="A132" s="36" t="s">
        <v>12</v>
      </c>
      <c r="B132" s="36" t="s">
        <v>13</v>
      </c>
      <c r="C132" s="35" t="s">
        <v>717</v>
      </c>
      <c r="D132" s="20" t="s">
        <v>716</v>
      </c>
      <c r="E132" s="35"/>
      <c r="F132" s="35" t="s">
        <v>219</v>
      </c>
      <c r="G132" s="35"/>
      <c r="H132" s="35"/>
      <c r="I132" s="35"/>
      <c r="J132" s="35"/>
      <c r="K132" s="35"/>
      <c r="L132" s="35"/>
      <c r="M132" s="35"/>
      <c r="N132" s="35"/>
      <c r="O132" s="35"/>
    </row>
    <row r="133" spans="1:15" ht="28.5" x14ac:dyDescent="0.2">
      <c r="A133" s="36" t="s">
        <v>12</v>
      </c>
      <c r="B133" s="36" t="s">
        <v>16</v>
      </c>
      <c r="C133" s="35" t="s">
        <v>230</v>
      </c>
      <c r="D133" s="20" t="s">
        <v>231</v>
      </c>
      <c r="E133" s="35" t="s">
        <v>70</v>
      </c>
      <c r="F133" s="35" t="s">
        <v>219</v>
      </c>
      <c r="G133" s="35">
        <v>8</v>
      </c>
      <c r="H133" s="35"/>
      <c r="I133" s="35"/>
      <c r="J133" s="35"/>
      <c r="K133" s="35"/>
      <c r="L133" s="35"/>
      <c r="M133" s="35"/>
      <c r="N133" s="35"/>
      <c r="O133" s="35" t="s">
        <v>218</v>
      </c>
    </row>
    <row r="134" spans="1:15" ht="28.5" x14ac:dyDescent="0.2">
      <c r="A134" s="36" t="s">
        <v>12</v>
      </c>
      <c r="B134" s="36" t="s">
        <v>13</v>
      </c>
      <c r="C134" s="35" t="s">
        <v>232</v>
      </c>
      <c r="D134" s="20" t="s">
        <v>233</v>
      </c>
      <c r="E134" s="35" t="s">
        <v>70</v>
      </c>
      <c r="F134" s="35" t="s">
        <v>219</v>
      </c>
      <c r="G134" s="35">
        <v>13</v>
      </c>
      <c r="H134" s="35"/>
      <c r="I134" s="35"/>
      <c r="J134" s="35"/>
      <c r="K134" s="35"/>
      <c r="L134" s="35"/>
      <c r="M134" s="35"/>
      <c r="N134" s="35"/>
      <c r="O134" s="35" t="s">
        <v>234</v>
      </c>
    </row>
    <row r="135" spans="1:15" ht="15" x14ac:dyDescent="0.2">
      <c r="A135" s="36" t="s">
        <v>12</v>
      </c>
      <c r="B135" s="36" t="s">
        <v>15</v>
      </c>
      <c r="C135" s="35" t="s">
        <v>715</v>
      </c>
      <c r="D135" s="20" t="s">
        <v>714</v>
      </c>
      <c r="E135" s="35"/>
      <c r="F135" s="35" t="s">
        <v>83</v>
      </c>
      <c r="G135" s="35">
        <v>21</v>
      </c>
      <c r="H135" s="35">
        <v>21</v>
      </c>
      <c r="I135" s="35"/>
      <c r="J135" s="35"/>
      <c r="K135" s="35"/>
      <c r="L135" s="35"/>
      <c r="M135" s="35"/>
      <c r="N135" s="35"/>
      <c r="O135" s="35" t="s">
        <v>713</v>
      </c>
    </row>
    <row r="136" spans="1:15" ht="28.5" x14ac:dyDescent="0.2">
      <c r="A136" s="36" t="s">
        <v>12</v>
      </c>
      <c r="B136" s="36" t="s">
        <v>106</v>
      </c>
      <c r="C136" s="35" t="s">
        <v>712</v>
      </c>
      <c r="D136" s="20" t="s">
        <v>711</v>
      </c>
      <c r="E136" s="35"/>
      <c r="F136" s="35" t="s">
        <v>83</v>
      </c>
      <c r="G136" s="35">
        <v>21</v>
      </c>
      <c r="H136" s="35"/>
      <c r="I136" s="35"/>
      <c r="J136" s="35"/>
      <c r="K136" s="35"/>
      <c r="L136" s="35"/>
      <c r="M136" s="35"/>
      <c r="N136" s="35"/>
      <c r="O136" s="35" t="s">
        <v>234</v>
      </c>
    </row>
    <row r="137" spans="1:15" ht="28.5" x14ac:dyDescent="0.2">
      <c r="A137" s="36" t="s">
        <v>12</v>
      </c>
      <c r="B137" s="36" t="s">
        <v>13</v>
      </c>
      <c r="C137" s="35" t="s">
        <v>710</v>
      </c>
      <c r="D137" s="20" t="s">
        <v>709</v>
      </c>
      <c r="E137" s="35"/>
      <c r="F137" s="35" t="s">
        <v>219</v>
      </c>
      <c r="G137" s="35">
        <v>5</v>
      </c>
      <c r="H137" s="35"/>
      <c r="I137" s="35"/>
      <c r="J137" s="35"/>
      <c r="K137" s="35"/>
      <c r="L137" s="35"/>
      <c r="M137" s="35"/>
      <c r="N137" s="35"/>
      <c r="O137" s="35" t="s">
        <v>296</v>
      </c>
    </row>
    <row r="138" spans="1:15" ht="15" x14ac:dyDescent="0.2">
      <c r="A138" s="36" t="s">
        <v>12</v>
      </c>
      <c r="B138" s="36" t="s">
        <v>16</v>
      </c>
      <c r="C138" s="35" t="s">
        <v>708</v>
      </c>
      <c r="D138" s="20" t="s">
        <v>707</v>
      </c>
      <c r="E138" s="35"/>
      <c r="F138" s="35" t="s">
        <v>219</v>
      </c>
      <c r="G138" s="35">
        <v>3</v>
      </c>
      <c r="H138" s="35"/>
      <c r="I138" s="35"/>
      <c r="J138" s="35"/>
      <c r="K138" s="35"/>
      <c r="L138" s="35"/>
      <c r="M138" s="35"/>
      <c r="N138" s="35"/>
      <c r="O138" s="35" t="s">
        <v>302</v>
      </c>
    </row>
    <row r="139" spans="1:15" ht="15" x14ac:dyDescent="0.2">
      <c r="A139" s="36" t="s">
        <v>12</v>
      </c>
      <c r="B139" s="36" t="s">
        <v>14</v>
      </c>
      <c r="C139" s="35" t="s">
        <v>706</v>
      </c>
      <c r="D139" s="20" t="s">
        <v>705</v>
      </c>
      <c r="E139" s="35"/>
      <c r="F139" s="35" t="s">
        <v>219</v>
      </c>
      <c r="G139" s="35">
        <v>15</v>
      </c>
      <c r="H139" s="35"/>
      <c r="I139" s="35"/>
      <c r="J139" s="35"/>
      <c r="K139" s="35"/>
      <c r="L139" s="35"/>
      <c r="M139" s="35"/>
      <c r="N139" s="35"/>
      <c r="O139" s="35" t="s">
        <v>302</v>
      </c>
    </row>
    <row r="140" spans="1:15" ht="28.5" x14ac:dyDescent="0.2">
      <c r="A140" s="36" t="s">
        <v>12</v>
      </c>
      <c r="B140" s="36" t="s">
        <v>16</v>
      </c>
      <c r="C140" s="35" t="s">
        <v>704</v>
      </c>
      <c r="D140" s="20" t="s">
        <v>703</v>
      </c>
      <c r="E140" s="35"/>
      <c r="F140" s="35" t="s">
        <v>219</v>
      </c>
      <c r="G140" s="35">
        <v>21</v>
      </c>
      <c r="H140" s="35"/>
      <c r="I140" s="35"/>
      <c r="J140" s="35"/>
      <c r="K140" s="35"/>
      <c r="L140" s="35"/>
      <c r="M140" s="35"/>
      <c r="N140" s="35"/>
      <c r="O140" s="35" t="s">
        <v>702</v>
      </c>
    </row>
    <row r="141" spans="1:15" ht="28.5" x14ac:dyDescent="0.2">
      <c r="A141" s="36" t="s">
        <v>12</v>
      </c>
      <c r="B141" s="36" t="s">
        <v>14</v>
      </c>
      <c r="C141" s="35" t="s">
        <v>701</v>
      </c>
      <c r="D141" s="20" t="s">
        <v>700</v>
      </c>
      <c r="E141" s="35"/>
      <c r="F141" s="35" t="s">
        <v>219</v>
      </c>
      <c r="G141" s="35">
        <v>5</v>
      </c>
      <c r="H141" s="35"/>
      <c r="I141" s="35">
        <v>115200</v>
      </c>
      <c r="J141" s="35">
        <v>115200</v>
      </c>
      <c r="K141" s="35"/>
      <c r="L141" s="35"/>
      <c r="M141" s="35"/>
      <c r="N141" s="35"/>
      <c r="O141" s="35" t="s">
        <v>302</v>
      </c>
    </row>
    <row r="142" spans="1:15" ht="28.5" x14ac:dyDescent="0.2">
      <c r="A142" s="36" t="s">
        <v>12</v>
      </c>
      <c r="B142" s="36" t="s">
        <v>15</v>
      </c>
      <c r="C142" s="35" t="s">
        <v>699</v>
      </c>
      <c r="D142" s="20" t="s">
        <v>698</v>
      </c>
      <c r="E142" s="35"/>
      <c r="F142" s="35" t="s">
        <v>655</v>
      </c>
      <c r="G142" s="35">
        <v>2</v>
      </c>
      <c r="H142" s="35"/>
      <c r="I142" s="35">
        <v>0</v>
      </c>
      <c r="J142" s="35">
        <v>0</v>
      </c>
      <c r="K142" s="35"/>
      <c r="L142" s="35"/>
      <c r="M142" s="35"/>
      <c r="N142" s="35"/>
      <c r="O142" s="35"/>
    </row>
    <row r="143" spans="1:15" ht="15" x14ac:dyDescent="0.2">
      <c r="A143" s="36" t="s">
        <v>12</v>
      </c>
      <c r="B143" s="36" t="s">
        <v>17</v>
      </c>
      <c r="C143" s="35" t="s">
        <v>697</v>
      </c>
      <c r="D143" s="20" t="s">
        <v>696</v>
      </c>
      <c r="E143" s="35"/>
      <c r="F143" s="35" t="s">
        <v>655</v>
      </c>
      <c r="G143" s="35">
        <v>13</v>
      </c>
      <c r="H143" s="35"/>
      <c r="I143" s="35"/>
      <c r="J143" s="35"/>
      <c r="K143" s="35"/>
      <c r="L143" s="35"/>
      <c r="M143" s="35"/>
      <c r="N143" s="35"/>
      <c r="O143" s="35" t="s">
        <v>302</v>
      </c>
    </row>
    <row r="144" spans="1:15" ht="28.5" x14ac:dyDescent="0.2">
      <c r="A144" s="36" t="s">
        <v>12</v>
      </c>
      <c r="B144" s="36" t="s">
        <v>15</v>
      </c>
      <c r="C144" s="35" t="s">
        <v>695</v>
      </c>
      <c r="D144" s="20" t="s">
        <v>694</v>
      </c>
      <c r="E144" s="35"/>
      <c r="F144" s="35" t="s">
        <v>655</v>
      </c>
      <c r="G144" s="35">
        <v>5</v>
      </c>
      <c r="H144" s="35">
        <v>5</v>
      </c>
      <c r="I144" s="35"/>
      <c r="J144" s="35"/>
      <c r="K144" s="35"/>
      <c r="L144" s="35"/>
      <c r="M144" s="35"/>
      <c r="N144" s="35"/>
      <c r="O144" s="35" t="s">
        <v>385</v>
      </c>
    </row>
    <row r="145" spans="1:15" ht="28.5" x14ac:dyDescent="0.2">
      <c r="A145" s="36" t="s">
        <v>12</v>
      </c>
      <c r="B145" s="36" t="s">
        <v>15</v>
      </c>
      <c r="C145" s="35" t="s">
        <v>693</v>
      </c>
      <c r="D145" s="20" t="s">
        <v>692</v>
      </c>
      <c r="E145" s="35"/>
      <c r="F145" s="35" t="s">
        <v>655</v>
      </c>
      <c r="G145" s="35">
        <v>13</v>
      </c>
      <c r="H145" s="35">
        <v>13</v>
      </c>
      <c r="I145" s="35"/>
      <c r="J145" s="35"/>
      <c r="K145" s="35"/>
      <c r="L145" s="35"/>
      <c r="M145" s="35"/>
      <c r="N145" s="35"/>
      <c r="O145" s="35" t="s">
        <v>296</v>
      </c>
    </row>
    <row r="146" spans="1:15" ht="28.5" x14ac:dyDescent="0.2">
      <c r="A146" s="36" t="s">
        <v>12</v>
      </c>
      <c r="B146" s="36" t="s">
        <v>13</v>
      </c>
      <c r="C146" s="35" t="s">
        <v>531</v>
      </c>
      <c r="D146" s="20" t="s">
        <v>530</v>
      </c>
      <c r="E146" s="35" t="s">
        <v>442</v>
      </c>
      <c r="F146" s="35" t="s">
        <v>277</v>
      </c>
      <c r="G146" s="35"/>
      <c r="H146" s="35"/>
      <c r="I146" s="35">
        <v>43200</v>
      </c>
      <c r="J146" s="35">
        <v>43200</v>
      </c>
      <c r="K146" s="35"/>
      <c r="L146" s="35"/>
      <c r="M146" s="35"/>
      <c r="N146" s="35"/>
      <c r="O146" s="35"/>
    </row>
    <row r="147" spans="1:15" ht="15" x14ac:dyDescent="0.2">
      <c r="A147" s="36" t="s">
        <v>12</v>
      </c>
      <c r="B147" s="36" t="s">
        <v>13</v>
      </c>
      <c r="C147" s="35" t="s">
        <v>381</v>
      </c>
      <c r="D147" s="20" t="s">
        <v>382</v>
      </c>
      <c r="E147" s="35" t="s">
        <v>70</v>
      </c>
      <c r="F147" s="35"/>
      <c r="G147" s="35"/>
      <c r="H147" s="35"/>
      <c r="I147" s="35"/>
      <c r="J147" s="35"/>
      <c r="K147" s="35"/>
      <c r="L147" s="35"/>
      <c r="M147" s="35"/>
      <c r="N147" s="35"/>
      <c r="O147" s="35" t="s">
        <v>383</v>
      </c>
    </row>
    <row r="148" spans="1:15" ht="28.5" x14ac:dyDescent="0.2">
      <c r="A148" s="36" t="s">
        <v>12</v>
      </c>
      <c r="B148" s="36" t="s">
        <v>13</v>
      </c>
      <c r="C148" s="35" t="s">
        <v>533</v>
      </c>
      <c r="D148" s="20" t="s">
        <v>532</v>
      </c>
      <c r="E148" s="35" t="s">
        <v>442</v>
      </c>
      <c r="F148" s="35"/>
      <c r="G148" s="35"/>
      <c r="H148" s="35"/>
      <c r="I148" s="35"/>
      <c r="J148" s="35"/>
      <c r="K148" s="35"/>
      <c r="L148" s="35"/>
      <c r="M148" s="35"/>
      <c r="N148" s="35"/>
      <c r="O148" s="35" t="s">
        <v>310</v>
      </c>
    </row>
    <row r="149" spans="1:15" ht="28.5" x14ac:dyDescent="0.2">
      <c r="A149" s="36" t="s">
        <v>12</v>
      </c>
      <c r="B149" s="36" t="s">
        <v>16</v>
      </c>
      <c r="C149" s="35" t="s">
        <v>691</v>
      </c>
      <c r="D149" s="20" t="s">
        <v>690</v>
      </c>
      <c r="E149" s="35"/>
      <c r="F149" s="35" t="s">
        <v>71</v>
      </c>
      <c r="G149" s="35">
        <v>13</v>
      </c>
      <c r="H149" s="35"/>
      <c r="I149" s="35">
        <v>201600</v>
      </c>
      <c r="J149" s="35">
        <v>201600</v>
      </c>
      <c r="K149" s="35"/>
      <c r="L149" s="35"/>
      <c r="M149" s="35"/>
      <c r="N149" s="35"/>
      <c r="O149" s="35" t="s">
        <v>299</v>
      </c>
    </row>
    <row r="150" spans="1:15" ht="28.5" x14ac:dyDescent="0.2">
      <c r="A150" s="36" t="s">
        <v>12</v>
      </c>
      <c r="B150" s="36" t="s">
        <v>14</v>
      </c>
      <c r="C150" s="35" t="s">
        <v>689</v>
      </c>
      <c r="D150" s="20" t="s">
        <v>688</v>
      </c>
      <c r="E150" s="35"/>
      <c r="F150" s="35" t="s">
        <v>219</v>
      </c>
      <c r="G150" s="35"/>
      <c r="H150" s="35"/>
      <c r="I150" s="35">
        <v>145560</v>
      </c>
      <c r="J150" s="35">
        <v>145560</v>
      </c>
      <c r="K150" s="35"/>
      <c r="L150" s="35"/>
      <c r="M150" s="35"/>
      <c r="N150" s="35"/>
      <c r="O150" s="35" t="s">
        <v>310</v>
      </c>
    </row>
    <row r="151" spans="1:15" ht="15" x14ac:dyDescent="0.2">
      <c r="A151" s="36" t="s">
        <v>12</v>
      </c>
      <c r="B151" s="36" t="s">
        <v>106</v>
      </c>
      <c r="C151" s="35" t="s">
        <v>251</v>
      </c>
      <c r="D151" s="20" t="s">
        <v>252</v>
      </c>
      <c r="E151" s="35" t="s">
        <v>70</v>
      </c>
      <c r="F151" s="35" t="s">
        <v>249</v>
      </c>
      <c r="G151" s="35">
        <v>5</v>
      </c>
      <c r="H151" s="35"/>
      <c r="I151" s="35">
        <v>4500</v>
      </c>
      <c r="J151" s="35">
        <v>0</v>
      </c>
      <c r="K151" s="35"/>
      <c r="L151" s="35"/>
      <c r="M151" s="35"/>
      <c r="N151" s="35"/>
      <c r="O151" s="35" t="s">
        <v>253</v>
      </c>
    </row>
    <row r="152" spans="1:15" ht="15" x14ac:dyDescent="0.2">
      <c r="A152" s="36" t="s">
        <v>12</v>
      </c>
      <c r="B152" s="36" t="s">
        <v>16</v>
      </c>
      <c r="C152" s="35" t="s">
        <v>263</v>
      </c>
      <c r="D152" s="20" t="s">
        <v>264</v>
      </c>
      <c r="E152" s="35" t="s">
        <v>70</v>
      </c>
      <c r="F152" s="35" t="s">
        <v>249</v>
      </c>
      <c r="G152" s="35">
        <v>5</v>
      </c>
      <c r="H152" s="35"/>
      <c r="I152" s="35">
        <v>4500</v>
      </c>
      <c r="J152" s="35">
        <v>0</v>
      </c>
      <c r="K152" s="35"/>
      <c r="L152" s="35"/>
      <c r="M152" s="35"/>
      <c r="N152" s="35"/>
      <c r="O152" s="35" t="s">
        <v>253</v>
      </c>
    </row>
    <row r="153" spans="1:15" ht="15" x14ac:dyDescent="0.2">
      <c r="A153" s="36" t="s">
        <v>12</v>
      </c>
      <c r="B153" s="36" t="s">
        <v>16</v>
      </c>
      <c r="C153" s="35" t="s">
        <v>261</v>
      </c>
      <c r="D153" s="20" t="s">
        <v>262</v>
      </c>
      <c r="E153" s="35" t="s">
        <v>70</v>
      </c>
      <c r="F153" s="35" t="s">
        <v>249</v>
      </c>
      <c r="G153" s="35">
        <v>5</v>
      </c>
      <c r="H153" s="35"/>
      <c r="I153" s="35">
        <v>4500</v>
      </c>
      <c r="J153" s="35">
        <v>0</v>
      </c>
      <c r="K153" s="35"/>
      <c r="L153" s="35"/>
      <c r="M153" s="35"/>
      <c r="N153" s="35"/>
      <c r="O153" s="35" t="s">
        <v>253</v>
      </c>
    </row>
    <row r="154" spans="1:15" ht="15" x14ac:dyDescent="0.2">
      <c r="A154" s="36" t="s">
        <v>12</v>
      </c>
      <c r="B154" s="36" t="s">
        <v>106</v>
      </c>
      <c r="C154" s="35" t="s">
        <v>256</v>
      </c>
      <c r="D154" s="20" t="s">
        <v>257</v>
      </c>
      <c r="E154" s="35" t="s">
        <v>70</v>
      </c>
      <c r="F154" s="35" t="s">
        <v>249</v>
      </c>
      <c r="G154" s="35">
        <v>5</v>
      </c>
      <c r="H154" s="35"/>
      <c r="I154" s="35">
        <v>4500</v>
      </c>
      <c r="J154" s="35">
        <v>0</v>
      </c>
      <c r="K154" s="35"/>
      <c r="L154" s="35"/>
      <c r="M154" s="35"/>
      <c r="N154" s="35"/>
      <c r="O154" s="35" t="s">
        <v>253</v>
      </c>
    </row>
    <row r="155" spans="1:15" ht="15" x14ac:dyDescent="0.2">
      <c r="A155" s="36" t="s">
        <v>12</v>
      </c>
      <c r="B155" s="36" t="s">
        <v>106</v>
      </c>
      <c r="C155" s="35" t="s">
        <v>254</v>
      </c>
      <c r="D155" s="20" t="s">
        <v>255</v>
      </c>
      <c r="E155" s="35" t="s">
        <v>70</v>
      </c>
      <c r="F155" s="35" t="s">
        <v>249</v>
      </c>
      <c r="G155" s="35">
        <v>5</v>
      </c>
      <c r="H155" s="35"/>
      <c r="I155" s="35">
        <v>4500</v>
      </c>
      <c r="J155" s="35">
        <v>0</v>
      </c>
      <c r="K155" s="35"/>
      <c r="L155" s="35"/>
      <c r="M155" s="35"/>
      <c r="N155" s="35"/>
      <c r="O155" s="35" t="s">
        <v>253</v>
      </c>
    </row>
    <row r="156" spans="1:15" ht="42.75" x14ac:dyDescent="0.2">
      <c r="A156" s="36" t="s">
        <v>12</v>
      </c>
      <c r="B156" s="36" t="s">
        <v>16</v>
      </c>
      <c r="C156" s="35" t="s">
        <v>258</v>
      </c>
      <c r="D156" s="20" t="s">
        <v>259</v>
      </c>
      <c r="E156" s="35" t="s">
        <v>70</v>
      </c>
      <c r="F156" s="35" t="s">
        <v>249</v>
      </c>
      <c r="G156" s="35">
        <v>5</v>
      </c>
      <c r="H156" s="35"/>
      <c r="I156" s="35">
        <v>4500</v>
      </c>
      <c r="J156" s="35">
        <v>0</v>
      </c>
      <c r="K156" s="35"/>
      <c r="L156" s="35"/>
      <c r="M156" s="35"/>
      <c r="N156" s="35"/>
      <c r="O156" s="35" t="s">
        <v>260</v>
      </c>
    </row>
    <row r="157" spans="1:15" ht="28.5" x14ac:dyDescent="0.2">
      <c r="A157" s="36" t="s">
        <v>12</v>
      </c>
      <c r="B157" s="36" t="s">
        <v>13</v>
      </c>
      <c r="C157" s="35" t="s">
        <v>247</v>
      </c>
      <c r="D157" s="20" t="s">
        <v>248</v>
      </c>
      <c r="E157" s="35" t="s">
        <v>70</v>
      </c>
      <c r="F157" s="35" t="s">
        <v>249</v>
      </c>
      <c r="G157" s="35">
        <v>8</v>
      </c>
      <c r="H157" s="35"/>
      <c r="I157" s="35"/>
      <c r="J157" s="35"/>
      <c r="K157" s="35"/>
      <c r="L157" s="35"/>
      <c r="M157" s="35"/>
      <c r="N157" s="35"/>
      <c r="O157" s="35" t="s">
        <v>250</v>
      </c>
    </row>
    <row r="158" spans="1:15" ht="15" x14ac:dyDescent="0.2">
      <c r="A158" s="36" t="s">
        <v>12</v>
      </c>
      <c r="B158" s="36" t="s">
        <v>15</v>
      </c>
      <c r="C158" s="35" t="s">
        <v>77</v>
      </c>
      <c r="D158" s="20" t="s">
        <v>78</v>
      </c>
      <c r="E158" s="35" t="s">
        <v>70</v>
      </c>
      <c r="F158" s="35" t="s">
        <v>75</v>
      </c>
      <c r="G158" s="35">
        <v>0</v>
      </c>
      <c r="H158" s="35"/>
      <c r="I158" s="35">
        <v>7200</v>
      </c>
      <c r="J158" s="35">
        <v>7200</v>
      </c>
      <c r="K158" s="35"/>
      <c r="L158" s="35"/>
      <c r="M158" s="35"/>
      <c r="N158" s="35"/>
      <c r="O158" s="35" t="s">
        <v>76</v>
      </c>
    </row>
    <row r="159" spans="1:15" ht="15" x14ac:dyDescent="0.2">
      <c r="A159" s="36" t="s">
        <v>12</v>
      </c>
      <c r="B159" s="36" t="s">
        <v>15</v>
      </c>
      <c r="C159" s="35" t="s">
        <v>79</v>
      </c>
      <c r="D159" s="20" t="s">
        <v>80</v>
      </c>
      <c r="E159" s="35" t="s">
        <v>70</v>
      </c>
      <c r="F159" s="35" t="s">
        <v>75</v>
      </c>
      <c r="G159" s="35">
        <v>0</v>
      </c>
      <c r="H159" s="35"/>
      <c r="I159" s="35"/>
      <c r="J159" s="35"/>
      <c r="K159" s="35"/>
      <c r="L159" s="35"/>
      <c r="M159" s="35"/>
      <c r="N159" s="35"/>
      <c r="O159" s="35" t="s">
        <v>76</v>
      </c>
    </row>
    <row r="160" spans="1:15" ht="28.5" x14ac:dyDescent="0.2">
      <c r="A160" s="36" t="s">
        <v>12</v>
      </c>
      <c r="B160" s="36" t="s">
        <v>15</v>
      </c>
      <c r="C160" s="35" t="s">
        <v>73</v>
      </c>
      <c r="D160" s="20" t="s">
        <v>74</v>
      </c>
      <c r="E160" s="35" t="s">
        <v>70</v>
      </c>
      <c r="F160" s="35" t="s">
        <v>75</v>
      </c>
      <c r="G160" s="35">
        <v>0</v>
      </c>
      <c r="H160" s="35"/>
      <c r="I160" s="35"/>
      <c r="J160" s="35"/>
      <c r="K160" s="35"/>
      <c r="L160" s="35"/>
      <c r="M160" s="35"/>
      <c r="N160" s="35"/>
      <c r="O160" s="35" t="s">
        <v>76</v>
      </c>
    </row>
    <row r="161" spans="1:15" ht="28.5" x14ac:dyDescent="0.2">
      <c r="A161" s="36" t="s">
        <v>12</v>
      </c>
      <c r="B161" s="36" t="s">
        <v>14</v>
      </c>
      <c r="C161" s="35" t="s">
        <v>687</v>
      </c>
      <c r="D161" s="20" t="s">
        <v>686</v>
      </c>
      <c r="E161" s="35"/>
      <c r="F161" s="35" t="s">
        <v>291</v>
      </c>
      <c r="G161" s="35"/>
      <c r="H161" s="35"/>
      <c r="I161" s="35"/>
      <c r="J161" s="35"/>
      <c r="K161" s="35"/>
      <c r="L161" s="35"/>
      <c r="M161" s="35"/>
      <c r="N161" s="35"/>
      <c r="O161" s="35"/>
    </row>
    <row r="162" spans="1:15" ht="28.5" x14ac:dyDescent="0.2">
      <c r="A162" s="36" t="s">
        <v>12</v>
      </c>
      <c r="B162" s="36" t="s">
        <v>13</v>
      </c>
      <c r="C162" s="35" t="s">
        <v>685</v>
      </c>
      <c r="D162" s="20" t="s">
        <v>684</v>
      </c>
      <c r="E162" s="35"/>
      <c r="F162" s="35" t="s">
        <v>291</v>
      </c>
      <c r="G162" s="35">
        <v>5</v>
      </c>
      <c r="H162" s="35"/>
      <c r="I162" s="35"/>
      <c r="J162" s="35"/>
      <c r="K162" s="35"/>
      <c r="L162" s="35"/>
      <c r="M162" s="35"/>
      <c r="N162" s="35"/>
      <c r="O162" s="35" t="s">
        <v>294</v>
      </c>
    </row>
    <row r="163" spans="1:15" ht="15" x14ac:dyDescent="0.2">
      <c r="A163" s="36" t="s">
        <v>12</v>
      </c>
      <c r="B163" s="36" t="s">
        <v>13</v>
      </c>
      <c r="C163" s="35" t="s">
        <v>683</v>
      </c>
      <c r="D163" s="20" t="s">
        <v>682</v>
      </c>
      <c r="E163" s="35"/>
      <c r="F163" s="35" t="s">
        <v>291</v>
      </c>
      <c r="G163" s="35">
        <v>5</v>
      </c>
      <c r="H163" s="35"/>
      <c r="I163" s="35"/>
      <c r="J163" s="35"/>
      <c r="K163" s="35"/>
      <c r="L163" s="35"/>
      <c r="M163" s="35"/>
      <c r="N163" s="35"/>
      <c r="O163" s="35" t="s">
        <v>299</v>
      </c>
    </row>
    <row r="164" spans="1:15" ht="15" x14ac:dyDescent="0.2">
      <c r="A164" s="36" t="s">
        <v>12</v>
      </c>
      <c r="B164" s="36" t="s">
        <v>16</v>
      </c>
      <c r="C164" s="35" t="s">
        <v>681</v>
      </c>
      <c r="D164" s="20" t="s">
        <v>680</v>
      </c>
      <c r="E164" s="35"/>
      <c r="F164" s="35" t="s">
        <v>219</v>
      </c>
      <c r="G164" s="35"/>
      <c r="H164" s="35"/>
      <c r="I164" s="35">
        <v>14400</v>
      </c>
      <c r="J164" s="35">
        <v>14400</v>
      </c>
      <c r="K164" s="35"/>
      <c r="L164" s="35"/>
      <c r="M164" s="35"/>
      <c r="N164" s="35"/>
      <c r="O164" s="35" t="s">
        <v>218</v>
      </c>
    </row>
    <row r="165" spans="1:15" ht="28.5" x14ac:dyDescent="0.2">
      <c r="A165" s="36" t="s">
        <v>12</v>
      </c>
      <c r="B165" s="36" t="s">
        <v>13</v>
      </c>
      <c r="C165" s="35" t="s">
        <v>679</v>
      </c>
      <c r="D165" s="20" t="s">
        <v>678</v>
      </c>
      <c r="E165" s="35"/>
      <c r="F165" s="35" t="s">
        <v>291</v>
      </c>
      <c r="G165" s="35">
        <v>5</v>
      </c>
      <c r="H165" s="35"/>
      <c r="I165" s="35"/>
      <c r="J165" s="35"/>
      <c r="K165" s="35"/>
      <c r="L165" s="35"/>
      <c r="M165" s="35"/>
      <c r="N165" s="35"/>
      <c r="O165" s="35" t="s">
        <v>307</v>
      </c>
    </row>
    <row r="166" spans="1:15" ht="28.5" x14ac:dyDescent="0.2">
      <c r="A166" s="36" t="s">
        <v>12</v>
      </c>
      <c r="B166" s="36" t="s">
        <v>15</v>
      </c>
      <c r="C166" s="35" t="s">
        <v>677</v>
      </c>
      <c r="D166" s="20" t="s">
        <v>676</v>
      </c>
      <c r="E166" s="35"/>
      <c r="F166" s="35" t="s">
        <v>219</v>
      </c>
      <c r="G166" s="35">
        <v>3</v>
      </c>
      <c r="H166" s="35">
        <v>3</v>
      </c>
      <c r="I166" s="35"/>
      <c r="J166" s="35"/>
      <c r="K166" s="35"/>
      <c r="L166" s="35"/>
      <c r="M166" s="35"/>
      <c r="N166" s="35"/>
      <c r="O166" s="35" t="s">
        <v>307</v>
      </c>
    </row>
    <row r="167" spans="1:15" ht="28.5" x14ac:dyDescent="0.2">
      <c r="A167" s="36" t="s">
        <v>12</v>
      </c>
      <c r="B167" s="36" t="s">
        <v>14</v>
      </c>
      <c r="C167" s="35" t="s">
        <v>675</v>
      </c>
      <c r="D167" s="20" t="s">
        <v>674</v>
      </c>
      <c r="E167" s="35"/>
      <c r="F167" s="35" t="s">
        <v>291</v>
      </c>
      <c r="G167" s="35">
        <v>8</v>
      </c>
      <c r="H167" s="35"/>
      <c r="I167" s="35"/>
      <c r="J167" s="35"/>
      <c r="K167" s="35"/>
      <c r="L167" s="35"/>
      <c r="M167" s="35"/>
      <c r="N167" s="35"/>
      <c r="O167" s="35" t="s">
        <v>302</v>
      </c>
    </row>
    <row r="168" spans="1:15" ht="28.5" x14ac:dyDescent="0.2">
      <c r="A168" s="36" t="s">
        <v>12</v>
      </c>
      <c r="B168" s="36" t="s">
        <v>15</v>
      </c>
      <c r="C168" s="35" t="s">
        <v>673</v>
      </c>
      <c r="D168" s="20" t="s">
        <v>672</v>
      </c>
      <c r="E168" s="35"/>
      <c r="F168" s="35" t="s">
        <v>655</v>
      </c>
      <c r="G168" s="35">
        <v>5</v>
      </c>
      <c r="H168" s="35">
        <v>5</v>
      </c>
      <c r="I168" s="35"/>
      <c r="J168" s="35"/>
      <c r="K168" s="35"/>
      <c r="L168" s="35"/>
      <c r="M168" s="35"/>
      <c r="N168" s="35"/>
      <c r="O168" s="35" t="s">
        <v>225</v>
      </c>
    </row>
    <row r="169" spans="1:15" ht="28.5" x14ac:dyDescent="0.2">
      <c r="A169" s="36" t="s">
        <v>12</v>
      </c>
      <c r="B169" s="36" t="s">
        <v>15</v>
      </c>
      <c r="C169" s="35" t="s">
        <v>671</v>
      </c>
      <c r="D169" s="20" t="s">
        <v>670</v>
      </c>
      <c r="E169" s="35"/>
      <c r="F169" s="35" t="s">
        <v>655</v>
      </c>
      <c r="G169" s="35">
        <v>5</v>
      </c>
      <c r="H169" s="35"/>
      <c r="I169" s="35"/>
      <c r="J169" s="35"/>
      <c r="K169" s="35"/>
      <c r="L169" s="35"/>
      <c r="M169" s="35"/>
      <c r="N169" s="35"/>
      <c r="O169" s="35" t="s">
        <v>82</v>
      </c>
    </row>
    <row r="170" spans="1:15" ht="28.5" x14ac:dyDescent="0.2">
      <c r="A170" s="36" t="s">
        <v>12</v>
      </c>
      <c r="B170" s="36" t="s">
        <v>15</v>
      </c>
      <c r="C170" s="35" t="s">
        <v>669</v>
      </c>
      <c r="D170" s="20" t="s">
        <v>668</v>
      </c>
      <c r="E170" s="35"/>
      <c r="F170" s="35" t="s">
        <v>83</v>
      </c>
      <c r="G170" s="35">
        <v>8</v>
      </c>
      <c r="H170" s="35">
        <v>8</v>
      </c>
      <c r="I170" s="35">
        <v>14400</v>
      </c>
      <c r="J170" s="35">
        <v>14400</v>
      </c>
      <c r="K170" s="35"/>
      <c r="L170" s="35"/>
      <c r="M170" s="35"/>
      <c r="N170" s="35"/>
      <c r="O170" s="35" t="s">
        <v>82</v>
      </c>
    </row>
    <row r="171" spans="1:15" ht="15" x14ac:dyDescent="0.2">
      <c r="A171" s="36" t="s">
        <v>12</v>
      </c>
      <c r="B171" s="36" t="s">
        <v>15</v>
      </c>
      <c r="C171" s="35" t="s">
        <v>667</v>
      </c>
      <c r="D171" s="20" t="s">
        <v>666</v>
      </c>
      <c r="E171" s="35"/>
      <c r="F171" s="35" t="s">
        <v>655</v>
      </c>
      <c r="G171" s="35">
        <v>8</v>
      </c>
      <c r="H171" s="35"/>
      <c r="I171" s="35"/>
      <c r="J171" s="35"/>
      <c r="K171" s="35"/>
      <c r="L171" s="35"/>
      <c r="M171" s="35"/>
      <c r="N171" s="35"/>
      <c r="O171" s="35" t="s">
        <v>225</v>
      </c>
    </row>
    <row r="172" spans="1:15" ht="15" x14ac:dyDescent="0.2">
      <c r="A172" s="36" t="s">
        <v>12</v>
      </c>
      <c r="B172" s="36" t="s">
        <v>15</v>
      </c>
      <c r="C172" s="35" t="s">
        <v>665</v>
      </c>
      <c r="D172" s="20" t="s">
        <v>223</v>
      </c>
      <c r="E172" s="35"/>
      <c r="F172" s="35" t="s">
        <v>219</v>
      </c>
      <c r="G172" s="35">
        <v>8</v>
      </c>
      <c r="H172" s="35">
        <v>8</v>
      </c>
      <c r="I172" s="35">
        <v>14400</v>
      </c>
      <c r="J172" s="35">
        <v>14400</v>
      </c>
      <c r="K172" s="35"/>
      <c r="L172" s="35"/>
      <c r="M172" s="35"/>
      <c r="N172" s="35"/>
      <c r="O172" s="35" t="s">
        <v>222</v>
      </c>
    </row>
    <row r="173" spans="1:15" ht="28.5" x14ac:dyDescent="0.2">
      <c r="A173" s="36" t="s">
        <v>12</v>
      </c>
      <c r="B173" s="36" t="s">
        <v>15</v>
      </c>
      <c r="C173" s="35" t="s">
        <v>664</v>
      </c>
      <c r="D173" s="20" t="s">
        <v>229</v>
      </c>
      <c r="E173" s="35"/>
      <c r="F173" s="35" t="s">
        <v>219</v>
      </c>
      <c r="G173" s="35">
        <v>8</v>
      </c>
      <c r="H173" s="35">
        <v>8</v>
      </c>
      <c r="I173" s="35">
        <v>172800</v>
      </c>
      <c r="J173" s="35">
        <v>172800</v>
      </c>
      <c r="K173" s="35"/>
      <c r="L173" s="35"/>
      <c r="M173" s="35"/>
      <c r="N173" s="35"/>
      <c r="O173" s="35" t="s">
        <v>228</v>
      </c>
    </row>
    <row r="174" spans="1:15" ht="28.5" x14ac:dyDescent="0.2">
      <c r="A174" s="36" t="s">
        <v>12</v>
      </c>
      <c r="B174" s="36" t="s">
        <v>13</v>
      </c>
      <c r="C174" s="35" t="s">
        <v>663</v>
      </c>
      <c r="D174" s="20" t="s">
        <v>662</v>
      </c>
      <c r="E174" s="35"/>
      <c r="F174" s="35" t="s">
        <v>291</v>
      </c>
      <c r="G174" s="35">
        <v>3</v>
      </c>
      <c r="H174" s="35"/>
      <c r="I174" s="35"/>
      <c r="J174" s="35"/>
      <c r="K174" s="35"/>
      <c r="L174" s="35"/>
      <c r="M174" s="35"/>
      <c r="N174" s="35"/>
      <c r="O174" s="35" t="s">
        <v>661</v>
      </c>
    </row>
    <row r="175" spans="1:15" ht="28.5" x14ac:dyDescent="0.2">
      <c r="A175" s="36" t="s">
        <v>12</v>
      </c>
      <c r="B175" s="36" t="s">
        <v>13</v>
      </c>
      <c r="C175" s="35" t="s">
        <v>660</v>
      </c>
      <c r="D175" s="20" t="s">
        <v>659</v>
      </c>
      <c r="E175" s="35"/>
      <c r="F175" s="35" t="s">
        <v>291</v>
      </c>
      <c r="G175" s="35">
        <v>5</v>
      </c>
      <c r="H175" s="35"/>
      <c r="I175" s="35"/>
      <c r="J175" s="35"/>
      <c r="K175" s="35"/>
      <c r="L175" s="35"/>
      <c r="M175" s="35"/>
      <c r="N175" s="35"/>
      <c r="O175" s="35"/>
    </row>
    <row r="176" spans="1:15" ht="15" x14ac:dyDescent="0.2">
      <c r="A176" s="36" t="s">
        <v>12</v>
      </c>
      <c r="B176" s="36" t="s">
        <v>13</v>
      </c>
      <c r="C176" s="35" t="s">
        <v>282</v>
      </c>
      <c r="D176" s="20" t="s">
        <v>658</v>
      </c>
      <c r="E176" s="35"/>
      <c r="F176" s="35" t="s">
        <v>291</v>
      </c>
      <c r="G176" s="35">
        <v>8</v>
      </c>
      <c r="H176" s="35"/>
      <c r="I176" s="35">
        <v>288000</v>
      </c>
      <c r="J176" s="35">
        <v>288000</v>
      </c>
      <c r="K176" s="35"/>
      <c r="L176" s="35"/>
      <c r="M176" s="35"/>
      <c r="N176" s="35"/>
      <c r="O176" s="35" t="s">
        <v>283</v>
      </c>
    </row>
    <row r="177" spans="1:15" ht="15" x14ac:dyDescent="0.2">
      <c r="A177" s="36" t="s">
        <v>12</v>
      </c>
      <c r="B177" s="36" t="s">
        <v>15</v>
      </c>
      <c r="C177" s="35" t="s">
        <v>657</v>
      </c>
      <c r="D177" s="20" t="s">
        <v>656</v>
      </c>
      <c r="E177" s="35"/>
      <c r="F177" s="35" t="s">
        <v>655</v>
      </c>
      <c r="G177" s="35">
        <v>4</v>
      </c>
      <c r="H177" s="35">
        <v>4</v>
      </c>
      <c r="I177" s="35">
        <v>57600</v>
      </c>
      <c r="J177" s="35">
        <v>57600</v>
      </c>
      <c r="K177" s="35"/>
      <c r="L177" s="35"/>
      <c r="M177" s="35"/>
      <c r="N177" s="35"/>
      <c r="O177" s="35" t="s">
        <v>649</v>
      </c>
    </row>
    <row r="178" spans="1:15" ht="15" x14ac:dyDescent="0.2">
      <c r="A178" s="36" t="s">
        <v>12</v>
      </c>
      <c r="B178" s="36" t="s">
        <v>17</v>
      </c>
      <c r="C178" s="35" t="s">
        <v>654</v>
      </c>
      <c r="D178" s="20" t="s">
        <v>653</v>
      </c>
      <c r="E178" s="35"/>
      <c r="F178" s="35" t="s">
        <v>219</v>
      </c>
      <c r="G178" s="35">
        <v>8</v>
      </c>
      <c r="H178" s="35"/>
      <c r="I178" s="35">
        <v>374400</v>
      </c>
      <c r="J178" s="35">
        <v>316800</v>
      </c>
      <c r="K178" s="35"/>
      <c r="L178" s="35"/>
      <c r="M178" s="35"/>
      <c r="N178" s="35"/>
      <c r="O178" s="35" t="s">
        <v>225</v>
      </c>
    </row>
    <row r="179" spans="1:15" ht="15" x14ac:dyDescent="0.2">
      <c r="A179" s="36" t="s">
        <v>12</v>
      </c>
      <c r="B179" s="36" t="s">
        <v>15</v>
      </c>
      <c r="C179" s="35" t="s">
        <v>279</v>
      </c>
      <c r="D179" s="20" t="s">
        <v>614</v>
      </c>
      <c r="E179" s="35" t="s">
        <v>442</v>
      </c>
      <c r="F179" s="35" t="s">
        <v>616</v>
      </c>
      <c r="G179" s="35">
        <v>7</v>
      </c>
      <c r="H179" s="35">
        <v>5</v>
      </c>
      <c r="I179" s="35">
        <v>288000</v>
      </c>
      <c r="J179" s="35">
        <v>57600</v>
      </c>
      <c r="K179" s="35"/>
      <c r="L179" s="35"/>
      <c r="M179" s="35"/>
      <c r="N179" s="35"/>
      <c r="O179" s="35" t="s">
        <v>615</v>
      </c>
    </row>
    <row r="180" spans="1:15" ht="28.5" x14ac:dyDescent="0.2">
      <c r="A180" s="36" t="s">
        <v>12</v>
      </c>
      <c r="B180" s="36" t="s">
        <v>15</v>
      </c>
      <c r="C180" s="35" t="s">
        <v>652</v>
      </c>
      <c r="D180" s="20" t="s">
        <v>651</v>
      </c>
      <c r="E180" s="35"/>
      <c r="F180" s="35" t="s">
        <v>650</v>
      </c>
      <c r="G180" s="35">
        <v>6</v>
      </c>
      <c r="H180" s="35">
        <v>6</v>
      </c>
      <c r="I180" s="35"/>
      <c r="J180" s="35"/>
      <c r="K180" s="35"/>
      <c r="L180" s="35"/>
      <c r="M180" s="35"/>
      <c r="N180" s="35"/>
      <c r="O180" s="35" t="s">
        <v>649</v>
      </c>
    </row>
    <row r="181" spans="1:15" ht="28.5" x14ac:dyDescent="0.2">
      <c r="A181" s="36" t="s">
        <v>12</v>
      </c>
      <c r="B181" s="36" t="s">
        <v>15</v>
      </c>
      <c r="C181" s="35" t="s">
        <v>196</v>
      </c>
      <c r="D181" s="20" t="s">
        <v>197</v>
      </c>
      <c r="E181" s="35" t="s">
        <v>70</v>
      </c>
      <c r="F181" s="35" t="s">
        <v>188</v>
      </c>
      <c r="G181" s="35">
        <v>5</v>
      </c>
      <c r="H181" s="35">
        <v>5</v>
      </c>
      <c r="I181" s="35">
        <v>104400</v>
      </c>
      <c r="J181" s="35">
        <v>104400</v>
      </c>
      <c r="K181" s="35"/>
      <c r="L181" s="35"/>
      <c r="M181" s="35"/>
      <c r="N181" s="35"/>
      <c r="O181" s="35" t="s">
        <v>198</v>
      </c>
    </row>
    <row r="182" spans="1:15" ht="28.5" x14ac:dyDescent="0.2">
      <c r="A182" s="36" t="s">
        <v>12</v>
      </c>
      <c r="B182" s="36" t="s">
        <v>15</v>
      </c>
      <c r="C182" s="35" t="s">
        <v>205</v>
      </c>
      <c r="D182" s="20" t="s">
        <v>206</v>
      </c>
      <c r="E182" s="35" t="s">
        <v>70</v>
      </c>
      <c r="F182" s="35" t="s">
        <v>188</v>
      </c>
      <c r="G182" s="35">
        <v>8</v>
      </c>
      <c r="H182" s="35">
        <v>8</v>
      </c>
      <c r="I182" s="35">
        <v>57600</v>
      </c>
      <c r="J182" s="35">
        <v>57600</v>
      </c>
      <c r="K182" s="35"/>
      <c r="L182" s="35"/>
      <c r="M182" s="35"/>
      <c r="N182" s="35"/>
      <c r="O182" s="35" t="s">
        <v>91</v>
      </c>
    </row>
    <row r="183" spans="1:15" ht="28.5" x14ac:dyDescent="0.2">
      <c r="A183" s="36" t="s">
        <v>12</v>
      </c>
      <c r="B183" s="36" t="s">
        <v>15</v>
      </c>
      <c r="C183" s="35" t="s">
        <v>194</v>
      </c>
      <c r="D183" s="20" t="s">
        <v>195</v>
      </c>
      <c r="E183" s="35" t="s">
        <v>70</v>
      </c>
      <c r="F183" s="35" t="s">
        <v>188</v>
      </c>
      <c r="G183" s="35">
        <v>3</v>
      </c>
      <c r="H183" s="35">
        <v>3</v>
      </c>
      <c r="I183" s="35">
        <v>28800</v>
      </c>
      <c r="J183" s="35">
        <v>28800</v>
      </c>
      <c r="K183" s="35"/>
      <c r="L183" s="35"/>
      <c r="M183" s="35"/>
      <c r="N183" s="35"/>
      <c r="O183" s="35" t="s">
        <v>91</v>
      </c>
    </row>
    <row r="184" spans="1:15" ht="28.5" x14ac:dyDescent="0.2">
      <c r="A184" s="36" t="s">
        <v>12</v>
      </c>
      <c r="B184" s="36" t="s">
        <v>15</v>
      </c>
      <c r="C184" s="35" t="s">
        <v>182</v>
      </c>
      <c r="D184" s="20" t="s">
        <v>183</v>
      </c>
      <c r="E184" s="35" t="s">
        <v>70</v>
      </c>
      <c r="F184" s="35" t="s">
        <v>180</v>
      </c>
      <c r="G184" s="35">
        <v>3</v>
      </c>
      <c r="H184" s="35">
        <v>3</v>
      </c>
      <c r="I184" s="35">
        <v>28800</v>
      </c>
      <c r="J184" s="35">
        <v>28800</v>
      </c>
      <c r="K184" s="35"/>
      <c r="L184" s="35"/>
      <c r="M184" s="35"/>
      <c r="N184" s="35"/>
      <c r="O184" s="35" t="s">
        <v>88</v>
      </c>
    </row>
    <row r="185" spans="1:15" ht="15" x14ac:dyDescent="0.2">
      <c r="A185" s="36" t="s">
        <v>12</v>
      </c>
      <c r="B185" s="36" t="s">
        <v>17</v>
      </c>
      <c r="C185" s="35" t="s">
        <v>102</v>
      </c>
      <c r="D185" s="20" t="s">
        <v>103</v>
      </c>
      <c r="E185" s="35" t="s">
        <v>70</v>
      </c>
      <c r="F185" s="35" t="s">
        <v>87</v>
      </c>
      <c r="G185" s="35">
        <v>1</v>
      </c>
      <c r="H185" s="35"/>
      <c r="I185" s="35">
        <v>14400</v>
      </c>
      <c r="J185" s="35">
        <v>14400</v>
      </c>
      <c r="K185" s="35"/>
      <c r="L185" s="35"/>
      <c r="M185" s="35"/>
      <c r="N185" s="35"/>
      <c r="O185" s="35"/>
    </row>
    <row r="186" spans="1:15" ht="15" x14ac:dyDescent="0.2">
      <c r="A186" s="36" t="s">
        <v>12</v>
      </c>
      <c r="B186" s="36" t="s">
        <v>15</v>
      </c>
      <c r="C186" s="35" t="s">
        <v>89</v>
      </c>
      <c r="D186" s="20" t="s">
        <v>90</v>
      </c>
      <c r="E186" s="35" t="s">
        <v>70</v>
      </c>
      <c r="F186" s="35" t="s">
        <v>87</v>
      </c>
      <c r="G186" s="35">
        <v>8</v>
      </c>
      <c r="H186" s="35">
        <v>8</v>
      </c>
      <c r="I186" s="35">
        <v>129600</v>
      </c>
      <c r="J186" s="35">
        <v>129600</v>
      </c>
      <c r="K186" s="35"/>
      <c r="L186" s="35"/>
      <c r="M186" s="35"/>
      <c r="N186" s="35"/>
      <c r="O186" s="35" t="s">
        <v>91</v>
      </c>
    </row>
    <row r="187" spans="1:15" ht="15" x14ac:dyDescent="0.2">
      <c r="A187" s="36" t="s">
        <v>12</v>
      </c>
      <c r="B187" s="36" t="s">
        <v>15</v>
      </c>
      <c r="C187" s="35" t="s">
        <v>92</v>
      </c>
      <c r="D187" s="20" t="s">
        <v>93</v>
      </c>
      <c r="E187" s="35" t="s">
        <v>70</v>
      </c>
      <c r="F187" s="35" t="s">
        <v>87</v>
      </c>
      <c r="G187" s="35">
        <v>3</v>
      </c>
      <c r="H187" s="35">
        <v>3</v>
      </c>
      <c r="I187" s="35">
        <v>57600</v>
      </c>
      <c r="J187" s="35">
        <v>57600</v>
      </c>
      <c r="K187" s="35"/>
      <c r="L187" s="35"/>
      <c r="M187" s="35"/>
      <c r="N187" s="35"/>
      <c r="O187" s="35" t="s">
        <v>91</v>
      </c>
    </row>
    <row r="188" spans="1:15" ht="28.5" x14ac:dyDescent="0.2">
      <c r="A188" s="36" t="s">
        <v>12</v>
      </c>
      <c r="B188" s="36" t="s">
        <v>15</v>
      </c>
      <c r="C188" s="35" t="s">
        <v>104</v>
      </c>
      <c r="D188" s="20" t="s">
        <v>105</v>
      </c>
      <c r="E188" s="35" t="s">
        <v>70</v>
      </c>
      <c r="F188" s="35" t="s">
        <v>87</v>
      </c>
      <c r="G188" s="35">
        <v>3</v>
      </c>
      <c r="H188" s="35">
        <v>3</v>
      </c>
      <c r="I188" s="35">
        <v>28800</v>
      </c>
      <c r="J188" s="35">
        <v>28800</v>
      </c>
      <c r="K188" s="35"/>
      <c r="L188" s="35"/>
      <c r="M188" s="35"/>
      <c r="N188" s="35"/>
      <c r="O188" s="35" t="s">
        <v>91</v>
      </c>
    </row>
    <row r="189" spans="1:15" ht="15" x14ac:dyDescent="0.2">
      <c r="A189" s="36" t="s">
        <v>12</v>
      </c>
      <c r="B189" s="36" t="s">
        <v>15</v>
      </c>
      <c r="C189" s="35" t="s">
        <v>85</v>
      </c>
      <c r="D189" s="20" t="s">
        <v>86</v>
      </c>
      <c r="E189" s="35" t="s">
        <v>70</v>
      </c>
      <c r="F189" s="35" t="s">
        <v>87</v>
      </c>
      <c r="G189" s="35">
        <v>3</v>
      </c>
      <c r="H189" s="35">
        <v>3</v>
      </c>
      <c r="I189" s="35">
        <v>144000</v>
      </c>
      <c r="J189" s="35">
        <v>144000</v>
      </c>
      <c r="K189" s="35"/>
      <c r="L189" s="35"/>
      <c r="M189" s="35"/>
      <c r="N189" s="35"/>
      <c r="O189" s="35" t="s">
        <v>88</v>
      </c>
    </row>
    <row r="190" spans="1:15" ht="28.5" x14ac:dyDescent="0.2">
      <c r="A190" s="36" t="s">
        <v>12</v>
      </c>
      <c r="B190" s="36" t="s">
        <v>15</v>
      </c>
      <c r="C190" s="35" t="s">
        <v>621</v>
      </c>
      <c r="D190" s="20" t="s">
        <v>620</v>
      </c>
      <c r="E190" s="35" t="s">
        <v>442</v>
      </c>
      <c r="F190" s="35" t="s">
        <v>443</v>
      </c>
      <c r="G190" s="35">
        <v>5</v>
      </c>
      <c r="H190" s="35">
        <v>5</v>
      </c>
      <c r="I190" s="35">
        <v>57840</v>
      </c>
      <c r="J190" s="35">
        <v>57840</v>
      </c>
      <c r="K190" s="35"/>
      <c r="L190" s="35"/>
      <c r="M190" s="35"/>
      <c r="N190" s="35"/>
      <c r="O190" s="35" t="s">
        <v>622</v>
      </c>
    </row>
    <row r="191" spans="1:15" ht="57" x14ac:dyDescent="0.2">
      <c r="A191" s="36" t="s">
        <v>12</v>
      </c>
      <c r="B191" s="36" t="s">
        <v>15</v>
      </c>
      <c r="C191" s="35" t="s">
        <v>624</v>
      </c>
      <c r="D191" s="20" t="s">
        <v>623</v>
      </c>
      <c r="E191" s="35" t="s">
        <v>442</v>
      </c>
      <c r="F191" s="35" t="s">
        <v>443</v>
      </c>
      <c r="G191" s="35">
        <v>5</v>
      </c>
      <c r="H191" s="35">
        <v>5</v>
      </c>
      <c r="I191" s="35">
        <v>64800</v>
      </c>
      <c r="J191" s="35">
        <v>64800</v>
      </c>
      <c r="K191" s="35"/>
      <c r="L191" s="35"/>
      <c r="M191" s="35"/>
      <c r="N191" s="35"/>
      <c r="O191" s="35" t="s">
        <v>622</v>
      </c>
    </row>
    <row r="192" spans="1:15" ht="42.75" x14ac:dyDescent="0.2">
      <c r="A192" s="36" t="s">
        <v>12</v>
      </c>
      <c r="B192" s="36" t="s">
        <v>106</v>
      </c>
      <c r="C192" s="35" t="s">
        <v>626</v>
      </c>
      <c r="D192" s="20" t="s">
        <v>625</v>
      </c>
      <c r="E192" s="35" t="s">
        <v>442</v>
      </c>
      <c r="F192" s="35" t="s">
        <v>447</v>
      </c>
      <c r="G192" s="35">
        <v>5</v>
      </c>
      <c r="H192" s="35"/>
      <c r="I192" s="35">
        <v>64800</v>
      </c>
      <c r="J192" s="35">
        <v>64800</v>
      </c>
      <c r="K192" s="35"/>
      <c r="L192" s="35"/>
      <c r="M192" s="35"/>
      <c r="N192" s="35"/>
      <c r="O192" s="35" t="s">
        <v>622</v>
      </c>
    </row>
    <row r="193" spans="1:15" ht="42.75" x14ac:dyDescent="0.2">
      <c r="A193" s="36" t="s">
        <v>12</v>
      </c>
      <c r="B193" s="36" t="s">
        <v>15</v>
      </c>
      <c r="C193" s="35" t="s">
        <v>628</v>
      </c>
      <c r="D193" s="20" t="s">
        <v>627</v>
      </c>
      <c r="E193" s="35" t="s">
        <v>442</v>
      </c>
      <c r="F193" s="35" t="s">
        <v>443</v>
      </c>
      <c r="G193" s="35">
        <v>5</v>
      </c>
      <c r="H193" s="35">
        <v>5</v>
      </c>
      <c r="I193" s="35">
        <v>115200</v>
      </c>
      <c r="J193" s="35">
        <v>115200</v>
      </c>
      <c r="K193" s="35"/>
      <c r="L193" s="35"/>
      <c r="M193" s="35"/>
      <c r="N193" s="35"/>
      <c r="O193" s="35" t="s">
        <v>622</v>
      </c>
    </row>
    <row r="194" spans="1:15" ht="28.5" x14ac:dyDescent="0.2">
      <c r="A194" s="36" t="s">
        <v>12</v>
      </c>
      <c r="B194" s="36" t="s">
        <v>15</v>
      </c>
      <c r="C194" s="35" t="s">
        <v>630</v>
      </c>
      <c r="D194" s="20" t="s">
        <v>629</v>
      </c>
      <c r="E194" s="35" t="s">
        <v>442</v>
      </c>
      <c r="F194" s="35" t="s">
        <v>443</v>
      </c>
      <c r="G194" s="35">
        <v>5</v>
      </c>
      <c r="H194" s="35">
        <v>5</v>
      </c>
      <c r="I194" s="35">
        <v>86400</v>
      </c>
      <c r="J194" s="35">
        <v>86400</v>
      </c>
      <c r="K194" s="35"/>
      <c r="L194" s="35"/>
      <c r="M194" s="35"/>
      <c r="N194" s="35"/>
      <c r="O194" s="35" t="s">
        <v>622</v>
      </c>
    </row>
    <row r="195" spans="1:15" x14ac:dyDescent="0.2">
      <c r="A195" s="100" t="s">
        <v>648</v>
      </c>
      <c r="B195" s="101"/>
      <c r="C195" s="101"/>
      <c r="D195" s="101"/>
      <c r="E195" s="101"/>
      <c r="F195" s="101"/>
      <c r="G195" s="101"/>
      <c r="H195" s="101"/>
      <c r="I195" s="101"/>
      <c r="J195" s="101"/>
      <c r="K195" s="101"/>
      <c r="L195" s="101"/>
      <c r="M195" s="101"/>
      <c r="N195" s="101"/>
      <c r="O195" s="102"/>
    </row>
  </sheetData>
  <mergeCells count="4">
    <mergeCell ref="A1:O1"/>
    <mergeCell ref="A2:O2"/>
    <mergeCell ref="A3:O3"/>
    <mergeCell ref="A195:O195"/>
  </mergeCells>
  <hyperlinks>
    <hyperlink ref="A2" r:id="rId1" display="https://webgate.ec.europa.eu/CITnet/jira/issues/?jql=%28issuetype+in+%28Story%29+AND+project+in+%28COMPCORP%2C+CCADMIN%2C+CCARCHITEC%2C+CCDOCLIST%2C+ECKL%2C+CCINFRAEC%2C+INTERCOM%2C+CCPMO%2C+PFM%2C+PROCESS%2C+CCTASK%2C+TSKACTION%2C+WAVECC%2C+COMPASS%29%29+AND+%28fixversion+IN+%28COMPCORP-PI4%2C+COMPCORP-PI3%2C+COMPCORP-PI2%2C+COMPCORP-PI1%29+OR+sprint+IN+%28%22CC+Process+Centre+PI4+It1%22%2C+%22CC+Portfolio+Manager+PI4+It1%22%2C+%22Comp+Corp+RTD+PI4+It1%22%2C+%22Comp+Corp+REGIO+PI4+It1%22%2C+%22EC+eUI+My+Workplace+PI9+It1%22%2C+%22COMCORP-PMO-4.1%22%2C%22CC+Process+Centre+PI4+It2%22%2C+%22CC+Portfolio+Manager+PI4+It2%22%2C+%22Comp+Corp+RTD+PI4+It2%22%2C+%22Comp+Corp+REGIO+PI4+It2%22%2C+%22EC+eUI+My+Workplace+PI9+It2%22%2C+%22COMCORP-PMO-4.2%22%2C%22CC+Process+Centre+PI4+It3%22%2C+%22CC+Portfolio+Manager+PI4+It3%22%2C+%22Comp+Corp+RTD+PI4+It3%22%2C+%22Comp+Corp+REGIO+PI4+It3%22%2C+%22EC+eUI+My+Workplace+PI9+It3%22%2C%22CC+Process+Centre+PI4+It4%22%2C+%22CC+Portfolio+Manager+PI4+It4%22%2C+%22Comp+Corp+RTD+PI4+It4%22%2C+%22Comp+Corp+REGIO+PI4+It4%22%2C+%22EC+eUI+My+Workplace+PI9+It4%22%2C%22CC+Process+Centre+PI4+It5%22%2C+%22CC+Portfolio+Manager+PI4+It5%22%2C+%22Comp+Corp+RTD+PI4+It5%22%2C+%22Comp+Corp+REGIO+PI4+It5%22%2C+%22EC+eUI+My+Workplace+PI9+It5%22%29%29"/>
    <hyperlink ref="D5" r:id="rId2" display="https://webgate.ec.europa.eu/CITnet/jira/browse/WAVECC-44"/>
    <hyperlink ref="D6" r:id="rId3" display="https://webgate.ec.europa.eu/CITnet/jira/browse/WAVECC-43"/>
    <hyperlink ref="D7" r:id="rId4" display="https://webgate.ec.europa.eu/CITnet/jira/browse/WAVECC-35"/>
    <hyperlink ref="D8" r:id="rId5" display="https://webgate.ec.europa.eu/CITnet/jira/browse/WAVECC-7"/>
    <hyperlink ref="D9" r:id="rId6" display="https://webgate.ec.europa.eu/CITnet/jira/browse/WAVECC-6"/>
    <hyperlink ref="D10" r:id="rId7" display="https://webgate.ec.europa.eu/CITnet/jira/browse/TSKACTION-273"/>
    <hyperlink ref="D11" r:id="rId8" display="https://webgate.ec.europa.eu/CITnet/jira/browse/TSKACTION-271"/>
    <hyperlink ref="D12" r:id="rId9" display="https://webgate.ec.europa.eu/CITnet/jira/browse/TSKACTION-260"/>
    <hyperlink ref="D13" r:id="rId10" display="https://webgate.ec.europa.eu/CITnet/jira/browse/TSKACTION-259"/>
    <hyperlink ref="D14" r:id="rId11" display="https://webgate.ec.europa.eu/CITnet/jira/browse/TSKACTION-237"/>
    <hyperlink ref="D15" r:id="rId12" display="https://webgate.ec.europa.eu/CITnet/jira/browse/TSKACTION-219"/>
    <hyperlink ref="D16" r:id="rId13" display="https://webgate.ec.europa.eu/CITnet/jira/browse/TSKACTION-218"/>
    <hyperlink ref="D17" r:id="rId14" display="https://webgate.ec.europa.eu/CITnet/jira/browse/TSKACTION-216"/>
    <hyperlink ref="D18" r:id="rId15" display="https://webgate.ec.europa.eu/CITnet/jira/browse/PROCESS-129"/>
    <hyperlink ref="D19" r:id="rId16" display="https://webgate.ec.europa.eu/CITnet/jira/browse/PROCESS-128"/>
    <hyperlink ref="D20" r:id="rId17" display="https://webgate.ec.europa.eu/CITnet/jira/browse/PROCESS-124"/>
    <hyperlink ref="D21" r:id="rId18" display="https://webgate.ec.europa.eu/CITnet/jira/browse/PROCESS-122"/>
    <hyperlink ref="D22" r:id="rId19" display="https://webgate.ec.europa.eu/CITnet/jira/browse/PROCESS-121"/>
    <hyperlink ref="D23" r:id="rId20" display="https://webgate.ec.europa.eu/CITnet/jira/browse/PROCESS-120"/>
    <hyperlink ref="D24" r:id="rId21" display="https://webgate.ec.europa.eu/CITnet/jira/browse/PROCESS-119"/>
    <hyperlink ref="D25" r:id="rId22" display="https://webgate.ec.europa.eu/CITnet/jira/browse/PROCESS-118"/>
    <hyperlink ref="D26" r:id="rId23" display="https://webgate.ec.europa.eu/CITnet/jira/browse/PROCESS-117"/>
    <hyperlink ref="D27" r:id="rId24" display="https://webgate.ec.europa.eu/CITnet/jira/browse/PROCESS-116"/>
    <hyperlink ref="D28" r:id="rId25" display="https://webgate.ec.europa.eu/CITnet/jira/browse/PROCESS-115"/>
    <hyperlink ref="D29" r:id="rId26" display="https://webgate.ec.europa.eu/CITnet/jira/browse/PROCESS-114"/>
    <hyperlink ref="D30" r:id="rId27" display="https://webgate.ec.europa.eu/CITnet/jira/browse/PROCESS-113"/>
    <hyperlink ref="D31" r:id="rId28" display="https://webgate.ec.europa.eu/CITnet/jira/browse/PROCESS-112"/>
    <hyperlink ref="D32" r:id="rId29" display="https://webgate.ec.europa.eu/CITnet/jira/browse/PROCESS-111"/>
    <hyperlink ref="D33" r:id="rId30" display="https://webgate.ec.europa.eu/CITnet/jira/browse/PROCESS-110"/>
    <hyperlink ref="D34" r:id="rId31" display="https://webgate.ec.europa.eu/CITnet/jira/browse/PROCESS-109"/>
    <hyperlink ref="D35" r:id="rId32" display="https://webgate.ec.europa.eu/CITnet/jira/browse/PROCESS-108"/>
    <hyperlink ref="D36" r:id="rId33" display="https://webgate.ec.europa.eu/CITnet/jira/browse/PROCESS-107"/>
    <hyperlink ref="D37" r:id="rId34" display="https://webgate.ec.europa.eu/CITnet/jira/browse/PROCESS-90"/>
    <hyperlink ref="D38" r:id="rId35" display="https://webgate.ec.europa.eu/CITnet/jira/browse/PROCESS-89"/>
    <hyperlink ref="D39" r:id="rId36" display="https://webgate.ec.europa.eu/CITnet/jira/browse/PROCESS-86"/>
    <hyperlink ref="D40" r:id="rId37" display="https://webgate.ec.europa.eu/CITnet/jira/browse/PROCESS-76"/>
    <hyperlink ref="D41" r:id="rId38" display="https://webgate.ec.europa.eu/CITnet/jira/browse/PROCESS-74"/>
    <hyperlink ref="D42" r:id="rId39" display="https://webgate.ec.europa.eu/CITnet/jira/browse/PROCESS-49"/>
    <hyperlink ref="D43" r:id="rId40" display="https://webgate.ec.europa.eu/CITnet/jira/browse/PROCESS-48"/>
    <hyperlink ref="D44" r:id="rId41" display="https://webgate.ec.europa.eu/CITnet/jira/browse/PFM-160"/>
    <hyperlink ref="D45" r:id="rId42" display="https://webgate.ec.europa.eu/CITnet/jira/browse/PFM-155"/>
    <hyperlink ref="D46" r:id="rId43" display="https://webgate.ec.europa.eu/CITnet/jira/browse/PFM-153"/>
    <hyperlink ref="D47" r:id="rId44" display="https://webgate.ec.europa.eu/CITnet/jira/browse/PFM-152"/>
    <hyperlink ref="D48" r:id="rId45" display="https://webgate.ec.europa.eu/CITnet/jira/browse/PFM-151"/>
    <hyperlink ref="D49" r:id="rId46" display="https://webgate.ec.europa.eu/CITnet/jira/browse/PFM-150"/>
    <hyperlink ref="D50" r:id="rId47" display="https://webgate.ec.europa.eu/CITnet/jira/browse/PFM-149"/>
    <hyperlink ref="D51" r:id="rId48" display="https://webgate.ec.europa.eu/CITnet/jira/browse/PFM-148"/>
    <hyperlink ref="D52" r:id="rId49" display="https://webgate.ec.europa.eu/CITnet/jira/browse/PFM-147"/>
    <hyperlink ref="D53" r:id="rId50" display="https://webgate.ec.europa.eu/CITnet/jira/browse/PFM-146"/>
    <hyperlink ref="D54" r:id="rId51" display="https://webgate.ec.europa.eu/CITnet/jira/browse/PFM-144"/>
    <hyperlink ref="D55" r:id="rId52" display="https://webgate.ec.europa.eu/CITnet/jira/browse/PFM-143"/>
    <hyperlink ref="D56" r:id="rId53" display="https://webgate.ec.europa.eu/CITnet/jira/browse/PFM-142"/>
    <hyperlink ref="D57" r:id="rId54" display="https://webgate.ec.europa.eu/CITnet/jira/browse/PFM-116"/>
    <hyperlink ref="D58" r:id="rId55" display="https://webgate.ec.europa.eu/CITnet/jira/browse/PFM-114"/>
    <hyperlink ref="D59" r:id="rId56" display="https://webgate.ec.europa.eu/CITnet/jira/browse/PFM-110"/>
    <hyperlink ref="D60" r:id="rId57" display="https://webgate.ec.europa.eu/CITnet/jira/browse/PFM-92"/>
    <hyperlink ref="D61" r:id="rId58" display="https://webgate.ec.europa.eu/CITnet/jira/browse/PFM-91"/>
    <hyperlink ref="D62" r:id="rId59" display="https://webgate.ec.europa.eu/CITnet/jira/browse/PFM-87"/>
    <hyperlink ref="D63" r:id="rId60" display="https://webgate.ec.europa.eu/CITnet/jira/browse/PFM-82"/>
    <hyperlink ref="D64" r:id="rId61" display="https://webgate.ec.europa.eu/CITnet/jira/browse/PFM-81"/>
    <hyperlink ref="D65" r:id="rId62" display="https://webgate.ec.europa.eu/CITnet/jira/browse/PFM-73"/>
    <hyperlink ref="D66" r:id="rId63" display="https://webgate.ec.europa.eu/CITnet/jira/browse/PFM-71"/>
    <hyperlink ref="D67" r:id="rId64" display="https://webgate.ec.europa.eu/CITnet/jira/browse/PFM-69"/>
    <hyperlink ref="D68" r:id="rId65" display="https://webgate.ec.europa.eu/CITnet/jira/browse/PFM-68"/>
    <hyperlink ref="D69" r:id="rId66" display="https://webgate.ec.europa.eu/CITnet/jira/browse/PFM-64"/>
    <hyperlink ref="D70" r:id="rId67" display="https://webgate.ec.europa.eu/CITnet/jira/browse/PFM-63"/>
    <hyperlink ref="D71" r:id="rId68" display="https://webgate.ec.europa.eu/CITnet/jira/browse/PFM-59"/>
    <hyperlink ref="D72" r:id="rId69" display="https://webgate.ec.europa.eu/CITnet/jira/browse/PFM-56"/>
    <hyperlink ref="D73" r:id="rId70" display="https://webgate.ec.europa.eu/CITnet/jira/browse/PFM-54"/>
    <hyperlink ref="D74" r:id="rId71" display="https://webgate.ec.europa.eu/CITnet/jira/browse/PFM-53"/>
    <hyperlink ref="D75" r:id="rId72" display="https://webgate.ec.europa.eu/CITnet/jira/browse/PFM-52"/>
    <hyperlink ref="D76" r:id="rId73" display="https://webgate.ec.europa.eu/CITnet/jira/browse/PFM-51"/>
    <hyperlink ref="D77" r:id="rId74" display="https://webgate.ec.europa.eu/CITnet/jira/browse/PFM-50"/>
    <hyperlink ref="D78" r:id="rId75" display="https://webgate.ec.europa.eu/CITnet/jira/browse/PFM-49"/>
    <hyperlink ref="D79" r:id="rId76" display="https://webgate.ec.europa.eu/CITnet/jira/browse/PFM-8"/>
    <hyperlink ref="D80" r:id="rId77" display="https://webgate.ec.europa.eu/CITnet/jira/browse/INTERCOM-89"/>
    <hyperlink ref="D81" r:id="rId78" display="https://webgate.ec.europa.eu/CITnet/jira/browse/INTERCOM-83"/>
    <hyperlink ref="D82" r:id="rId79" display="https://webgate.ec.europa.eu/CITnet/jira/browse/INTERCOM-79"/>
    <hyperlink ref="D83" r:id="rId80" display="https://webgate.ec.europa.eu/CITnet/jira/browse/INTERCOM-78"/>
    <hyperlink ref="D84" r:id="rId81" display="https://webgate.ec.europa.eu/CITnet/jira/browse/INTERCOM-77"/>
    <hyperlink ref="D85" r:id="rId82" display="https://webgate.ec.europa.eu/CITnet/jira/browse/INTERCOM-74"/>
    <hyperlink ref="D86" r:id="rId83" display="https://webgate.ec.europa.eu/CITnet/jira/browse/INTERCOM-73"/>
    <hyperlink ref="D87" r:id="rId84" display="https://webgate.ec.europa.eu/CITnet/jira/browse/INTERCOM-70"/>
    <hyperlink ref="D88" r:id="rId85" display="https://webgate.ec.europa.eu/CITnet/jira/browse/INTERCOM-67"/>
    <hyperlink ref="D89" r:id="rId86" display="https://webgate.ec.europa.eu/CITnet/jira/browse/INTERCOM-66"/>
    <hyperlink ref="D90" r:id="rId87" display="https://webgate.ec.europa.eu/CITnet/jira/browse/INTERCOM-65"/>
    <hyperlink ref="D91" r:id="rId88" display="https://webgate.ec.europa.eu/CITnet/jira/browse/INTERCOM-64"/>
    <hyperlink ref="D92" r:id="rId89" display="https://webgate.ec.europa.eu/CITnet/jira/browse/INTERCOM-60"/>
    <hyperlink ref="D93" r:id="rId90" display="https://webgate.ec.europa.eu/CITnet/jira/browse/INTERCOM-58"/>
    <hyperlink ref="D94" r:id="rId91" display="https://webgate.ec.europa.eu/CITnet/jira/browse/INTERCOM-57"/>
    <hyperlink ref="D95" r:id="rId92" display="https://webgate.ec.europa.eu/CITnet/jira/browse/INTERCOM-56"/>
    <hyperlink ref="D96" r:id="rId93" display="https://webgate.ec.europa.eu/CITnet/jira/browse/INTERCOM-53"/>
    <hyperlink ref="D97" r:id="rId94" display="https://webgate.ec.europa.eu/CITnet/jira/browse/INTERCOM-43"/>
    <hyperlink ref="D98" r:id="rId95" display="https://webgate.ec.europa.eu/CITnet/jira/browse/INTERCOM-41"/>
    <hyperlink ref="D99" r:id="rId96" display="https://webgate.ec.europa.eu/CITnet/jira/browse/INTERCOM-36"/>
    <hyperlink ref="D100" r:id="rId97" display="https://webgate.ec.europa.eu/CITnet/jira/browse/COMPASS-299"/>
    <hyperlink ref="D101" r:id="rId98" display="https://webgate.ec.europa.eu/CITnet/jira/browse/COMPASS-298"/>
    <hyperlink ref="D102" r:id="rId99" display="https://webgate.ec.europa.eu/CITnet/jira/browse/COMPASS-293"/>
    <hyperlink ref="D103" r:id="rId100" display="https://webgate.ec.europa.eu/CITnet/jira/browse/COMPASS-284"/>
    <hyperlink ref="D104" r:id="rId101" display="https://webgate.ec.europa.eu/CITnet/jira/browse/COMPASS-283"/>
    <hyperlink ref="D105" r:id="rId102" display="https://webgate.ec.europa.eu/CITnet/jira/browse/COMPASS-282"/>
    <hyperlink ref="D106" r:id="rId103" display="https://webgate.ec.europa.eu/CITnet/jira/browse/COMPASS-281"/>
    <hyperlink ref="D107" r:id="rId104" display="https://webgate.ec.europa.eu/CITnet/jira/browse/COMPASS-279"/>
    <hyperlink ref="D108" r:id="rId105" display="https://webgate.ec.europa.eu/CITnet/jira/browse/COMPASS-278"/>
    <hyperlink ref="D109" r:id="rId106" display="https://webgate.ec.europa.eu/CITnet/jira/browse/COMPASS-277"/>
    <hyperlink ref="D110" r:id="rId107" display="https://webgate.ec.europa.eu/CITnet/jira/browse/COMPASS-276"/>
    <hyperlink ref="D111" r:id="rId108" display="https://webgate.ec.europa.eu/CITnet/jira/browse/COMPASS-274"/>
    <hyperlink ref="D112" r:id="rId109" display="https://webgate.ec.europa.eu/CITnet/jira/browse/COMPASS-248"/>
    <hyperlink ref="D113" r:id="rId110" display="https://webgate.ec.europa.eu/CITnet/jira/browse/COMPASS-247"/>
    <hyperlink ref="D114" r:id="rId111" display="https://webgate.ec.europa.eu/CITnet/jira/browse/COMPASS-246"/>
    <hyperlink ref="D115" r:id="rId112" display="https://webgate.ec.europa.eu/CITnet/jira/browse/COMPASS-245"/>
    <hyperlink ref="D116" r:id="rId113" display="https://webgate.ec.europa.eu/CITnet/jira/browse/COMPASS-244"/>
    <hyperlink ref="D117" r:id="rId114" display="https://webgate.ec.europa.eu/CITnet/jira/browse/COMPASS-243"/>
    <hyperlink ref="D118" r:id="rId115" display="https://webgate.ec.europa.eu/CITnet/jira/browse/COMPASS-242"/>
    <hyperlink ref="D119" r:id="rId116" display="https://webgate.ec.europa.eu/CITnet/jira/browse/COMPASS-241"/>
    <hyperlink ref="D120" r:id="rId117" display="https://webgate.ec.europa.eu/CITnet/jira/browse/COMPASS-240"/>
    <hyperlink ref="D121" r:id="rId118" display="https://webgate.ec.europa.eu/CITnet/jira/browse/COMPASS-223"/>
    <hyperlink ref="D122" r:id="rId119" display="https://webgate.ec.europa.eu/CITnet/jira/browse/COMPASS-210"/>
    <hyperlink ref="D123" r:id="rId120" display="https://webgate.ec.europa.eu/CITnet/jira/browse/COMPASS-208"/>
    <hyperlink ref="D124" r:id="rId121" display="https://webgate.ec.europa.eu/CITnet/jira/browse/COMPASS-206"/>
    <hyperlink ref="D125" r:id="rId122" display="https://webgate.ec.europa.eu/CITnet/jira/browse/COMPASS-202"/>
    <hyperlink ref="D126" r:id="rId123" display="https://webgate.ec.europa.eu/CITnet/jira/browse/COMPASS-201"/>
    <hyperlink ref="D127" r:id="rId124" display="https://webgate.ec.europa.eu/CITnet/jira/browse/CCTASK-593"/>
    <hyperlink ref="D128" r:id="rId125" display="https://webgate.ec.europa.eu/CITnet/jira/browse/CCTASK-592"/>
    <hyperlink ref="D129" r:id="rId126" display="https://webgate.ec.europa.eu/CITnet/jira/browse/CCTASK-591"/>
    <hyperlink ref="D130" r:id="rId127" display="https://webgate.ec.europa.eu/CITnet/jira/browse/CCTASK-590"/>
    <hyperlink ref="D131" r:id="rId128" display="https://webgate.ec.europa.eu/CITnet/jira/browse/CCTASK-584"/>
    <hyperlink ref="D132" r:id="rId129" display="https://webgate.ec.europa.eu/CITnet/jira/browse/CCTASK-581"/>
    <hyperlink ref="D133" r:id="rId130" display="https://webgate.ec.europa.eu/CITnet/jira/browse/CCTASK-567"/>
    <hyperlink ref="D134" r:id="rId131" display="https://webgate.ec.europa.eu/CITnet/jira/browse/CCTASK-564"/>
    <hyperlink ref="D135" r:id="rId132" display="https://webgate.ec.europa.eu/CITnet/jira/browse/CCTASK-563"/>
    <hyperlink ref="D136" r:id="rId133" display="https://webgate.ec.europa.eu/CITnet/jira/browse/CCTASK-562"/>
    <hyperlink ref="D137" r:id="rId134" display="https://webgate.ec.europa.eu/CITnet/jira/browse/CCTASK-561"/>
    <hyperlink ref="D138" r:id="rId135" display="https://webgate.ec.europa.eu/CITnet/jira/browse/CCTASK-553"/>
    <hyperlink ref="D139" r:id="rId136" display="https://webgate.ec.europa.eu/CITnet/jira/browse/CCTASK-552"/>
    <hyperlink ref="D140" r:id="rId137" display="https://webgate.ec.europa.eu/CITnet/jira/browse/CCTASK-551"/>
    <hyperlink ref="D141" r:id="rId138" display="https://webgate.ec.europa.eu/CITnet/jira/browse/CCTASK-550"/>
    <hyperlink ref="D142" r:id="rId139" display="https://webgate.ec.europa.eu/CITnet/jira/browse/CCTASK-547"/>
    <hyperlink ref="D143" r:id="rId140" display="https://webgate.ec.europa.eu/CITnet/jira/browse/CCTASK-540"/>
    <hyperlink ref="D144" r:id="rId141" display="https://webgate.ec.europa.eu/CITnet/jira/browse/CCTASK-538"/>
    <hyperlink ref="D145" r:id="rId142" display="https://webgate.ec.europa.eu/CITnet/jira/browse/CCTASK-536"/>
    <hyperlink ref="D146" r:id="rId143" display="https://webgate.ec.europa.eu/CITnet/jira/browse/CCTASK-522"/>
    <hyperlink ref="D147" r:id="rId144" display="https://webgate.ec.europa.eu/CITnet/jira/browse/CCTASK-512"/>
    <hyperlink ref="D148" r:id="rId145" display="https://webgate.ec.europa.eu/CITnet/jira/browse/CCTASK-455"/>
    <hyperlink ref="D149" r:id="rId146" display="https://webgate.ec.europa.eu/CITnet/jira/browse/CCTASK-423"/>
    <hyperlink ref="D150" r:id="rId147" display="https://webgate.ec.europa.eu/CITnet/jira/browse/CCTASK-291"/>
    <hyperlink ref="D151" r:id="rId148" display="https://webgate.ec.europa.eu/CITnet/jira/browse/CCPMO-119"/>
    <hyperlink ref="D152" r:id="rId149" display="https://webgate.ec.europa.eu/CITnet/jira/browse/CCPMO-111"/>
    <hyperlink ref="D153" r:id="rId150" display="https://webgate.ec.europa.eu/CITnet/jira/browse/CCPMO-103"/>
    <hyperlink ref="D154" r:id="rId151" display="https://webgate.ec.europa.eu/CITnet/jira/browse/CCPMO-95"/>
    <hyperlink ref="D155" r:id="rId152" display="https://webgate.ec.europa.eu/CITnet/jira/browse/CCPMO-87"/>
    <hyperlink ref="D156" r:id="rId153" display="https://webgate.ec.europa.eu/CITnet/jira/browse/CCPMO-79"/>
    <hyperlink ref="D157" r:id="rId154" display="https://webgate.ec.europa.eu/CITnet/jira/browse/CCPMO-62"/>
    <hyperlink ref="D158" r:id="rId155" display="https://webgate.ec.europa.eu/CITnet/jira/browse/CCPMO-59"/>
    <hyperlink ref="D159" r:id="rId156" display="https://webgate.ec.europa.eu/CITnet/jira/browse/CCPMO-58"/>
    <hyperlink ref="D160" r:id="rId157" display="https://webgate.ec.europa.eu/CITnet/jira/browse/CCPMO-46"/>
    <hyperlink ref="D161" r:id="rId158" display="https://webgate.ec.europa.eu/CITnet/jira/browse/CCDOCLIST-190"/>
    <hyperlink ref="D162" r:id="rId159" display="https://webgate.ec.europa.eu/CITnet/jira/browse/CCDOCLIST-186"/>
    <hyperlink ref="D163" r:id="rId160" display="https://webgate.ec.europa.eu/CITnet/jira/browse/CCDOCLIST-184"/>
    <hyperlink ref="D164" r:id="rId161" display="https://webgate.ec.europa.eu/CITnet/jira/browse/CCDOCLIST-183"/>
    <hyperlink ref="D165" r:id="rId162" display="https://webgate.ec.europa.eu/CITnet/jira/browse/CCDOCLIST-173"/>
    <hyperlink ref="D166" r:id="rId163" display="https://webgate.ec.europa.eu/CITnet/jira/browse/CCDOCLIST-172"/>
    <hyperlink ref="D167" r:id="rId164" display="https://webgate.ec.europa.eu/CITnet/jira/browse/CCDOCLIST-171"/>
    <hyperlink ref="D168" r:id="rId165" display="https://webgate.ec.europa.eu/CITnet/jira/browse/CCDOCLIST-169"/>
    <hyperlink ref="D169" r:id="rId166" display="https://webgate.ec.europa.eu/CITnet/jira/browse/CCDOCLIST-167"/>
    <hyperlink ref="D170" r:id="rId167" display="https://webgate.ec.europa.eu/CITnet/jira/browse/CCDOCLIST-166"/>
    <hyperlink ref="D171" r:id="rId168" display="https://webgate.ec.europa.eu/CITnet/jira/browse/CCDOCLIST-163"/>
    <hyperlink ref="D172" r:id="rId169" display="https://webgate.ec.europa.eu/CITnet/jira/browse/CCDOCLIST-161"/>
    <hyperlink ref="D173" r:id="rId170" display="https://webgate.ec.europa.eu/CITnet/jira/browse/CCDOCLIST-159"/>
    <hyperlink ref="D174" r:id="rId171" display="https://webgate.ec.europa.eu/CITnet/jira/browse/CCDOCLIST-149"/>
    <hyperlink ref="D175" r:id="rId172" display="https://webgate.ec.europa.eu/CITnet/jira/browse/CCDOCLIST-142"/>
    <hyperlink ref="D176" r:id="rId173" display="https://webgate.ec.europa.eu/CITnet/jira/browse/CCDOCLIST-122"/>
    <hyperlink ref="D177" r:id="rId174" display="https://webgate.ec.europa.eu/CITnet/jira/browse/CCDOCLIST-121"/>
    <hyperlink ref="D178" r:id="rId175" display="https://webgate.ec.europa.eu/CITnet/jira/browse/CCDOCLIST-117"/>
    <hyperlink ref="D179" r:id="rId176" display="https://webgate.ec.europa.eu/CITnet/jira/browse/CCDOCLIST-63"/>
    <hyperlink ref="D180" r:id="rId177" display="https://webgate.ec.europa.eu/CITnet/jira/browse/CCDOCLIST-62"/>
    <hyperlink ref="D181" r:id="rId178" display="https://webgate.ec.europa.eu/CITnet/jira/browse/CCADMIN-56"/>
    <hyperlink ref="D182" r:id="rId179" display="https://webgate.ec.europa.eu/CITnet/jira/browse/CCADMIN-53"/>
    <hyperlink ref="D183" r:id="rId180" display="https://webgate.ec.europa.eu/CITnet/jira/browse/CCADMIN-52"/>
    <hyperlink ref="D184" r:id="rId181" display="https://webgate.ec.europa.eu/CITnet/jira/browse/CCADMIN-51"/>
    <hyperlink ref="D185" r:id="rId182" display="https://webgate.ec.europa.eu/CITnet/jira/browse/CCADMIN-48"/>
    <hyperlink ref="D186" r:id="rId183" display="https://webgate.ec.europa.eu/CITnet/jira/browse/CCADMIN-47"/>
    <hyperlink ref="D187" r:id="rId184" display="https://webgate.ec.europa.eu/CITnet/jira/browse/CCADMIN-46"/>
    <hyperlink ref="D188" r:id="rId185" display="https://webgate.ec.europa.eu/CITnet/jira/browse/CCADMIN-45"/>
    <hyperlink ref="D189" r:id="rId186" display="https://webgate.ec.europa.eu/CITnet/jira/browse/CCADMIN-43"/>
    <hyperlink ref="D190" r:id="rId187" display="https://webgate.ec.europa.eu/CITnet/jira/browse/CCADMIN-16"/>
    <hyperlink ref="D191" r:id="rId188" display="https://webgate.ec.europa.eu/CITnet/jira/browse/CCADMIN-15"/>
    <hyperlink ref="D192" r:id="rId189" display="https://webgate.ec.europa.eu/CITnet/jira/browse/CCADMIN-14"/>
    <hyperlink ref="D193" r:id="rId190" display="https://webgate.ec.europa.eu/CITnet/jira/browse/CCADMIN-13"/>
    <hyperlink ref="D194" r:id="rId191" display="https://webgate.ec.europa.eu/CITnet/jira/browse/CCADMIN-12"/>
  </hyperlinks>
  <printOptions horizontalCentered="1" verticalCentered="1"/>
  <pageMargins left="0.25" right="0.25" top="0.25" bottom="0.5" header="0.5" footer="0.25"/>
  <pageSetup orientation="landscape" horizontalDpi="0" verticalDpi="0"/>
  <headerFooter>
    <oddFooter>&amp;R&amp;P of &amp;N</oddFooter>
  </headerFooter>
  <drawing r:id="rId19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02060"/>
  </sheetPr>
  <dimension ref="A1:O57"/>
  <sheetViews>
    <sheetView workbookViewId="0">
      <selection activeCell="E14" sqref="E14"/>
    </sheetView>
  </sheetViews>
  <sheetFormatPr defaultRowHeight="12" x14ac:dyDescent="0.2"/>
  <cols>
    <col min="1" max="1" width="11.25" style="30" bestFit="1" customWidth="1"/>
    <col min="2" max="2" width="18" style="30" bestFit="1" customWidth="1"/>
    <col min="3" max="3" width="32" style="30" bestFit="1" customWidth="1"/>
    <col min="4" max="4" width="13.25" style="30" bestFit="1" customWidth="1"/>
    <col min="5" max="5" width="31.125" style="30" bestFit="1" customWidth="1"/>
    <col min="6" max="6" width="32" style="30" bestFit="1" customWidth="1"/>
    <col min="7" max="7" width="11.75" style="30" bestFit="1" customWidth="1"/>
    <col min="8" max="8" width="9" style="30" bestFit="1" customWidth="1"/>
    <col min="9" max="9" width="17.875" style="30" bestFit="1" customWidth="1"/>
    <col min="10" max="10" width="20.375" style="30" bestFit="1" customWidth="1"/>
    <col min="11" max="11" width="8.5" style="30" bestFit="1" customWidth="1"/>
    <col min="12" max="12" width="14.125" style="30" bestFit="1" customWidth="1"/>
    <col min="13" max="13" width="14.625" style="30" bestFit="1" customWidth="1"/>
    <col min="14" max="14" width="14.5" style="30" bestFit="1" customWidth="1"/>
    <col min="15" max="15" width="32" style="30" bestFit="1" customWidth="1"/>
    <col min="16" max="16384" width="9" style="30"/>
  </cols>
  <sheetData>
    <row r="1" spans="1:15" ht="27" customHeight="1" x14ac:dyDescent="0.2">
      <c r="A1" s="103"/>
      <c r="B1" s="104"/>
      <c r="C1" s="104"/>
      <c r="D1" s="104"/>
      <c r="E1" s="104"/>
      <c r="F1" s="104"/>
      <c r="G1" s="104"/>
      <c r="H1" s="104"/>
      <c r="I1" s="104"/>
      <c r="J1" s="104"/>
      <c r="K1" s="104"/>
      <c r="L1" s="104"/>
      <c r="M1" s="104"/>
      <c r="N1" s="104"/>
      <c r="O1" s="105"/>
    </row>
    <row r="2" spans="1:15" ht="15" customHeight="1" x14ac:dyDescent="0.2">
      <c r="A2" s="76" t="s">
        <v>426</v>
      </c>
      <c r="B2" s="77"/>
      <c r="C2" s="77"/>
      <c r="D2" s="77"/>
      <c r="E2" s="77"/>
      <c r="F2" s="77"/>
      <c r="G2" s="77"/>
      <c r="H2" s="77"/>
      <c r="I2" s="77"/>
      <c r="J2" s="77"/>
      <c r="K2" s="77"/>
      <c r="L2" s="77"/>
      <c r="M2" s="77"/>
      <c r="N2" s="77"/>
      <c r="O2" s="78"/>
    </row>
    <row r="3" spans="1:15" ht="15" customHeight="1" x14ac:dyDescent="0.2">
      <c r="A3" s="106" t="s">
        <v>646</v>
      </c>
      <c r="B3" s="107"/>
      <c r="C3" s="107"/>
      <c r="D3" s="107"/>
      <c r="E3" s="107"/>
      <c r="F3" s="107"/>
      <c r="G3" s="107"/>
      <c r="H3" s="107"/>
      <c r="I3" s="107"/>
      <c r="J3" s="107"/>
      <c r="K3" s="107"/>
      <c r="L3" s="107"/>
      <c r="M3" s="107"/>
      <c r="N3" s="107"/>
      <c r="O3" s="108"/>
    </row>
    <row r="4" spans="1:15" ht="15" x14ac:dyDescent="0.2">
      <c r="A4" s="31" t="s">
        <v>4</v>
      </c>
      <c r="B4" s="31" t="s">
        <v>5</v>
      </c>
      <c r="C4" s="31" t="s">
        <v>54</v>
      </c>
      <c r="D4" s="31" t="s">
        <v>6</v>
      </c>
      <c r="E4" s="31" t="s">
        <v>7</v>
      </c>
      <c r="F4" s="31" t="s">
        <v>53</v>
      </c>
      <c r="G4" s="31" t="s">
        <v>8</v>
      </c>
      <c r="H4" s="31" t="s">
        <v>427</v>
      </c>
      <c r="I4" s="31" t="s">
        <v>429</v>
      </c>
      <c r="J4" s="31" t="s">
        <v>428</v>
      </c>
      <c r="K4" s="31" t="s">
        <v>9</v>
      </c>
      <c r="L4" s="31" t="s">
        <v>10</v>
      </c>
      <c r="M4" s="31" t="s">
        <v>52</v>
      </c>
      <c r="N4" s="31" t="s">
        <v>51</v>
      </c>
      <c r="O4" s="31" t="s">
        <v>11</v>
      </c>
    </row>
    <row r="5" spans="1:15" ht="85.5" x14ac:dyDescent="0.2">
      <c r="A5" s="32" t="s">
        <v>18</v>
      </c>
      <c r="B5" s="32" t="s">
        <v>25</v>
      </c>
      <c r="C5" s="33" t="s">
        <v>68</v>
      </c>
      <c r="D5" s="20" t="s">
        <v>69</v>
      </c>
      <c r="E5" s="33" t="s">
        <v>70</v>
      </c>
      <c r="F5" s="33" t="s">
        <v>71</v>
      </c>
      <c r="G5" s="33"/>
      <c r="H5" s="33"/>
      <c r="I5" s="33">
        <v>28800</v>
      </c>
      <c r="J5" s="33">
        <v>28800</v>
      </c>
      <c r="K5" s="33"/>
      <c r="L5" s="33"/>
      <c r="M5" s="33"/>
      <c r="N5" s="33"/>
      <c r="O5" s="33" t="s">
        <v>72</v>
      </c>
    </row>
    <row r="6" spans="1:15" ht="28.5" x14ac:dyDescent="0.2">
      <c r="A6" s="32" t="s">
        <v>18</v>
      </c>
      <c r="B6" s="32" t="s">
        <v>15</v>
      </c>
      <c r="C6" s="33" t="s">
        <v>81</v>
      </c>
      <c r="D6" s="20" t="s">
        <v>82</v>
      </c>
      <c r="E6" s="33" t="s">
        <v>70</v>
      </c>
      <c r="F6" s="33" t="s">
        <v>83</v>
      </c>
      <c r="G6" s="33"/>
      <c r="H6" s="33"/>
      <c r="I6" s="33"/>
      <c r="J6" s="33"/>
      <c r="K6" s="33"/>
      <c r="L6" s="33"/>
      <c r="M6" s="33"/>
      <c r="N6" s="33"/>
      <c r="O6" s="33" t="s">
        <v>84</v>
      </c>
    </row>
    <row r="7" spans="1:15" ht="28.5" x14ac:dyDescent="0.2">
      <c r="A7" s="32" t="s">
        <v>18</v>
      </c>
      <c r="B7" s="32" t="s">
        <v>19</v>
      </c>
      <c r="C7" s="33" t="s">
        <v>115</v>
      </c>
      <c r="D7" s="20" t="s">
        <v>110</v>
      </c>
      <c r="E7" s="33" t="s">
        <v>70</v>
      </c>
      <c r="F7" s="33" t="s">
        <v>114</v>
      </c>
      <c r="G7" s="33"/>
      <c r="H7" s="33"/>
      <c r="I7" s="33"/>
      <c r="J7" s="33"/>
      <c r="K7" s="33"/>
      <c r="L7" s="33"/>
      <c r="M7" s="33"/>
      <c r="N7" s="33"/>
      <c r="O7" s="33" t="s">
        <v>116</v>
      </c>
    </row>
    <row r="8" spans="1:15" ht="28.5" x14ac:dyDescent="0.2">
      <c r="A8" s="32" t="s">
        <v>18</v>
      </c>
      <c r="B8" s="32" t="s">
        <v>20</v>
      </c>
      <c r="C8" s="33" t="s">
        <v>117</v>
      </c>
      <c r="D8" s="20" t="s">
        <v>118</v>
      </c>
      <c r="E8" s="33" t="s">
        <v>70</v>
      </c>
      <c r="F8" s="33" t="s">
        <v>114</v>
      </c>
      <c r="G8" s="33">
        <v>10</v>
      </c>
      <c r="H8" s="33"/>
      <c r="I8" s="33"/>
      <c r="J8" s="33"/>
      <c r="K8" s="33"/>
      <c r="L8" s="33"/>
      <c r="M8" s="33"/>
      <c r="N8" s="33"/>
      <c r="O8" s="33" t="s">
        <v>119</v>
      </c>
    </row>
    <row r="9" spans="1:15" ht="42.75" x14ac:dyDescent="0.2">
      <c r="A9" s="32" t="s">
        <v>18</v>
      </c>
      <c r="B9" s="32" t="s">
        <v>20</v>
      </c>
      <c r="C9" s="33" t="s">
        <v>120</v>
      </c>
      <c r="D9" s="20" t="s">
        <v>121</v>
      </c>
      <c r="E9" s="33" t="s">
        <v>113</v>
      </c>
      <c r="F9" s="33" t="s">
        <v>114</v>
      </c>
      <c r="G9" s="33"/>
      <c r="H9" s="33"/>
      <c r="I9" s="33"/>
      <c r="J9" s="33"/>
      <c r="K9" s="33"/>
      <c r="L9" s="33"/>
      <c r="M9" s="33"/>
      <c r="N9" s="33"/>
      <c r="O9" s="33" t="s">
        <v>122</v>
      </c>
    </row>
    <row r="10" spans="1:15" ht="42.75" x14ac:dyDescent="0.2">
      <c r="A10" s="32" t="s">
        <v>24</v>
      </c>
      <c r="B10" s="32" t="s">
        <v>19</v>
      </c>
      <c r="C10" s="33" t="s">
        <v>210</v>
      </c>
      <c r="D10" s="20" t="s">
        <v>211</v>
      </c>
      <c r="E10" s="33" t="s">
        <v>70</v>
      </c>
      <c r="F10" s="33" t="s">
        <v>212</v>
      </c>
      <c r="G10" s="33"/>
      <c r="H10" s="33"/>
      <c r="I10" s="33"/>
      <c r="J10" s="33"/>
      <c r="K10" s="33"/>
      <c r="L10" s="33"/>
      <c r="M10" s="33"/>
      <c r="N10" s="33"/>
      <c r="O10" s="33" t="s">
        <v>213</v>
      </c>
    </row>
    <row r="11" spans="1:15" ht="28.5" x14ac:dyDescent="0.2">
      <c r="A11" s="32" t="s">
        <v>18</v>
      </c>
      <c r="B11" s="32" t="s">
        <v>20</v>
      </c>
      <c r="C11" s="33" t="s">
        <v>214</v>
      </c>
      <c r="D11" s="20" t="s">
        <v>215</v>
      </c>
      <c r="E11" s="33" t="s">
        <v>70</v>
      </c>
      <c r="F11" s="33" t="s">
        <v>212</v>
      </c>
      <c r="G11" s="33">
        <v>8</v>
      </c>
      <c r="H11" s="33"/>
      <c r="I11" s="33"/>
      <c r="J11" s="33"/>
      <c r="K11" s="33"/>
      <c r="L11" s="33">
        <v>10</v>
      </c>
      <c r="M11" s="33"/>
      <c r="N11" s="33">
        <v>5</v>
      </c>
      <c r="O11" s="33" t="s">
        <v>216</v>
      </c>
    </row>
    <row r="12" spans="1:15" ht="28.5" x14ac:dyDescent="0.2">
      <c r="A12" s="32" t="s">
        <v>18</v>
      </c>
      <c r="B12" s="32" t="s">
        <v>23</v>
      </c>
      <c r="C12" s="33" t="s">
        <v>217</v>
      </c>
      <c r="D12" s="20" t="s">
        <v>218</v>
      </c>
      <c r="E12" s="33" t="s">
        <v>70</v>
      </c>
      <c r="F12" s="33" t="s">
        <v>219</v>
      </c>
      <c r="G12" s="33"/>
      <c r="H12" s="33"/>
      <c r="I12" s="33"/>
      <c r="J12" s="33"/>
      <c r="K12" s="33"/>
      <c r="L12" s="33"/>
      <c r="M12" s="33"/>
      <c r="N12" s="33"/>
      <c r="O12" s="33" t="s">
        <v>220</v>
      </c>
    </row>
    <row r="13" spans="1:15" ht="28.5" x14ac:dyDescent="0.2">
      <c r="A13" s="32" t="s">
        <v>18</v>
      </c>
      <c r="B13" s="32" t="s">
        <v>15</v>
      </c>
      <c r="C13" s="33" t="s">
        <v>221</v>
      </c>
      <c r="D13" s="20" t="s">
        <v>222</v>
      </c>
      <c r="E13" s="33" t="s">
        <v>70</v>
      </c>
      <c r="F13" s="33" t="s">
        <v>219</v>
      </c>
      <c r="G13" s="33">
        <v>8</v>
      </c>
      <c r="H13" s="33"/>
      <c r="I13" s="33">
        <v>7200</v>
      </c>
      <c r="J13" s="33">
        <v>7200</v>
      </c>
      <c r="K13" s="33"/>
      <c r="L13" s="33"/>
      <c r="M13" s="33"/>
      <c r="N13" s="33"/>
      <c r="O13" s="33" t="s">
        <v>223</v>
      </c>
    </row>
    <row r="14" spans="1:15" ht="28.5" x14ac:dyDescent="0.2">
      <c r="A14" s="32" t="s">
        <v>18</v>
      </c>
      <c r="B14" s="32" t="s">
        <v>15</v>
      </c>
      <c r="C14" s="33" t="s">
        <v>224</v>
      </c>
      <c r="D14" s="20" t="s">
        <v>225</v>
      </c>
      <c r="E14" s="33" t="s">
        <v>70</v>
      </c>
      <c r="F14" s="33" t="s">
        <v>219</v>
      </c>
      <c r="G14" s="33"/>
      <c r="H14" s="33"/>
      <c r="I14" s="33"/>
      <c r="J14" s="33"/>
      <c r="K14" s="33"/>
      <c r="L14" s="33"/>
      <c r="M14" s="33"/>
      <c r="N14" s="33"/>
      <c r="O14" s="33" t="s">
        <v>226</v>
      </c>
    </row>
    <row r="15" spans="1:15" ht="28.5" x14ac:dyDescent="0.2">
      <c r="A15" s="32" t="s">
        <v>18</v>
      </c>
      <c r="B15" s="32" t="s">
        <v>15</v>
      </c>
      <c r="C15" s="33" t="s">
        <v>227</v>
      </c>
      <c r="D15" s="20" t="s">
        <v>228</v>
      </c>
      <c r="E15" s="33" t="s">
        <v>70</v>
      </c>
      <c r="F15" s="33" t="s">
        <v>219</v>
      </c>
      <c r="G15" s="33">
        <v>8</v>
      </c>
      <c r="H15" s="33"/>
      <c r="I15" s="33"/>
      <c r="J15" s="33"/>
      <c r="K15" s="33"/>
      <c r="L15" s="33"/>
      <c r="M15" s="33"/>
      <c r="N15" s="33"/>
      <c r="O15" s="33" t="s">
        <v>229</v>
      </c>
    </row>
    <row r="16" spans="1:15" ht="15" x14ac:dyDescent="0.2">
      <c r="A16" s="32" t="s">
        <v>18</v>
      </c>
      <c r="B16" s="32" t="s">
        <v>22</v>
      </c>
      <c r="C16" s="33" t="s">
        <v>271</v>
      </c>
      <c r="D16" s="20" t="s">
        <v>272</v>
      </c>
      <c r="E16" s="33" t="s">
        <v>70</v>
      </c>
      <c r="F16" s="33" t="s">
        <v>273</v>
      </c>
      <c r="G16" s="33"/>
      <c r="H16" s="33"/>
      <c r="I16" s="33"/>
      <c r="J16" s="33"/>
      <c r="K16" s="33"/>
      <c r="L16" s="33"/>
      <c r="M16" s="33"/>
      <c r="N16" s="33"/>
      <c r="O16" s="33" t="s">
        <v>274</v>
      </c>
    </row>
    <row r="17" spans="1:15" ht="15" x14ac:dyDescent="0.2">
      <c r="A17" s="32" t="s">
        <v>18</v>
      </c>
      <c r="B17" s="32" t="s">
        <v>15</v>
      </c>
      <c r="C17" s="33" t="s">
        <v>275</v>
      </c>
      <c r="D17" s="20" t="s">
        <v>276</v>
      </c>
      <c r="E17" s="33" t="s">
        <v>70</v>
      </c>
      <c r="F17" s="33" t="s">
        <v>277</v>
      </c>
      <c r="G17" s="33"/>
      <c r="H17" s="33"/>
      <c r="I17" s="33"/>
      <c r="J17" s="33"/>
      <c r="K17" s="33"/>
      <c r="L17" s="33"/>
      <c r="M17" s="33"/>
      <c r="N17" s="33"/>
      <c r="O17" s="33" t="s">
        <v>278</v>
      </c>
    </row>
    <row r="18" spans="1:15" ht="28.5" x14ac:dyDescent="0.2">
      <c r="A18" s="32" t="s">
        <v>18</v>
      </c>
      <c r="B18" s="32" t="s">
        <v>15</v>
      </c>
      <c r="C18" s="33" t="s">
        <v>279</v>
      </c>
      <c r="D18" s="20" t="s">
        <v>280</v>
      </c>
      <c r="E18" s="33" t="s">
        <v>113</v>
      </c>
      <c r="F18" s="33" t="s">
        <v>277</v>
      </c>
      <c r="G18" s="33"/>
      <c r="H18" s="33"/>
      <c r="I18" s="33"/>
      <c r="J18" s="33"/>
      <c r="K18" s="33"/>
      <c r="L18" s="33"/>
      <c r="M18" s="33"/>
      <c r="N18" s="33"/>
      <c r="O18" s="33" t="s">
        <v>281</v>
      </c>
    </row>
    <row r="19" spans="1:15" ht="15" x14ac:dyDescent="0.2">
      <c r="A19" s="32" t="s">
        <v>18</v>
      </c>
      <c r="B19" s="32" t="s">
        <v>20</v>
      </c>
      <c r="C19" s="33" t="s">
        <v>282</v>
      </c>
      <c r="D19" s="20" t="s">
        <v>283</v>
      </c>
      <c r="E19" s="33" t="s">
        <v>70</v>
      </c>
      <c r="F19" s="33" t="s">
        <v>277</v>
      </c>
      <c r="G19" s="33"/>
      <c r="H19" s="33"/>
      <c r="I19" s="33"/>
      <c r="J19" s="33"/>
      <c r="K19" s="33"/>
      <c r="L19" s="33"/>
      <c r="M19" s="33"/>
      <c r="N19" s="33"/>
      <c r="O19" s="33" t="s">
        <v>284</v>
      </c>
    </row>
    <row r="20" spans="1:15" ht="42.75" x14ac:dyDescent="0.2">
      <c r="A20" s="32" t="s">
        <v>24</v>
      </c>
      <c r="B20" s="32" t="s">
        <v>19</v>
      </c>
      <c r="C20" s="33" t="s">
        <v>285</v>
      </c>
      <c r="D20" s="20" t="s">
        <v>286</v>
      </c>
      <c r="E20" s="33" t="s">
        <v>113</v>
      </c>
      <c r="F20" s="33" t="s">
        <v>287</v>
      </c>
      <c r="G20" s="33"/>
      <c r="H20" s="33"/>
      <c r="I20" s="33"/>
      <c r="J20" s="33"/>
      <c r="K20" s="33"/>
      <c r="L20" s="33"/>
      <c r="M20" s="33"/>
      <c r="N20" s="33"/>
      <c r="O20" s="33" t="s">
        <v>288</v>
      </c>
    </row>
    <row r="21" spans="1:15" ht="42.75" x14ac:dyDescent="0.2">
      <c r="A21" s="32" t="s">
        <v>18</v>
      </c>
      <c r="B21" s="32" t="s">
        <v>19</v>
      </c>
      <c r="C21" s="33" t="s">
        <v>289</v>
      </c>
      <c r="D21" s="20" t="s">
        <v>290</v>
      </c>
      <c r="E21" s="33" t="s">
        <v>70</v>
      </c>
      <c r="F21" s="33" t="s">
        <v>291</v>
      </c>
      <c r="G21" s="33"/>
      <c r="H21" s="33"/>
      <c r="I21" s="33"/>
      <c r="J21" s="33"/>
      <c r="K21" s="33"/>
      <c r="L21" s="33">
        <v>0</v>
      </c>
      <c r="M21" s="33"/>
      <c r="N21" s="33">
        <v>0</v>
      </c>
      <c r="O21" s="33" t="s">
        <v>292</v>
      </c>
    </row>
    <row r="22" spans="1:15" ht="15" x14ac:dyDescent="0.2">
      <c r="A22" s="32" t="s">
        <v>18</v>
      </c>
      <c r="B22" s="32" t="s">
        <v>21</v>
      </c>
      <c r="C22" s="33" t="s">
        <v>293</v>
      </c>
      <c r="D22" s="20" t="s">
        <v>294</v>
      </c>
      <c r="E22" s="33" t="s">
        <v>70</v>
      </c>
      <c r="F22" s="33" t="s">
        <v>291</v>
      </c>
      <c r="G22" s="33"/>
      <c r="H22" s="33"/>
      <c r="I22" s="33"/>
      <c r="J22" s="33"/>
      <c r="K22" s="33"/>
      <c r="L22" s="33"/>
      <c r="M22" s="33"/>
      <c r="N22" s="33"/>
      <c r="O22" s="33" t="s">
        <v>295</v>
      </c>
    </row>
    <row r="23" spans="1:15" ht="28.5" x14ac:dyDescent="0.2">
      <c r="A23" s="32" t="s">
        <v>18</v>
      </c>
      <c r="B23" s="32" t="s">
        <v>20</v>
      </c>
      <c r="C23" s="33" t="s">
        <v>293</v>
      </c>
      <c r="D23" s="20" t="s">
        <v>296</v>
      </c>
      <c r="E23" s="33" t="s">
        <v>70</v>
      </c>
      <c r="F23" s="33" t="s">
        <v>291</v>
      </c>
      <c r="G23" s="33"/>
      <c r="H23" s="33"/>
      <c r="I23" s="33"/>
      <c r="J23" s="33"/>
      <c r="K23" s="33"/>
      <c r="L23" s="33"/>
      <c r="M23" s="33"/>
      <c r="N23" s="33"/>
      <c r="O23" s="33" t="s">
        <v>297</v>
      </c>
    </row>
    <row r="24" spans="1:15" ht="28.5" x14ac:dyDescent="0.2">
      <c r="A24" s="32" t="s">
        <v>24</v>
      </c>
      <c r="B24" s="32" t="s">
        <v>19</v>
      </c>
      <c r="C24" s="33" t="s">
        <v>298</v>
      </c>
      <c r="D24" s="20" t="s">
        <v>299</v>
      </c>
      <c r="E24" s="33" t="s">
        <v>113</v>
      </c>
      <c r="F24" s="33" t="s">
        <v>291</v>
      </c>
      <c r="G24" s="33"/>
      <c r="H24" s="33"/>
      <c r="I24" s="33"/>
      <c r="J24" s="33"/>
      <c r="K24" s="33"/>
      <c r="L24" s="33"/>
      <c r="M24" s="33"/>
      <c r="N24" s="33"/>
      <c r="O24" s="33" t="s">
        <v>300</v>
      </c>
    </row>
    <row r="25" spans="1:15" ht="42.75" x14ac:dyDescent="0.2">
      <c r="A25" s="32" t="s">
        <v>18</v>
      </c>
      <c r="B25" s="32" t="s">
        <v>19</v>
      </c>
      <c r="C25" s="33" t="s">
        <v>301</v>
      </c>
      <c r="D25" s="20" t="s">
        <v>302</v>
      </c>
      <c r="E25" s="33" t="s">
        <v>70</v>
      </c>
      <c r="F25" s="33" t="s">
        <v>291</v>
      </c>
      <c r="G25" s="33"/>
      <c r="H25" s="33"/>
      <c r="I25" s="33"/>
      <c r="J25" s="33"/>
      <c r="K25" s="33"/>
      <c r="L25" s="33"/>
      <c r="M25" s="33"/>
      <c r="N25" s="33"/>
      <c r="O25" s="33" t="s">
        <v>303</v>
      </c>
    </row>
    <row r="26" spans="1:15" ht="28.5" x14ac:dyDescent="0.2">
      <c r="A26" s="32" t="s">
        <v>18</v>
      </c>
      <c r="B26" s="32" t="s">
        <v>19</v>
      </c>
      <c r="C26" s="33" t="s">
        <v>304</v>
      </c>
      <c r="D26" s="20" t="s">
        <v>234</v>
      </c>
      <c r="E26" s="33" t="s">
        <v>70</v>
      </c>
      <c r="F26" s="33" t="s">
        <v>291</v>
      </c>
      <c r="G26" s="33"/>
      <c r="H26" s="33"/>
      <c r="I26" s="33"/>
      <c r="J26" s="33"/>
      <c r="K26" s="33"/>
      <c r="L26" s="33"/>
      <c r="M26" s="33"/>
      <c r="N26" s="33"/>
      <c r="O26" s="33" t="s">
        <v>305</v>
      </c>
    </row>
    <row r="27" spans="1:15" ht="42.75" x14ac:dyDescent="0.2">
      <c r="A27" s="32" t="s">
        <v>18</v>
      </c>
      <c r="B27" s="32" t="s">
        <v>21</v>
      </c>
      <c r="C27" s="33" t="s">
        <v>306</v>
      </c>
      <c r="D27" s="20" t="s">
        <v>307</v>
      </c>
      <c r="E27" s="33" t="s">
        <v>70</v>
      </c>
      <c r="F27" s="33" t="s">
        <v>291</v>
      </c>
      <c r="G27" s="33"/>
      <c r="H27" s="33"/>
      <c r="I27" s="33"/>
      <c r="J27" s="33"/>
      <c r="K27" s="33"/>
      <c r="L27" s="33"/>
      <c r="M27" s="33"/>
      <c r="N27" s="33"/>
      <c r="O27" s="33" t="s">
        <v>308</v>
      </c>
    </row>
    <row r="28" spans="1:15" ht="28.5" x14ac:dyDescent="0.2">
      <c r="A28" s="32" t="s">
        <v>18</v>
      </c>
      <c r="B28" s="32" t="s">
        <v>19</v>
      </c>
      <c r="C28" s="33" t="s">
        <v>309</v>
      </c>
      <c r="D28" s="20" t="s">
        <v>310</v>
      </c>
      <c r="E28" s="33" t="s">
        <v>70</v>
      </c>
      <c r="F28" s="33" t="s">
        <v>291</v>
      </c>
      <c r="G28" s="33"/>
      <c r="H28" s="33"/>
      <c r="I28" s="33"/>
      <c r="J28" s="33"/>
      <c r="K28" s="33"/>
      <c r="L28" s="33"/>
      <c r="M28" s="33"/>
      <c r="N28" s="33"/>
      <c r="O28" s="33" t="s">
        <v>311</v>
      </c>
    </row>
    <row r="29" spans="1:15" ht="28.5" x14ac:dyDescent="0.2">
      <c r="A29" s="32" t="s">
        <v>18</v>
      </c>
      <c r="B29" s="32" t="s">
        <v>20</v>
      </c>
      <c r="C29" s="33" t="s">
        <v>330</v>
      </c>
      <c r="D29" s="20" t="s">
        <v>331</v>
      </c>
      <c r="E29" s="33" t="s">
        <v>70</v>
      </c>
      <c r="F29" s="33"/>
      <c r="G29" s="33"/>
      <c r="H29" s="33"/>
      <c r="I29" s="33"/>
      <c r="J29" s="33"/>
      <c r="K29" s="33"/>
      <c r="L29" s="33"/>
      <c r="M29" s="33"/>
      <c r="N29" s="33"/>
      <c r="O29" s="33" t="s">
        <v>332</v>
      </c>
    </row>
    <row r="30" spans="1:15" ht="15" x14ac:dyDescent="0.2">
      <c r="A30" s="32" t="s">
        <v>18</v>
      </c>
      <c r="B30" s="32" t="s">
        <v>21</v>
      </c>
      <c r="C30" s="33" t="s">
        <v>333</v>
      </c>
      <c r="D30" s="20" t="s">
        <v>329</v>
      </c>
      <c r="E30" s="33" t="s">
        <v>70</v>
      </c>
      <c r="F30" s="33"/>
      <c r="G30" s="33">
        <v>13</v>
      </c>
      <c r="H30" s="33"/>
      <c r="I30" s="33"/>
      <c r="J30" s="33"/>
      <c r="K30" s="33"/>
      <c r="L30" s="33"/>
      <c r="M30" s="33"/>
      <c r="N30" s="33"/>
      <c r="O30" s="33" t="s">
        <v>334</v>
      </c>
    </row>
    <row r="31" spans="1:15" ht="15" x14ac:dyDescent="0.2">
      <c r="A31" s="32" t="s">
        <v>24</v>
      </c>
      <c r="B31" s="32" t="s">
        <v>19</v>
      </c>
      <c r="C31" s="33" t="s">
        <v>335</v>
      </c>
      <c r="D31" s="20" t="s">
        <v>336</v>
      </c>
      <c r="E31" s="33" t="s">
        <v>70</v>
      </c>
      <c r="F31" s="33"/>
      <c r="G31" s="33"/>
      <c r="H31" s="33"/>
      <c r="I31" s="33"/>
      <c r="J31" s="33"/>
      <c r="K31" s="33"/>
      <c r="L31" s="33"/>
      <c r="M31" s="33"/>
      <c r="N31" s="33"/>
      <c r="O31" s="33"/>
    </row>
    <row r="32" spans="1:15" ht="15" x14ac:dyDescent="0.2">
      <c r="A32" s="32" t="s">
        <v>24</v>
      </c>
      <c r="B32" s="32" t="s">
        <v>20</v>
      </c>
      <c r="C32" s="33" t="s">
        <v>337</v>
      </c>
      <c r="D32" s="20" t="s">
        <v>250</v>
      </c>
      <c r="E32" s="33" t="s">
        <v>70</v>
      </c>
      <c r="F32" s="33"/>
      <c r="G32" s="33"/>
      <c r="H32" s="33"/>
      <c r="I32" s="33"/>
      <c r="J32" s="33"/>
      <c r="K32" s="33"/>
      <c r="L32" s="33"/>
      <c r="M32" s="33"/>
      <c r="N32" s="33"/>
      <c r="O32" s="33" t="s">
        <v>248</v>
      </c>
    </row>
    <row r="33" spans="1:15" ht="15" x14ac:dyDescent="0.2">
      <c r="A33" s="32" t="s">
        <v>24</v>
      </c>
      <c r="B33" s="32" t="s">
        <v>20</v>
      </c>
      <c r="C33" s="33" t="s">
        <v>338</v>
      </c>
      <c r="D33" s="20" t="s">
        <v>339</v>
      </c>
      <c r="E33" s="33" t="s">
        <v>70</v>
      </c>
      <c r="F33" s="33"/>
      <c r="G33" s="33"/>
      <c r="H33" s="33"/>
      <c r="I33" s="33"/>
      <c r="J33" s="33"/>
      <c r="K33" s="33"/>
      <c r="L33" s="33"/>
      <c r="M33" s="33"/>
      <c r="N33" s="33"/>
      <c r="O33" s="33"/>
    </row>
    <row r="34" spans="1:15" ht="28.5" x14ac:dyDescent="0.2">
      <c r="A34" s="32" t="s">
        <v>18</v>
      </c>
      <c r="B34" s="32" t="s">
        <v>19</v>
      </c>
      <c r="C34" s="33" t="s">
        <v>340</v>
      </c>
      <c r="D34" s="20" t="s">
        <v>341</v>
      </c>
      <c r="E34" s="33" t="s">
        <v>70</v>
      </c>
      <c r="F34" s="33"/>
      <c r="G34" s="33">
        <v>13</v>
      </c>
      <c r="H34" s="33"/>
      <c r="I34" s="33"/>
      <c r="J34" s="33"/>
      <c r="K34" s="33"/>
      <c r="L34" s="33"/>
      <c r="M34" s="33"/>
      <c r="N34" s="33"/>
      <c r="O34" s="33" t="s">
        <v>342</v>
      </c>
    </row>
    <row r="35" spans="1:15" ht="28.5" x14ac:dyDescent="0.2">
      <c r="A35" s="32" t="s">
        <v>18</v>
      </c>
      <c r="B35" s="32" t="s">
        <v>19</v>
      </c>
      <c r="C35" s="33" t="s">
        <v>85</v>
      </c>
      <c r="D35" s="20" t="s">
        <v>88</v>
      </c>
      <c r="E35" s="33" t="s">
        <v>70</v>
      </c>
      <c r="F35" s="33"/>
      <c r="G35" s="33">
        <v>5</v>
      </c>
      <c r="H35" s="33"/>
      <c r="I35" s="33"/>
      <c r="J35" s="33"/>
      <c r="K35" s="33"/>
      <c r="L35" s="33"/>
      <c r="M35" s="33"/>
      <c r="N35" s="33"/>
      <c r="O35" s="33" t="s">
        <v>343</v>
      </c>
    </row>
    <row r="36" spans="1:15" ht="42.75" x14ac:dyDescent="0.2">
      <c r="A36" s="32" t="s">
        <v>18</v>
      </c>
      <c r="B36" s="32" t="s">
        <v>19</v>
      </c>
      <c r="C36" s="33" t="s">
        <v>344</v>
      </c>
      <c r="D36" s="20" t="s">
        <v>96</v>
      </c>
      <c r="E36" s="33" t="s">
        <v>70</v>
      </c>
      <c r="F36" s="33"/>
      <c r="G36" s="33">
        <v>13</v>
      </c>
      <c r="H36" s="33"/>
      <c r="I36" s="33"/>
      <c r="J36" s="33"/>
      <c r="K36" s="33"/>
      <c r="L36" s="33"/>
      <c r="M36" s="33"/>
      <c r="N36" s="33"/>
      <c r="O36" s="33" t="s">
        <v>345</v>
      </c>
    </row>
    <row r="37" spans="1:15" ht="15" x14ac:dyDescent="0.2">
      <c r="A37" s="32" t="s">
        <v>18</v>
      </c>
      <c r="B37" s="32" t="s">
        <v>15</v>
      </c>
      <c r="C37" s="33" t="s">
        <v>351</v>
      </c>
      <c r="D37" s="20" t="s">
        <v>201</v>
      </c>
      <c r="E37" s="33" t="s">
        <v>70</v>
      </c>
      <c r="F37" s="33"/>
      <c r="G37" s="33">
        <v>5</v>
      </c>
      <c r="H37" s="33"/>
      <c r="I37" s="33"/>
      <c r="J37" s="33"/>
      <c r="K37" s="33"/>
      <c r="L37" s="33"/>
      <c r="M37" s="33"/>
      <c r="N37" s="33"/>
      <c r="O37" s="33" t="s">
        <v>352</v>
      </c>
    </row>
    <row r="38" spans="1:15" ht="28.5" x14ac:dyDescent="0.2">
      <c r="A38" s="32" t="s">
        <v>18</v>
      </c>
      <c r="B38" s="32" t="s">
        <v>20</v>
      </c>
      <c r="C38" s="33" t="s">
        <v>353</v>
      </c>
      <c r="D38" s="20" t="s">
        <v>315</v>
      </c>
      <c r="E38" s="33" t="s">
        <v>70</v>
      </c>
      <c r="F38" s="33"/>
      <c r="G38" s="33"/>
      <c r="H38" s="33"/>
      <c r="I38" s="33"/>
      <c r="J38" s="33"/>
      <c r="K38" s="33"/>
      <c r="L38" s="33"/>
      <c r="M38" s="33"/>
      <c r="N38" s="33"/>
      <c r="O38" s="33" t="s">
        <v>354</v>
      </c>
    </row>
    <row r="39" spans="1:15" ht="15" x14ac:dyDescent="0.2">
      <c r="A39" s="32" t="s">
        <v>18</v>
      </c>
      <c r="B39" s="32" t="s">
        <v>19</v>
      </c>
      <c r="C39" s="33" t="s">
        <v>355</v>
      </c>
      <c r="D39" s="20" t="s">
        <v>149</v>
      </c>
      <c r="E39" s="33" t="s">
        <v>70</v>
      </c>
      <c r="F39" s="33"/>
      <c r="G39" s="33"/>
      <c r="H39" s="33"/>
      <c r="I39" s="33"/>
      <c r="J39" s="33"/>
      <c r="K39" s="33"/>
      <c r="L39" s="33"/>
      <c r="M39" s="33"/>
      <c r="N39" s="33"/>
      <c r="O39" s="33" t="s">
        <v>356</v>
      </c>
    </row>
    <row r="40" spans="1:15" ht="28.5" x14ac:dyDescent="0.2">
      <c r="A40" s="32" t="s">
        <v>18</v>
      </c>
      <c r="B40" s="32" t="s">
        <v>19</v>
      </c>
      <c r="C40" s="33" t="s">
        <v>355</v>
      </c>
      <c r="D40" s="20" t="s">
        <v>133</v>
      </c>
      <c r="E40" s="33" t="s">
        <v>70</v>
      </c>
      <c r="F40" s="33"/>
      <c r="G40" s="33"/>
      <c r="H40" s="33"/>
      <c r="I40" s="33"/>
      <c r="J40" s="33"/>
      <c r="K40" s="33"/>
      <c r="L40" s="33"/>
      <c r="M40" s="33"/>
      <c r="N40" s="33"/>
      <c r="O40" s="33" t="s">
        <v>357</v>
      </c>
    </row>
    <row r="41" spans="1:15" ht="28.5" x14ac:dyDescent="0.2">
      <c r="A41" s="32" t="s">
        <v>18</v>
      </c>
      <c r="B41" s="32" t="s">
        <v>19</v>
      </c>
      <c r="C41" s="33" t="s">
        <v>358</v>
      </c>
      <c r="D41" s="20" t="s">
        <v>129</v>
      </c>
      <c r="E41" s="33" t="s">
        <v>359</v>
      </c>
      <c r="F41" s="33"/>
      <c r="G41" s="33"/>
      <c r="H41" s="33"/>
      <c r="I41" s="33"/>
      <c r="J41" s="33"/>
      <c r="K41" s="33"/>
      <c r="L41" s="33"/>
      <c r="M41" s="33"/>
      <c r="N41" s="33"/>
      <c r="O41" s="33" t="s">
        <v>360</v>
      </c>
    </row>
    <row r="42" spans="1:15" ht="15" x14ac:dyDescent="0.2">
      <c r="A42" s="32" t="s">
        <v>18</v>
      </c>
      <c r="B42" s="32" t="s">
        <v>22</v>
      </c>
      <c r="C42" s="33" t="s">
        <v>361</v>
      </c>
      <c r="D42" s="20" t="s">
        <v>362</v>
      </c>
      <c r="E42" s="33" t="s">
        <v>70</v>
      </c>
      <c r="F42" s="33"/>
      <c r="G42" s="33"/>
      <c r="H42" s="33"/>
      <c r="I42" s="33"/>
      <c r="J42" s="33"/>
      <c r="K42" s="33"/>
      <c r="L42" s="33"/>
      <c r="M42" s="33"/>
      <c r="N42" s="33"/>
      <c r="O42" s="33"/>
    </row>
    <row r="43" spans="1:15" ht="28.5" x14ac:dyDescent="0.2">
      <c r="A43" s="32" t="s">
        <v>18</v>
      </c>
      <c r="B43" s="32" t="s">
        <v>20</v>
      </c>
      <c r="C43" s="33" t="s">
        <v>363</v>
      </c>
      <c r="D43" s="20" t="s">
        <v>364</v>
      </c>
      <c r="E43" s="33" t="s">
        <v>70</v>
      </c>
      <c r="F43" s="33"/>
      <c r="G43" s="33"/>
      <c r="H43" s="33"/>
      <c r="I43" s="33"/>
      <c r="J43" s="33"/>
      <c r="K43" s="33"/>
      <c r="L43" s="33"/>
      <c r="M43" s="33"/>
      <c r="N43" s="33"/>
      <c r="O43" s="33" t="s">
        <v>365</v>
      </c>
    </row>
    <row r="44" spans="1:15" ht="15" x14ac:dyDescent="0.2">
      <c r="A44" s="32" t="s">
        <v>18</v>
      </c>
      <c r="B44" s="32" t="s">
        <v>19</v>
      </c>
      <c r="C44" s="33" t="s">
        <v>366</v>
      </c>
      <c r="D44" s="20" t="s">
        <v>367</v>
      </c>
      <c r="E44" s="33" t="s">
        <v>70</v>
      </c>
      <c r="F44" s="33"/>
      <c r="G44" s="33"/>
      <c r="H44" s="33"/>
      <c r="I44" s="33"/>
      <c r="J44" s="33"/>
      <c r="K44" s="33"/>
      <c r="L44" s="33"/>
      <c r="M44" s="33"/>
      <c r="N44" s="33"/>
      <c r="O44" s="33" t="s">
        <v>368</v>
      </c>
    </row>
    <row r="45" spans="1:15" ht="57" x14ac:dyDescent="0.2">
      <c r="A45" s="32" t="s">
        <v>24</v>
      </c>
      <c r="B45" s="32" t="s">
        <v>25</v>
      </c>
      <c r="C45" s="33" t="s">
        <v>369</v>
      </c>
      <c r="D45" s="20" t="s">
        <v>76</v>
      </c>
      <c r="E45" s="33" t="s">
        <v>70</v>
      </c>
      <c r="F45" s="33"/>
      <c r="G45" s="33"/>
      <c r="H45" s="33"/>
      <c r="I45" s="33"/>
      <c r="J45" s="33"/>
      <c r="K45" s="33"/>
      <c r="L45" s="33"/>
      <c r="M45" s="33"/>
      <c r="N45" s="33"/>
      <c r="O45" s="33" t="s">
        <v>370</v>
      </c>
    </row>
    <row r="46" spans="1:15" ht="15" x14ac:dyDescent="0.2">
      <c r="A46" s="32" t="s">
        <v>18</v>
      </c>
      <c r="B46" s="32" t="s">
        <v>15</v>
      </c>
      <c r="C46" s="33" t="s">
        <v>371</v>
      </c>
      <c r="D46" s="20" t="s">
        <v>204</v>
      </c>
      <c r="E46" s="33" t="s">
        <v>70</v>
      </c>
      <c r="F46" s="33"/>
      <c r="G46" s="33">
        <v>3</v>
      </c>
      <c r="H46" s="33"/>
      <c r="I46" s="33"/>
      <c r="J46" s="33"/>
      <c r="K46" s="33"/>
      <c r="L46" s="33"/>
      <c r="M46" s="33"/>
      <c r="N46" s="33"/>
      <c r="O46" s="33" t="s">
        <v>372</v>
      </c>
    </row>
    <row r="47" spans="1:15" ht="15" x14ac:dyDescent="0.2">
      <c r="A47" s="32" t="s">
        <v>18</v>
      </c>
      <c r="B47" s="32" t="s">
        <v>19</v>
      </c>
      <c r="C47" s="33" t="s">
        <v>373</v>
      </c>
      <c r="D47" s="20" t="s">
        <v>198</v>
      </c>
      <c r="E47" s="33" t="s">
        <v>70</v>
      </c>
      <c r="F47" s="33"/>
      <c r="G47" s="33">
        <v>5</v>
      </c>
      <c r="H47" s="33"/>
      <c r="I47" s="33"/>
      <c r="J47" s="33"/>
      <c r="K47" s="33"/>
      <c r="L47" s="33"/>
      <c r="M47" s="33"/>
      <c r="N47" s="33"/>
      <c r="O47" s="33" t="s">
        <v>374</v>
      </c>
    </row>
    <row r="48" spans="1:15" ht="28.5" x14ac:dyDescent="0.2">
      <c r="A48" s="32" t="s">
        <v>18</v>
      </c>
      <c r="B48" s="32" t="s">
        <v>20</v>
      </c>
      <c r="C48" s="33" t="s">
        <v>375</v>
      </c>
      <c r="D48" s="20" t="s">
        <v>376</v>
      </c>
      <c r="E48" s="33" t="s">
        <v>70</v>
      </c>
      <c r="F48" s="33"/>
      <c r="G48" s="33"/>
      <c r="H48" s="33"/>
      <c r="I48" s="33"/>
      <c r="J48" s="33"/>
      <c r="K48" s="33"/>
      <c r="L48" s="33"/>
      <c r="M48" s="33"/>
      <c r="N48" s="33"/>
      <c r="O48" s="33" t="s">
        <v>239</v>
      </c>
    </row>
    <row r="49" spans="1:15" ht="42.75" x14ac:dyDescent="0.2">
      <c r="A49" s="32" t="s">
        <v>18</v>
      </c>
      <c r="B49" s="32" t="s">
        <v>19</v>
      </c>
      <c r="C49" s="33" t="s">
        <v>377</v>
      </c>
      <c r="D49" s="20" t="s">
        <v>91</v>
      </c>
      <c r="E49" s="33" t="s">
        <v>70</v>
      </c>
      <c r="F49" s="33"/>
      <c r="G49" s="33">
        <v>13</v>
      </c>
      <c r="H49" s="33"/>
      <c r="I49" s="33"/>
      <c r="J49" s="33"/>
      <c r="K49" s="33"/>
      <c r="L49" s="33"/>
      <c r="M49" s="33"/>
      <c r="N49" s="33"/>
      <c r="O49" s="33" t="s">
        <v>378</v>
      </c>
    </row>
    <row r="50" spans="1:15" ht="15" x14ac:dyDescent="0.2">
      <c r="A50" s="32" t="s">
        <v>18</v>
      </c>
      <c r="B50" s="32" t="s">
        <v>15</v>
      </c>
      <c r="C50" s="33" t="s">
        <v>379</v>
      </c>
      <c r="D50" s="20" t="s">
        <v>181</v>
      </c>
      <c r="E50" s="33" t="s">
        <v>70</v>
      </c>
      <c r="F50" s="33"/>
      <c r="G50" s="33">
        <v>3</v>
      </c>
      <c r="H50" s="33"/>
      <c r="I50" s="33"/>
      <c r="J50" s="33"/>
      <c r="K50" s="33"/>
      <c r="L50" s="33"/>
      <c r="M50" s="33"/>
      <c r="N50" s="33"/>
      <c r="O50" s="33" t="s">
        <v>380</v>
      </c>
    </row>
    <row r="51" spans="1:15" ht="15" x14ac:dyDescent="0.2">
      <c r="A51" s="32" t="s">
        <v>18</v>
      </c>
      <c r="B51" s="32" t="s">
        <v>21</v>
      </c>
      <c r="C51" s="33" t="s">
        <v>207</v>
      </c>
      <c r="D51" s="20" t="s">
        <v>209</v>
      </c>
      <c r="E51" s="33" t="s">
        <v>70</v>
      </c>
      <c r="F51" s="33"/>
      <c r="G51" s="33">
        <v>8</v>
      </c>
      <c r="H51" s="33"/>
      <c r="I51" s="33"/>
      <c r="J51" s="33"/>
      <c r="K51" s="33"/>
      <c r="L51" s="33"/>
      <c r="M51" s="33"/>
      <c r="N51" s="33"/>
      <c r="O51" s="33" t="s">
        <v>208</v>
      </c>
    </row>
    <row r="52" spans="1:15" ht="15" x14ac:dyDescent="0.2">
      <c r="A52" s="32" t="s">
        <v>18</v>
      </c>
      <c r="B52" s="32" t="s">
        <v>19</v>
      </c>
      <c r="C52" s="33" t="s">
        <v>384</v>
      </c>
      <c r="D52" s="20" t="s">
        <v>385</v>
      </c>
      <c r="E52" s="33" t="s">
        <v>70</v>
      </c>
      <c r="F52" s="33"/>
      <c r="G52" s="33"/>
      <c r="H52" s="33"/>
      <c r="I52" s="33"/>
      <c r="J52" s="33"/>
      <c r="K52" s="33"/>
      <c r="L52" s="33"/>
      <c r="M52" s="33"/>
      <c r="N52" s="33"/>
      <c r="O52" s="33" t="s">
        <v>386</v>
      </c>
    </row>
    <row r="53" spans="1:15" ht="28.5" x14ac:dyDescent="0.2">
      <c r="A53" s="32" t="s">
        <v>18</v>
      </c>
      <c r="B53" s="32" t="s">
        <v>19</v>
      </c>
      <c r="C53" s="33" t="s">
        <v>387</v>
      </c>
      <c r="D53" s="20" t="s">
        <v>159</v>
      </c>
      <c r="E53" s="33" t="s">
        <v>70</v>
      </c>
      <c r="F53" s="33"/>
      <c r="G53" s="33"/>
      <c r="H53" s="33"/>
      <c r="I53" s="33"/>
      <c r="J53" s="33"/>
      <c r="K53" s="33"/>
      <c r="L53" s="33"/>
      <c r="M53" s="33"/>
      <c r="N53" s="33"/>
      <c r="O53" s="33" t="s">
        <v>388</v>
      </c>
    </row>
    <row r="54" spans="1:15" ht="28.5" x14ac:dyDescent="0.2">
      <c r="A54" s="32" t="s">
        <v>18</v>
      </c>
      <c r="B54" s="32" t="s">
        <v>19</v>
      </c>
      <c r="C54" s="33" t="s">
        <v>99</v>
      </c>
      <c r="D54" s="20" t="s">
        <v>101</v>
      </c>
      <c r="E54" s="33" t="s">
        <v>70</v>
      </c>
      <c r="F54" s="33"/>
      <c r="G54" s="33">
        <v>5</v>
      </c>
      <c r="H54" s="33"/>
      <c r="I54" s="33"/>
      <c r="J54" s="33"/>
      <c r="K54" s="33"/>
      <c r="L54" s="33"/>
      <c r="M54" s="33"/>
      <c r="N54" s="33"/>
      <c r="O54" s="33" t="s">
        <v>100</v>
      </c>
    </row>
    <row r="55" spans="1:15" ht="15" x14ac:dyDescent="0.2">
      <c r="A55" s="32" t="s">
        <v>18</v>
      </c>
      <c r="B55" s="32" t="s">
        <v>19</v>
      </c>
      <c r="C55" s="33" t="s">
        <v>392</v>
      </c>
      <c r="D55" s="20" t="s">
        <v>155</v>
      </c>
      <c r="E55" s="33" t="s">
        <v>70</v>
      </c>
      <c r="F55" s="33"/>
      <c r="G55" s="33"/>
      <c r="H55" s="33"/>
      <c r="I55" s="33"/>
      <c r="J55" s="33"/>
      <c r="K55" s="33"/>
      <c r="L55" s="33"/>
      <c r="M55" s="33"/>
      <c r="N55" s="33"/>
      <c r="O55" s="33" t="s">
        <v>393</v>
      </c>
    </row>
    <row r="56" spans="1:15" ht="15" x14ac:dyDescent="0.2">
      <c r="A56" s="32" t="s">
        <v>18</v>
      </c>
      <c r="B56" s="32" t="s">
        <v>15</v>
      </c>
      <c r="C56" s="33" t="s">
        <v>392</v>
      </c>
      <c r="D56" s="20" t="s">
        <v>394</v>
      </c>
      <c r="E56" s="33" t="s">
        <v>70</v>
      </c>
      <c r="F56" s="33"/>
      <c r="G56" s="33"/>
      <c r="H56" s="33"/>
      <c r="I56" s="33"/>
      <c r="J56" s="33"/>
      <c r="K56" s="33"/>
      <c r="L56" s="33"/>
      <c r="M56" s="33"/>
      <c r="N56" s="33"/>
      <c r="O56" s="33" t="s">
        <v>395</v>
      </c>
    </row>
    <row r="57" spans="1:15" x14ac:dyDescent="0.2">
      <c r="A57" s="109" t="s">
        <v>647</v>
      </c>
      <c r="B57" s="110"/>
      <c r="C57" s="110"/>
      <c r="D57" s="110"/>
      <c r="E57" s="110"/>
      <c r="F57" s="110"/>
      <c r="G57" s="110"/>
      <c r="H57" s="110"/>
      <c r="I57" s="110"/>
      <c r="J57" s="110"/>
      <c r="K57" s="110"/>
      <c r="L57" s="110"/>
      <c r="M57" s="110"/>
      <c r="N57" s="110"/>
      <c r="O57" s="111"/>
    </row>
  </sheetData>
  <mergeCells count="4">
    <mergeCell ref="A1:O1"/>
    <mergeCell ref="A2:O2"/>
    <mergeCell ref="A3:O3"/>
    <mergeCell ref="A57:O57"/>
  </mergeCells>
  <hyperlinks>
    <hyperlink ref="A2" r:id="rId1" display="https://webgate.ec.europa.eu/CITnet/jira/issues/?jql=project+in+%28COMPCORP%2C+CCADMIN%2C+CCARCHITEC%2C+CCDOCLIST%2C+ECKL%2C+CCINFRAEC%2C+INTERCOM%2C+CCPMO%2C+PFM%2C+PROCESS%2C+CCTASK%2C+TSKACTION%2C+WAVECC%2C+COMPASS%29+AND+issuetype+in+%28Enabler%2C+%22New+Feature%22%29+AND+fixVersion+in+%28COMPCORP-PI4%29+ORDER+BY+progress+ASC%2C+cf%5B12631%5D+ASC%2C+summary+ASC%2C+WSJF+DESC"/>
    <hyperlink ref="D5" r:id="rId2" display="https://webgate.ec.europa.eu/CITnet/jira/browse/TSKACTION-217"/>
    <hyperlink ref="D6" r:id="rId3" display="https://webgate.ec.europa.eu/CITnet/jira/browse/CCDOCLIST-165"/>
    <hyperlink ref="D7" r:id="rId4" display="https://webgate.ec.europa.eu/CITnet/jira/browse/PROCESS-44"/>
    <hyperlink ref="D8" r:id="rId5" display="https://webgate.ec.europa.eu/CITnet/jira/browse/PROCESS-92"/>
    <hyperlink ref="D9" r:id="rId6" display="https://webgate.ec.europa.eu/CITnet/jira/browse/PROCESS-75"/>
    <hyperlink ref="D10" r:id="rId7" display="https://webgate.ec.europa.eu/CITnet/jira/browse/CCARCHITEC-37"/>
    <hyperlink ref="D11" r:id="rId8" display="https://webgate.ec.europa.eu/CITnet/jira/browse/COMPCORP-114"/>
    <hyperlink ref="D12" r:id="rId9" display="https://webgate.ec.europa.eu/CITnet/jira/browse/CCTASK-533"/>
    <hyperlink ref="D13" r:id="rId10" display="https://webgate.ec.europa.eu/CITnet/jira/browse/CCDOCLIST-156"/>
    <hyperlink ref="D14" r:id="rId11" display="https://webgate.ec.europa.eu/CITnet/jira/browse/CCDOCLIST-19"/>
    <hyperlink ref="D15" r:id="rId12" display="https://webgate.ec.europa.eu/CITnet/jira/browse/CCDOCLIST-157"/>
    <hyperlink ref="D16" r:id="rId13" display="https://webgate.ec.europa.eu/CITnet/jira/browse/CCTASK-534"/>
    <hyperlink ref="D17" r:id="rId14" display="https://webgate.ec.europa.eu/CITnet/jira/browse/CCDOCLIST-17"/>
    <hyperlink ref="D18" r:id="rId15" display="https://webgate.ec.europa.eu/CITnet/jira/browse/CCDOCLIST-27"/>
    <hyperlink ref="D19" r:id="rId16" display="https://webgate.ec.europa.eu/CITnet/jira/browse/CCDOCLIST-25"/>
    <hyperlink ref="D20" r:id="rId17" display="https://webgate.ec.europa.eu/CITnet/jira/browse/CCARCHITEC-49"/>
    <hyperlink ref="D21" r:id="rId18" display="https://webgate.ec.europa.eu/CITnet/jira/browse/TSKACTION-245"/>
    <hyperlink ref="D22" r:id="rId19" display="https://webgate.ec.europa.eu/CITnet/jira/browse/CCDOCLIST-181"/>
    <hyperlink ref="D23" r:id="rId20" display="https://webgate.ec.europa.eu/CITnet/jira/browse/CCTASK-579"/>
    <hyperlink ref="D24" r:id="rId21" display="https://webgate.ec.europa.eu/CITnet/jira/browse/CCTASK-527"/>
    <hyperlink ref="D25" r:id="rId22" display="https://webgate.ec.europa.eu/CITnet/jira/browse/CCTASK-272"/>
    <hyperlink ref="D26" r:id="rId23" display="https://webgate.ec.europa.eu/CITnet/jira/browse/CCTASK-519"/>
    <hyperlink ref="D27" r:id="rId24" display="https://webgate.ec.europa.eu/CITnet/jira/browse/CCDOCLIST-174"/>
    <hyperlink ref="D28" r:id="rId25" display="https://webgate.ec.europa.eu/CITnet/jira/browse/CCTASK-476"/>
    <hyperlink ref="D29" r:id="rId26" display="https://webgate.ec.europa.eu/CITnet/jira/browse/TSKACTION-56"/>
    <hyperlink ref="D30" r:id="rId27" display="https://webgate.ec.europa.eu/CITnet/jira/browse/INTERCOM-55"/>
    <hyperlink ref="D31" r:id="rId28" display="https://webgate.ec.europa.eu/CITnet/jira/browse/CCPMO-129"/>
    <hyperlink ref="D32" r:id="rId29" display="https://webgate.ec.europa.eu/CITnet/jira/browse/CCPMO-77"/>
    <hyperlink ref="D33" r:id="rId30" display="https://webgate.ec.europa.eu/CITnet/jira/browse/CCPMO-63"/>
    <hyperlink ref="D34" r:id="rId31" display="https://webgate.ec.europa.eu/CITnet/jira/browse/WAVECC-42"/>
    <hyperlink ref="D35" r:id="rId32" display="https://webgate.ec.europa.eu/CITnet/jira/browse/CCADMIN-42"/>
    <hyperlink ref="D36" r:id="rId33" display="https://webgate.ec.europa.eu/CITnet/jira/browse/INTERCOM-54"/>
    <hyperlink ref="D37" r:id="rId34" display="https://webgate.ec.europa.eu/CITnet/jira/browse/INTERCOM-71"/>
    <hyperlink ref="D38" r:id="rId35" display="https://webgate.ec.europa.eu/CITnet/jira/browse/PROCESS-98"/>
    <hyperlink ref="D39" r:id="rId36" display="https://webgate.ec.europa.eu/CITnet/jira/browse/PFM-125"/>
    <hyperlink ref="D40" r:id="rId37" display="https://webgate.ec.europa.eu/CITnet/jira/browse/PROCESS-95"/>
    <hyperlink ref="D41" r:id="rId38" display="https://webgate.ec.europa.eu/CITnet/jira/browse/PROCESS-33"/>
    <hyperlink ref="D42" r:id="rId39" display="https://webgate.ec.europa.eu/CITnet/jira/browse/CCTASK-532"/>
    <hyperlink ref="D43" r:id="rId40" display="https://webgate.ec.europa.eu/CITnet/jira/browse/CCDOCLIST-116"/>
    <hyperlink ref="D44" r:id="rId41" display="https://webgate.ec.europa.eu/CITnet/jira/browse/WAVECC-34"/>
    <hyperlink ref="D45" r:id="rId42" display="https://webgate.ec.europa.eu/CITnet/jira/browse/CCPMO-76"/>
    <hyperlink ref="D46" r:id="rId43" display="https://webgate.ec.europa.eu/CITnet/jira/browse/INTERCOM-75"/>
    <hyperlink ref="D47" r:id="rId44" display="https://webgate.ec.europa.eu/CITnet/jira/browse/CCADMIN-55"/>
    <hyperlink ref="D48" r:id="rId45" display="https://webgate.ec.europa.eu/CITnet/jira/browse/PROCESS-125"/>
    <hyperlink ref="D49" r:id="rId46" display="https://webgate.ec.europa.eu/CITnet/jira/browse/CCADMIN-44"/>
    <hyperlink ref="D50" r:id="rId47" display="https://webgate.ec.europa.eu/CITnet/jira/browse/INTERCOM-59"/>
    <hyperlink ref="D51" r:id="rId48" display="https://webgate.ec.europa.eu/CITnet/jira/browse/INTERCOM-72"/>
    <hyperlink ref="D52" r:id="rId49" display="https://webgate.ec.europa.eu/CITnet/jira/browse/CCTASK-518"/>
    <hyperlink ref="D53" r:id="rId50" display="https://webgate.ec.europa.eu/CITnet/jira/browse/PFM-131"/>
    <hyperlink ref="D54" r:id="rId51" display="https://webgate.ec.europa.eu/CITnet/jira/browse/INTERCOM-52"/>
    <hyperlink ref="D55" r:id="rId52" display="https://webgate.ec.europa.eu/CITnet/jira/browse/PFM-126"/>
    <hyperlink ref="D56" r:id="rId53" display="https://webgate.ec.europa.eu/CITnet/jira/browse/PROCESS-96"/>
  </hyperlinks>
  <printOptions horizontalCentered="1" verticalCentered="1"/>
  <pageMargins left="0.25" right="0.25" top="0.25" bottom="0.5" header="0.5" footer="0.25"/>
  <pageSetup orientation="landscape" horizontalDpi="0" verticalDpi="0"/>
  <headerFooter>
    <oddFooter>&amp;R&amp;P of &amp;N</oddFooter>
  </headerFooter>
  <drawing r:id="rId54"/>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2060"/>
  </sheetPr>
  <dimension ref="A1:O157"/>
  <sheetViews>
    <sheetView workbookViewId="0">
      <selection activeCell="G20" sqref="G20"/>
    </sheetView>
  </sheetViews>
  <sheetFormatPr defaultRowHeight="12" x14ac:dyDescent="0.2"/>
  <cols>
    <col min="1" max="1" width="10.5" style="30" bestFit="1" customWidth="1"/>
    <col min="2" max="2" width="10.25" style="30" bestFit="1" customWidth="1"/>
    <col min="3" max="3" width="32" style="30" bestFit="1" customWidth="1"/>
    <col min="4" max="4" width="11.75" style="30" bestFit="1" customWidth="1"/>
    <col min="5" max="5" width="31.125" style="30" bestFit="1" customWidth="1"/>
    <col min="6" max="6" width="32" style="30" bestFit="1" customWidth="1"/>
    <col min="7" max="7" width="11.75" style="30" bestFit="1" customWidth="1"/>
    <col min="8" max="8" width="9" style="30" bestFit="1" customWidth="1"/>
    <col min="9" max="9" width="17.875" style="30" bestFit="1" customWidth="1"/>
    <col min="10" max="10" width="20.375" style="30" bestFit="1" customWidth="1"/>
    <col min="11" max="11" width="8.5" style="30" bestFit="1" customWidth="1"/>
    <col min="12" max="12" width="14.125" style="30" bestFit="1" customWidth="1"/>
    <col min="13" max="13" width="14.625" style="30" bestFit="1" customWidth="1"/>
    <col min="14" max="14" width="14.5" style="30" bestFit="1" customWidth="1"/>
    <col min="15" max="15" width="32" style="30" bestFit="1" customWidth="1"/>
    <col min="16" max="16384" width="9" style="30"/>
  </cols>
  <sheetData>
    <row r="1" spans="1:15" ht="27" customHeight="1" x14ac:dyDescent="0.2">
      <c r="A1" s="103"/>
      <c r="B1" s="104"/>
      <c r="C1" s="104"/>
      <c r="D1" s="104"/>
      <c r="E1" s="104"/>
      <c r="F1" s="104"/>
      <c r="G1" s="104"/>
      <c r="H1" s="104"/>
      <c r="I1" s="104"/>
      <c r="J1" s="104"/>
      <c r="K1" s="104"/>
      <c r="L1" s="104"/>
      <c r="M1" s="104"/>
      <c r="N1" s="104"/>
      <c r="O1" s="105"/>
    </row>
    <row r="2" spans="1:15" ht="15" customHeight="1" x14ac:dyDescent="0.2">
      <c r="A2" s="76" t="s">
        <v>426</v>
      </c>
      <c r="B2" s="77"/>
      <c r="C2" s="77"/>
      <c r="D2" s="77"/>
      <c r="E2" s="77"/>
      <c r="F2" s="77"/>
      <c r="G2" s="77"/>
      <c r="H2" s="77"/>
      <c r="I2" s="77"/>
      <c r="J2" s="77"/>
      <c r="K2" s="77"/>
      <c r="L2" s="77"/>
      <c r="M2" s="77"/>
      <c r="N2" s="77"/>
      <c r="O2" s="78"/>
    </row>
    <row r="3" spans="1:15" ht="15" customHeight="1" x14ac:dyDescent="0.2">
      <c r="A3" s="106" t="s">
        <v>644</v>
      </c>
      <c r="B3" s="107"/>
      <c r="C3" s="107"/>
      <c r="D3" s="107"/>
      <c r="E3" s="107"/>
      <c r="F3" s="107"/>
      <c r="G3" s="107"/>
      <c r="H3" s="107"/>
      <c r="I3" s="107"/>
      <c r="J3" s="107"/>
      <c r="K3" s="107"/>
      <c r="L3" s="107"/>
      <c r="M3" s="107"/>
      <c r="N3" s="107"/>
      <c r="O3" s="108"/>
    </row>
    <row r="4" spans="1:15" ht="15" x14ac:dyDescent="0.2">
      <c r="A4" s="31" t="s">
        <v>4</v>
      </c>
      <c r="B4" s="31" t="s">
        <v>5</v>
      </c>
      <c r="C4" s="31" t="s">
        <v>54</v>
      </c>
      <c r="D4" s="31" t="s">
        <v>6</v>
      </c>
      <c r="E4" s="31" t="s">
        <v>7</v>
      </c>
      <c r="F4" s="31" t="s">
        <v>53</v>
      </c>
      <c r="G4" s="31" t="s">
        <v>8</v>
      </c>
      <c r="H4" s="31" t="s">
        <v>427</v>
      </c>
      <c r="I4" s="31" t="s">
        <v>429</v>
      </c>
      <c r="J4" s="31" t="s">
        <v>428</v>
      </c>
      <c r="K4" s="31" t="s">
        <v>9</v>
      </c>
      <c r="L4" s="31" t="s">
        <v>10</v>
      </c>
      <c r="M4" s="31" t="s">
        <v>52</v>
      </c>
      <c r="N4" s="31" t="s">
        <v>51</v>
      </c>
      <c r="O4" s="31" t="s">
        <v>11</v>
      </c>
    </row>
    <row r="5" spans="1:15" ht="15" x14ac:dyDescent="0.2">
      <c r="A5" s="32" t="s">
        <v>12</v>
      </c>
      <c r="B5" s="32" t="s">
        <v>15</v>
      </c>
      <c r="C5" s="33" t="s">
        <v>479</v>
      </c>
      <c r="D5" s="20" t="s">
        <v>478</v>
      </c>
      <c r="E5" s="33" t="s">
        <v>442</v>
      </c>
      <c r="F5" s="33" t="s">
        <v>481</v>
      </c>
      <c r="G5" s="33">
        <v>3</v>
      </c>
      <c r="H5" s="33">
        <v>3</v>
      </c>
      <c r="I5" s="33"/>
      <c r="J5" s="33"/>
      <c r="K5" s="33"/>
      <c r="L5" s="33"/>
      <c r="M5" s="33"/>
      <c r="N5" s="33"/>
      <c r="O5" s="33" t="s">
        <v>480</v>
      </c>
    </row>
    <row r="6" spans="1:15" ht="15" x14ac:dyDescent="0.2">
      <c r="A6" s="32" t="s">
        <v>12</v>
      </c>
      <c r="B6" s="32" t="s">
        <v>15</v>
      </c>
      <c r="C6" s="33" t="s">
        <v>483</v>
      </c>
      <c r="D6" s="20" t="s">
        <v>482</v>
      </c>
      <c r="E6" s="33" t="s">
        <v>442</v>
      </c>
      <c r="F6" s="33" t="s">
        <v>485</v>
      </c>
      <c r="G6" s="33">
        <v>5</v>
      </c>
      <c r="H6" s="33">
        <v>5</v>
      </c>
      <c r="I6" s="33"/>
      <c r="J6" s="33"/>
      <c r="K6" s="33"/>
      <c r="L6" s="33"/>
      <c r="M6" s="33"/>
      <c r="N6" s="33"/>
      <c r="O6" s="33" t="s">
        <v>484</v>
      </c>
    </row>
    <row r="7" spans="1:15" ht="42.75" x14ac:dyDescent="0.2">
      <c r="A7" s="32" t="s">
        <v>12</v>
      </c>
      <c r="B7" s="32" t="s">
        <v>15</v>
      </c>
      <c r="C7" s="33" t="s">
        <v>628</v>
      </c>
      <c r="D7" s="20" t="s">
        <v>627</v>
      </c>
      <c r="E7" s="33" t="s">
        <v>442</v>
      </c>
      <c r="F7" s="33" t="s">
        <v>443</v>
      </c>
      <c r="G7" s="33">
        <v>5</v>
      </c>
      <c r="H7" s="33">
        <v>5</v>
      </c>
      <c r="I7" s="33">
        <v>115200</v>
      </c>
      <c r="J7" s="33">
        <v>115200</v>
      </c>
      <c r="K7" s="33"/>
      <c r="L7" s="33"/>
      <c r="M7" s="33"/>
      <c r="N7" s="33"/>
      <c r="O7" s="33" t="s">
        <v>622</v>
      </c>
    </row>
    <row r="8" spans="1:15" ht="28.5" x14ac:dyDescent="0.2">
      <c r="A8" s="32" t="s">
        <v>12</v>
      </c>
      <c r="B8" s="32" t="s">
        <v>15</v>
      </c>
      <c r="C8" s="33" t="s">
        <v>630</v>
      </c>
      <c r="D8" s="20" t="s">
        <v>629</v>
      </c>
      <c r="E8" s="33" t="s">
        <v>442</v>
      </c>
      <c r="F8" s="33" t="s">
        <v>443</v>
      </c>
      <c r="G8" s="33">
        <v>5</v>
      </c>
      <c r="H8" s="33">
        <v>5</v>
      </c>
      <c r="I8" s="33">
        <v>86400</v>
      </c>
      <c r="J8" s="33">
        <v>86400</v>
      </c>
      <c r="K8" s="33"/>
      <c r="L8" s="33"/>
      <c r="M8" s="33"/>
      <c r="N8" s="33"/>
      <c r="O8" s="33" t="s">
        <v>622</v>
      </c>
    </row>
    <row r="9" spans="1:15" ht="42.75" x14ac:dyDescent="0.2">
      <c r="A9" s="32" t="s">
        <v>12</v>
      </c>
      <c r="B9" s="32" t="s">
        <v>15</v>
      </c>
      <c r="C9" s="33" t="s">
        <v>463</v>
      </c>
      <c r="D9" s="20" t="s">
        <v>462</v>
      </c>
      <c r="E9" s="33" t="s">
        <v>442</v>
      </c>
      <c r="F9" s="33" t="s">
        <v>464</v>
      </c>
      <c r="G9" s="33">
        <v>3</v>
      </c>
      <c r="H9" s="33">
        <v>3</v>
      </c>
      <c r="I9" s="33">
        <v>57780</v>
      </c>
      <c r="J9" s="33">
        <v>57780</v>
      </c>
      <c r="K9" s="33"/>
      <c r="L9" s="33"/>
      <c r="M9" s="33"/>
      <c r="N9" s="33"/>
      <c r="O9" s="33"/>
    </row>
    <row r="10" spans="1:15" ht="15" x14ac:dyDescent="0.2">
      <c r="A10" s="32" t="s">
        <v>12</v>
      </c>
      <c r="B10" s="32" t="s">
        <v>15</v>
      </c>
      <c r="C10" s="33" t="s">
        <v>527</v>
      </c>
      <c r="D10" s="20" t="s">
        <v>526</v>
      </c>
      <c r="E10" s="33" t="s">
        <v>442</v>
      </c>
      <c r="F10" s="33" t="s">
        <v>443</v>
      </c>
      <c r="G10" s="33">
        <v>5</v>
      </c>
      <c r="H10" s="33">
        <v>5</v>
      </c>
      <c r="I10" s="33">
        <v>57600</v>
      </c>
      <c r="J10" s="33">
        <v>57600</v>
      </c>
      <c r="K10" s="33"/>
      <c r="L10" s="33"/>
      <c r="M10" s="33"/>
      <c r="N10" s="33"/>
      <c r="O10" s="33" t="s">
        <v>433</v>
      </c>
    </row>
    <row r="11" spans="1:15" ht="42.75" x14ac:dyDescent="0.2">
      <c r="A11" s="32" t="s">
        <v>12</v>
      </c>
      <c r="B11" s="32" t="s">
        <v>15</v>
      </c>
      <c r="C11" s="33" t="s">
        <v>466</v>
      </c>
      <c r="D11" s="20" t="s">
        <v>465</v>
      </c>
      <c r="E11" s="33" t="s">
        <v>442</v>
      </c>
      <c r="F11" s="33" t="s">
        <v>468</v>
      </c>
      <c r="G11" s="33">
        <v>2</v>
      </c>
      <c r="H11" s="33">
        <v>2</v>
      </c>
      <c r="I11" s="33">
        <v>115200</v>
      </c>
      <c r="J11" s="33">
        <v>115200</v>
      </c>
      <c r="K11" s="33"/>
      <c r="L11" s="33"/>
      <c r="M11" s="33"/>
      <c r="N11" s="33"/>
      <c r="O11" s="33" t="s">
        <v>467</v>
      </c>
    </row>
    <row r="12" spans="1:15" ht="28.5" x14ac:dyDescent="0.2">
      <c r="A12" s="32" t="s">
        <v>12</v>
      </c>
      <c r="B12" s="32" t="s">
        <v>15</v>
      </c>
      <c r="C12" s="33" t="s">
        <v>73</v>
      </c>
      <c r="D12" s="20" t="s">
        <v>74</v>
      </c>
      <c r="E12" s="33" t="s">
        <v>70</v>
      </c>
      <c r="F12" s="33" t="s">
        <v>75</v>
      </c>
      <c r="G12" s="33">
        <v>0</v>
      </c>
      <c r="H12" s="33"/>
      <c r="I12" s="33"/>
      <c r="J12" s="33"/>
      <c r="K12" s="33"/>
      <c r="L12" s="33"/>
      <c r="M12" s="33"/>
      <c r="N12" s="33"/>
      <c r="O12" s="33" t="s">
        <v>76</v>
      </c>
    </row>
    <row r="13" spans="1:15" ht="28.5" x14ac:dyDescent="0.2">
      <c r="A13" s="32" t="s">
        <v>12</v>
      </c>
      <c r="B13" s="32" t="s">
        <v>15</v>
      </c>
      <c r="C13" s="33" t="s">
        <v>441</v>
      </c>
      <c r="D13" s="20" t="s">
        <v>440</v>
      </c>
      <c r="E13" s="33" t="s">
        <v>442</v>
      </c>
      <c r="F13" s="33" t="s">
        <v>443</v>
      </c>
      <c r="G13" s="33">
        <v>5</v>
      </c>
      <c r="H13" s="33">
        <v>5</v>
      </c>
      <c r="I13" s="33">
        <v>259200</v>
      </c>
      <c r="J13" s="33">
        <v>259200</v>
      </c>
      <c r="K13" s="33"/>
      <c r="L13" s="33"/>
      <c r="M13" s="33"/>
      <c r="N13" s="33"/>
      <c r="O13" s="33" t="s">
        <v>439</v>
      </c>
    </row>
    <row r="14" spans="1:15" ht="15" x14ac:dyDescent="0.2">
      <c r="A14" s="32" t="s">
        <v>12</v>
      </c>
      <c r="B14" s="32" t="s">
        <v>15</v>
      </c>
      <c r="C14" s="33" t="s">
        <v>529</v>
      </c>
      <c r="D14" s="20" t="s">
        <v>528</v>
      </c>
      <c r="E14" s="33" t="s">
        <v>442</v>
      </c>
      <c r="F14" s="33" t="s">
        <v>443</v>
      </c>
      <c r="G14" s="33">
        <v>5</v>
      </c>
      <c r="H14" s="33">
        <v>5</v>
      </c>
      <c r="I14" s="33">
        <v>21600</v>
      </c>
      <c r="J14" s="33">
        <v>21600</v>
      </c>
      <c r="K14" s="33"/>
      <c r="L14" s="33"/>
      <c r="M14" s="33"/>
      <c r="N14" s="33"/>
      <c r="O14" s="33" t="s">
        <v>433</v>
      </c>
    </row>
    <row r="15" spans="1:15" ht="42.75" x14ac:dyDescent="0.2">
      <c r="A15" s="32" t="s">
        <v>12</v>
      </c>
      <c r="B15" s="32" t="s">
        <v>15</v>
      </c>
      <c r="C15" s="33" t="s">
        <v>454</v>
      </c>
      <c r="D15" s="20" t="s">
        <v>453</v>
      </c>
      <c r="E15" s="33" t="s">
        <v>442</v>
      </c>
      <c r="F15" s="33" t="s">
        <v>455</v>
      </c>
      <c r="G15" s="33">
        <v>3</v>
      </c>
      <c r="H15" s="33">
        <v>3</v>
      </c>
      <c r="I15" s="33"/>
      <c r="J15" s="33"/>
      <c r="K15" s="33"/>
      <c r="L15" s="33"/>
      <c r="M15" s="33"/>
      <c r="N15" s="33"/>
      <c r="O15" s="33"/>
    </row>
    <row r="16" spans="1:15" ht="28.5" x14ac:dyDescent="0.2">
      <c r="A16" s="32" t="s">
        <v>12</v>
      </c>
      <c r="B16" s="32" t="s">
        <v>15</v>
      </c>
      <c r="C16" s="33" t="s">
        <v>111</v>
      </c>
      <c r="D16" s="20" t="s">
        <v>112</v>
      </c>
      <c r="E16" s="33" t="s">
        <v>113</v>
      </c>
      <c r="F16" s="33" t="s">
        <v>114</v>
      </c>
      <c r="G16" s="33"/>
      <c r="H16" s="33"/>
      <c r="I16" s="33"/>
      <c r="J16" s="33"/>
      <c r="K16" s="33"/>
      <c r="L16" s="33"/>
      <c r="M16" s="33"/>
      <c r="N16" s="33"/>
      <c r="O16" s="33" t="s">
        <v>110</v>
      </c>
    </row>
    <row r="17" spans="1:15" ht="28.5" x14ac:dyDescent="0.2">
      <c r="A17" s="32" t="s">
        <v>12</v>
      </c>
      <c r="B17" s="32" t="s">
        <v>15</v>
      </c>
      <c r="C17" s="33" t="s">
        <v>621</v>
      </c>
      <c r="D17" s="20" t="s">
        <v>620</v>
      </c>
      <c r="E17" s="33" t="s">
        <v>442</v>
      </c>
      <c r="F17" s="33" t="s">
        <v>443</v>
      </c>
      <c r="G17" s="33">
        <v>5</v>
      </c>
      <c r="H17" s="33">
        <v>5</v>
      </c>
      <c r="I17" s="33">
        <v>57840</v>
      </c>
      <c r="J17" s="33">
        <v>57840</v>
      </c>
      <c r="K17" s="33"/>
      <c r="L17" s="33"/>
      <c r="M17" s="33"/>
      <c r="N17" s="33"/>
      <c r="O17" s="33" t="s">
        <v>622</v>
      </c>
    </row>
    <row r="18" spans="1:15" ht="57" x14ac:dyDescent="0.2">
      <c r="A18" s="32" t="s">
        <v>12</v>
      </c>
      <c r="B18" s="32" t="s">
        <v>15</v>
      </c>
      <c r="C18" s="33" t="s">
        <v>624</v>
      </c>
      <c r="D18" s="20" t="s">
        <v>623</v>
      </c>
      <c r="E18" s="33" t="s">
        <v>442</v>
      </c>
      <c r="F18" s="33" t="s">
        <v>443</v>
      </c>
      <c r="G18" s="33">
        <v>5</v>
      </c>
      <c r="H18" s="33">
        <v>5</v>
      </c>
      <c r="I18" s="33">
        <v>64800</v>
      </c>
      <c r="J18" s="33">
        <v>64800</v>
      </c>
      <c r="K18" s="33"/>
      <c r="L18" s="33"/>
      <c r="M18" s="33"/>
      <c r="N18" s="33"/>
      <c r="O18" s="33" t="s">
        <v>622</v>
      </c>
    </row>
    <row r="19" spans="1:15" ht="28.5" x14ac:dyDescent="0.2">
      <c r="A19" s="32" t="s">
        <v>12</v>
      </c>
      <c r="B19" s="32" t="s">
        <v>15</v>
      </c>
      <c r="C19" s="33" t="s">
        <v>514</v>
      </c>
      <c r="D19" s="20" t="s">
        <v>513</v>
      </c>
      <c r="E19" s="33" t="s">
        <v>442</v>
      </c>
      <c r="F19" s="33" t="s">
        <v>485</v>
      </c>
      <c r="G19" s="33">
        <v>5</v>
      </c>
      <c r="H19" s="33">
        <v>5</v>
      </c>
      <c r="I19" s="33">
        <v>151200</v>
      </c>
      <c r="J19" s="33">
        <v>151200</v>
      </c>
      <c r="K19" s="33"/>
      <c r="L19" s="33"/>
      <c r="M19" s="33"/>
      <c r="N19" s="33"/>
      <c r="O19" s="33" t="s">
        <v>510</v>
      </c>
    </row>
    <row r="20" spans="1:15" ht="42.75" x14ac:dyDescent="0.2">
      <c r="A20" s="32" t="s">
        <v>12</v>
      </c>
      <c r="B20" s="32" t="s">
        <v>15</v>
      </c>
      <c r="C20" s="33" t="s">
        <v>509</v>
      </c>
      <c r="D20" s="20" t="s">
        <v>508</v>
      </c>
      <c r="E20" s="33" t="s">
        <v>442</v>
      </c>
      <c r="F20" s="33" t="s">
        <v>491</v>
      </c>
      <c r="G20" s="33">
        <v>5</v>
      </c>
      <c r="H20" s="33">
        <v>5</v>
      </c>
      <c r="I20" s="33"/>
      <c r="J20" s="33"/>
      <c r="K20" s="33"/>
      <c r="L20" s="33"/>
      <c r="M20" s="33"/>
      <c r="N20" s="33"/>
      <c r="O20" s="33" t="s">
        <v>510</v>
      </c>
    </row>
    <row r="21" spans="1:15" ht="42.75" x14ac:dyDescent="0.2">
      <c r="A21" s="32" t="s">
        <v>12</v>
      </c>
      <c r="B21" s="32" t="s">
        <v>15</v>
      </c>
      <c r="C21" s="33" t="s">
        <v>503</v>
      </c>
      <c r="D21" s="20" t="s">
        <v>502</v>
      </c>
      <c r="E21" s="33" t="s">
        <v>442</v>
      </c>
      <c r="F21" s="33" t="s">
        <v>491</v>
      </c>
      <c r="G21" s="33">
        <v>2</v>
      </c>
      <c r="H21" s="33">
        <v>2</v>
      </c>
      <c r="I21" s="33">
        <v>28800</v>
      </c>
      <c r="J21" s="33">
        <v>28800</v>
      </c>
      <c r="K21" s="33"/>
      <c r="L21" s="33"/>
      <c r="M21" s="33"/>
      <c r="N21" s="33"/>
      <c r="O21" s="33" t="s">
        <v>504</v>
      </c>
    </row>
    <row r="22" spans="1:15" ht="15" x14ac:dyDescent="0.2">
      <c r="A22" s="32" t="s">
        <v>12</v>
      </c>
      <c r="B22" s="32" t="s">
        <v>15</v>
      </c>
      <c r="C22" s="33" t="s">
        <v>549</v>
      </c>
      <c r="D22" s="20" t="s">
        <v>548</v>
      </c>
      <c r="E22" s="33" t="s">
        <v>541</v>
      </c>
      <c r="F22" s="33"/>
      <c r="G22" s="33"/>
      <c r="H22" s="33"/>
      <c r="I22" s="33"/>
      <c r="J22" s="33">
        <v>0</v>
      </c>
      <c r="K22" s="33"/>
      <c r="L22" s="33"/>
      <c r="M22" s="33"/>
      <c r="N22" s="33"/>
      <c r="O22" s="33"/>
    </row>
    <row r="23" spans="1:15" ht="28.5" x14ac:dyDescent="0.2">
      <c r="A23" s="32" t="s">
        <v>12</v>
      </c>
      <c r="B23" s="32" t="s">
        <v>15</v>
      </c>
      <c r="C23" s="33" t="s">
        <v>545</v>
      </c>
      <c r="D23" s="20" t="s">
        <v>544</v>
      </c>
      <c r="E23" s="33" t="s">
        <v>541</v>
      </c>
      <c r="F23" s="33"/>
      <c r="G23" s="33"/>
      <c r="H23" s="33"/>
      <c r="I23" s="33"/>
      <c r="J23" s="33">
        <v>0</v>
      </c>
      <c r="K23" s="33"/>
      <c r="L23" s="33"/>
      <c r="M23" s="33"/>
      <c r="N23" s="33"/>
      <c r="O23" s="33"/>
    </row>
    <row r="24" spans="1:15" ht="28.5" x14ac:dyDescent="0.2">
      <c r="A24" s="32" t="s">
        <v>12</v>
      </c>
      <c r="B24" s="32" t="s">
        <v>15</v>
      </c>
      <c r="C24" s="33" t="s">
        <v>547</v>
      </c>
      <c r="D24" s="20" t="s">
        <v>546</v>
      </c>
      <c r="E24" s="33" t="s">
        <v>541</v>
      </c>
      <c r="F24" s="33"/>
      <c r="G24" s="33"/>
      <c r="H24" s="33"/>
      <c r="I24" s="33"/>
      <c r="J24" s="33">
        <v>0</v>
      </c>
      <c r="K24" s="33"/>
      <c r="L24" s="33"/>
      <c r="M24" s="33"/>
      <c r="N24" s="33"/>
      <c r="O24" s="33"/>
    </row>
    <row r="25" spans="1:15" ht="28.5" x14ac:dyDescent="0.2">
      <c r="A25" s="32" t="s">
        <v>12</v>
      </c>
      <c r="B25" s="32" t="s">
        <v>15</v>
      </c>
      <c r="C25" s="33" t="s">
        <v>540</v>
      </c>
      <c r="D25" s="20" t="s">
        <v>539</v>
      </c>
      <c r="E25" s="33" t="s">
        <v>541</v>
      </c>
      <c r="F25" s="33"/>
      <c r="G25" s="33"/>
      <c r="H25" s="33"/>
      <c r="I25" s="33"/>
      <c r="J25" s="33">
        <v>0</v>
      </c>
      <c r="K25" s="33"/>
      <c r="L25" s="33"/>
      <c r="M25" s="33"/>
      <c r="N25" s="33"/>
      <c r="O25" s="33"/>
    </row>
    <row r="26" spans="1:15" ht="28.5" x14ac:dyDescent="0.2">
      <c r="A26" s="32" t="s">
        <v>12</v>
      </c>
      <c r="B26" s="32" t="s">
        <v>15</v>
      </c>
      <c r="C26" s="33" t="s">
        <v>571</v>
      </c>
      <c r="D26" s="20" t="s">
        <v>570</v>
      </c>
      <c r="E26" s="33" t="s">
        <v>541</v>
      </c>
      <c r="F26" s="33"/>
      <c r="G26" s="33"/>
      <c r="H26" s="33"/>
      <c r="I26" s="33">
        <v>0</v>
      </c>
      <c r="J26" s="33">
        <v>0</v>
      </c>
      <c r="K26" s="33"/>
      <c r="L26" s="33"/>
      <c r="M26" s="33"/>
      <c r="N26" s="33"/>
      <c r="O26" s="33"/>
    </row>
    <row r="27" spans="1:15" ht="15" x14ac:dyDescent="0.2">
      <c r="A27" s="32" t="s">
        <v>12</v>
      </c>
      <c r="B27" s="32" t="s">
        <v>15</v>
      </c>
      <c r="C27" s="33" t="s">
        <v>577</v>
      </c>
      <c r="D27" s="20" t="s">
        <v>576</v>
      </c>
      <c r="E27" s="33" t="s">
        <v>541</v>
      </c>
      <c r="F27" s="33"/>
      <c r="G27" s="33"/>
      <c r="H27" s="33"/>
      <c r="I27" s="33"/>
      <c r="J27" s="33">
        <v>0</v>
      </c>
      <c r="K27" s="33"/>
      <c r="L27" s="33"/>
      <c r="M27" s="33"/>
      <c r="N27" s="33"/>
      <c r="O27" s="33"/>
    </row>
    <row r="28" spans="1:15" ht="15" x14ac:dyDescent="0.2">
      <c r="A28" s="32" t="s">
        <v>12</v>
      </c>
      <c r="B28" s="32" t="s">
        <v>15</v>
      </c>
      <c r="C28" s="33" t="s">
        <v>559</v>
      </c>
      <c r="D28" s="20" t="s">
        <v>558</v>
      </c>
      <c r="E28" s="33" t="s">
        <v>541</v>
      </c>
      <c r="F28" s="33"/>
      <c r="G28" s="33"/>
      <c r="H28" s="33"/>
      <c r="I28" s="33"/>
      <c r="J28" s="33">
        <v>0</v>
      </c>
      <c r="K28" s="33"/>
      <c r="L28" s="33"/>
      <c r="M28" s="33"/>
      <c r="N28" s="33"/>
      <c r="O28" s="33"/>
    </row>
    <row r="29" spans="1:15" ht="42.75" x14ac:dyDescent="0.2">
      <c r="A29" s="32" t="s">
        <v>12</v>
      </c>
      <c r="B29" s="32" t="s">
        <v>15</v>
      </c>
      <c r="C29" s="33" t="s">
        <v>589</v>
      </c>
      <c r="D29" s="20" t="s">
        <v>588</v>
      </c>
      <c r="E29" s="33" t="s">
        <v>541</v>
      </c>
      <c r="F29" s="33"/>
      <c r="G29" s="33"/>
      <c r="H29" s="33"/>
      <c r="I29" s="33"/>
      <c r="J29" s="33">
        <v>0</v>
      </c>
      <c r="K29" s="33"/>
      <c r="L29" s="33"/>
      <c r="M29" s="33"/>
      <c r="N29" s="33"/>
      <c r="O29" s="33"/>
    </row>
    <row r="30" spans="1:15" ht="15" x14ac:dyDescent="0.2">
      <c r="A30" s="32" t="s">
        <v>12</v>
      </c>
      <c r="B30" s="32" t="s">
        <v>15</v>
      </c>
      <c r="C30" s="33" t="s">
        <v>581</v>
      </c>
      <c r="D30" s="20" t="s">
        <v>580</v>
      </c>
      <c r="E30" s="33" t="s">
        <v>541</v>
      </c>
      <c r="F30" s="33"/>
      <c r="G30" s="33"/>
      <c r="H30" s="33"/>
      <c r="I30" s="33"/>
      <c r="J30" s="33">
        <v>0</v>
      </c>
      <c r="K30" s="33"/>
      <c r="L30" s="33"/>
      <c r="M30" s="33"/>
      <c r="N30" s="33"/>
      <c r="O30" s="33"/>
    </row>
    <row r="31" spans="1:15" ht="28.5" x14ac:dyDescent="0.2">
      <c r="A31" s="32" t="s">
        <v>12</v>
      </c>
      <c r="B31" s="32" t="s">
        <v>15</v>
      </c>
      <c r="C31" s="33" t="s">
        <v>595</v>
      </c>
      <c r="D31" s="20" t="s">
        <v>594</v>
      </c>
      <c r="E31" s="33" t="s">
        <v>541</v>
      </c>
      <c r="F31" s="33"/>
      <c r="G31" s="33"/>
      <c r="H31" s="33"/>
      <c r="I31" s="33"/>
      <c r="J31" s="33">
        <v>0</v>
      </c>
      <c r="K31" s="33"/>
      <c r="L31" s="33"/>
      <c r="M31" s="33"/>
      <c r="N31" s="33"/>
      <c r="O31" s="33"/>
    </row>
    <row r="32" spans="1:15" ht="28.5" x14ac:dyDescent="0.2">
      <c r="A32" s="32" t="s">
        <v>12</v>
      </c>
      <c r="B32" s="32" t="s">
        <v>15</v>
      </c>
      <c r="C32" s="33" t="s">
        <v>561</v>
      </c>
      <c r="D32" s="20" t="s">
        <v>560</v>
      </c>
      <c r="E32" s="33" t="s">
        <v>538</v>
      </c>
      <c r="F32" s="33"/>
      <c r="G32" s="33"/>
      <c r="H32" s="33"/>
      <c r="I32" s="33"/>
      <c r="J32" s="33">
        <v>0</v>
      </c>
      <c r="K32" s="33"/>
      <c r="L32" s="33"/>
      <c r="M32" s="33"/>
      <c r="N32" s="33"/>
      <c r="O32" s="33"/>
    </row>
    <row r="33" spans="1:15" ht="15" x14ac:dyDescent="0.2">
      <c r="A33" s="32" t="s">
        <v>12</v>
      </c>
      <c r="B33" s="32" t="s">
        <v>15</v>
      </c>
      <c r="C33" s="33" t="s">
        <v>587</v>
      </c>
      <c r="D33" s="20" t="s">
        <v>586</v>
      </c>
      <c r="E33" s="33" t="s">
        <v>538</v>
      </c>
      <c r="F33" s="33"/>
      <c r="G33" s="33"/>
      <c r="H33" s="33"/>
      <c r="I33" s="33"/>
      <c r="J33" s="33">
        <v>0</v>
      </c>
      <c r="K33" s="33"/>
      <c r="L33" s="33"/>
      <c r="M33" s="33"/>
      <c r="N33" s="33"/>
      <c r="O33" s="33"/>
    </row>
    <row r="34" spans="1:15" ht="15" x14ac:dyDescent="0.2">
      <c r="A34" s="32" t="s">
        <v>12</v>
      </c>
      <c r="B34" s="32" t="s">
        <v>15</v>
      </c>
      <c r="C34" s="33" t="s">
        <v>593</v>
      </c>
      <c r="D34" s="20" t="s">
        <v>592</v>
      </c>
      <c r="E34" s="33" t="s">
        <v>541</v>
      </c>
      <c r="F34" s="33"/>
      <c r="G34" s="33"/>
      <c r="H34" s="33"/>
      <c r="I34" s="33"/>
      <c r="J34" s="33">
        <v>0</v>
      </c>
      <c r="K34" s="33"/>
      <c r="L34" s="33"/>
      <c r="M34" s="33"/>
      <c r="N34" s="33"/>
      <c r="O34" s="33"/>
    </row>
    <row r="35" spans="1:15" ht="28.5" x14ac:dyDescent="0.2">
      <c r="A35" s="32" t="s">
        <v>12</v>
      </c>
      <c r="B35" s="32" t="s">
        <v>15</v>
      </c>
      <c r="C35" s="33" t="s">
        <v>569</v>
      </c>
      <c r="D35" s="20" t="s">
        <v>568</v>
      </c>
      <c r="E35" s="33" t="s">
        <v>541</v>
      </c>
      <c r="F35" s="33"/>
      <c r="G35" s="33"/>
      <c r="H35" s="33"/>
      <c r="I35" s="33"/>
      <c r="J35" s="33">
        <v>0</v>
      </c>
      <c r="K35" s="33"/>
      <c r="L35" s="33"/>
      <c r="M35" s="33"/>
      <c r="N35" s="33"/>
      <c r="O35" s="33"/>
    </row>
    <row r="36" spans="1:15" ht="28.5" x14ac:dyDescent="0.2">
      <c r="A36" s="32" t="s">
        <v>12</v>
      </c>
      <c r="B36" s="32" t="s">
        <v>15</v>
      </c>
      <c r="C36" s="33" t="s">
        <v>585</v>
      </c>
      <c r="D36" s="20" t="s">
        <v>584</v>
      </c>
      <c r="E36" s="33" t="s">
        <v>541</v>
      </c>
      <c r="F36" s="33"/>
      <c r="G36" s="33"/>
      <c r="H36" s="33"/>
      <c r="I36" s="33"/>
      <c r="J36" s="33">
        <v>0</v>
      </c>
      <c r="K36" s="33"/>
      <c r="L36" s="33"/>
      <c r="M36" s="33"/>
      <c r="N36" s="33"/>
      <c r="O36" s="33"/>
    </row>
    <row r="37" spans="1:15" ht="28.5" x14ac:dyDescent="0.2">
      <c r="A37" s="32" t="s">
        <v>12</v>
      </c>
      <c r="B37" s="32" t="s">
        <v>15</v>
      </c>
      <c r="C37" s="33" t="s">
        <v>557</v>
      </c>
      <c r="D37" s="20" t="s">
        <v>556</v>
      </c>
      <c r="E37" s="33" t="s">
        <v>538</v>
      </c>
      <c r="F37" s="33"/>
      <c r="G37" s="33"/>
      <c r="H37" s="33"/>
      <c r="I37" s="33"/>
      <c r="J37" s="33">
        <v>0</v>
      </c>
      <c r="K37" s="33"/>
      <c r="L37" s="33"/>
      <c r="M37" s="33"/>
      <c r="N37" s="33"/>
      <c r="O37" s="33"/>
    </row>
    <row r="38" spans="1:15" ht="28.5" x14ac:dyDescent="0.2">
      <c r="A38" s="32" t="s">
        <v>12</v>
      </c>
      <c r="B38" s="32" t="s">
        <v>15</v>
      </c>
      <c r="C38" s="33" t="s">
        <v>575</v>
      </c>
      <c r="D38" s="20" t="s">
        <v>574</v>
      </c>
      <c r="E38" s="33" t="s">
        <v>538</v>
      </c>
      <c r="F38" s="33"/>
      <c r="G38" s="33"/>
      <c r="H38" s="33"/>
      <c r="I38" s="33"/>
      <c r="J38" s="33">
        <v>0</v>
      </c>
      <c r="K38" s="33"/>
      <c r="L38" s="33"/>
      <c r="M38" s="33"/>
      <c r="N38" s="33"/>
      <c r="O38" s="33"/>
    </row>
    <row r="39" spans="1:15" ht="28.5" x14ac:dyDescent="0.2">
      <c r="A39" s="32" t="s">
        <v>12</v>
      </c>
      <c r="B39" s="32" t="s">
        <v>15</v>
      </c>
      <c r="C39" s="33" t="s">
        <v>573</v>
      </c>
      <c r="D39" s="20" t="s">
        <v>572</v>
      </c>
      <c r="E39" s="33" t="s">
        <v>541</v>
      </c>
      <c r="F39" s="33"/>
      <c r="G39" s="33"/>
      <c r="H39" s="33"/>
      <c r="I39" s="33"/>
      <c r="J39" s="33">
        <v>0</v>
      </c>
      <c r="K39" s="33"/>
      <c r="L39" s="33"/>
      <c r="M39" s="33"/>
      <c r="N39" s="33"/>
      <c r="O39" s="33"/>
    </row>
    <row r="40" spans="1:15" ht="28.5" x14ac:dyDescent="0.2">
      <c r="A40" s="32" t="s">
        <v>12</v>
      </c>
      <c r="B40" s="32" t="s">
        <v>15</v>
      </c>
      <c r="C40" s="33" t="s">
        <v>599</v>
      </c>
      <c r="D40" s="20" t="s">
        <v>598</v>
      </c>
      <c r="E40" s="33" t="s">
        <v>538</v>
      </c>
      <c r="F40" s="33"/>
      <c r="G40" s="33"/>
      <c r="H40" s="33"/>
      <c r="I40" s="33"/>
      <c r="J40" s="33">
        <v>0</v>
      </c>
      <c r="K40" s="33"/>
      <c r="L40" s="33"/>
      <c r="M40" s="33"/>
      <c r="N40" s="33"/>
      <c r="O40" s="33"/>
    </row>
    <row r="41" spans="1:15" ht="15" x14ac:dyDescent="0.2">
      <c r="A41" s="32" t="s">
        <v>12</v>
      </c>
      <c r="B41" s="32" t="s">
        <v>15</v>
      </c>
      <c r="C41" s="33" t="s">
        <v>543</v>
      </c>
      <c r="D41" s="20" t="s">
        <v>542</v>
      </c>
      <c r="E41" s="33" t="s">
        <v>538</v>
      </c>
      <c r="F41" s="33"/>
      <c r="G41" s="33"/>
      <c r="H41" s="33"/>
      <c r="I41" s="33"/>
      <c r="J41" s="33">
        <v>0</v>
      </c>
      <c r="K41" s="33"/>
      <c r="L41" s="33"/>
      <c r="M41" s="33"/>
      <c r="N41" s="33"/>
      <c r="O41" s="33"/>
    </row>
    <row r="42" spans="1:15" ht="15" x14ac:dyDescent="0.2">
      <c r="A42" s="32" t="s">
        <v>12</v>
      </c>
      <c r="B42" s="32" t="s">
        <v>15</v>
      </c>
      <c r="C42" s="33" t="s">
        <v>601</v>
      </c>
      <c r="D42" s="20" t="s">
        <v>600</v>
      </c>
      <c r="E42" s="33" t="s">
        <v>541</v>
      </c>
      <c r="F42" s="33"/>
      <c r="G42" s="33"/>
      <c r="H42" s="33"/>
      <c r="I42" s="33"/>
      <c r="J42" s="33">
        <v>0</v>
      </c>
      <c r="K42" s="33"/>
      <c r="L42" s="33"/>
      <c r="M42" s="33"/>
      <c r="N42" s="33"/>
      <c r="O42" s="33"/>
    </row>
    <row r="43" spans="1:15" ht="28.5" x14ac:dyDescent="0.2">
      <c r="A43" s="32" t="s">
        <v>12</v>
      </c>
      <c r="B43" s="32" t="s">
        <v>15</v>
      </c>
      <c r="C43" s="33" t="s">
        <v>563</v>
      </c>
      <c r="D43" s="20" t="s">
        <v>562</v>
      </c>
      <c r="E43" s="33" t="s">
        <v>538</v>
      </c>
      <c r="F43" s="33"/>
      <c r="G43" s="33"/>
      <c r="H43" s="33"/>
      <c r="I43" s="33"/>
      <c r="J43" s="33">
        <v>0</v>
      </c>
      <c r="K43" s="33"/>
      <c r="L43" s="33"/>
      <c r="M43" s="33"/>
      <c r="N43" s="33"/>
      <c r="O43" s="33"/>
    </row>
    <row r="44" spans="1:15" ht="28.5" x14ac:dyDescent="0.2">
      <c r="A44" s="32" t="s">
        <v>12</v>
      </c>
      <c r="B44" s="32" t="s">
        <v>15</v>
      </c>
      <c r="C44" s="33" t="s">
        <v>551</v>
      </c>
      <c r="D44" s="20" t="s">
        <v>550</v>
      </c>
      <c r="E44" s="33" t="s">
        <v>538</v>
      </c>
      <c r="F44" s="33"/>
      <c r="G44" s="33"/>
      <c r="H44" s="33"/>
      <c r="I44" s="33"/>
      <c r="J44" s="33">
        <v>0</v>
      </c>
      <c r="K44" s="33"/>
      <c r="L44" s="33"/>
      <c r="M44" s="33"/>
      <c r="N44" s="33"/>
      <c r="O44" s="33"/>
    </row>
    <row r="45" spans="1:15" ht="28.5" x14ac:dyDescent="0.2">
      <c r="A45" s="32" t="s">
        <v>12</v>
      </c>
      <c r="B45" s="32" t="s">
        <v>15</v>
      </c>
      <c r="C45" s="33" t="s">
        <v>579</v>
      </c>
      <c r="D45" s="20" t="s">
        <v>578</v>
      </c>
      <c r="E45" s="33" t="s">
        <v>538</v>
      </c>
      <c r="F45" s="33"/>
      <c r="G45" s="33"/>
      <c r="H45" s="33"/>
      <c r="I45" s="33"/>
      <c r="J45" s="33">
        <v>0</v>
      </c>
      <c r="K45" s="33"/>
      <c r="L45" s="33"/>
      <c r="M45" s="33"/>
      <c r="N45" s="33"/>
      <c r="O45" s="33"/>
    </row>
    <row r="46" spans="1:15" ht="28.5" x14ac:dyDescent="0.2">
      <c r="A46" s="32" t="s">
        <v>12</v>
      </c>
      <c r="B46" s="32" t="s">
        <v>15</v>
      </c>
      <c r="C46" s="33" t="s">
        <v>537</v>
      </c>
      <c r="D46" s="20" t="s">
        <v>536</v>
      </c>
      <c r="E46" s="33" t="s">
        <v>538</v>
      </c>
      <c r="F46" s="33"/>
      <c r="G46" s="33"/>
      <c r="H46" s="33"/>
      <c r="I46" s="33"/>
      <c r="J46" s="33">
        <v>0</v>
      </c>
      <c r="K46" s="33"/>
      <c r="L46" s="33"/>
      <c r="M46" s="33"/>
      <c r="N46" s="33"/>
      <c r="O46" s="33"/>
    </row>
    <row r="47" spans="1:15" ht="28.5" x14ac:dyDescent="0.2">
      <c r="A47" s="32" t="s">
        <v>12</v>
      </c>
      <c r="B47" s="32" t="s">
        <v>15</v>
      </c>
      <c r="C47" s="33" t="s">
        <v>597</v>
      </c>
      <c r="D47" s="20" t="s">
        <v>596</v>
      </c>
      <c r="E47" s="33" t="s">
        <v>538</v>
      </c>
      <c r="F47" s="33"/>
      <c r="G47" s="33"/>
      <c r="H47" s="33"/>
      <c r="I47" s="33"/>
      <c r="J47" s="33">
        <v>0</v>
      </c>
      <c r="K47" s="33"/>
      <c r="L47" s="33"/>
      <c r="M47" s="33"/>
      <c r="N47" s="33"/>
      <c r="O47" s="33"/>
    </row>
    <row r="48" spans="1:15" ht="28.5" x14ac:dyDescent="0.2">
      <c r="A48" s="32" t="s">
        <v>12</v>
      </c>
      <c r="B48" s="32" t="s">
        <v>15</v>
      </c>
      <c r="C48" s="33" t="s">
        <v>567</v>
      </c>
      <c r="D48" s="20" t="s">
        <v>566</v>
      </c>
      <c r="E48" s="33" t="s">
        <v>538</v>
      </c>
      <c r="F48" s="33"/>
      <c r="G48" s="33"/>
      <c r="H48" s="33"/>
      <c r="I48" s="33"/>
      <c r="J48" s="33">
        <v>0</v>
      </c>
      <c r="K48" s="33"/>
      <c r="L48" s="33"/>
      <c r="M48" s="33"/>
      <c r="N48" s="33"/>
      <c r="O48" s="33"/>
    </row>
    <row r="49" spans="1:15" ht="15" x14ac:dyDescent="0.2">
      <c r="A49" s="32" t="s">
        <v>12</v>
      </c>
      <c r="B49" s="32" t="s">
        <v>15</v>
      </c>
      <c r="C49" s="33" t="s">
        <v>553</v>
      </c>
      <c r="D49" s="20" t="s">
        <v>552</v>
      </c>
      <c r="E49" s="33" t="s">
        <v>538</v>
      </c>
      <c r="F49" s="33"/>
      <c r="G49" s="33"/>
      <c r="H49" s="33"/>
      <c r="I49" s="33"/>
      <c r="J49" s="33">
        <v>0</v>
      </c>
      <c r="K49" s="33"/>
      <c r="L49" s="33"/>
      <c r="M49" s="33"/>
      <c r="N49" s="33"/>
      <c r="O49" s="33"/>
    </row>
    <row r="50" spans="1:15" ht="15" x14ac:dyDescent="0.2">
      <c r="A50" s="32" t="s">
        <v>12</v>
      </c>
      <c r="B50" s="32" t="s">
        <v>15</v>
      </c>
      <c r="C50" s="33" t="s">
        <v>591</v>
      </c>
      <c r="D50" s="20" t="s">
        <v>590</v>
      </c>
      <c r="E50" s="33" t="s">
        <v>538</v>
      </c>
      <c r="F50" s="33"/>
      <c r="G50" s="33"/>
      <c r="H50" s="33"/>
      <c r="I50" s="33"/>
      <c r="J50" s="33">
        <v>0</v>
      </c>
      <c r="K50" s="33"/>
      <c r="L50" s="33"/>
      <c r="M50" s="33"/>
      <c r="N50" s="33"/>
      <c r="O50" s="33"/>
    </row>
    <row r="51" spans="1:15" ht="28.5" x14ac:dyDescent="0.2">
      <c r="A51" s="32" t="s">
        <v>12</v>
      </c>
      <c r="B51" s="32" t="s">
        <v>15</v>
      </c>
      <c r="C51" s="33" t="s">
        <v>583</v>
      </c>
      <c r="D51" s="20" t="s">
        <v>582</v>
      </c>
      <c r="E51" s="33" t="s">
        <v>538</v>
      </c>
      <c r="F51" s="33"/>
      <c r="G51" s="33"/>
      <c r="H51" s="33"/>
      <c r="I51" s="33"/>
      <c r="J51" s="33">
        <v>0</v>
      </c>
      <c r="K51" s="33"/>
      <c r="L51" s="33"/>
      <c r="M51" s="33"/>
      <c r="N51" s="33"/>
      <c r="O51" s="33"/>
    </row>
    <row r="52" spans="1:15" ht="28.5" x14ac:dyDescent="0.2">
      <c r="A52" s="32" t="s">
        <v>12</v>
      </c>
      <c r="B52" s="32" t="s">
        <v>15</v>
      </c>
      <c r="C52" s="33" t="s">
        <v>565</v>
      </c>
      <c r="D52" s="20" t="s">
        <v>564</v>
      </c>
      <c r="E52" s="33" t="s">
        <v>538</v>
      </c>
      <c r="F52" s="33"/>
      <c r="G52" s="33"/>
      <c r="H52" s="33"/>
      <c r="I52" s="33"/>
      <c r="J52" s="33">
        <v>0</v>
      </c>
      <c r="K52" s="33"/>
      <c r="L52" s="33"/>
      <c r="M52" s="33"/>
      <c r="N52" s="33"/>
      <c r="O52" s="33"/>
    </row>
    <row r="53" spans="1:15" ht="28.5" x14ac:dyDescent="0.2">
      <c r="A53" s="32" t="s">
        <v>12</v>
      </c>
      <c r="B53" s="32" t="s">
        <v>15</v>
      </c>
      <c r="C53" s="33" t="s">
        <v>555</v>
      </c>
      <c r="D53" s="20" t="s">
        <v>554</v>
      </c>
      <c r="E53" s="33" t="s">
        <v>538</v>
      </c>
      <c r="F53" s="33"/>
      <c r="G53" s="33"/>
      <c r="H53" s="33"/>
      <c r="I53" s="33"/>
      <c r="J53" s="33">
        <v>0</v>
      </c>
      <c r="K53" s="33"/>
      <c r="L53" s="33"/>
      <c r="M53" s="33"/>
      <c r="N53" s="33"/>
      <c r="O53" s="33"/>
    </row>
    <row r="54" spans="1:15" ht="15" x14ac:dyDescent="0.2">
      <c r="A54" s="32" t="s">
        <v>12</v>
      </c>
      <c r="B54" s="32" t="s">
        <v>15</v>
      </c>
      <c r="C54" s="33" t="s">
        <v>77</v>
      </c>
      <c r="D54" s="20" t="s">
        <v>78</v>
      </c>
      <c r="E54" s="33" t="s">
        <v>70</v>
      </c>
      <c r="F54" s="33" t="s">
        <v>75</v>
      </c>
      <c r="G54" s="33">
        <v>0</v>
      </c>
      <c r="H54" s="33"/>
      <c r="I54" s="33">
        <v>7200</v>
      </c>
      <c r="J54" s="33">
        <v>7200</v>
      </c>
      <c r="K54" s="33"/>
      <c r="L54" s="33"/>
      <c r="M54" s="33"/>
      <c r="N54" s="33"/>
      <c r="O54" s="33" t="s">
        <v>76</v>
      </c>
    </row>
    <row r="55" spans="1:15" ht="15" x14ac:dyDescent="0.2">
      <c r="A55" s="32" t="s">
        <v>12</v>
      </c>
      <c r="B55" s="32" t="s">
        <v>15</v>
      </c>
      <c r="C55" s="33" t="s">
        <v>79</v>
      </c>
      <c r="D55" s="20" t="s">
        <v>80</v>
      </c>
      <c r="E55" s="33" t="s">
        <v>70</v>
      </c>
      <c r="F55" s="33" t="s">
        <v>75</v>
      </c>
      <c r="G55" s="33">
        <v>0</v>
      </c>
      <c r="H55" s="33"/>
      <c r="I55" s="33"/>
      <c r="J55" s="33"/>
      <c r="K55" s="33"/>
      <c r="L55" s="33"/>
      <c r="M55" s="33"/>
      <c r="N55" s="33"/>
      <c r="O55" s="33" t="s">
        <v>76</v>
      </c>
    </row>
    <row r="56" spans="1:15" ht="28.5" x14ac:dyDescent="0.2">
      <c r="A56" s="32" t="s">
        <v>12</v>
      </c>
      <c r="B56" s="32" t="s">
        <v>15</v>
      </c>
      <c r="C56" s="33" t="s">
        <v>451</v>
      </c>
      <c r="D56" s="20" t="s">
        <v>450</v>
      </c>
      <c r="E56" s="33" t="s">
        <v>442</v>
      </c>
      <c r="F56" s="33" t="s">
        <v>452</v>
      </c>
      <c r="G56" s="33"/>
      <c r="H56" s="33"/>
      <c r="I56" s="33"/>
      <c r="J56" s="33"/>
      <c r="K56" s="33"/>
      <c r="L56" s="33"/>
      <c r="M56" s="33"/>
      <c r="N56" s="33"/>
      <c r="O56" s="33"/>
    </row>
    <row r="57" spans="1:15" ht="28.5" x14ac:dyDescent="0.2">
      <c r="A57" s="32" t="s">
        <v>12</v>
      </c>
      <c r="B57" s="32" t="s">
        <v>15</v>
      </c>
      <c r="C57" s="33" t="s">
        <v>196</v>
      </c>
      <c r="D57" s="20" t="s">
        <v>197</v>
      </c>
      <c r="E57" s="33" t="s">
        <v>70</v>
      </c>
      <c r="F57" s="33" t="s">
        <v>188</v>
      </c>
      <c r="G57" s="33">
        <v>5</v>
      </c>
      <c r="H57" s="33">
        <v>5</v>
      </c>
      <c r="I57" s="33">
        <v>104400</v>
      </c>
      <c r="J57" s="33">
        <v>104400</v>
      </c>
      <c r="K57" s="33"/>
      <c r="L57" s="33"/>
      <c r="M57" s="33"/>
      <c r="N57" s="33"/>
      <c r="O57" s="33" t="s">
        <v>198</v>
      </c>
    </row>
    <row r="58" spans="1:15" ht="15" x14ac:dyDescent="0.2">
      <c r="A58" s="32" t="s">
        <v>12</v>
      </c>
      <c r="B58" s="32" t="s">
        <v>15</v>
      </c>
      <c r="C58" s="33" t="s">
        <v>207</v>
      </c>
      <c r="D58" s="20" t="s">
        <v>208</v>
      </c>
      <c r="E58" s="33" t="s">
        <v>70</v>
      </c>
      <c r="F58" s="33" t="s">
        <v>188</v>
      </c>
      <c r="G58" s="33">
        <v>5</v>
      </c>
      <c r="H58" s="33">
        <v>5</v>
      </c>
      <c r="I58" s="33">
        <v>86400</v>
      </c>
      <c r="J58" s="33">
        <v>86400</v>
      </c>
      <c r="K58" s="33"/>
      <c r="L58" s="33"/>
      <c r="M58" s="33"/>
      <c r="N58" s="33"/>
      <c r="O58" s="33" t="s">
        <v>209</v>
      </c>
    </row>
    <row r="59" spans="1:15" ht="28.5" x14ac:dyDescent="0.2">
      <c r="A59" s="32" t="s">
        <v>12</v>
      </c>
      <c r="B59" s="32" t="s">
        <v>15</v>
      </c>
      <c r="C59" s="33" t="s">
        <v>205</v>
      </c>
      <c r="D59" s="20" t="s">
        <v>206</v>
      </c>
      <c r="E59" s="33" t="s">
        <v>70</v>
      </c>
      <c r="F59" s="33" t="s">
        <v>188</v>
      </c>
      <c r="G59" s="33">
        <v>8</v>
      </c>
      <c r="H59" s="33">
        <v>8</v>
      </c>
      <c r="I59" s="33">
        <v>57600</v>
      </c>
      <c r="J59" s="33">
        <v>57600</v>
      </c>
      <c r="K59" s="33"/>
      <c r="L59" s="33"/>
      <c r="M59" s="33"/>
      <c r="N59" s="33"/>
      <c r="O59" s="33" t="s">
        <v>91</v>
      </c>
    </row>
    <row r="60" spans="1:15" ht="28.5" x14ac:dyDescent="0.2">
      <c r="A60" s="32" t="s">
        <v>12</v>
      </c>
      <c r="B60" s="32" t="s">
        <v>15</v>
      </c>
      <c r="C60" s="33" t="s">
        <v>199</v>
      </c>
      <c r="D60" s="20" t="s">
        <v>200</v>
      </c>
      <c r="E60" s="33" t="s">
        <v>70</v>
      </c>
      <c r="F60" s="33" t="s">
        <v>188</v>
      </c>
      <c r="G60" s="33">
        <v>5</v>
      </c>
      <c r="H60" s="33">
        <v>5</v>
      </c>
      <c r="I60" s="33">
        <v>28800</v>
      </c>
      <c r="J60" s="33">
        <v>28800</v>
      </c>
      <c r="K60" s="33"/>
      <c r="L60" s="33"/>
      <c r="M60" s="33"/>
      <c r="N60" s="33"/>
      <c r="O60" s="33" t="s">
        <v>201</v>
      </c>
    </row>
    <row r="61" spans="1:15" ht="28.5" x14ac:dyDescent="0.2">
      <c r="A61" s="32" t="s">
        <v>12</v>
      </c>
      <c r="B61" s="32" t="s">
        <v>15</v>
      </c>
      <c r="C61" s="33" t="s">
        <v>190</v>
      </c>
      <c r="D61" s="20" t="s">
        <v>191</v>
      </c>
      <c r="E61" s="33" t="s">
        <v>70</v>
      </c>
      <c r="F61" s="33" t="s">
        <v>188</v>
      </c>
      <c r="G61" s="33">
        <v>3</v>
      </c>
      <c r="H61" s="33">
        <v>3</v>
      </c>
      <c r="I61" s="33">
        <v>28800</v>
      </c>
      <c r="J61" s="33">
        <v>28800</v>
      </c>
      <c r="K61" s="33"/>
      <c r="L61" s="33"/>
      <c r="M61" s="33"/>
      <c r="N61" s="33"/>
      <c r="O61" s="33" t="s">
        <v>88</v>
      </c>
    </row>
    <row r="62" spans="1:15" ht="15" x14ac:dyDescent="0.2">
      <c r="A62" s="32" t="s">
        <v>12</v>
      </c>
      <c r="B62" s="32" t="s">
        <v>15</v>
      </c>
      <c r="C62" s="33" t="s">
        <v>192</v>
      </c>
      <c r="D62" s="20" t="s">
        <v>193</v>
      </c>
      <c r="E62" s="33" t="s">
        <v>70</v>
      </c>
      <c r="F62" s="33" t="s">
        <v>188</v>
      </c>
      <c r="G62" s="33">
        <v>5</v>
      </c>
      <c r="H62" s="33">
        <v>5</v>
      </c>
      <c r="I62" s="33">
        <v>28800</v>
      </c>
      <c r="J62" s="33">
        <v>28800</v>
      </c>
      <c r="K62" s="33"/>
      <c r="L62" s="33"/>
      <c r="M62" s="33"/>
      <c r="N62" s="33"/>
      <c r="O62" s="33" t="s">
        <v>96</v>
      </c>
    </row>
    <row r="63" spans="1:15" ht="28.5" x14ac:dyDescent="0.2">
      <c r="A63" s="32" t="s">
        <v>12</v>
      </c>
      <c r="B63" s="32" t="s">
        <v>15</v>
      </c>
      <c r="C63" s="33" t="s">
        <v>160</v>
      </c>
      <c r="D63" s="20" t="s">
        <v>161</v>
      </c>
      <c r="E63" s="33" t="s">
        <v>70</v>
      </c>
      <c r="F63" s="33" t="s">
        <v>158</v>
      </c>
      <c r="G63" s="33"/>
      <c r="H63" s="33"/>
      <c r="I63" s="33"/>
      <c r="J63" s="33"/>
      <c r="K63" s="33"/>
      <c r="L63" s="33"/>
      <c r="M63" s="33"/>
      <c r="N63" s="33"/>
      <c r="O63" s="33"/>
    </row>
    <row r="64" spans="1:15" ht="28.5" x14ac:dyDescent="0.2">
      <c r="A64" s="32" t="s">
        <v>12</v>
      </c>
      <c r="B64" s="32" t="s">
        <v>15</v>
      </c>
      <c r="C64" s="33" t="s">
        <v>186</v>
      </c>
      <c r="D64" s="20" t="s">
        <v>187</v>
      </c>
      <c r="E64" s="33" t="s">
        <v>70</v>
      </c>
      <c r="F64" s="33" t="s">
        <v>188</v>
      </c>
      <c r="G64" s="33">
        <v>13</v>
      </c>
      <c r="H64" s="33">
        <v>13</v>
      </c>
      <c r="I64" s="33">
        <v>115200</v>
      </c>
      <c r="J64" s="33">
        <v>115200</v>
      </c>
      <c r="K64" s="33"/>
      <c r="L64" s="33"/>
      <c r="M64" s="33"/>
      <c r="N64" s="33"/>
      <c r="O64" s="33" t="s">
        <v>189</v>
      </c>
    </row>
    <row r="65" spans="1:15" ht="42.75" x14ac:dyDescent="0.2">
      <c r="A65" s="32" t="s">
        <v>12</v>
      </c>
      <c r="B65" s="32" t="s">
        <v>15</v>
      </c>
      <c r="C65" s="33" t="s">
        <v>178</v>
      </c>
      <c r="D65" s="20" t="s">
        <v>179</v>
      </c>
      <c r="E65" s="33" t="s">
        <v>70</v>
      </c>
      <c r="F65" s="33" t="s">
        <v>180</v>
      </c>
      <c r="G65" s="33">
        <v>3</v>
      </c>
      <c r="H65" s="33">
        <v>3</v>
      </c>
      <c r="I65" s="33">
        <v>86400</v>
      </c>
      <c r="J65" s="33">
        <v>86400</v>
      </c>
      <c r="K65" s="33"/>
      <c r="L65" s="33"/>
      <c r="M65" s="33"/>
      <c r="N65" s="33"/>
      <c r="O65" s="33" t="s">
        <v>181</v>
      </c>
    </row>
    <row r="66" spans="1:15" ht="28.5" x14ac:dyDescent="0.2">
      <c r="A66" s="32" t="s">
        <v>12</v>
      </c>
      <c r="B66" s="32" t="s">
        <v>15</v>
      </c>
      <c r="C66" s="33" t="s">
        <v>182</v>
      </c>
      <c r="D66" s="20" t="s">
        <v>183</v>
      </c>
      <c r="E66" s="33" t="s">
        <v>70</v>
      </c>
      <c r="F66" s="33" t="s">
        <v>180</v>
      </c>
      <c r="G66" s="33">
        <v>3</v>
      </c>
      <c r="H66" s="33">
        <v>3</v>
      </c>
      <c r="I66" s="33">
        <v>28800</v>
      </c>
      <c r="J66" s="33">
        <v>28800</v>
      </c>
      <c r="K66" s="33"/>
      <c r="L66" s="33"/>
      <c r="M66" s="33"/>
      <c r="N66" s="33"/>
      <c r="O66" s="33" t="s">
        <v>88</v>
      </c>
    </row>
    <row r="67" spans="1:15" ht="15" x14ac:dyDescent="0.2">
      <c r="A67" s="32" t="s">
        <v>12</v>
      </c>
      <c r="B67" s="32" t="s">
        <v>15</v>
      </c>
      <c r="C67" s="33" t="s">
        <v>618</v>
      </c>
      <c r="D67" s="20" t="s">
        <v>617</v>
      </c>
      <c r="E67" s="33" t="s">
        <v>432</v>
      </c>
      <c r="F67" s="33" t="s">
        <v>434</v>
      </c>
      <c r="G67" s="33">
        <v>5</v>
      </c>
      <c r="H67" s="33">
        <v>5</v>
      </c>
      <c r="I67" s="33">
        <v>208800</v>
      </c>
      <c r="J67" s="33">
        <v>208800</v>
      </c>
      <c r="K67" s="33"/>
      <c r="L67" s="33"/>
      <c r="M67" s="33"/>
      <c r="N67" s="33"/>
      <c r="O67" s="33" t="s">
        <v>619</v>
      </c>
    </row>
    <row r="68" spans="1:15" ht="15" x14ac:dyDescent="0.2">
      <c r="A68" s="32" t="s">
        <v>12</v>
      </c>
      <c r="B68" s="32" t="s">
        <v>15</v>
      </c>
      <c r="C68" s="33" t="s">
        <v>436</v>
      </c>
      <c r="D68" s="20" t="s">
        <v>435</v>
      </c>
      <c r="E68" s="33" t="s">
        <v>432</v>
      </c>
      <c r="F68" s="33" t="s">
        <v>434</v>
      </c>
      <c r="G68" s="33">
        <v>3</v>
      </c>
      <c r="H68" s="33">
        <v>3</v>
      </c>
      <c r="I68" s="33">
        <v>14400</v>
      </c>
      <c r="J68" s="33">
        <v>14400</v>
      </c>
      <c r="K68" s="33"/>
      <c r="L68" s="33"/>
      <c r="M68" s="33"/>
      <c r="N68" s="33"/>
      <c r="O68" s="33" t="s">
        <v>433</v>
      </c>
    </row>
    <row r="69" spans="1:15" ht="15" x14ac:dyDescent="0.2">
      <c r="A69" s="32" t="s">
        <v>12</v>
      </c>
      <c r="B69" s="32" t="s">
        <v>15</v>
      </c>
      <c r="C69" s="33" t="s">
        <v>431</v>
      </c>
      <c r="D69" s="20" t="s">
        <v>430</v>
      </c>
      <c r="E69" s="33" t="s">
        <v>432</v>
      </c>
      <c r="F69" s="33" t="s">
        <v>434</v>
      </c>
      <c r="G69" s="33">
        <v>8</v>
      </c>
      <c r="H69" s="33">
        <v>8</v>
      </c>
      <c r="I69" s="33">
        <v>144000</v>
      </c>
      <c r="J69" s="33">
        <v>144000</v>
      </c>
      <c r="K69" s="33"/>
      <c r="L69" s="33"/>
      <c r="M69" s="33"/>
      <c r="N69" s="33"/>
      <c r="O69" s="33" t="s">
        <v>433</v>
      </c>
    </row>
    <row r="70" spans="1:15" ht="28.5" x14ac:dyDescent="0.2">
      <c r="A70" s="32" t="s">
        <v>12</v>
      </c>
      <c r="B70" s="32" t="s">
        <v>15</v>
      </c>
      <c r="C70" s="33" t="s">
        <v>123</v>
      </c>
      <c r="D70" s="20" t="s">
        <v>153</v>
      </c>
      <c r="E70" s="33" t="s">
        <v>70</v>
      </c>
      <c r="F70" s="33" t="s">
        <v>154</v>
      </c>
      <c r="G70" s="33">
        <v>3</v>
      </c>
      <c r="H70" s="33">
        <v>3</v>
      </c>
      <c r="I70" s="33">
        <v>28800</v>
      </c>
      <c r="J70" s="33">
        <v>28800</v>
      </c>
      <c r="K70" s="33"/>
      <c r="L70" s="33"/>
      <c r="M70" s="33"/>
      <c r="N70" s="33"/>
      <c r="O70" s="33" t="s">
        <v>155</v>
      </c>
    </row>
    <row r="71" spans="1:15" ht="15" x14ac:dyDescent="0.2">
      <c r="A71" s="32" t="s">
        <v>12</v>
      </c>
      <c r="B71" s="32" t="s">
        <v>15</v>
      </c>
      <c r="C71" s="33" t="s">
        <v>89</v>
      </c>
      <c r="D71" s="20" t="s">
        <v>90</v>
      </c>
      <c r="E71" s="33" t="s">
        <v>70</v>
      </c>
      <c r="F71" s="33" t="s">
        <v>87</v>
      </c>
      <c r="G71" s="33">
        <v>8</v>
      </c>
      <c r="H71" s="33">
        <v>8</v>
      </c>
      <c r="I71" s="33">
        <v>129600</v>
      </c>
      <c r="J71" s="33">
        <v>129600</v>
      </c>
      <c r="K71" s="33"/>
      <c r="L71" s="33"/>
      <c r="M71" s="33"/>
      <c r="N71" s="33"/>
      <c r="O71" s="33" t="s">
        <v>91</v>
      </c>
    </row>
    <row r="72" spans="1:15" ht="28.5" x14ac:dyDescent="0.2">
      <c r="A72" s="32" t="s">
        <v>12</v>
      </c>
      <c r="B72" s="32" t="s">
        <v>15</v>
      </c>
      <c r="C72" s="33" t="s">
        <v>104</v>
      </c>
      <c r="D72" s="20" t="s">
        <v>105</v>
      </c>
      <c r="E72" s="33" t="s">
        <v>70</v>
      </c>
      <c r="F72" s="33" t="s">
        <v>87</v>
      </c>
      <c r="G72" s="33">
        <v>3</v>
      </c>
      <c r="H72" s="33">
        <v>3</v>
      </c>
      <c r="I72" s="33">
        <v>28800</v>
      </c>
      <c r="J72" s="33">
        <v>28800</v>
      </c>
      <c r="K72" s="33"/>
      <c r="L72" s="33"/>
      <c r="M72" s="33"/>
      <c r="N72" s="33"/>
      <c r="O72" s="33" t="s">
        <v>91</v>
      </c>
    </row>
    <row r="73" spans="1:15" ht="15" x14ac:dyDescent="0.2">
      <c r="A73" s="32" t="s">
        <v>12</v>
      </c>
      <c r="B73" s="32" t="s">
        <v>15</v>
      </c>
      <c r="C73" s="33" t="s">
        <v>85</v>
      </c>
      <c r="D73" s="20" t="s">
        <v>86</v>
      </c>
      <c r="E73" s="33" t="s">
        <v>70</v>
      </c>
      <c r="F73" s="33" t="s">
        <v>87</v>
      </c>
      <c r="G73" s="33">
        <v>3</v>
      </c>
      <c r="H73" s="33">
        <v>3</v>
      </c>
      <c r="I73" s="33">
        <v>144000</v>
      </c>
      <c r="J73" s="33">
        <v>144000</v>
      </c>
      <c r="K73" s="33"/>
      <c r="L73" s="33"/>
      <c r="M73" s="33"/>
      <c r="N73" s="33"/>
      <c r="O73" s="33" t="s">
        <v>88</v>
      </c>
    </row>
    <row r="74" spans="1:15" ht="15" x14ac:dyDescent="0.2">
      <c r="A74" s="32" t="s">
        <v>12</v>
      </c>
      <c r="B74" s="32" t="s">
        <v>15</v>
      </c>
      <c r="C74" s="33" t="s">
        <v>92</v>
      </c>
      <c r="D74" s="20" t="s">
        <v>93</v>
      </c>
      <c r="E74" s="33" t="s">
        <v>70</v>
      </c>
      <c r="F74" s="33" t="s">
        <v>87</v>
      </c>
      <c r="G74" s="33">
        <v>3</v>
      </c>
      <c r="H74" s="33">
        <v>3</v>
      </c>
      <c r="I74" s="33">
        <v>57600</v>
      </c>
      <c r="J74" s="33">
        <v>57600</v>
      </c>
      <c r="K74" s="33"/>
      <c r="L74" s="33"/>
      <c r="M74" s="33"/>
      <c r="N74" s="33"/>
      <c r="O74" s="33" t="s">
        <v>91</v>
      </c>
    </row>
    <row r="75" spans="1:15" ht="28.5" x14ac:dyDescent="0.2">
      <c r="A75" s="32" t="s">
        <v>12</v>
      </c>
      <c r="B75" s="32" t="s">
        <v>15</v>
      </c>
      <c r="C75" s="33" t="s">
        <v>99</v>
      </c>
      <c r="D75" s="20" t="s">
        <v>100</v>
      </c>
      <c r="E75" s="33" t="s">
        <v>70</v>
      </c>
      <c r="F75" s="33" t="s">
        <v>87</v>
      </c>
      <c r="G75" s="33">
        <v>5</v>
      </c>
      <c r="H75" s="33">
        <v>5</v>
      </c>
      <c r="I75" s="33">
        <v>57600</v>
      </c>
      <c r="J75" s="33">
        <v>57600</v>
      </c>
      <c r="K75" s="33"/>
      <c r="L75" s="33"/>
      <c r="M75" s="33"/>
      <c r="N75" s="33"/>
      <c r="O75" s="33" t="s">
        <v>101</v>
      </c>
    </row>
    <row r="76" spans="1:15" ht="28.5" x14ac:dyDescent="0.2">
      <c r="A76" s="32" t="s">
        <v>12</v>
      </c>
      <c r="B76" s="32" t="s">
        <v>15</v>
      </c>
      <c r="C76" s="33" t="s">
        <v>156</v>
      </c>
      <c r="D76" s="20" t="s">
        <v>157</v>
      </c>
      <c r="E76" s="33" t="s">
        <v>70</v>
      </c>
      <c r="F76" s="33" t="s">
        <v>158</v>
      </c>
      <c r="G76" s="33">
        <v>5</v>
      </c>
      <c r="H76" s="33">
        <v>5</v>
      </c>
      <c r="I76" s="33">
        <v>86400</v>
      </c>
      <c r="J76" s="33">
        <v>86400</v>
      </c>
      <c r="K76" s="33"/>
      <c r="L76" s="33"/>
      <c r="M76" s="33"/>
      <c r="N76" s="33"/>
      <c r="O76" s="33" t="s">
        <v>159</v>
      </c>
    </row>
    <row r="77" spans="1:15" ht="28.5" x14ac:dyDescent="0.2">
      <c r="A77" s="32" t="s">
        <v>12</v>
      </c>
      <c r="B77" s="32" t="s">
        <v>15</v>
      </c>
      <c r="C77" s="33" t="s">
        <v>94</v>
      </c>
      <c r="D77" s="20" t="s">
        <v>95</v>
      </c>
      <c r="E77" s="33" t="s">
        <v>70</v>
      </c>
      <c r="F77" s="33" t="s">
        <v>87</v>
      </c>
      <c r="G77" s="33">
        <v>3</v>
      </c>
      <c r="H77" s="33">
        <v>3</v>
      </c>
      <c r="I77" s="33">
        <v>28800</v>
      </c>
      <c r="J77" s="33">
        <v>28800</v>
      </c>
      <c r="K77" s="33"/>
      <c r="L77" s="33"/>
      <c r="M77" s="33"/>
      <c r="N77" s="33"/>
      <c r="O77" s="33" t="s">
        <v>96</v>
      </c>
    </row>
    <row r="78" spans="1:15" ht="15" x14ac:dyDescent="0.2">
      <c r="A78" s="32" t="s">
        <v>12</v>
      </c>
      <c r="B78" s="32" t="s">
        <v>15</v>
      </c>
      <c r="C78" s="33" t="s">
        <v>97</v>
      </c>
      <c r="D78" s="20" t="s">
        <v>98</v>
      </c>
      <c r="E78" s="33" t="s">
        <v>70</v>
      </c>
      <c r="F78" s="33" t="s">
        <v>87</v>
      </c>
      <c r="G78" s="33">
        <v>3</v>
      </c>
      <c r="H78" s="33">
        <v>3</v>
      </c>
      <c r="I78" s="33">
        <v>86400</v>
      </c>
      <c r="J78" s="33">
        <v>86400</v>
      </c>
      <c r="K78" s="33"/>
      <c r="L78" s="33"/>
      <c r="M78" s="33"/>
      <c r="N78" s="33"/>
      <c r="O78" s="33" t="s">
        <v>96</v>
      </c>
    </row>
    <row r="79" spans="1:15" ht="28.5" x14ac:dyDescent="0.2">
      <c r="A79" s="32" t="s">
        <v>12</v>
      </c>
      <c r="B79" s="32" t="s">
        <v>15</v>
      </c>
      <c r="C79" s="33" t="s">
        <v>184</v>
      </c>
      <c r="D79" s="20" t="s">
        <v>185</v>
      </c>
      <c r="E79" s="33" t="s">
        <v>70</v>
      </c>
      <c r="F79" s="33" t="s">
        <v>180</v>
      </c>
      <c r="G79" s="33">
        <v>5</v>
      </c>
      <c r="H79" s="33">
        <v>5</v>
      </c>
      <c r="I79" s="33">
        <v>57600</v>
      </c>
      <c r="J79" s="33">
        <v>57600</v>
      </c>
      <c r="K79" s="33"/>
      <c r="L79" s="33"/>
      <c r="M79" s="33"/>
      <c r="N79" s="33"/>
      <c r="O79" s="33" t="s">
        <v>96</v>
      </c>
    </row>
    <row r="80" spans="1:15" ht="28.5" x14ac:dyDescent="0.2">
      <c r="A80" s="32" t="s">
        <v>12</v>
      </c>
      <c r="B80" s="32" t="s">
        <v>15</v>
      </c>
      <c r="C80" s="33" t="s">
        <v>194</v>
      </c>
      <c r="D80" s="20" t="s">
        <v>195</v>
      </c>
      <c r="E80" s="33" t="s">
        <v>70</v>
      </c>
      <c r="F80" s="33" t="s">
        <v>188</v>
      </c>
      <c r="G80" s="33">
        <v>3</v>
      </c>
      <c r="H80" s="33">
        <v>3</v>
      </c>
      <c r="I80" s="33">
        <v>28800</v>
      </c>
      <c r="J80" s="33">
        <v>28800</v>
      </c>
      <c r="K80" s="33"/>
      <c r="L80" s="33"/>
      <c r="M80" s="33"/>
      <c r="N80" s="33"/>
      <c r="O80" s="33" t="s">
        <v>91</v>
      </c>
    </row>
    <row r="81" spans="1:15" ht="28.5" x14ac:dyDescent="0.2">
      <c r="A81" s="32" t="s">
        <v>12</v>
      </c>
      <c r="B81" s="32" t="s">
        <v>15</v>
      </c>
      <c r="C81" s="33" t="s">
        <v>498</v>
      </c>
      <c r="D81" s="20" t="s">
        <v>497</v>
      </c>
      <c r="E81" s="33" t="s">
        <v>442</v>
      </c>
      <c r="F81" s="33" t="s">
        <v>477</v>
      </c>
      <c r="G81" s="33">
        <v>2</v>
      </c>
      <c r="H81" s="33">
        <v>2</v>
      </c>
      <c r="I81" s="33"/>
      <c r="J81" s="33"/>
      <c r="K81" s="33"/>
      <c r="L81" s="33"/>
      <c r="M81" s="33"/>
      <c r="N81" s="33"/>
      <c r="O81" s="33" t="s">
        <v>488</v>
      </c>
    </row>
    <row r="82" spans="1:15" ht="28.5" x14ac:dyDescent="0.2">
      <c r="A82" s="32" t="s">
        <v>12</v>
      </c>
      <c r="B82" s="32" t="s">
        <v>15</v>
      </c>
      <c r="C82" s="33" t="s">
        <v>202</v>
      </c>
      <c r="D82" s="20" t="s">
        <v>203</v>
      </c>
      <c r="E82" s="33" t="s">
        <v>70</v>
      </c>
      <c r="F82" s="33" t="s">
        <v>188</v>
      </c>
      <c r="G82" s="33">
        <v>3</v>
      </c>
      <c r="H82" s="33">
        <v>3</v>
      </c>
      <c r="I82" s="33">
        <v>14400</v>
      </c>
      <c r="J82" s="33">
        <v>14400</v>
      </c>
      <c r="K82" s="33"/>
      <c r="L82" s="33"/>
      <c r="M82" s="33"/>
      <c r="N82" s="33"/>
      <c r="O82" s="33" t="s">
        <v>204</v>
      </c>
    </row>
    <row r="83" spans="1:15" ht="15" x14ac:dyDescent="0.2">
      <c r="A83" s="32" t="s">
        <v>12</v>
      </c>
      <c r="B83" s="32" t="s">
        <v>15</v>
      </c>
      <c r="C83" s="33" t="s">
        <v>279</v>
      </c>
      <c r="D83" s="20" t="s">
        <v>614</v>
      </c>
      <c r="E83" s="33" t="s">
        <v>442</v>
      </c>
      <c r="F83" s="33" t="s">
        <v>616</v>
      </c>
      <c r="G83" s="33">
        <v>7</v>
      </c>
      <c r="H83" s="33">
        <v>5</v>
      </c>
      <c r="I83" s="33">
        <v>288000</v>
      </c>
      <c r="J83" s="33">
        <v>57600</v>
      </c>
      <c r="K83" s="33"/>
      <c r="L83" s="33"/>
      <c r="M83" s="33"/>
      <c r="N83" s="33"/>
      <c r="O83" s="33" t="s">
        <v>615</v>
      </c>
    </row>
    <row r="84" spans="1:15" ht="28.5" x14ac:dyDescent="0.2">
      <c r="A84" s="32" t="s">
        <v>12</v>
      </c>
      <c r="B84" s="32" t="s">
        <v>16</v>
      </c>
      <c r="C84" s="33" t="s">
        <v>230</v>
      </c>
      <c r="D84" s="20" t="s">
        <v>231</v>
      </c>
      <c r="E84" s="33" t="s">
        <v>70</v>
      </c>
      <c r="F84" s="33" t="s">
        <v>219</v>
      </c>
      <c r="G84" s="33">
        <v>8</v>
      </c>
      <c r="H84" s="33"/>
      <c r="I84" s="33"/>
      <c r="J84" s="33"/>
      <c r="K84" s="33"/>
      <c r="L84" s="33"/>
      <c r="M84" s="33"/>
      <c r="N84" s="33"/>
      <c r="O84" s="33" t="s">
        <v>218</v>
      </c>
    </row>
    <row r="85" spans="1:15" ht="15" x14ac:dyDescent="0.2">
      <c r="A85" s="32" t="s">
        <v>12</v>
      </c>
      <c r="B85" s="32" t="s">
        <v>16</v>
      </c>
      <c r="C85" s="33" t="s">
        <v>261</v>
      </c>
      <c r="D85" s="20" t="s">
        <v>262</v>
      </c>
      <c r="E85" s="33" t="s">
        <v>70</v>
      </c>
      <c r="F85" s="33" t="s">
        <v>249</v>
      </c>
      <c r="G85" s="33">
        <v>5</v>
      </c>
      <c r="H85" s="33"/>
      <c r="I85" s="33">
        <v>4500</v>
      </c>
      <c r="J85" s="33">
        <v>0</v>
      </c>
      <c r="K85" s="33"/>
      <c r="L85" s="33"/>
      <c r="M85" s="33"/>
      <c r="N85" s="33"/>
      <c r="O85" s="33" t="s">
        <v>253</v>
      </c>
    </row>
    <row r="86" spans="1:15" ht="15" x14ac:dyDescent="0.2">
      <c r="A86" s="32" t="s">
        <v>12</v>
      </c>
      <c r="B86" s="32" t="s">
        <v>16</v>
      </c>
      <c r="C86" s="33" t="s">
        <v>263</v>
      </c>
      <c r="D86" s="20" t="s">
        <v>264</v>
      </c>
      <c r="E86" s="33" t="s">
        <v>70</v>
      </c>
      <c r="F86" s="33" t="s">
        <v>249</v>
      </c>
      <c r="G86" s="33">
        <v>5</v>
      </c>
      <c r="H86" s="33"/>
      <c r="I86" s="33">
        <v>4500</v>
      </c>
      <c r="J86" s="33">
        <v>0</v>
      </c>
      <c r="K86" s="33"/>
      <c r="L86" s="33"/>
      <c r="M86" s="33"/>
      <c r="N86" s="33"/>
      <c r="O86" s="33" t="s">
        <v>253</v>
      </c>
    </row>
    <row r="87" spans="1:15" ht="42.75" x14ac:dyDescent="0.2">
      <c r="A87" s="32" t="s">
        <v>12</v>
      </c>
      <c r="B87" s="32" t="s">
        <v>16</v>
      </c>
      <c r="C87" s="33" t="s">
        <v>258</v>
      </c>
      <c r="D87" s="20" t="s">
        <v>259</v>
      </c>
      <c r="E87" s="33" t="s">
        <v>70</v>
      </c>
      <c r="F87" s="33" t="s">
        <v>249</v>
      </c>
      <c r="G87" s="33">
        <v>5</v>
      </c>
      <c r="H87" s="33"/>
      <c r="I87" s="33">
        <v>4500</v>
      </c>
      <c r="J87" s="33">
        <v>0</v>
      </c>
      <c r="K87" s="33"/>
      <c r="L87" s="33"/>
      <c r="M87" s="33"/>
      <c r="N87" s="33"/>
      <c r="O87" s="33" t="s">
        <v>260</v>
      </c>
    </row>
    <row r="88" spans="1:15" ht="28.5" x14ac:dyDescent="0.2">
      <c r="A88" s="32" t="s">
        <v>12</v>
      </c>
      <c r="B88" s="32" t="s">
        <v>17</v>
      </c>
      <c r="C88" s="33" t="s">
        <v>438</v>
      </c>
      <c r="D88" s="20" t="s">
        <v>437</v>
      </c>
      <c r="E88" s="33" t="s">
        <v>432</v>
      </c>
      <c r="F88" s="33" t="s">
        <v>434</v>
      </c>
      <c r="G88" s="33">
        <v>8</v>
      </c>
      <c r="H88" s="33"/>
      <c r="I88" s="33">
        <v>57600</v>
      </c>
      <c r="J88" s="33">
        <v>57600</v>
      </c>
      <c r="K88" s="33"/>
      <c r="L88" s="33"/>
      <c r="M88" s="33"/>
      <c r="N88" s="33"/>
      <c r="O88" s="33" t="s">
        <v>439</v>
      </c>
    </row>
    <row r="89" spans="1:15" ht="28.5" x14ac:dyDescent="0.2">
      <c r="A89" s="32" t="s">
        <v>12</v>
      </c>
      <c r="B89" s="32" t="s">
        <v>17</v>
      </c>
      <c r="C89" s="33" t="s">
        <v>449</v>
      </c>
      <c r="D89" s="20" t="s">
        <v>448</v>
      </c>
      <c r="E89" s="33" t="s">
        <v>442</v>
      </c>
      <c r="F89" s="33"/>
      <c r="G89" s="33"/>
      <c r="H89" s="33"/>
      <c r="I89" s="33">
        <v>7200</v>
      </c>
      <c r="J89" s="33">
        <v>7200</v>
      </c>
      <c r="K89" s="33"/>
      <c r="L89" s="33"/>
      <c r="M89" s="33"/>
      <c r="N89" s="33"/>
      <c r="O89" s="33"/>
    </row>
    <row r="90" spans="1:15" ht="28.5" x14ac:dyDescent="0.2">
      <c r="A90" s="32" t="s">
        <v>12</v>
      </c>
      <c r="B90" s="32" t="s">
        <v>17</v>
      </c>
      <c r="C90" s="33" t="s">
        <v>150</v>
      </c>
      <c r="D90" s="20" t="s">
        <v>151</v>
      </c>
      <c r="E90" s="33" t="s">
        <v>70</v>
      </c>
      <c r="F90" s="33" t="s">
        <v>152</v>
      </c>
      <c r="G90" s="33">
        <v>3</v>
      </c>
      <c r="H90" s="33"/>
      <c r="I90" s="33"/>
      <c r="J90" s="33"/>
      <c r="K90" s="33"/>
      <c r="L90" s="33"/>
      <c r="M90" s="33"/>
      <c r="N90" s="33"/>
      <c r="O90" s="33"/>
    </row>
    <row r="91" spans="1:15" ht="15" x14ac:dyDescent="0.2">
      <c r="A91" s="32" t="s">
        <v>12</v>
      </c>
      <c r="B91" s="32" t="s">
        <v>17</v>
      </c>
      <c r="C91" s="33" t="s">
        <v>102</v>
      </c>
      <c r="D91" s="20" t="s">
        <v>103</v>
      </c>
      <c r="E91" s="33" t="s">
        <v>70</v>
      </c>
      <c r="F91" s="33" t="s">
        <v>87</v>
      </c>
      <c r="G91" s="33">
        <v>1</v>
      </c>
      <c r="H91" s="33"/>
      <c r="I91" s="33">
        <v>14400</v>
      </c>
      <c r="J91" s="33">
        <v>14400</v>
      </c>
      <c r="K91" s="33"/>
      <c r="L91" s="33"/>
      <c r="M91" s="33"/>
      <c r="N91" s="33"/>
      <c r="O91" s="33"/>
    </row>
    <row r="92" spans="1:15" ht="28.5" x14ac:dyDescent="0.2">
      <c r="A92" s="32" t="s">
        <v>12</v>
      </c>
      <c r="B92" s="32" t="s">
        <v>106</v>
      </c>
      <c r="C92" s="33" t="s">
        <v>473</v>
      </c>
      <c r="D92" s="20" t="s">
        <v>472</v>
      </c>
      <c r="E92" s="33" t="s">
        <v>442</v>
      </c>
      <c r="F92" s="33" t="s">
        <v>471</v>
      </c>
      <c r="G92" s="33">
        <v>5</v>
      </c>
      <c r="H92" s="33"/>
      <c r="I92" s="33">
        <v>57600</v>
      </c>
      <c r="J92" s="33">
        <v>57600</v>
      </c>
      <c r="K92" s="33"/>
      <c r="L92" s="33"/>
      <c r="M92" s="33"/>
      <c r="N92" s="33"/>
      <c r="O92" s="33" t="s">
        <v>474</v>
      </c>
    </row>
    <row r="93" spans="1:15" ht="28.5" x14ac:dyDescent="0.2">
      <c r="A93" s="32" t="s">
        <v>12</v>
      </c>
      <c r="B93" s="32" t="s">
        <v>106</v>
      </c>
      <c r="C93" s="33" t="s">
        <v>476</v>
      </c>
      <c r="D93" s="20" t="s">
        <v>475</v>
      </c>
      <c r="E93" s="33" t="s">
        <v>442</v>
      </c>
      <c r="F93" s="33" t="s">
        <v>477</v>
      </c>
      <c r="G93" s="33">
        <v>3</v>
      </c>
      <c r="H93" s="33"/>
      <c r="I93" s="33">
        <v>7200</v>
      </c>
      <c r="J93" s="33">
        <v>7200</v>
      </c>
      <c r="K93" s="33"/>
      <c r="L93" s="33"/>
      <c r="M93" s="33"/>
      <c r="N93" s="33"/>
      <c r="O93" s="33" t="s">
        <v>474</v>
      </c>
    </row>
    <row r="94" spans="1:15" ht="42.75" x14ac:dyDescent="0.2">
      <c r="A94" s="32" t="s">
        <v>12</v>
      </c>
      <c r="B94" s="32" t="s">
        <v>106</v>
      </c>
      <c r="C94" s="33" t="s">
        <v>626</v>
      </c>
      <c r="D94" s="20" t="s">
        <v>625</v>
      </c>
      <c r="E94" s="33" t="s">
        <v>442</v>
      </c>
      <c r="F94" s="33" t="s">
        <v>447</v>
      </c>
      <c r="G94" s="33">
        <v>5</v>
      </c>
      <c r="H94" s="33"/>
      <c r="I94" s="33">
        <v>64800</v>
      </c>
      <c r="J94" s="33">
        <v>64800</v>
      </c>
      <c r="K94" s="33"/>
      <c r="L94" s="33"/>
      <c r="M94" s="33"/>
      <c r="N94" s="33"/>
      <c r="O94" s="33" t="s">
        <v>622</v>
      </c>
    </row>
    <row r="95" spans="1:15" ht="15" x14ac:dyDescent="0.2">
      <c r="A95" s="32" t="s">
        <v>12</v>
      </c>
      <c r="B95" s="32" t="s">
        <v>106</v>
      </c>
      <c r="C95" s="33" t="s">
        <v>525</v>
      </c>
      <c r="D95" s="20" t="s">
        <v>524</v>
      </c>
      <c r="E95" s="33" t="s">
        <v>442</v>
      </c>
      <c r="F95" s="33" t="s">
        <v>447</v>
      </c>
      <c r="G95" s="33">
        <v>5</v>
      </c>
      <c r="H95" s="33"/>
      <c r="I95" s="33"/>
      <c r="J95" s="33"/>
      <c r="K95" s="33"/>
      <c r="L95" s="33"/>
      <c r="M95" s="33"/>
      <c r="N95" s="33"/>
      <c r="O95" s="33" t="s">
        <v>433</v>
      </c>
    </row>
    <row r="96" spans="1:15" ht="42.75" x14ac:dyDescent="0.2">
      <c r="A96" s="32" t="s">
        <v>12</v>
      </c>
      <c r="B96" s="32" t="s">
        <v>106</v>
      </c>
      <c r="C96" s="33" t="s">
        <v>445</v>
      </c>
      <c r="D96" s="20" t="s">
        <v>444</v>
      </c>
      <c r="E96" s="33" t="s">
        <v>442</v>
      </c>
      <c r="F96" s="33" t="s">
        <v>447</v>
      </c>
      <c r="G96" s="33">
        <v>5</v>
      </c>
      <c r="H96" s="33"/>
      <c r="I96" s="33">
        <v>302400</v>
      </c>
      <c r="J96" s="33">
        <v>302400</v>
      </c>
      <c r="K96" s="33"/>
      <c r="L96" s="33"/>
      <c r="M96" s="33"/>
      <c r="N96" s="33"/>
      <c r="O96" s="33" t="s">
        <v>446</v>
      </c>
    </row>
    <row r="97" spans="1:15" ht="28.5" x14ac:dyDescent="0.2">
      <c r="A97" s="32" t="s">
        <v>12</v>
      </c>
      <c r="B97" s="32" t="s">
        <v>106</v>
      </c>
      <c r="C97" s="33" t="s">
        <v>470</v>
      </c>
      <c r="D97" s="20" t="s">
        <v>469</v>
      </c>
      <c r="E97" s="33" t="s">
        <v>442</v>
      </c>
      <c r="F97" s="33" t="s">
        <v>471</v>
      </c>
      <c r="G97" s="33">
        <v>5</v>
      </c>
      <c r="H97" s="33"/>
      <c r="I97" s="33">
        <v>115500</v>
      </c>
      <c r="J97" s="33">
        <v>300</v>
      </c>
      <c r="K97" s="33"/>
      <c r="L97" s="33"/>
      <c r="M97" s="33"/>
      <c r="N97" s="33"/>
      <c r="O97" s="33"/>
    </row>
    <row r="98" spans="1:15" ht="42.75" x14ac:dyDescent="0.2">
      <c r="A98" s="32" t="s">
        <v>12</v>
      </c>
      <c r="B98" s="32" t="s">
        <v>106</v>
      </c>
      <c r="C98" s="33" t="s">
        <v>506</v>
      </c>
      <c r="D98" s="20" t="s">
        <v>505</v>
      </c>
      <c r="E98" s="33" t="s">
        <v>442</v>
      </c>
      <c r="F98" s="33" t="s">
        <v>491</v>
      </c>
      <c r="G98" s="33">
        <v>5</v>
      </c>
      <c r="H98" s="33"/>
      <c r="I98" s="33">
        <v>7200</v>
      </c>
      <c r="J98" s="33">
        <v>7200</v>
      </c>
      <c r="K98" s="33"/>
      <c r="L98" s="33"/>
      <c r="M98" s="33"/>
      <c r="N98" s="33"/>
      <c r="O98" s="33" t="s">
        <v>507</v>
      </c>
    </row>
    <row r="99" spans="1:15" ht="15" x14ac:dyDescent="0.2">
      <c r="A99" s="32" t="s">
        <v>12</v>
      </c>
      <c r="B99" s="32" t="s">
        <v>106</v>
      </c>
      <c r="C99" s="33" t="s">
        <v>516</v>
      </c>
      <c r="D99" s="20" t="s">
        <v>515</v>
      </c>
      <c r="E99" s="33" t="s">
        <v>442</v>
      </c>
      <c r="F99" s="33" t="s">
        <v>477</v>
      </c>
      <c r="G99" s="33">
        <v>2</v>
      </c>
      <c r="H99" s="33"/>
      <c r="I99" s="33">
        <v>72000</v>
      </c>
      <c r="J99" s="33">
        <v>72000</v>
      </c>
      <c r="K99" s="33"/>
      <c r="L99" s="33"/>
      <c r="M99" s="33"/>
      <c r="N99" s="33"/>
      <c r="O99" s="33" t="s">
        <v>501</v>
      </c>
    </row>
    <row r="100" spans="1:15" ht="15" x14ac:dyDescent="0.2">
      <c r="A100" s="32" t="s">
        <v>12</v>
      </c>
      <c r="B100" s="32" t="s">
        <v>106</v>
      </c>
      <c r="C100" s="33" t="s">
        <v>518</v>
      </c>
      <c r="D100" s="20" t="s">
        <v>517</v>
      </c>
      <c r="E100" s="33" t="s">
        <v>442</v>
      </c>
      <c r="F100" s="33" t="s">
        <v>477</v>
      </c>
      <c r="G100" s="33">
        <v>3</v>
      </c>
      <c r="H100" s="33"/>
      <c r="I100" s="33">
        <v>115200</v>
      </c>
      <c r="J100" s="33">
        <v>115200</v>
      </c>
      <c r="K100" s="33"/>
      <c r="L100" s="33"/>
      <c r="M100" s="33"/>
      <c r="N100" s="33"/>
      <c r="O100" s="33" t="s">
        <v>501</v>
      </c>
    </row>
    <row r="101" spans="1:15" ht="15" x14ac:dyDescent="0.2">
      <c r="A101" s="32" t="s">
        <v>12</v>
      </c>
      <c r="B101" s="32" t="s">
        <v>106</v>
      </c>
      <c r="C101" s="33" t="s">
        <v>487</v>
      </c>
      <c r="D101" s="20" t="s">
        <v>486</v>
      </c>
      <c r="E101" s="33" t="s">
        <v>442</v>
      </c>
      <c r="F101" s="33" t="s">
        <v>477</v>
      </c>
      <c r="G101" s="33">
        <v>2</v>
      </c>
      <c r="H101" s="33"/>
      <c r="I101" s="33">
        <v>100800</v>
      </c>
      <c r="J101" s="33">
        <v>100800</v>
      </c>
      <c r="K101" s="33"/>
      <c r="L101" s="33"/>
      <c r="M101" s="33"/>
      <c r="N101" s="33"/>
      <c r="O101" s="33" t="s">
        <v>488</v>
      </c>
    </row>
    <row r="102" spans="1:15" ht="28.5" x14ac:dyDescent="0.2">
      <c r="A102" s="32" t="s">
        <v>12</v>
      </c>
      <c r="B102" s="32" t="s">
        <v>106</v>
      </c>
      <c r="C102" s="33" t="s">
        <v>500</v>
      </c>
      <c r="D102" s="20" t="s">
        <v>499</v>
      </c>
      <c r="E102" s="33" t="s">
        <v>442</v>
      </c>
      <c r="F102" s="33" t="s">
        <v>477</v>
      </c>
      <c r="G102" s="33">
        <v>3</v>
      </c>
      <c r="H102" s="33"/>
      <c r="I102" s="33">
        <v>28800</v>
      </c>
      <c r="J102" s="33">
        <v>28800</v>
      </c>
      <c r="K102" s="33"/>
      <c r="L102" s="33"/>
      <c r="M102" s="33"/>
      <c r="N102" s="33"/>
      <c r="O102" s="33" t="s">
        <v>501</v>
      </c>
    </row>
    <row r="103" spans="1:15" ht="28.5" x14ac:dyDescent="0.2">
      <c r="A103" s="32" t="s">
        <v>12</v>
      </c>
      <c r="B103" s="32" t="s">
        <v>106</v>
      </c>
      <c r="C103" s="33" t="s">
        <v>520</v>
      </c>
      <c r="D103" s="20" t="s">
        <v>519</v>
      </c>
      <c r="E103" s="33" t="s">
        <v>521</v>
      </c>
      <c r="F103" s="33" t="s">
        <v>523</v>
      </c>
      <c r="G103" s="33"/>
      <c r="H103" s="33"/>
      <c r="I103" s="33">
        <v>14400</v>
      </c>
      <c r="J103" s="33">
        <v>14400</v>
      </c>
      <c r="K103" s="33"/>
      <c r="L103" s="33"/>
      <c r="M103" s="33"/>
      <c r="N103" s="33"/>
      <c r="O103" s="33" t="s">
        <v>522</v>
      </c>
    </row>
    <row r="104" spans="1:15" ht="28.5" x14ac:dyDescent="0.2">
      <c r="A104" s="32" t="s">
        <v>12</v>
      </c>
      <c r="B104" s="32" t="s">
        <v>106</v>
      </c>
      <c r="C104" s="33" t="s">
        <v>139</v>
      </c>
      <c r="D104" s="20" t="s">
        <v>140</v>
      </c>
      <c r="E104" s="33" t="s">
        <v>70</v>
      </c>
      <c r="F104" s="33" t="s">
        <v>128</v>
      </c>
      <c r="G104" s="33"/>
      <c r="H104" s="33"/>
      <c r="I104" s="33"/>
      <c r="J104" s="33"/>
      <c r="K104" s="33"/>
      <c r="L104" s="33"/>
      <c r="M104" s="33"/>
      <c r="N104" s="33"/>
      <c r="O104" s="33"/>
    </row>
    <row r="105" spans="1:15" ht="28.5" x14ac:dyDescent="0.2">
      <c r="A105" s="32" t="s">
        <v>12</v>
      </c>
      <c r="B105" s="32" t="s">
        <v>106</v>
      </c>
      <c r="C105" s="33" t="s">
        <v>136</v>
      </c>
      <c r="D105" s="20" t="s">
        <v>137</v>
      </c>
      <c r="E105" s="33" t="s">
        <v>70</v>
      </c>
      <c r="F105" s="33" t="s">
        <v>138</v>
      </c>
      <c r="G105" s="33"/>
      <c r="H105" s="33"/>
      <c r="I105" s="33"/>
      <c r="J105" s="33"/>
      <c r="K105" s="33"/>
      <c r="L105" s="33"/>
      <c r="M105" s="33"/>
      <c r="N105" s="33"/>
      <c r="O105" s="33"/>
    </row>
    <row r="106" spans="1:15" ht="15" x14ac:dyDescent="0.2">
      <c r="A106" s="32" t="s">
        <v>12</v>
      </c>
      <c r="B106" s="32" t="s">
        <v>106</v>
      </c>
      <c r="C106" s="33" t="s">
        <v>251</v>
      </c>
      <c r="D106" s="20" t="s">
        <v>252</v>
      </c>
      <c r="E106" s="33" t="s">
        <v>70</v>
      </c>
      <c r="F106" s="33" t="s">
        <v>249</v>
      </c>
      <c r="G106" s="33">
        <v>5</v>
      </c>
      <c r="H106" s="33"/>
      <c r="I106" s="33">
        <v>4500</v>
      </c>
      <c r="J106" s="33">
        <v>0</v>
      </c>
      <c r="K106" s="33"/>
      <c r="L106" s="33"/>
      <c r="M106" s="33"/>
      <c r="N106" s="33"/>
      <c r="O106" s="33" t="s">
        <v>253</v>
      </c>
    </row>
    <row r="107" spans="1:15" ht="15" x14ac:dyDescent="0.2">
      <c r="A107" s="32" t="s">
        <v>12</v>
      </c>
      <c r="B107" s="32" t="s">
        <v>106</v>
      </c>
      <c r="C107" s="33" t="s">
        <v>256</v>
      </c>
      <c r="D107" s="20" t="s">
        <v>257</v>
      </c>
      <c r="E107" s="33" t="s">
        <v>70</v>
      </c>
      <c r="F107" s="33" t="s">
        <v>249</v>
      </c>
      <c r="G107" s="33">
        <v>5</v>
      </c>
      <c r="H107" s="33"/>
      <c r="I107" s="33">
        <v>4500</v>
      </c>
      <c r="J107" s="33">
        <v>0</v>
      </c>
      <c r="K107" s="33"/>
      <c r="L107" s="33"/>
      <c r="M107" s="33"/>
      <c r="N107" s="33"/>
      <c r="O107" s="33" t="s">
        <v>253</v>
      </c>
    </row>
    <row r="108" spans="1:15" ht="15" x14ac:dyDescent="0.2">
      <c r="A108" s="32" t="s">
        <v>12</v>
      </c>
      <c r="B108" s="32" t="s">
        <v>106</v>
      </c>
      <c r="C108" s="33" t="s">
        <v>254</v>
      </c>
      <c r="D108" s="20" t="s">
        <v>255</v>
      </c>
      <c r="E108" s="33" t="s">
        <v>70</v>
      </c>
      <c r="F108" s="33" t="s">
        <v>249</v>
      </c>
      <c r="G108" s="33">
        <v>5</v>
      </c>
      <c r="H108" s="33"/>
      <c r="I108" s="33">
        <v>4500</v>
      </c>
      <c r="J108" s="33">
        <v>0</v>
      </c>
      <c r="K108" s="33"/>
      <c r="L108" s="33"/>
      <c r="M108" s="33"/>
      <c r="N108" s="33"/>
      <c r="O108" s="33" t="s">
        <v>253</v>
      </c>
    </row>
    <row r="109" spans="1:15" ht="15" x14ac:dyDescent="0.2">
      <c r="A109" s="32" t="s">
        <v>12</v>
      </c>
      <c r="B109" s="32" t="s">
        <v>106</v>
      </c>
      <c r="C109" s="33" t="s">
        <v>176</v>
      </c>
      <c r="D109" s="20" t="s">
        <v>177</v>
      </c>
      <c r="E109" s="33" t="s">
        <v>70</v>
      </c>
      <c r="F109" s="33" t="s">
        <v>169</v>
      </c>
      <c r="G109" s="33">
        <v>5</v>
      </c>
      <c r="H109" s="33"/>
      <c r="I109" s="33"/>
      <c r="J109" s="33"/>
      <c r="K109" s="33"/>
      <c r="L109" s="33"/>
      <c r="M109" s="33"/>
      <c r="N109" s="33"/>
      <c r="O109" s="33" t="s">
        <v>173</v>
      </c>
    </row>
    <row r="110" spans="1:15" ht="15" x14ac:dyDescent="0.2">
      <c r="A110" s="32" t="s">
        <v>12</v>
      </c>
      <c r="B110" s="32" t="s">
        <v>106</v>
      </c>
      <c r="C110" s="33" t="s">
        <v>174</v>
      </c>
      <c r="D110" s="20" t="s">
        <v>175</v>
      </c>
      <c r="E110" s="33" t="s">
        <v>70</v>
      </c>
      <c r="F110" s="33" t="s">
        <v>169</v>
      </c>
      <c r="G110" s="33">
        <v>8</v>
      </c>
      <c r="H110" s="33"/>
      <c r="I110" s="33"/>
      <c r="J110" s="33"/>
      <c r="K110" s="33"/>
      <c r="L110" s="33"/>
      <c r="M110" s="33"/>
      <c r="N110" s="33"/>
      <c r="O110" s="33" t="s">
        <v>173</v>
      </c>
    </row>
    <row r="111" spans="1:15" ht="28.5" x14ac:dyDescent="0.2">
      <c r="A111" s="32" t="s">
        <v>12</v>
      </c>
      <c r="B111" s="32" t="s">
        <v>106</v>
      </c>
      <c r="C111" s="33" t="s">
        <v>167</v>
      </c>
      <c r="D111" s="20" t="s">
        <v>168</v>
      </c>
      <c r="E111" s="33" t="s">
        <v>70</v>
      </c>
      <c r="F111" s="33" t="s">
        <v>169</v>
      </c>
      <c r="G111" s="33">
        <v>5</v>
      </c>
      <c r="H111" s="33"/>
      <c r="I111" s="33">
        <v>86400</v>
      </c>
      <c r="J111" s="33">
        <v>86400</v>
      </c>
      <c r="K111" s="33"/>
      <c r="L111" s="33"/>
      <c r="M111" s="33"/>
      <c r="N111" s="33"/>
      <c r="O111" s="33" t="s">
        <v>149</v>
      </c>
    </row>
    <row r="112" spans="1:15" ht="28.5" x14ac:dyDescent="0.2">
      <c r="A112" s="32" t="s">
        <v>12</v>
      </c>
      <c r="B112" s="32" t="s">
        <v>106</v>
      </c>
      <c r="C112" s="33" t="s">
        <v>134</v>
      </c>
      <c r="D112" s="20" t="s">
        <v>135</v>
      </c>
      <c r="E112" s="33" t="s">
        <v>70</v>
      </c>
      <c r="F112" s="33" t="s">
        <v>128</v>
      </c>
      <c r="G112" s="33">
        <v>5</v>
      </c>
      <c r="H112" s="33"/>
      <c r="I112" s="33"/>
      <c r="J112" s="33"/>
      <c r="K112" s="33"/>
      <c r="L112" s="33"/>
      <c r="M112" s="33"/>
      <c r="N112" s="33"/>
      <c r="O112" s="33" t="s">
        <v>133</v>
      </c>
    </row>
    <row r="113" spans="1:15" ht="28.5" x14ac:dyDescent="0.2">
      <c r="A113" s="32" t="s">
        <v>12</v>
      </c>
      <c r="B113" s="32" t="s">
        <v>106</v>
      </c>
      <c r="C113" s="33" t="s">
        <v>143</v>
      </c>
      <c r="D113" s="20" t="s">
        <v>144</v>
      </c>
      <c r="E113" s="33" t="s">
        <v>70</v>
      </c>
      <c r="F113" s="33" t="s">
        <v>145</v>
      </c>
      <c r="G113" s="33">
        <v>1</v>
      </c>
      <c r="H113" s="33"/>
      <c r="I113" s="33"/>
      <c r="J113" s="33"/>
      <c r="K113" s="33"/>
      <c r="L113" s="33"/>
      <c r="M113" s="33"/>
      <c r="N113" s="33"/>
      <c r="O113" s="33" t="s">
        <v>129</v>
      </c>
    </row>
    <row r="114" spans="1:15" ht="28.5" x14ac:dyDescent="0.2">
      <c r="A114" s="32" t="s">
        <v>12</v>
      </c>
      <c r="B114" s="32" t="s">
        <v>106</v>
      </c>
      <c r="C114" s="33" t="s">
        <v>141</v>
      </c>
      <c r="D114" s="20" t="s">
        <v>142</v>
      </c>
      <c r="E114" s="33" t="s">
        <v>70</v>
      </c>
      <c r="F114" s="33" t="s">
        <v>128</v>
      </c>
      <c r="G114" s="33">
        <v>3</v>
      </c>
      <c r="H114" s="33"/>
      <c r="I114" s="33"/>
      <c r="J114" s="33"/>
      <c r="K114" s="33"/>
      <c r="L114" s="33"/>
      <c r="M114" s="33"/>
      <c r="N114" s="33"/>
      <c r="O114" s="33" t="s">
        <v>133</v>
      </c>
    </row>
    <row r="115" spans="1:15" ht="42.75" x14ac:dyDescent="0.2">
      <c r="A115" s="32" t="s">
        <v>12</v>
      </c>
      <c r="B115" s="32" t="s">
        <v>106</v>
      </c>
      <c r="C115" s="33" t="s">
        <v>107</v>
      </c>
      <c r="D115" s="20" t="s">
        <v>108</v>
      </c>
      <c r="E115" s="33" t="s">
        <v>70</v>
      </c>
      <c r="F115" s="33" t="s">
        <v>109</v>
      </c>
      <c r="G115" s="33">
        <v>3</v>
      </c>
      <c r="H115" s="33"/>
      <c r="I115" s="33"/>
      <c r="J115" s="33"/>
      <c r="K115" s="33"/>
      <c r="L115" s="33"/>
      <c r="M115" s="33"/>
      <c r="N115" s="33"/>
      <c r="O115" s="33" t="s">
        <v>110</v>
      </c>
    </row>
    <row r="116" spans="1:15" ht="42.75" x14ac:dyDescent="0.2">
      <c r="A116" s="32" t="s">
        <v>12</v>
      </c>
      <c r="B116" s="32" t="s">
        <v>106</v>
      </c>
      <c r="C116" s="33" t="s">
        <v>123</v>
      </c>
      <c r="D116" s="20" t="s">
        <v>124</v>
      </c>
      <c r="E116" s="33" t="s">
        <v>70</v>
      </c>
      <c r="F116" s="33" t="s">
        <v>109</v>
      </c>
      <c r="G116" s="33">
        <v>3</v>
      </c>
      <c r="H116" s="33"/>
      <c r="I116" s="33"/>
      <c r="J116" s="33"/>
      <c r="K116" s="33"/>
      <c r="L116" s="33"/>
      <c r="M116" s="33"/>
      <c r="N116" s="33"/>
      <c r="O116" s="33" t="s">
        <v>125</v>
      </c>
    </row>
    <row r="117" spans="1:15" ht="28.5" x14ac:dyDescent="0.2">
      <c r="A117" s="32" t="s">
        <v>12</v>
      </c>
      <c r="B117" s="32" t="s">
        <v>106</v>
      </c>
      <c r="C117" s="33" t="s">
        <v>126</v>
      </c>
      <c r="D117" s="20" t="s">
        <v>127</v>
      </c>
      <c r="E117" s="33" t="s">
        <v>70</v>
      </c>
      <c r="F117" s="33" t="s">
        <v>128</v>
      </c>
      <c r="G117" s="33">
        <v>8</v>
      </c>
      <c r="H117" s="33"/>
      <c r="I117" s="33"/>
      <c r="J117" s="33"/>
      <c r="K117" s="33"/>
      <c r="L117" s="33"/>
      <c r="M117" s="33"/>
      <c r="N117" s="33"/>
      <c r="O117" s="33" t="s">
        <v>129</v>
      </c>
    </row>
    <row r="118" spans="1:15" ht="15" x14ac:dyDescent="0.2">
      <c r="A118" s="32" t="s">
        <v>12</v>
      </c>
      <c r="B118" s="32" t="s">
        <v>14</v>
      </c>
      <c r="C118" s="33" t="s">
        <v>326</v>
      </c>
      <c r="D118" s="20" t="s">
        <v>327</v>
      </c>
      <c r="E118" s="33" t="s">
        <v>70</v>
      </c>
      <c r="F118" s="33" t="s">
        <v>328</v>
      </c>
      <c r="G118" s="33">
        <v>13</v>
      </c>
      <c r="H118" s="33"/>
      <c r="I118" s="33">
        <v>144000</v>
      </c>
      <c r="J118" s="33">
        <v>144000</v>
      </c>
      <c r="K118" s="33"/>
      <c r="L118" s="33"/>
      <c r="M118" s="33"/>
      <c r="N118" s="33"/>
      <c r="O118" s="33" t="s">
        <v>329</v>
      </c>
    </row>
    <row r="119" spans="1:15" ht="28.5" x14ac:dyDescent="0.2">
      <c r="A119" s="32" t="s">
        <v>12</v>
      </c>
      <c r="B119" s="32" t="s">
        <v>14</v>
      </c>
      <c r="C119" s="33" t="s">
        <v>269</v>
      </c>
      <c r="D119" s="20" t="s">
        <v>270</v>
      </c>
      <c r="E119" s="33" t="s">
        <v>70</v>
      </c>
      <c r="F119" s="33" t="s">
        <v>267</v>
      </c>
      <c r="G119" s="33">
        <v>8</v>
      </c>
      <c r="H119" s="33"/>
      <c r="I119" s="33">
        <v>122400</v>
      </c>
      <c r="J119" s="33">
        <v>122400</v>
      </c>
      <c r="K119" s="33"/>
      <c r="L119" s="33"/>
      <c r="M119" s="33"/>
      <c r="N119" s="33"/>
      <c r="O119" s="33"/>
    </row>
    <row r="120" spans="1:15" ht="15" x14ac:dyDescent="0.2">
      <c r="A120" s="32" t="s">
        <v>12</v>
      </c>
      <c r="B120" s="32" t="s">
        <v>14</v>
      </c>
      <c r="C120" s="33" t="s">
        <v>265</v>
      </c>
      <c r="D120" s="20" t="s">
        <v>266</v>
      </c>
      <c r="E120" s="33" t="s">
        <v>70</v>
      </c>
      <c r="F120" s="33" t="s">
        <v>267</v>
      </c>
      <c r="G120" s="33">
        <v>8</v>
      </c>
      <c r="H120" s="33"/>
      <c r="I120" s="33">
        <v>115200</v>
      </c>
      <c r="J120" s="33">
        <v>115200</v>
      </c>
      <c r="K120" s="33"/>
      <c r="L120" s="33"/>
      <c r="M120" s="33"/>
      <c r="N120" s="33"/>
      <c r="O120" s="33" t="s">
        <v>268</v>
      </c>
    </row>
    <row r="121" spans="1:15" ht="57" x14ac:dyDescent="0.2">
      <c r="A121" s="32" t="s">
        <v>12</v>
      </c>
      <c r="B121" s="32" t="s">
        <v>14</v>
      </c>
      <c r="C121" s="33" t="s">
        <v>146</v>
      </c>
      <c r="D121" s="20" t="s">
        <v>147</v>
      </c>
      <c r="E121" s="33" t="s">
        <v>70</v>
      </c>
      <c r="F121" s="33" t="s">
        <v>148</v>
      </c>
      <c r="G121" s="33">
        <v>5</v>
      </c>
      <c r="H121" s="33"/>
      <c r="I121" s="33"/>
      <c r="J121" s="33"/>
      <c r="K121" s="33"/>
      <c r="L121" s="33"/>
      <c r="M121" s="33"/>
      <c r="N121" s="33"/>
      <c r="O121" s="33" t="s">
        <v>149</v>
      </c>
    </row>
    <row r="122" spans="1:15" ht="42.75" x14ac:dyDescent="0.2">
      <c r="A122" s="32" t="s">
        <v>12</v>
      </c>
      <c r="B122" s="32" t="s">
        <v>14</v>
      </c>
      <c r="C122" s="33" t="s">
        <v>130</v>
      </c>
      <c r="D122" s="20" t="s">
        <v>131</v>
      </c>
      <c r="E122" s="33" t="s">
        <v>70</v>
      </c>
      <c r="F122" s="33" t="s">
        <v>132</v>
      </c>
      <c r="G122" s="33">
        <v>5</v>
      </c>
      <c r="H122" s="33"/>
      <c r="I122" s="33"/>
      <c r="J122" s="33"/>
      <c r="K122" s="33"/>
      <c r="L122" s="33"/>
      <c r="M122" s="33"/>
      <c r="N122" s="33"/>
      <c r="O122" s="33" t="s">
        <v>133</v>
      </c>
    </row>
    <row r="123" spans="1:15" ht="28.5" x14ac:dyDescent="0.2">
      <c r="A123" s="32" t="s">
        <v>12</v>
      </c>
      <c r="B123" s="32" t="s">
        <v>14</v>
      </c>
      <c r="C123" s="33" t="s">
        <v>389</v>
      </c>
      <c r="D123" s="20" t="s">
        <v>390</v>
      </c>
      <c r="E123" s="33" t="s">
        <v>70</v>
      </c>
      <c r="F123" s="33"/>
      <c r="G123" s="33">
        <v>13</v>
      </c>
      <c r="H123" s="33"/>
      <c r="I123" s="33">
        <v>115200</v>
      </c>
      <c r="J123" s="33">
        <v>115200</v>
      </c>
      <c r="K123" s="33"/>
      <c r="L123" s="33"/>
      <c r="M123" s="33"/>
      <c r="N123" s="33"/>
      <c r="O123" s="33" t="s">
        <v>391</v>
      </c>
    </row>
    <row r="124" spans="1:15" ht="42.75" x14ac:dyDescent="0.2">
      <c r="A124" s="32" t="s">
        <v>12</v>
      </c>
      <c r="B124" s="32" t="s">
        <v>14</v>
      </c>
      <c r="C124" s="33" t="s">
        <v>611</v>
      </c>
      <c r="D124" s="20" t="s">
        <v>610</v>
      </c>
      <c r="E124" s="33" t="s">
        <v>541</v>
      </c>
      <c r="F124" s="33" t="s">
        <v>613</v>
      </c>
      <c r="G124" s="33">
        <v>13</v>
      </c>
      <c r="H124" s="33"/>
      <c r="I124" s="33">
        <v>115200</v>
      </c>
      <c r="J124" s="33">
        <v>115200</v>
      </c>
      <c r="K124" s="33"/>
      <c r="L124" s="33"/>
      <c r="M124" s="33"/>
      <c r="N124" s="33"/>
      <c r="O124" s="33" t="s">
        <v>612</v>
      </c>
    </row>
    <row r="125" spans="1:15" ht="42.75" x14ac:dyDescent="0.2">
      <c r="A125" s="32" t="s">
        <v>12</v>
      </c>
      <c r="B125" s="32" t="s">
        <v>13</v>
      </c>
      <c r="C125" s="33" t="s">
        <v>346</v>
      </c>
      <c r="D125" s="20" t="s">
        <v>347</v>
      </c>
      <c r="E125" s="33" t="s">
        <v>113</v>
      </c>
      <c r="F125" s="33"/>
      <c r="G125" s="33"/>
      <c r="H125" s="33"/>
      <c r="I125" s="33"/>
      <c r="J125" s="33"/>
      <c r="K125" s="33"/>
      <c r="L125" s="33"/>
      <c r="M125" s="33"/>
      <c r="N125" s="33"/>
      <c r="O125" s="33" t="s">
        <v>348</v>
      </c>
    </row>
    <row r="126" spans="1:15" ht="28.5" x14ac:dyDescent="0.2">
      <c r="A126" s="32" t="s">
        <v>12</v>
      </c>
      <c r="B126" s="32" t="s">
        <v>13</v>
      </c>
      <c r="C126" s="33" t="s">
        <v>533</v>
      </c>
      <c r="D126" s="20" t="s">
        <v>532</v>
      </c>
      <c r="E126" s="33" t="s">
        <v>442</v>
      </c>
      <c r="F126" s="33"/>
      <c r="G126" s="33"/>
      <c r="H126" s="33"/>
      <c r="I126" s="33"/>
      <c r="J126" s="33"/>
      <c r="K126" s="33"/>
      <c r="L126" s="33"/>
      <c r="M126" s="33"/>
      <c r="N126" s="33"/>
      <c r="O126" s="33" t="s">
        <v>310</v>
      </c>
    </row>
    <row r="127" spans="1:15" ht="28.5" x14ac:dyDescent="0.2">
      <c r="A127" s="32" t="s">
        <v>12</v>
      </c>
      <c r="B127" s="32" t="s">
        <v>13</v>
      </c>
      <c r="C127" s="33" t="s">
        <v>457</v>
      </c>
      <c r="D127" s="20" t="s">
        <v>456</v>
      </c>
      <c r="E127" s="33" t="s">
        <v>442</v>
      </c>
      <c r="F127" s="33" t="s">
        <v>459</v>
      </c>
      <c r="G127" s="33"/>
      <c r="H127" s="33"/>
      <c r="I127" s="33"/>
      <c r="J127" s="33"/>
      <c r="K127" s="33"/>
      <c r="L127" s="33"/>
      <c r="M127" s="33"/>
      <c r="N127" s="33"/>
      <c r="O127" s="33" t="s">
        <v>458</v>
      </c>
    </row>
    <row r="128" spans="1:15" ht="42.75" x14ac:dyDescent="0.2">
      <c r="A128" s="32" t="s">
        <v>12</v>
      </c>
      <c r="B128" s="32" t="s">
        <v>13</v>
      </c>
      <c r="C128" s="33" t="s">
        <v>512</v>
      </c>
      <c r="D128" s="20" t="s">
        <v>511</v>
      </c>
      <c r="E128" s="33" t="s">
        <v>442</v>
      </c>
      <c r="F128" s="33" t="s">
        <v>464</v>
      </c>
      <c r="G128" s="33">
        <v>8</v>
      </c>
      <c r="H128" s="33"/>
      <c r="I128" s="33"/>
      <c r="J128" s="33"/>
      <c r="K128" s="33"/>
      <c r="L128" s="33"/>
      <c r="M128" s="33"/>
      <c r="N128" s="33"/>
      <c r="O128" s="33" t="s">
        <v>510</v>
      </c>
    </row>
    <row r="129" spans="1:15" ht="28.5" x14ac:dyDescent="0.2">
      <c r="A129" s="32" t="s">
        <v>12</v>
      </c>
      <c r="B129" s="32" t="s">
        <v>13</v>
      </c>
      <c r="C129" s="33" t="s">
        <v>490</v>
      </c>
      <c r="D129" s="20" t="s">
        <v>489</v>
      </c>
      <c r="E129" s="33" t="s">
        <v>442</v>
      </c>
      <c r="F129" s="33" t="s">
        <v>491</v>
      </c>
      <c r="G129" s="33">
        <v>10</v>
      </c>
      <c r="H129" s="33"/>
      <c r="I129" s="33"/>
      <c r="J129" s="33"/>
      <c r="K129" s="33"/>
      <c r="L129" s="33"/>
      <c r="M129" s="33"/>
      <c r="N129" s="33"/>
      <c r="O129" s="33" t="s">
        <v>173</v>
      </c>
    </row>
    <row r="130" spans="1:15" ht="42.75" x14ac:dyDescent="0.2">
      <c r="A130" s="32" t="s">
        <v>12</v>
      </c>
      <c r="B130" s="32" t="s">
        <v>13</v>
      </c>
      <c r="C130" s="33" t="s">
        <v>493</v>
      </c>
      <c r="D130" s="20" t="s">
        <v>492</v>
      </c>
      <c r="E130" s="33" t="s">
        <v>442</v>
      </c>
      <c r="F130" s="33" t="s">
        <v>464</v>
      </c>
      <c r="G130" s="33">
        <v>10</v>
      </c>
      <c r="H130" s="33"/>
      <c r="I130" s="33">
        <v>144000</v>
      </c>
      <c r="J130" s="33">
        <v>144000</v>
      </c>
      <c r="K130" s="33"/>
      <c r="L130" s="33"/>
      <c r="M130" s="33"/>
      <c r="N130" s="33"/>
      <c r="O130" s="33" t="s">
        <v>173</v>
      </c>
    </row>
    <row r="131" spans="1:15" ht="57" x14ac:dyDescent="0.2">
      <c r="A131" s="32" t="s">
        <v>12</v>
      </c>
      <c r="B131" s="32" t="s">
        <v>13</v>
      </c>
      <c r="C131" s="33" t="s">
        <v>495</v>
      </c>
      <c r="D131" s="20" t="s">
        <v>494</v>
      </c>
      <c r="E131" s="33" t="s">
        <v>442</v>
      </c>
      <c r="F131" s="33" t="s">
        <v>496</v>
      </c>
      <c r="G131" s="33">
        <v>10</v>
      </c>
      <c r="H131" s="33"/>
      <c r="I131" s="33"/>
      <c r="J131" s="33"/>
      <c r="K131" s="33"/>
      <c r="L131" s="33"/>
      <c r="M131" s="33"/>
      <c r="N131" s="33"/>
      <c r="O131" s="33" t="s">
        <v>173</v>
      </c>
    </row>
    <row r="132" spans="1:15" ht="42.75" x14ac:dyDescent="0.2">
      <c r="A132" s="32" t="s">
        <v>12</v>
      </c>
      <c r="B132" s="32" t="s">
        <v>13</v>
      </c>
      <c r="C132" s="33" t="s">
        <v>396</v>
      </c>
      <c r="D132" s="20" t="s">
        <v>397</v>
      </c>
      <c r="E132" s="33" t="s">
        <v>113</v>
      </c>
      <c r="F132" s="33"/>
      <c r="G132" s="33"/>
      <c r="H132" s="33"/>
      <c r="I132" s="33"/>
      <c r="J132" s="33"/>
      <c r="K132" s="33"/>
      <c r="L132" s="33"/>
      <c r="M132" s="33"/>
      <c r="N132" s="33"/>
      <c r="O132" s="33" t="s">
        <v>246</v>
      </c>
    </row>
    <row r="133" spans="1:15" ht="42.75" x14ac:dyDescent="0.2">
      <c r="A133" s="32" t="s">
        <v>12</v>
      </c>
      <c r="B133" s="32" t="s">
        <v>13</v>
      </c>
      <c r="C133" s="33" t="s">
        <v>349</v>
      </c>
      <c r="D133" s="20" t="s">
        <v>350</v>
      </c>
      <c r="E133" s="33" t="s">
        <v>113</v>
      </c>
      <c r="F133" s="33"/>
      <c r="G133" s="33"/>
      <c r="H133" s="33"/>
      <c r="I133" s="33"/>
      <c r="J133" s="33"/>
      <c r="K133" s="33"/>
      <c r="L133" s="33"/>
      <c r="M133" s="33"/>
      <c r="N133" s="33"/>
      <c r="O133" s="33" t="s">
        <v>121</v>
      </c>
    </row>
    <row r="134" spans="1:15" ht="15" x14ac:dyDescent="0.2">
      <c r="A134" s="32" t="s">
        <v>12</v>
      </c>
      <c r="B134" s="32" t="s">
        <v>13</v>
      </c>
      <c r="C134" s="33" t="s">
        <v>461</v>
      </c>
      <c r="D134" s="20" t="s">
        <v>460</v>
      </c>
      <c r="E134" s="33" t="s">
        <v>442</v>
      </c>
      <c r="F134" s="33"/>
      <c r="G134" s="33"/>
      <c r="H134" s="33"/>
      <c r="I134" s="33"/>
      <c r="J134" s="33"/>
      <c r="K134" s="33"/>
      <c r="L134" s="33"/>
      <c r="M134" s="33"/>
      <c r="N134" s="33"/>
      <c r="O134" s="33" t="s">
        <v>121</v>
      </c>
    </row>
    <row r="135" spans="1:15" ht="28.5" x14ac:dyDescent="0.2">
      <c r="A135" s="32" t="s">
        <v>12</v>
      </c>
      <c r="B135" s="32" t="s">
        <v>13</v>
      </c>
      <c r="C135" s="33" t="s">
        <v>603</v>
      </c>
      <c r="D135" s="20" t="s">
        <v>602</v>
      </c>
      <c r="E135" s="33" t="s">
        <v>541</v>
      </c>
      <c r="F135" s="33"/>
      <c r="G135" s="33"/>
      <c r="H135" s="33"/>
      <c r="I135" s="33"/>
      <c r="J135" s="33"/>
      <c r="K135" s="33"/>
      <c r="L135" s="33"/>
      <c r="M135" s="33"/>
      <c r="N135" s="33"/>
      <c r="O135" s="33"/>
    </row>
    <row r="136" spans="1:15" ht="15" x14ac:dyDescent="0.2">
      <c r="A136" s="32" t="s">
        <v>12</v>
      </c>
      <c r="B136" s="32" t="s">
        <v>13</v>
      </c>
      <c r="C136" s="33" t="s">
        <v>609</v>
      </c>
      <c r="D136" s="20" t="s">
        <v>608</v>
      </c>
      <c r="E136" s="33" t="s">
        <v>541</v>
      </c>
      <c r="F136" s="33"/>
      <c r="G136" s="33"/>
      <c r="H136" s="33"/>
      <c r="I136" s="33">
        <v>0</v>
      </c>
      <c r="J136" s="33">
        <v>0</v>
      </c>
      <c r="K136" s="33"/>
      <c r="L136" s="33"/>
      <c r="M136" s="33"/>
      <c r="N136" s="33"/>
      <c r="O136" s="33"/>
    </row>
    <row r="137" spans="1:15" ht="15" x14ac:dyDescent="0.2">
      <c r="A137" s="32" t="s">
        <v>12</v>
      </c>
      <c r="B137" s="32" t="s">
        <v>13</v>
      </c>
      <c r="C137" s="33" t="s">
        <v>535</v>
      </c>
      <c r="D137" s="20" t="s">
        <v>534</v>
      </c>
      <c r="E137" s="33">
        <v>3</v>
      </c>
      <c r="F137" s="33"/>
      <c r="G137" s="33"/>
      <c r="H137" s="33"/>
      <c r="I137" s="33"/>
      <c r="J137" s="33"/>
      <c r="K137" s="33"/>
      <c r="L137" s="33"/>
      <c r="M137" s="33"/>
      <c r="N137" s="33"/>
      <c r="O137" s="33"/>
    </row>
    <row r="138" spans="1:15" ht="28.5" x14ac:dyDescent="0.2">
      <c r="A138" s="32" t="s">
        <v>12</v>
      </c>
      <c r="B138" s="32" t="s">
        <v>13</v>
      </c>
      <c r="C138" s="33" t="s">
        <v>607</v>
      </c>
      <c r="D138" s="20" t="s">
        <v>606</v>
      </c>
      <c r="E138" s="33" t="s">
        <v>541</v>
      </c>
      <c r="F138" s="33"/>
      <c r="G138" s="33"/>
      <c r="H138" s="33"/>
      <c r="I138" s="33">
        <v>0</v>
      </c>
      <c r="J138" s="33">
        <v>0</v>
      </c>
      <c r="K138" s="33"/>
      <c r="L138" s="33"/>
      <c r="M138" s="33"/>
      <c r="N138" s="33"/>
      <c r="O138" s="33"/>
    </row>
    <row r="139" spans="1:15" ht="28.5" x14ac:dyDescent="0.2">
      <c r="A139" s="32" t="s">
        <v>12</v>
      </c>
      <c r="B139" s="32" t="s">
        <v>13</v>
      </c>
      <c r="C139" s="33" t="s">
        <v>605</v>
      </c>
      <c r="D139" s="20" t="s">
        <v>604</v>
      </c>
      <c r="E139" s="33" t="s">
        <v>541</v>
      </c>
      <c r="F139" s="33"/>
      <c r="G139" s="33"/>
      <c r="H139" s="33"/>
      <c r="I139" s="33">
        <v>0</v>
      </c>
      <c r="J139" s="33">
        <v>0</v>
      </c>
      <c r="K139" s="33"/>
      <c r="L139" s="33"/>
      <c r="M139" s="33"/>
      <c r="N139" s="33"/>
      <c r="O139" s="33"/>
    </row>
    <row r="140" spans="1:15" ht="28.5" x14ac:dyDescent="0.2">
      <c r="A140" s="32" t="s">
        <v>12</v>
      </c>
      <c r="B140" s="32" t="s">
        <v>13</v>
      </c>
      <c r="C140" s="33" t="s">
        <v>247</v>
      </c>
      <c r="D140" s="20" t="s">
        <v>248</v>
      </c>
      <c r="E140" s="33" t="s">
        <v>70</v>
      </c>
      <c r="F140" s="33" t="s">
        <v>249</v>
      </c>
      <c r="G140" s="33">
        <v>8</v>
      </c>
      <c r="H140" s="33"/>
      <c r="I140" s="33"/>
      <c r="J140" s="33"/>
      <c r="K140" s="33"/>
      <c r="L140" s="33"/>
      <c r="M140" s="33"/>
      <c r="N140" s="33"/>
      <c r="O140" s="33" t="s">
        <v>250</v>
      </c>
    </row>
    <row r="141" spans="1:15" ht="28.5" x14ac:dyDescent="0.2">
      <c r="A141" s="32" t="s">
        <v>12</v>
      </c>
      <c r="B141" s="32" t="s">
        <v>13</v>
      </c>
      <c r="C141" s="33" t="s">
        <v>232</v>
      </c>
      <c r="D141" s="20" t="s">
        <v>233</v>
      </c>
      <c r="E141" s="33" t="s">
        <v>70</v>
      </c>
      <c r="F141" s="33" t="s">
        <v>219</v>
      </c>
      <c r="G141" s="33">
        <v>13</v>
      </c>
      <c r="H141" s="33"/>
      <c r="I141" s="33"/>
      <c r="J141" s="33"/>
      <c r="K141" s="33"/>
      <c r="L141" s="33"/>
      <c r="M141" s="33"/>
      <c r="N141" s="33"/>
      <c r="O141" s="33" t="s">
        <v>234</v>
      </c>
    </row>
    <row r="142" spans="1:15" ht="28.5" x14ac:dyDescent="0.2">
      <c r="A142" s="32" t="s">
        <v>12</v>
      </c>
      <c r="B142" s="32" t="s">
        <v>13</v>
      </c>
      <c r="C142" s="33" t="s">
        <v>531</v>
      </c>
      <c r="D142" s="20" t="s">
        <v>530</v>
      </c>
      <c r="E142" s="33" t="s">
        <v>442</v>
      </c>
      <c r="F142" s="33" t="s">
        <v>277</v>
      </c>
      <c r="G142" s="33"/>
      <c r="H142" s="33"/>
      <c r="I142" s="33">
        <v>43200</v>
      </c>
      <c r="J142" s="33">
        <v>43200</v>
      </c>
      <c r="K142" s="33"/>
      <c r="L142" s="33"/>
      <c r="M142" s="33"/>
      <c r="N142" s="33"/>
      <c r="O142" s="33"/>
    </row>
    <row r="143" spans="1:15" ht="15" x14ac:dyDescent="0.2">
      <c r="A143" s="32" t="s">
        <v>12</v>
      </c>
      <c r="B143" s="32" t="s">
        <v>13</v>
      </c>
      <c r="C143" s="33" t="s">
        <v>381</v>
      </c>
      <c r="D143" s="20" t="s">
        <v>382</v>
      </c>
      <c r="E143" s="33" t="s">
        <v>70</v>
      </c>
      <c r="F143" s="33"/>
      <c r="G143" s="33"/>
      <c r="H143" s="33"/>
      <c r="I143" s="33"/>
      <c r="J143" s="33"/>
      <c r="K143" s="33"/>
      <c r="L143" s="33"/>
      <c r="M143" s="33"/>
      <c r="N143" s="33"/>
      <c r="O143" s="33" t="s">
        <v>383</v>
      </c>
    </row>
    <row r="144" spans="1:15" ht="28.5" x14ac:dyDescent="0.2">
      <c r="A144" s="32" t="s">
        <v>12</v>
      </c>
      <c r="B144" s="32" t="s">
        <v>13</v>
      </c>
      <c r="C144" s="33" t="s">
        <v>324</v>
      </c>
      <c r="D144" s="20" t="s">
        <v>325</v>
      </c>
      <c r="E144" s="33" t="s">
        <v>70</v>
      </c>
      <c r="F144" s="33" t="s">
        <v>314</v>
      </c>
      <c r="G144" s="33"/>
      <c r="H144" s="33"/>
      <c r="I144" s="33"/>
      <c r="J144" s="33"/>
      <c r="K144" s="33"/>
      <c r="L144" s="33"/>
      <c r="M144" s="33"/>
      <c r="N144" s="33"/>
      <c r="O144" s="33"/>
    </row>
    <row r="145" spans="1:15" ht="28.5" x14ac:dyDescent="0.2">
      <c r="A145" s="32" t="s">
        <v>12</v>
      </c>
      <c r="B145" s="32" t="s">
        <v>13</v>
      </c>
      <c r="C145" s="33" t="s">
        <v>320</v>
      </c>
      <c r="D145" s="20" t="s">
        <v>321</v>
      </c>
      <c r="E145" s="33" t="s">
        <v>70</v>
      </c>
      <c r="F145" s="33" t="s">
        <v>314</v>
      </c>
      <c r="G145" s="33">
        <v>5</v>
      </c>
      <c r="H145" s="33"/>
      <c r="I145" s="33"/>
      <c r="J145" s="33"/>
      <c r="K145" s="33"/>
      <c r="L145" s="33"/>
      <c r="M145" s="33"/>
      <c r="N145" s="33"/>
      <c r="O145" s="33" t="s">
        <v>121</v>
      </c>
    </row>
    <row r="146" spans="1:15" ht="15" x14ac:dyDescent="0.2">
      <c r="A146" s="32" t="s">
        <v>12</v>
      </c>
      <c r="B146" s="32" t="s">
        <v>13</v>
      </c>
      <c r="C146" s="33" t="s">
        <v>312</v>
      </c>
      <c r="D146" s="20" t="s">
        <v>313</v>
      </c>
      <c r="E146" s="33" t="s">
        <v>70</v>
      </c>
      <c r="F146" s="33" t="s">
        <v>314</v>
      </c>
      <c r="G146" s="33">
        <v>1</v>
      </c>
      <c r="H146" s="33"/>
      <c r="I146" s="33"/>
      <c r="J146" s="33"/>
      <c r="K146" s="33"/>
      <c r="L146" s="33"/>
      <c r="M146" s="33"/>
      <c r="N146" s="33"/>
      <c r="O146" s="33" t="s">
        <v>315</v>
      </c>
    </row>
    <row r="147" spans="1:15" ht="28.5" x14ac:dyDescent="0.2">
      <c r="A147" s="32" t="s">
        <v>12</v>
      </c>
      <c r="B147" s="32" t="s">
        <v>13</v>
      </c>
      <c r="C147" s="33" t="s">
        <v>318</v>
      </c>
      <c r="D147" s="20" t="s">
        <v>319</v>
      </c>
      <c r="E147" s="33" t="s">
        <v>70</v>
      </c>
      <c r="F147" s="33" t="s">
        <v>314</v>
      </c>
      <c r="G147" s="33">
        <v>3</v>
      </c>
      <c r="H147" s="33"/>
      <c r="I147" s="33"/>
      <c r="J147" s="33"/>
      <c r="K147" s="33"/>
      <c r="L147" s="33"/>
      <c r="M147" s="33"/>
      <c r="N147" s="33"/>
      <c r="O147" s="33" t="s">
        <v>315</v>
      </c>
    </row>
    <row r="148" spans="1:15" ht="42.75" x14ac:dyDescent="0.2">
      <c r="A148" s="32" t="s">
        <v>12</v>
      </c>
      <c r="B148" s="32" t="s">
        <v>13</v>
      </c>
      <c r="C148" s="33" t="s">
        <v>165</v>
      </c>
      <c r="D148" s="20" t="s">
        <v>166</v>
      </c>
      <c r="E148" s="33" t="s">
        <v>70</v>
      </c>
      <c r="F148" s="33" t="s">
        <v>164</v>
      </c>
      <c r="G148" s="33">
        <v>5</v>
      </c>
      <c r="H148" s="33"/>
      <c r="I148" s="33">
        <v>120</v>
      </c>
      <c r="J148" s="33">
        <v>120</v>
      </c>
      <c r="K148" s="33"/>
      <c r="L148" s="33"/>
      <c r="M148" s="33"/>
      <c r="N148" s="33"/>
      <c r="O148" s="33" t="s">
        <v>159</v>
      </c>
    </row>
    <row r="149" spans="1:15" ht="28.5" x14ac:dyDescent="0.2">
      <c r="A149" s="32" t="s">
        <v>12</v>
      </c>
      <c r="B149" s="32" t="s">
        <v>13</v>
      </c>
      <c r="C149" s="33" t="s">
        <v>170</v>
      </c>
      <c r="D149" s="20" t="s">
        <v>171</v>
      </c>
      <c r="E149" s="33" t="s">
        <v>70</v>
      </c>
      <c r="F149" s="33" t="s">
        <v>172</v>
      </c>
      <c r="G149" s="33">
        <v>5</v>
      </c>
      <c r="H149" s="33"/>
      <c r="I149" s="33"/>
      <c r="J149" s="33"/>
      <c r="K149" s="33"/>
      <c r="L149" s="33"/>
      <c r="M149" s="33"/>
      <c r="N149" s="33"/>
      <c r="O149" s="33" t="s">
        <v>173</v>
      </c>
    </row>
    <row r="150" spans="1:15" ht="15" x14ac:dyDescent="0.2">
      <c r="A150" s="32" t="s">
        <v>12</v>
      </c>
      <c r="B150" s="32" t="s">
        <v>13</v>
      </c>
      <c r="C150" s="33" t="s">
        <v>243</v>
      </c>
      <c r="D150" s="20" t="s">
        <v>244</v>
      </c>
      <c r="E150" s="33" t="s">
        <v>70</v>
      </c>
      <c r="F150" s="33" t="s">
        <v>245</v>
      </c>
      <c r="G150" s="33">
        <v>2</v>
      </c>
      <c r="H150" s="33"/>
      <c r="I150" s="33"/>
      <c r="J150" s="33"/>
      <c r="K150" s="33"/>
      <c r="L150" s="33"/>
      <c r="M150" s="33"/>
      <c r="N150" s="33"/>
      <c r="O150" s="33" t="s">
        <v>246</v>
      </c>
    </row>
    <row r="151" spans="1:15" ht="42.75" x14ac:dyDescent="0.2">
      <c r="A151" s="32" t="s">
        <v>12</v>
      </c>
      <c r="B151" s="32" t="s">
        <v>13</v>
      </c>
      <c r="C151" s="33" t="s">
        <v>162</v>
      </c>
      <c r="D151" s="20" t="s">
        <v>163</v>
      </c>
      <c r="E151" s="33" t="s">
        <v>70</v>
      </c>
      <c r="F151" s="33" t="s">
        <v>164</v>
      </c>
      <c r="G151" s="33">
        <v>8</v>
      </c>
      <c r="H151" s="33"/>
      <c r="I151" s="33">
        <v>0</v>
      </c>
      <c r="J151" s="33">
        <v>0</v>
      </c>
      <c r="K151" s="33"/>
      <c r="L151" s="33"/>
      <c r="M151" s="33"/>
      <c r="N151" s="33"/>
      <c r="O151" s="33" t="s">
        <v>159</v>
      </c>
    </row>
    <row r="152" spans="1:15" ht="28.5" x14ac:dyDescent="0.2">
      <c r="A152" s="32" t="s">
        <v>12</v>
      </c>
      <c r="B152" s="32" t="s">
        <v>13</v>
      </c>
      <c r="C152" s="33" t="s">
        <v>316</v>
      </c>
      <c r="D152" s="20" t="s">
        <v>317</v>
      </c>
      <c r="E152" s="33" t="s">
        <v>70</v>
      </c>
      <c r="F152" s="33" t="s">
        <v>314</v>
      </c>
      <c r="G152" s="33">
        <v>3</v>
      </c>
      <c r="H152" s="33"/>
      <c r="I152" s="33"/>
      <c r="J152" s="33"/>
      <c r="K152" s="33"/>
      <c r="L152" s="33"/>
      <c r="M152" s="33"/>
      <c r="N152" s="33"/>
      <c r="O152" s="33" t="s">
        <v>315</v>
      </c>
    </row>
    <row r="153" spans="1:15" ht="15" x14ac:dyDescent="0.2">
      <c r="A153" s="32" t="s">
        <v>12</v>
      </c>
      <c r="B153" s="32" t="s">
        <v>13</v>
      </c>
      <c r="C153" s="33" t="s">
        <v>322</v>
      </c>
      <c r="D153" s="20" t="s">
        <v>323</v>
      </c>
      <c r="E153" s="33" t="s">
        <v>70</v>
      </c>
      <c r="F153" s="33" t="s">
        <v>314</v>
      </c>
      <c r="G153" s="33">
        <v>3</v>
      </c>
      <c r="H153" s="33"/>
      <c r="I153" s="33"/>
      <c r="J153" s="33"/>
      <c r="K153" s="33"/>
      <c r="L153" s="33"/>
      <c r="M153" s="33"/>
      <c r="N153" s="33"/>
      <c r="O153" s="33" t="s">
        <v>121</v>
      </c>
    </row>
    <row r="154" spans="1:15" ht="28.5" x14ac:dyDescent="0.2">
      <c r="A154" s="32" t="s">
        <v>12</v>
      </c>
      <c r="B154" s="32" t="s">
        <v>13</v>
      </c>
      <c r="C154" s="33" t="s">
        <v>241</v>
      </c>
      <c r="D154" s="20" t="s">
        <v>242</v>
      </c>
      <c r="E154" s="33" t="s">
        <v>70</v>
      </c>
      <c r="F154" s="33" t="s">
        <v>237</v>
      </c>
      <c r="G154" s="33">
        <v>13</v>
      </c>
      <c r="H154" s="33"/>
      <c r="I154" s="33"/>
      <c r="J154" s="33"/>
      <c r="K154" s="33"/>
      <c r="L154" s="33"/>
      <c r="M154" s="33"/>
      <c r="N154" s="33"/>
      <c r="O154" s="33" t="s">
        <v>129</v>
      </c>
    </row>
    <row r="155" spans="1:15" ht="42.75" x14ac:dyDescent="0.2">
      <c r="A155" s="32" t="s">
        <v>12</v>
      </c>
      <c r="B155" s="32" t="s">
        <v>13</v>
      </c>
      <c r="C155" s="33" t="s">
        <v>238</v>
      </c>
      <c r="D155" s="20" t="s">
        <v>239</v>
      </c>
      <c r="E155" s="33" t="s">
        <v>70</v>
      </c>
      <c r="F155" s="33" t="s">
        <v>237</v>
      </c>
      <c r="G155" s="33">
        <v>5</v>
      </c>
      <c r="H155" s="33"/>
      <c r="I155" s="33"/>
      <c r="J155" s="33"/>
      <c r="K155" s="33"/>
      <c r="L155" s="33"/>
      <c r="M155" s="33"/>
      <c r="N155" s="33"/>
      <c r="O155" s="33" t="s">
        <v>240</v>
      </c>
    </row>
    <row r="156" spans="1:15" ht="15" x14ac:dyDescent="0.2">
      <c r="A156" s="32" t="s">
        <v>12</v>
      </c>
      <c r="B156" s="32" t="s">
        <v>13</v>
      </c>
      <c r="C156" s="33" t="s">
        <v>235</v>
      </c>
      <c r="D156" s="20" t="s">
        <v>236</v>
      </c>
      <c r="E156" s="33" t="s">
        <v>70</v>
      </c>
      <c r="F156" s="33" t="s">
        <v>237</v>
      </c>
      <c r="G156" s="33">
        <v>13</v>
      </c>
      <c r="H156" s="33"/>
      <c r="I156" s="33"/>
      <c r="J156" s="33"/>
      <c r="K156" s="33"/>
      <c r="L156" s="33"/>
      <c r="M156" s="33"/>
      <c r="N156" s="33"/>
      <c r="O156" s="33" t="s">
        <v>118</v>
      </c>
    </row>
    <row r="157" spans="1:15" x14ac:dyDescent="0.2">
      <c r="A157" s="109" t="s">
        <v>645</v>
      </c>
      <c r="B157" s="110"/>
      <c r="C157" s="110"/>
      <c r="D157" s="110"/>
      <c r="E157" s="110"/>
      <c r="F157" s="110"/>
      <c r="G157" s="110"/>
      <c r="H157" s="110"/>
      <c r="I157" s="110"/>
      <c r="J157" s="110"/>
      <c r="K157" s="110"/>
      <c r="L157" s="110"/>
      <c r="M157" s="110"/>
      <c r="N157" s="110"/>
      <c r="O157" s="111"/>
    </row>
  </sheetData>
  <mergeCells count="4">
    <mergeCell ref="A1:O1"/>
    <mergeCell ref="A2:O2"/>
    <mergeCell ref="A3:O3"/>
    <mergeCell ref="A157:O157"/>
  </mergeCells>
  <hyperlinks>
    <hyperlink ref="A2" r:id="rId1" display="https://webgate.ec.europa.eu/CITnet/jira/issues/?jql=project+in+%28COMPCORP%2C+CCADMIN%2C+CCARCHITEC%2C+CCDOCLIST%2C+ECKL%2C+CCINFRAEC%2C+INTERCOM%2C+CCPMO%2C+PFM%2C+PROCESS%2C+CCTASK%2C+TSKACTION%2C+WAVECC%2C+COMPASS%29+AND+issuetype+in+%28Story%29+AND+fixversion+is+not+EMPTY+ORDER+BY+status+DESC"/>
    <hyperlink ref="D5" r:id="rId2" display="https://webgate.ec.europa.eu/CITnet/jira/browse/PFM-87"/>
    <hyperlink ref="D6" r:id="rId3" display="https://webgate.ec.europa.eu/CITnet/jira/browse/PFM-81"/>
    <hyperlink ref="D7" r:id="rId4" display="https://webgate.ec.europa.eu/CITnet/jira/browse/CCADMIN-13"/>
    <hyperlink ref="D8" r:id="rId5" display="https://webgate.ec.europa.eu/CITnet/jira/browse/CCADMIN-12"/>
    <hyperlink ref="D9" r:id="rId6" display="https://webgate.ec.europa.eu/CITnet/jira/browse/PFM-116"/>
    <hyperlink ref="D10" r:id="rId7" display="https://webgate.ec.europa.eu/CITnet/jira/browse/INTERCOM-41"/>
    <hyperlink ref="D11" r:id="rId8" display="https://webgate.ec.europa.eu/CITnet/jira/browse/PFM-114"/>
    <hyperlink ref="D12" r:id="rId9" display="https://webgate.ec.europa.eu/CITnet/jira/browse/CCPMO-46"/>
    <hyperlink ref="D13" r:id="rId10" display="https://webgate.ec.europa.eu/CITnet/jira/browse/WAVECC-7"/>
    <hyperlink ref="D14" r:id="rId11" display="https://webgate.ec.europa.eu/CITnet/jira/browse/INTERCOM-36"/>
    <hyperlink ref="D15" r:id="rId12" display="https://webgate.ec.europa.eu/CITnet/jira/browse/PROCESS-86"/>
    <hyperlink ref="D16" r:id="rId13" display="https://webgate.ec.europa.eu/CITnet/jira/browse/PROCESS-76"/>
    <hyperlink ref="D17" r:id="rId14" display="https://webgate.ec.europa.eu/CITnet/jira/browse/CCADMIN-16"/>
    <hyperlink ref="D18" r:id="rId15" display="https://webgate.ec.europa.eu/CITnet/jira/browse/CCADMIN-15"/>
    <hyperlink ref="D19" r:id="rId16" display="https://webgate.ec.europa.eu/CITnet/jira/browse/PFM-51"/>
    <hyperlink ref="D20" r:id="rId17" display="https://webgate.ec.europa.eu/CITnet/jira/browse/PFM-53"/>
    <hyperlink ref="D21" r:id="rId18" display="https://webgate.ec.europa.eu/CITnet/jira/browse/PFM-56"/>
    <hyperlink ref="D22" r:id="rId19" display="https://webgate.ec.europa.eu/CITnet/jira/browse/CCTASK-116"/>
    <hyperlink ref="D23" r:id="rId20" display="https://webgate.ec.europa.eu/CITnet/jira/browse/CCTASK-118"/>
    <hyperlink ref="D24" r:id="rId21" display="https://webgate.ec.europa.eu/CITnet/jira/browse/CCTASK-117"/>
    <hyperlink ref="D25" r:id="rId22" display="https://webgate.ec.europa.eu/CITnet/jira/browse/CCTASK-121"/>
    <hyperlink ref="D26" r:id="rId23" display="https://webgate.ec.europa.eu/CITnet/jira/browse/CCTASK-99"/>
    <hyperlink ref="D27" r:id="rId24" display="https://webgate.ec.europa.eu/CITnet/jira/browse/CCTASK-94"/>
    <hyperlink ref="D28" r:id="rId25" display="https://webgate.ec.europa.eu/CITnet/jira/browse/CCTASK-107"/>
    <hyperlink ref="D29" r:id="rId26" display="https://webgate.ec.europa.eu/CITnet/jira/browse/CCTASK-84"/>
    <hyperlink ref="D30" r:id="rId27" display="https://webgate.ec.europa.eu/CITnet/jira/browse/CCTASK-90"/>
    <hyperlink ref="D31" r:id="rId28" display="https://webgate.ec.europa.eu/CITnet/jira/browse/CCTASK-79"/>
    <hyperlink ref="D32" r:id="rId29" display="https://webgate.ec.europa.eu/CITnet/jira/browse/CCTASK-104"/>
    <hyperlink ref="D33" r:id="rId30" display="https://webgate.ec.europa.eu/CITnet/jira/browse/CCTASK-87"/>
    <hyperlink ref="D34" r:id="rId31" display="https://webgate.ec.europa.eu/CITnet/jira/browse/CCTASK-80"/>
    <hyperlink ref="D35" r:id="rId32" display="https://webgate.ec.europa.eu/CITnet/jira/browse/CCTASK-100"/>
    <hyperlink ref="D36" r:id="rId33" display="https://webgate.ec.europa.eu/CITnet/jira/browse/CCTASK-88"/>
    <hyperlink ref="D37" r:id="rId34" display="https://webgate.ec.europa.eu/CITnet/jira/browse/CCTASK-109"/>
    <hyperlink ref="D38" r:id="rId35" display="https://webgate.ec.europa.eu/CITnet/jira/browse/CCTASK-97"/>
    <hyperlink ref="D39" r:id="rId36" display="https://webgate.ec.europa.eu/CITnet/jira/browse/CCTASK-98"/>
    <hyperlink ref="D40" r:id="rId37" display="https://webgate.ec.europa.eu/CITnet/jira/browse/CCTASK-77"/>
    <hyperlink ref="D41" r:id="rId38" display="https://webgate.ec.europa.eu/CITnet/jira/browse/CCTASK-120"/>
    <hyperlink ref="D42" r:id="rId39" display="https://webgate.ec.europa.eu/CITnet/jira/browse/CCTASK-75"/>
    <hyperlink ref="D43" r:id="rId40" display="https://webgate.ec.europa.eu/CITnet/jira/browse/CCTASK-103"/>
    <hyperlink ref="D44" r:id="rId41" display="https://webgate.ec.europa.eu/CITnet/jira/browse/CCTASK-113"/>
    <hyperlink ref="D45" r:id="rId42" display="https://webgate.ec.europa.eu/CITnet/jira/browse/CCTASK-93"/>
    <hyperlink ref="D46" r:id="rId43" display="https://webgate.ec.europa.eu/CITnet/jira/browse/CCTASK-123"/>
    <hyperlink ref="D47" r:id="rId44" display="https://webgate.ec.europa.eu/CITnet/jira/browse/CCTASK-78"/>
    <hyperlink ref="D48" r:id="rId45" display="https://webgate.ec.europa.eu/CITnet/jira/browse/CCTASK-101"/>
    <hyperlink ref="D49" r:id="rId46" display="https://webgate.ec.europa.eu/CITnet/jira/browse/CCTASK-112"/>
    <hyperlink ref="D50" r:id="rId47" display="https://webgate.ec.europa.eu/CITnet/jira/browse/CCTASK-82"/>
    <hyperlink ref="D51" r:id="rId48" display="https://webgate.ec.europa.eu/CITnet/jira/browse/CCTASK-89"/>
    <hyperlink ref="D52" r:id="rId49" display="https://webgate.ec.europa.eu/CITnet/jira/browse/CCTASK-102"/>
    <hyperlink ref="D53" r:id="rId50" display="https://webgate.ec.europa.eu/CITnet/jira/browse/CCTASK-110"/>
    <hyperlink ref="D54" r:id="rId51" display="https://webgate.ec.europa.eu/CITnet/jira/browse/CCPMO-59"/>
    <hyperlink ref="D55" r:id="rId52" display="https://webgate.ec.europa.eu/CITnet/jira/browse/CCPMO-58"/>
    <hyperlink ref="D56" r:id="rId53" display="https://webgate.ec.europa.eu/CITnet/jira/browse/PROCESS-89"/>
    <hyperlink ref="D57" r:id="rId54" display="https://webgate.ec.europa.eu/CITnet/jira/browse/CCADMIN-56"/>
    <hyperlink ref="D58" r:id="rId55" display="https://webgate.ec.europa.eu/CITnet/jira/browse/INTERCOM-73"/>
    <hyperlink ref="D59" r:id="rId56" display="https://webgate.ec.europa.eu/CITnet/jira/browse/CCADMIN-53"/>
    <hyperlink ref="D60" r:id="rId57" display="https://webgate.ec.europa.eu/CITnet/jira/browse/INTERCOM-70"/>
    <hyperlink ref="D61" r:id="rId58" display="https://webgate.ec.europa.eu/CITnet/jira/browse/INTERCOM-65"/>
    <hyperlink ref="D62" r:id="rId59" display="https://webgate.ec.europa.eu/CITnet/jira/browse/INTERCOM-64"/>
    <hyperlink ref="D63" r:id="rId60" display="https://webgate.ec.europa.eu/CITnet/jira/browse/PFM-160"/>
    <hyperlink ref="D64" r:id="rId61" display="https://webgate.ec.europa.eu/CITnet/jira/browse/WAVECC-43"/>
    <hyperlink ref="D65" r:id="rId62" display="https://webgate.ec.europa.eu/CITnet/jira/browse/INTERCOM-60"/>
    <hyperlink ref="D66" r:id="rId63" display="https://webgate.ec.europa.eu/CITnet/jira/browse/CCADMIN-51"/>
    <hyperlink ref="D67" r:id="rId64" display="https://webgate.ec.europa.eu/CITnet/jira/browse/CCADMIN-35"/>
    <hyperlink ref="D68" r:id="rId65" display="https://webgate.ec.europa.eu/CITnet/jira/browse/WAVECC-26"/>
    <hyperlink ref="D69" r:id="rId66" display="https://webgate.ec.europa.eu/CITnet/jira/browse/WAVECC-28"/>
    <hyperlink ref="D70" r:id="rId67" display="https://webgate.ec.europa.eu/CITnet/jira/browse/PFM-144"/>
    <hyperlink ref="D71" r:id="rId68" display="https://webgate.ec.europa.eu/CITnet/jira/browse/CCADMIN-47"/>
    <hyperlink ref="D72" r:id="rId69" display="https://webgate.ec.europa.eu/CITnet/jira/browse/CCADMIN-45"/>
    <hyperlink ref="D73" r:id="rId70" display="https://webgate.ec.europa.eu/CITnet/jira/browse/CCADMIN-43"/>
    <hyperlink ref="D74" r:id="rId71" display="https://webgate.ec.europa.eu/CITnet/jira/browse/CCADMIN-46"/>
    <hyperlink ref="D75" r:id="rId72" display="https://webgate.ec.europa.eu/CITnet/jira/browse/INTERCOM-53"/>
    <hyperlink ref="D76" r:id="rId73" display="https://webgate.ec.europa.eu/CITnet/jira/browse/PFM-155"/>
    <hyperlink ref="D77" r:id="rId74" display="https://webgate.ec.europa.eu/CITnet/jira/browse/INTERCOM-57"/>
    <hyperlink ref="D78" r:id="rId75" display="https://webgate.ec.europa.eu/CITnet/jira/browse/INTERCOM-56"/>
    <hyperlink ref="D79" r:id="rId76" display="https://webgate.ec.europa.eu/CITnet/jira/browse/INTERCOM-58"/>
    <hyperlink ref="D80" r:id="rId77" display="https://webgate.ec.europa.eu/CITnet/jira/browse/CCADMIN-52"/>
    <hyperlink ref="D81" r:id="rId78" display="https://webgate.ec.europa.eu/CITnet/jira/browse/PFM-64"/>
    <hyperlink ref="D82" r:id="rId79" display="https://webgate.ec.europa.eu/CITnet/jira/browse/INTERCOM-74"/>
    <hyperlink ref="D83" r:id="rId80" display="https://webgate.ec.europa.eu/CITnet/jira/browse/CCDOCLIST-63"/>
    <hyperlink ref="D84" r:id="rId81" display="https://webgate.ec.europa.eu/CITnet/jira/browse/CCTASK-567"/>
    <hyperlink ref="D85" r:id="rId82" display="https://webgate.ec.europa.eu/CITnet/jira/browse/CCPMO-103"/>
    <hyperlink ref="D86" r:id="rId83" display="https://webgate.ec.europa.eu/CITnet/jira/browse/CCPMO-111"/>
    <hyperlink ref="D87" r:id="rId84" display="https://webgate.ec.europa.eu/CITnet/jira/browse/CCPMO-79"/>
    <hyperlink ref="D88" r:id="rId85" display="https://webgate.ec.europa.eu/CITnet/jira/browse/WAVECC-25"/>
    <hyperlink ref="D89" r:id="rId86" display="https://webgate.ec.europa.eu/CITnet/jira/browse/PROCESS-90"/>
    <hyperlink ref="D90" r:id="rId87" display="https://webgate.ec.europa.eu/CITnet/jira/browse/PFM-142"/>
    <hyperlink ref="D91" r:id="rId88" display="https://webgate.ec.europa.eu/CITnet/jira/browse/CCADMIN-48"/>
    <hyperlink ref="D92" r:id="rId89" display="https://webgate.ec.europa.eu/CITnet/jira/browse/PFM-92"/>
    <hyperlink ref="D93" r:id="rId90" display="https://webgate.ec.europa.eu/CITnet/jira/browse/PFM-91"/>
    <hyperlink ref="D94" r:id="rId91" display="https://webgate.ec.europa.eu/CITnet/jira/browse/CCADMIN-14"/>
    <hyperlink ref="D95" r:id="rId92" display="https://webgate.ec.europa.eu/CITnet/jira/browse/INTERCOM-43"/>
    <hyperlink ref="D96" r:id="rId93" display="https://webgate.ec.europa.eu/CITnet/jira/browse/WAVECC-6"/>
    <hyperlink ref="D97" r:id="rId94" display="https://webgate.ec.europa.eu/CITnet/jira/browse/PFM-110"/>
    <hyperlink ref="D98" r:id="rId95" display="https://webgate.ec.europa.eu/CITnet/jira/browse/PFM-54"/>
    <hyperlink ref="D99" r:id="rId96" display="https://webgate.ec.europa.eu/CITnet/jira/browse/PFM-50"/>
    <hyperlink ref="D100" r:id="rId97" display="https://webgate.ec.europa.eu/CITnet/jira/browse/PFM-49"/>
    <hyperlink ref="D101" r:id="rId98" display="https://webgate.ec.europa.eu/CITnet/jira/browse/PFM-73"/>
    <hyperlink ref="D102" r:id="rId99" display="https://webgate.ec.europa.eu/CITnet/jira/browse/PFM-63"/>
    <hyperlink ref="D103" r:id="rId100" display="https://webgate.ec.europa.eu/CITnet/jira/browse/PFM-8"/>
    <hyperlink ref="D104" r:id="rId101" display="https://webgate.ec.europa.eu/CITnet/jira/browse/PROCESS-129"/>
    <hyperlink ref="D105" r:id="rId102" display="https://webgate.ec.europa.eu/CITnet/jira/browse/PROCESS-128"/>
    <hyperlink ref="D106" r:id="rId103" display="https://webgate.ec.europa.eu/CITnet/jira/browse/CCPMO-119"/>
    <hyperlink ref="D107" r:id="rId104" display="https://webgate.ec.europa.eu/CITnet/jira/browse/CCPMO-95"/>
    <hyperlink ref="D108" r:id="rId105" display="https://webgate.ec.europa.eu/CITnet/jira/browse/CCPMO-87"/>
    <hyperlink ref="D109" r:id="rId106" display="https://webgate.ec.europa.eu/CITnet/jira/browse/PFM-149"/>
    <hyperlink ref="D110" r:id="rId107" display="https://webgate.ec.europa.eu/CITnet/jira/browse/PFM-150"/>
    <hyperlink ref="D111" r:id="rId108" display="https://webgate.ec.europa.eu/CITnet/jira/browse/PFM-148"/>
    <hyperlink ref="D112" r:id="rId109" display="https://webgate.ec.europa.eu/CITnet/jira/browse/PROCESS-111"/>
    <hyperlink ref="D113" r:id="rId110" display="https://webgate.ec.europa.eu/CITnet/jira/browse/PROCESS-113"/>
    <hyperlink ref="D114" r:id="rId111" display="https://webgate.ec.europa.eu/CITnet/jira/browse/PROCESS-110"/>
    <hyperlink ref="D115" r:id="rId112" display="https://webgate.ec.europa.eu/CITnet/jira/browse/PROCESS-108"/>
    <hyperlink ref="D116" r:id="rId113" display="https://webgate.ec.europa.eu/CITnet/jira/browse/PROCESS-107"/>
    <hyperlink ref="D117" r:id="rId114" display="https://webgate.ec.europa.eu/CITnet/jira/browse/PROCESS-109"/>
    <hyperlink ref="D118" r:id="rId115" display="https://webgate.ec.europa.eu/CITnet/jira/browse/INTERCOM-67"/>
    <hyperlink ref="D119" r:id="rId116" display="https://webgate.ec.europa.eu/CITnet/jira/browse/INTERCOM-66"/>
    <hyperlink ref="D120" r:id="rId117" display="https://webgate.ec.europa.eu/CITnet/jira/browse/WAVECC-35"/>
    <hyperlink ref="D121" r:id="rId118" display="https://webgate.ec.europa.eu/CITnet/jira/browse/PFM-143"/>
    <hyperlink ref="D122" r:id="rId119" display="https://webgate.ec.europa.eu/CITnet/jira/browse/PROCESS-112"/>
    <hyperlink ref="D123" r:id="rId120" display="https://webgate.ec.europa.eu/CITnet/jira/browse/WAVECC-44"/>
    <hyperlink ref="D124" r:id="rId121" display="https://webgate.ec.europa.eu/CITnet/jira/browse/CCTASK-50"/>
    <hyperlink ref="D125" r:id="rId122" display="https://webgate.ec.europa.eu/CITnet/jira/browse/PFM-82"/>
    <hyperlink ref="D126" r:id="rId123" display="https://webgate.ec.europa.eu/CITnet/jira/browse/CCTASK-455"/>
    <hyperlink ref="D127" r:id="rId124" display="https://webgate.ec.europa.eu/CITnet/jira/browse/PROCESS-74"/>
    <hyperlink ref="D128" r:id="rId125" display="https://webgate.ec.europa.eu/CITnet/jira/browse/PFM-52"/>
    <hyperlink ref="D129" r:id="rId126" display="https://webgate.ec.europa.eu/CITnet/jira/browse/PFM-71"/>
    <hyperlink ref="D130" r:id="rId127" display="https://webgate.ec.europa.eu/CITnet/jira/browse/PFM-69"/>
    <hyperlink ref="D131" r:id="rId128" display="https://webgate.ec.europa.eu/CITnet/jira/browse/PFM-68"/>
    <hyperlink ref="D132" r:id="rId129" display="https://webgate.ec.europa.eu/CITnet/jira/browse/PFM-59"/>
    <hyperlink ref="D133" r:id="rId130" display="https://webgate.ec.europa.eu/CITnet/jira/browse/PROCESS-48"/>
    <hyperlink ref="D134" r:id="rId131" display="https://webgate.ec.europa.eu/CITnet/jira/browse/PROCESS-49"/>
    <hyperlink ref="D135" r:id="rId132" display="https://webgate.ec.europa.eu/CITnet/jira/browse/CCTASK-67"/>
    <hyperlink ref="D136" r:id="rId133" display="https://webgate.ec.europa.eu/CITnet/jira/browse/CCTASK-53"/>
    <hyperlink ref="D137" r:id="rId134" display="https://webgate.ec.europa.eu/CITnet/jira/browse/CCTASK-137"/>
    <hyperlink ref="D138" r:id="rId135" display="https://webgate.ec.europa.eu/CITnet/jira/browse/CCTASK-62"/>
    <hyperlink ref="D139" r:id="rId136" display="https://webgate.ec.europa.eu/CITnet/jira/browse/CCTASK-65"/>
    <hyperlink ref="D140" r:id="rId137" display="https://webgate.ec.europa.eu/CITnet/jira/browse/CCPMO-62"/>
    <hyperlink ref="D141" r:id="rId138" display="https://webgate.ec.europa.eu/CITnet/jira/browse/CCTASK-564"/>
    <hyperlink ref="D142" r:id="rId139" display="https://webgate.ec.europa.eu/CITnet/jira/browse/CCTASK-522"/>
    <hyperlink ref="D143" r:id="rId140" display="https://webgate.ec.europa.eu/CITnet/jira/browse/CCTASK-512"/>
    <hyperlink ref="D144" r:id="rId141" display="https://webgate.ec.europa.eu/CITnet/jira/browse/PROCESS-122"/>
    <hyperlink ref="D145" r:id="rId142" display="https://webgate.ec.europa.eu/CITnet/jira/browse/PROCESS-120"/>
    <hyperlink ref="D146" r:id="rId143" display="https://webgate.ec.europa.eu/CITnet/jira/browse/PROCESS-117"/>
    <hyperlink ref="D147" r:id="rId144" display="https://webgate.ec.europa.eu/CITnet/jira/browse/PROCESS-119"/>
    <hyperlink ref="D148" r:id="rId145" display="https://webgate.ec.europa.eu/CITnet/jira/browse/PFM-146"/>
    <hyperlink ref="D149" r:id="rId146" display="https://webgate.ec.europa.eu/CITnet/jira/browse/PFM-151"/>
    <hyperlink ref="D150" r:id="rId147" display="https://webgate.ec.europa.eu/CITnet/jira/browse/PFM-152"/>
    <hyperlink ref="D151" r:id="rId148" display="https://webgate.ec.europa.eu/CITnet/jira/browse/PFM-147"/>
    <hyperlink ref="D152" r:id="rId149" display="https://webgate.ec.europa.eu/CITnet/jira/browse/PROCESS-118"/>
    <hyperlink ref="D153" r:id="rId150" display="https://webgate.ec.europa.eu/CITnet/jira/browse/PROCESS-121"/>
    <hyperlink ref="D154" r:id="rId151" display="https://webgate.ec.europa.eu/CITnet/jira/browse/PROCESS-114"/>
    <hyperlink ref="D155" r:id="rId152" display="https://webgate.ec.europa.eu/CITnet/jira/browse/PROCESS-116"/>
    <hyperlink ref="D156" r:id="rId153" display="https://webgate.ec.europa.eu/CITnet/jira/browse/PROCESS-115"/>
  </hyperlinks>
  <printOptions horizontalCentered="1" verticalCentered="1"/>
  <pageMargins left="0.25" right="0.25" top="0.25" bottom="0.5" header="0.5" footer="0.25"/>
  <pageSetup orientation="landscape" horizontalDpi="0" verticalDpi="0"/>
  <headerFooter>
    <oddFooter>&amp;R&amp;P of &amp;N</oddFooter>
  </headerFooter>
  <drawing r:id="rId15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2060"/>
  </sheetPr>
  <dimension ref="A1:O157"/>
  <sheetViews>
    <sheetView workbookViewId="0">
      <selection activeCell="E8" sqref="E8"/>
    </sheetView>
  </sheetViews>
  <sheetFormatPr defaultRowHeight="12" x14ac:dyDescent="0.2"/>
  <cols>
    <col min="1" max="1" width="10.5" style="17" bestFit="1" customWidth="1"/>
    <col min="2" max="2" width="10.25" style="17" bestFit="1" customWidth="1"/>
    <col min="3" max="3" width="32" style="17" bestFit="1" customWidth="1"/>
    <col min="4" max="4" width="11.75" style="17" bestFit="1" customWidth="1"/>
    <col min="5" max="5" width="31.125" style="17" bestFit="1" customWidth="1"/>
    <col min="6" max="6" width="32" style="17" bestFit="1" customWidth="1"/>
    <col min="7" max="7" width="11.75" style="17" bestFit="1" customWidth="1"/>
    <col min="8" max="8" width="9" style="17" bestFit="1" customWidth="1"/>
    <col min="9" max="9" width="17.875" style="17" bestFit="1" customWidth="1"/>
    <col min="10" max="10" width="20.375" style="17" bestFit="1" customWidth="1"/>
    <col min="11" max="11" width="8.5" style="17" bestFit="1" customWidth="1"/>
    <col min="12" max="12" width="14.125" style="17" bestFit="1" customWidth="1"/>
    <col min="13" max="13" width="14.625" style="17" bestFit="1" customWidth="1"/>
    <col min="14" max="14" width="14.5" style="17" bestFit="1" customWidth="1"/>
    <col min="15" max="15" width="32" style="17" bestFit="1" customWidth="1"/>
    <col min="16" max="16384" width="9" style="17"/>
  </cols>
  <sheetData>
    <row r="1" spans="1:15" ht="27" customHeight="1" x14ac:dyDescent="0.2">
      <c r="A1" s="112"/>
      <c r="B1" s="113"/>
      <c r="C1" s="113"/>
      <c r="D1" s="113"/>
      <c r="E1" s="113"/>
      <c r="F1" s="113"/>
      <c r="G1" s="113"/>
      <c r="H1" s="113"/>
      <c r="I1" s="113"/>
      <c r="J1" s="113"/>
      <c r="K1" s="113"/>
      <c r="L1" s="113"/>
      <c r="M1" s="113"/>
      <c r="N1" s="113"/>
      <c r="O1" s="114"/>
    </row>
    <row r="2" spans="1:15" ht="15" customHeight="1" x14ac:dyDescent="0.2">
      <c r="A2" s="76" t="s">
        <v>426</v>
      </c>
      <c r="B2" s="77"/>
      <c r="C2" s="77"/>
      <c r="D2" s="77"/>
      <c r="E2" s="77"/>
      <c r="F2" s="77"/>
      <c r="G2" s="77"/>
      <c r="H2" s="77"/>
      <c r="I2" s="77"/>
      <c r="J2" s="77"/>
      <c r="K2" s="77"/>
      <c r="L2" s="77"/>
      <c r="M2" s="77"/>
      <c r="N2" s="77"/>
      <c r="O2" s="78"/>
    </row>
    <row r="3" spans="1:15" ht="15" customHeight="1" x14ac:dyDescent="0.2">
      <c r="A3" s="115" t="s">
        <v>633</v>
      </c>
      <c r="B3" s="116"/>
      <c r="C3" s="116"/>
      <c r="D3" s="116"/>
      <c r="E3" s="116"/>
      <c r="F3" s="116"/>
      <c r="G3" s="116"/>
      <c r="H3" s="116"/>
      <c r="I3" s="116"/>
      <c r="J3" s="116"/>
      <c r="K3" s="116"/>
      <c r="L3" s="116"/>
      <c r="M3" s="116"/>
      <c r="N3" s="116"/>
      <c r="O3" s="117"/>
    </row>
    <row r="4" spans="1:15" ht="15" x14ac:dyDescent="0.2">
      <c r="A4" s="18" t="s">
        <v>4</v>
      </c>
      <c r="B4" s="18" t="s">
        <v>5</v>
      </c>
      <c r="C4" s="18" t="s">
        <v>54</v>
      </c>
      <c r="D4" s="18" t="s">
        <v>6</v>
      </c>
      <c r="E4" s="18" t="s">
        <v>7</v>
      </c>
      <c r="F4" s="18" t="s">
        <v>53</v>
      </c>
      <c r="G4" s="18" t="s">
        <v>8</v>
      </c>
      <c r="H4" s="18" t="s">
        <v>427</v>
      </c>
      <c r="I4" s="18" t="s">
        <v>429</v>
      </c>
      <c r="J4" s="18" t="s">
        <v>428</v>
      </c>
      <c r="K4" s="18" t="s">
        <v>9</v>
      </c>
      <c r="L4" s="18" t="s">
        <v>10</v>
      </c>
      <c r="M4" s="18" t="s">
        <v>52</v>
      </c>
      <c r="N4" s="18" t="s">
        <v>51</v>
      </c>
      <c r="O4" s="18" t="s">
        <v>11</v>
      </c>
    </row>
    <row r="5" spans="1:15" ht="28.5" x14ac:dyDescent="0.2">
      <c r="A5" s="21" t="s">
        <v>12</v>
      </c>
      <c r="B5" s="21" t="s">
        <v>14</v>
      </c>
      <c r="C5" s="19" t="s">
        <v>389</v>
      </c>
      <c r="D5" s="20" t="s">
        <v>390</v>
      </c>
      <c r="E5" s="19" t="s">
        <v>70</v>
      </c>
      <c r="F5" s="19"/>
      <c r="G5" s="19">
        <v>13</v>
      </c>
      <c r="H5" s="19"/>
      <c r="I5" s="19">
        <v>115200</v>
      </c>
      <c r="J5" s="19">
        <v>115200</v>
      </c>
      <c r="K5" s="19"/>
      <c r="L5" s="19"/>
      <c r="M5" s="19"/>
      <c r="N5" s="19"/>
      <c r="O5" s="19" t="s">
        <v>391</v>
      </c>
    </row>
    <row r="6" spans="1:15" ht="28.5" x14ac:dyDescent="0.2">
      <c r="A6" s="21" t="s">
        <v>12</v>
      </c>
      <c r="B6" s="21" t="s">
        <v>15</v>
      </c>
      <c r="C6" s="19" t="s">
        <v>186</v>
      </c>
      <c r="D6" s="20" t="s">
        <v>187</v>
      </c>
      <c r="E6" s="19" t="s">
        <v>70</v>
      </c>
      <c r="F6" s="19" t="s">
        <v>188</v>
      </c>
      <c r="G6" s="19">
        <v>13</v>
      </c>
      <c r="H6" s="19">
        <v>13</v>
      </c>
      <c r="I6" s="19">
        <v>115200</v>
      </c>
      <c r="J6" s="19">
        <v>115200</v>
      </c>
      <c r="K6" s="19"/>
      <c r="L6" s="19"/>
      <c r="M6" s="19"/>
      <c r="N6" s="19"/>
      <c r="O6" s="19" t="s">
        <v>189</v>
      </c>
    </row>
    <row r="7" spans="1:15" ht="15" x14ac:dyDescent="0.2">
      <c r="A7" s="21" t="s">
        <v>12</v>
      </c>
      <c r="B7" s="21" t="s">
        <v>14</v>
      </c>
      <c r="C7" s="19" t="s">
        <v>265</v>
      </c>
      <c r="D7" s="20" t="s">
        <v>266</v>
      </c>
      <c r="E7" s="19" t="s">
        <v>70</v>
      </c>
      <c r="F7" s="19" t="s">
        <v>267</v>
      </c>
      <c r="G7" s="19">
        <v>8</v>
      </c>
      <c r="H7" s="19"/>
      <c r="I7" s="19">
        <v>115200</v>
      </c>
      <c r="J7" s="19">
        <v>115200</v>
      </c>
      <c r="K7" s="19"/>
      <c r="L7" s="19"/>
      <c r="M7" s="19"/>
      <c r="N7" s="19"/>
      <c r="O7" s="19" t="s">
        <v>268</v>
      </c>
    </row>
    <row r="8" spans="1:15" ht="15" x14ac:dyDescent="0.2">
      <c r="A8" s="21" t="s">
        <v>12</v>
      </c>
      <c r="B8" s="21" t="s">
        <v>15</v>
      </c>
      <c r="C8" s="19" t="s">
        <v>431</v>
      </c>
      <c r="D8" s="20" t="s">
        <v>430</v>
      </c>
      <c r="E8" s="19" t="s">
        <v>432</v>
      </c>
      <c r="F8" s="19" t="s">
        <v>434</v>
      </c>
      <c r="G8" s="19">
        <v>8</v>
      </c>
      <c r="H8" s="19">
        <v>8</v>
      </c>
      <c r="I8" s="19">
        <v>144000</v>
      </c>
      <c r="J8" s="19">
        <v>144000</v>
      </c>
      <c r="K8" s="19"/>
      <c r="L8" s="19"/>
      <c r="M8" s="19"/>
      <c r="N8" s="19"/>
      <c r="O8" s="19" t="s">
        <v>433</v>
      </c>
    </row>
    <row r="9" spans="1:15" ht="15" x14ac:dyDescent="0.2">
      <c r="A9" s="21" t="s">
        <v>12</v>
      </c>
      <c r="B9" s="21" t="s">
        <v>15</v>
      </c>
      <c r="C9" s="19" t="s">
        <v>436</v>
      </c>
      <c r="D9" s="20" t="s">
        <v>435</v>
      </c>
      <c r="E9" s="19" t="s">
        <v>432</v>
      </c>
      <c r="F9" s="19" t="s">
        <v>434</v>
      </c>
      <c r="G9" s="19">
        <v>3</v>
      </c>
      <c r="H9" s="19">
        <v>3</v>
      </c>
      <c r="I9" s="19">
        <v>14400</v>
      </c>
      <c r="J9" s="19">
        <v>14400</v>
      </c>
      <c r="K9" s="19"/>
      <c r="L9" s="19"/>
      <c r="M9" s="19"/>
      <c r="N9" s="19"/>
      <c r="O9" s="19" t="s">
        <v>433</v>
      </c>
    </row>
    <row r="10" spans="1:15" ht="28.5" x14ac:dyDescent="0.2">
      <c r="A10" s="21" t="s">
        <v>12</v>
      </c>
      <c r="B10" s="21" t="s">
        <v>17</v>
      </c>
      <c r="C10" s="19" t="s">
        <v>438</v>
      </c>
      <c r="D10" s="20" t="s">
        <v>437</v>
      </c>
      <c r="E10" s="19" t="s">
        <v>432</v>
      </c>
      <c r="F10" s="19" t="s">
        <v>434</v>
      </c>
      <c r="G10" s="19">
        <v>8</v>
      </c>
      <c r="H10" s="19"/>
      <c r="I10" s="19">
        <v>57600</v>
      </c>
      <c r="J10" s="19">
        <v>57600</v>
      </c>
      <c r="K10" s="19"/>
      <c r="L10" s="19"/>
      <c r="M10" s="19"/>
      <c r="N10" s="19"/>
      <c r="O10" s="19" t="s">
        <v>439</v>
      </c>
    </row>
    <row r="11" spans="1:15" ht="28.5" x14ac:dyDescent="0.2">
      <c r="A11" s="21" t="s">
        <v>12</v>
      </c>
      <c r="B11" s="21" t="s">
        <v>15</v>
      </c>
      <c r="C11" s="19" t="s">
        <v>441</v>
      </c>
      <c r="D11" s="20" t="s">
        <v>440</v>
      </c>
      <c r="E11" s="19" t="s">
        <v>442</v>
      </c>
      <c r="F11" s="19" t="s">
        <v>443</v>
      </c>
      <c r="G11" s="19">
        <v>5</v>
      </c>
      <c r="H11" s="19">
        <v>5</v>
      </c>
      <c r="I11" s="19">
        <v>259200</v>
      </c>
      <c r="J11" s="19">
        <v>259200</v>
      </c>
      <c r="K11" s="19"/>
      <c r="L11" s="19"/>
      <c r="M11" s="19"/>
      <c r="N11" s="19"/>
      <c r="O11" s="19" t="s">
        <v>439</v>
      </c>
    </row>
    <row r="12" spans="1:15" ht="42.75" x14ac:dyDescent="0.2">
      <c r="A12" s="21" t="s">
        <v>12</v>
      </c>
      <c r="B12" s="21" t="s">
        <v>106</v>
      </c>
      <c r="C12" s="19" t="s">
        <v>445</v>
      </c>
      <c r="D12" s="20" t="s">
        <v>444</v>
      </c>
      <c r="E12" s="19" t="s">
        <v>442</v>
      </c>
      <c r="F12" s="19" t="s">
        <v>447</v>
      </c>
      <c r="G12" s="19">
        <v>5</v>
      </c>
      <c r="H12" s="19"/>
      <c r="I12" s="19">
        <v>302400</v>
      </c>
      <c r="J12" s="19">
        <v>302400</v>
      </c>
      <c r="K12" s="19"/>
      <c r="L12" s="19"/>
      <c r="M12" s="19"/>
      <c r="N12" s="19"/>
      <c r="O12" s="19" t="s">
        <v>446</v>
      </c>
    </row>
    <row r="13" spans="1:15" ht="28.5" x14ac:dyDescent="0.2">
      <c r="A13" s="21" t="s">
        <v>12</v>
      </c>
      <c r="B13" s="21" t="s">
        <v>106</v>
      </c>
      <c r="C13" s="19" t="s">
        <v>139</v>
      </c>
      <c r="D13" s="20" t="s">
        <v>140</v>
      </c>
      <c r="E13" s="19" t="s">
        <v>70</v>
      </c>
      <c r="F13" s="19" t="s">
        <v>128</v>
      </c>
      <c r="G13" s="19"/>
      <c r="H13" s="19"/>
      <c r="I13" s="19"/>
      <c r="J13" s="19"/>
      <c r="K13" s="19"/>
      <c r="L13" s="19"/>
      <c r="M13" s="19"/>
      <c r="N13" s="19"/>
      <c r="O13" s="19"/>
    </row>
    <row r="14" spans="1:15" ht="28.5" x14ac:dyDescent="0.2">
      <c r="A14" s="21" t="s">
        <v>12</v>
      </c>
      <c r="B14" s="21" t="s">
        <v>106</v>
      </c>
      <c r="C14" s="19" t="s">
        <v>136</v>
      </c>
      <c r="D14" s="20" t="s">
        <v>137</v>
      </c>
      <c r="E14" s="19" t="s">
        <v>70</v>
      </c>
      <c r="F14" s="19" t="s">
        <v>138</v>
      </c>
      <c r="G14" s="19"/>
      <c r="H14" s="19"/>
      <c r="I14" s="19"/>
      <c r="J14" s="19"/>
      <c r="K14" s="19"/>
      <c r="L14" s="19"/>
      <c r="M14" s="19"/>
      <c r="N14" s="19"/>
      <c r="O14" s="19"/>
    </row>
    <row r="15" spans="1:15" ht="28.5" x14ac:dyDescent="0.2">
      <c r="A15" s="21" t="s">
        <v>12</v>
      </c>
      <c r="B15" s="21" t="s">
        <v>13</v>
      </c>
      <c r="C15" s="19" t="s">
        <v>324</v>
      </c>
      <c r="D15" s="20" t="s">
        <v>325</v>
      </c>
      <c r="E15" s="19" t="s">
        <v>70</v>
      </c>
      <c r="F15" s="19" t="s">
        <v>314</v>
      </c>
      <c r="G15" s="19"/>
      <c r="H15" s="19"/>
      <c r="I15" s="19"/>
      <c r="J15" s="19"/>
      <c r="K15" s="19"/>
      <c r="L15" s="19"/>
      <c r="M15" s="19"/>
      <c r="N15" s="19"/>
      <c r="O15" s="19"/>
    </row>
    <row r="16" spans="1:15" ht="15" x14ac:dyDescent="0.2">
      <c r="A16" s="21" t="s">
        <v>12</v>
      </c>
      <c r="B16" s="21" t="s">
        <v>13</v>
      </c>
      <c r="C16" s="19" t="s">
        <v>322</v>
      </c>
      <c r="D16" s="20" t="s">
        <v>323</v>
      </c>
      <c r="E16" s="19" t="s">
        <v>70</v>
      </c>
      <c r="F16" s="19" t="s">
        <v>314</v>
      </c>
      <c r="G16" s="19">
        <v>3</v>
      </c>
      <c r="H16" s="19"/>
      <c r="I16" s="19"/>
      <c r="J16" s="19"/>
      <c r="K16" s="19"/>
      <c r="L16" s="19"/>
      <c r="M16" s="19"/>
      <c r="N16" s="19"/>
      <c r="O16" s="19" t="s">
        <v>121</v>
      </c>
    </row>
    <row r="17" spans="1:15" ht="28.5" x14ac:dyDescent="0.2">
      <c r="A17" s="21" t="s">
        <v>12</v>
      </c>
      <c r="B17" s="21" t="s">
        <v>13</v>
      </c>
      <c r="C17" s="19" t="s">
        <v>320</v>
      </c>
      <c r="D17" s="20" t="s">
        <v>321</v>
      </c>
      <c r="E17" s="19" t="s">
        <v>70</v>
      </c>
      <c r="F17" s="19" t="s">
        <v>314</v>
      </c>
      <c r="G17" s="19">
        <v>5</v>
      </c>
      <c r="H17" s="19"/>
      <c r="I17" s="19"/>
      <c r="J17" s="19"/>
      <c r="K17" s="19"/>
      <c r="L17" s="19"/>
      <c r="M17" s="19"/>
      <c r="N17" s="19"/>
      <c r="O17" s="19" t="s">
        <v>121</v>
      </c>
    </row>
    <row r="18" spans="1:15" ht="28.5" x14ac:dyDescent="0.2">
      <c r="A18" s="21" t="s">
        <v>12</v>
      </c>
      <c r="B18" s="21" t="s">
        <v>13</v>
      </c>
      <c r="C18" s="19" t="s">
        <v>318</v>
      </c>
      <c r="D18" s="20" t="s">
        <v>319</v>
      </c>
      <c r="E18" s="19" t="s">
        <v>70</v>
      </c>
      <c r="F18" s="19" t="s">
        <v>314</v>
      </c>
      <c r="G18" s="19">
        <v>3</v>
      </c>
      <c r="H18" s="19"/>
      <c r="I18" s="19"/>
      <c r="J18" s="19"/>
      <c r="K18" s="19"/>
      <c r="L18" s="19"/>
      <c r="M18" s="19"/>
      <c r="N18" s="19"/>
      <c r="O18" s="19" t="s">
        <v>315</v>
      </c>
    </row>
    <row r="19" spans="1:15" ht="28.5" x14ac:dyDescent="0.2">
      <c r="A19" s="21" t="s">
        <v>12</v>
      </c>
      <c r="B19" s="21" t="s">
        <v>13</v>
      </c>
      <c r="C19" s="19" t="s">
        <v>316</v>
      </c>
      <c r="D19" s="20" t="s">
        <v>317</v>
      </c>
      <c r="E19" s="19" t="s">
        <v>70</v>
      </c>
      <c r="F19" s="19" t="s">
        <v>314</v>
      </c>
      <c r="G19" s="19">
        <v>3</v>
      </c>
      <c r="H19" s="19"/>
      <c r="I19" s="19"/>
      <c r="J19" s="19"/>
      <c r="K19" s="19"/>
      <c r="L19" s="19"/>
      <c r="M19" s="19"/>
      <c r="N19" s="19"/>
      <c r="O19" s="19" t="s">
        <v>315</v>
      </c>
    </row>
    <row r="20" spans="1:15" ht="15" x14ac:dyDescent="0.2">
      <c r="A20" s="21" t="s">
        <v>12</v>
      </c>
      <c r="B20" s="21" t="s">
        <v>13</v>
      </c>
      <c r="C20" s="19" t="s">
        <v>312</v>
      </c>
      <c r="D20" s="20" t="s">
        <v>313</v>
      </c>
      <c r="E20" s="19" t="s">
        <v>70</v>
      </c>
      <c r="F20" s="19" t="s">
        <v>314</v>
      </c>
      <c r="G20" s="19">
        <v>1</v>
      </c>
      <c r="H20" s="19"/>
      <c r="I20" s="19"/>
      <c r="J20" s="19"/>
      <c r="K20" s="19"/>
      <c r="L20" s="19"/>
      <c r="M20" s="19"/>
      <c r="N20" s="19"/>
      <c r="O20" s="19" t="s">
        <v>315</v>
      </c>
    </row>
    <row r="21" spans="1:15" ht="42.75" x14ac:dyDescent="0.2">
      <c r="A21" s="21" t="s">
        <v>12</v>
      </c>
      <c r="B21" s="21" t="s">
        <v>13</v>
      </c>
      <c r="C21" s="19" t="s">
        <v>238</v>
      </c>
      <c r="D21" s="20" t="s">
        <v>239</v>
      </c>
      <c r="E21" s="19" t="s">
        <v>70</v>
      </c>
      <c r="F21" s="19" t="s">
        <v>237</v>
      </c>
      <c r="G21" s="19">
        <v>5</v>
      </c>
      <c r="H21" s="19"/>
      <c r="I21" s="19"/>
      <c r="J21" s="19"/>
      <c r="K21" s="19"/>
      <c r="L21" s="19"/>
      <c r="M21" s="19"/>
      <c r="N21" s="19"/>
      <c r="O21" s="19" t="s">
        <v>240</v>
      </c>
    </row>
    <row r="22" spans="1:15" ht="15" x14ac:dyDescent="0.2">
      <c r="A22" s="21" t="s">
        <v>12</v>
      </c>
      <c r="B22" s="21" t="s">
        <v>13</v>
      </c>
      <c r="C22" s="19" t="s">
        <v>235</v>
      </c>
      <c r="D22" s="20" t="s">
        <v>236</v>
      </c>
      <c r="E22" s="19" t="s">
        <v>70</v>
      </c>
      <c r="F22" s="19" t="s">
        <v>237</v>
      </c>
      <c r="G22" s="19">
        <v>13</v>
      </c>
      <c r="H22" s="19"/>
      <c r="I22" s="19"/>
      <c r="J22" s="19"/>
      <c r="K22" s="19"/>
      <c r="L22" s="19"/>
      <c r="M22" s="19"/>
      <c r="N22" s="19"/>
      <c r="O22" s="19" t="s">
        <v>118</v>
      </c>
    </row>
    <row r="23" spans="1:15" ht="28.5" x14ac:dyDescent="0.2">
      <c r="A23" s="21" t="s">
        <v>12</v>
      </c>
      <c r="B23" s="21" t="s">
        <v>13</v>
      </c>
      <c r="C23" s="19" t="s">
        <v>241</v>
      </c>
      <c r="D23" s="20" t="s">
        <v>242</v>
      </c>
      <c r="E23" s="19" t="s">
        <v>70</v>
      </c>
      <c r="F23" s="19" t="s">
        <v>237</v>
      </c>
      <c r="G23" s="19">
        <v>13</v>
      </c>
      <c r="H23" s="19"/>
      <c r="I23" s="19"/>
      <c r="J23" s="19"/>
      <c r="K23" s="19"/>
      <c r="L23" s="19"/>
      <c r="M23" s="19"/>
      <c r="N23" s="19"/>
      <c r="O23" s="19" t="s">
        <v>129</v>
      </c>
    </row>
    <row r="24" spans="1:15" ht="28.5" x14ac:dyDescent="0.2">
      <c r="A24" s="21" t="s">
        <v>12</v>
      </c>
      <c r="B24" s="21" t="s">
        <v>106</v>
      </c>
      <c r="C24" s="19" t="s">
        <v>143</v>
      </c>
      <c r="D24" s="20" t="s">
        <v>144</v>
      </c>
      <c r="E24" s="19" t="s">
        <v>70</v>
      </c>
      <c r="F24" s="19" t="s">
        <v>145</v>
      </c>
      <c r="G24" s="19">
        <v>1</v>
      </c>
      <c r="H24" s="19"/>
      <c r="I24" s="19"/>
      <c r="J24" s="19"/>
      <c r="K24" s="19"/>
      <c r="L24" s="19"/>
      <c r="M24" s="19"/>
      <c r="N24" s="19"/>
      <c r="O24" s="19" t="s">
        <v>129</v>
      </c>
    </row>
    <row r="25" spans="1:15" ht="42.75" x14ac:dyDescent="0.2">
      <c r="A25" s="21" t="s">
        <v>12</v>
      </c>
      <c r="B25" s="21" t="s">
        <v>14</v>
      </c>
      <c r="C25" s="19" t="s">
        <v>130</v>
      </c>
      <c r="D25" s="20" t="s">
        <v>131</v>
      </c>
      <c r="E25" s="19" t="s">
        <v>70</v>
      </c>
      <c r="F25" s="19" t="s">
        <v>132</v>
      </c>
      <c r="G25" s="19">
        <v>5</v>
      </c>
      <c r="H25" s="19"/>
      <c r="I25" s="19"/>
      <c r="J25" s="19"/>
      <c r="K25" s="19"/>
      <c r="L25" s="19"/>
      <c r="M25" s="19"/>
      <c r="N25" s="19"/>
      <c r="O25" s="19" t="s">
        <v>133</v>
      </c>
    </row>
    <row r="26" spans="1:15" ht="28.5" x14ac:dyDescent="0.2">
      <c r="A26" s="21" t="s">
        <v>12</v>
      </c>
      <c r="B26" s="21" t="s">
        <v>106</v>
      </c>
      <c r="C26" s="19" t="s">
        <v>134</v>
      </c>
      <c r="D26" s="20" t="s">
        <v>135</v>
      </c>
      <c r="E26" s="19" t="s">
        <v>70</v>
      </c>
      <c r="F26" s="19" t="s">
        <v>128</v>
      </c>
      <c r="G26" s="19">
        <v>5</v>
      </c>
      <c r="H26" s="19"/>
      <c r="I26" s="19"/>
      <c r="J26" s="19"/>
      <c r="K26" s="19"/>
      <c r="L26" s="19"/>
      <c r="M26" s="19"/>
      <c r="N26" s="19"/>
      <c r="O26" s="19" t="s">
        <v>133</v>
      </c>
    </row>
    <row r="27" spans="1:15" ht="28.5" x14ac:dyDescent="0.2">
      <c r="A27" s="21" t="s">
        <v>12</v>
      </c>
      <c r="B27" s="21" t="s">
        <v>106</v>
      </c>
      <c r="C27" s="19" t="s">
        <v>141</v>
      </c>
      <c r="D27" s="20" t="s">
        <v>142</v>
      </c>
      <c r="E27" s="19" t="s">
        <v>70</v>
      </c>
      <c r="F27" s="19" t="s">
        <v>128</v>
      </c>
      <c r="G27" s="19">
        <v>3</v>
      </c>
      <c r="H27" s="19"/>
      <c r="I27" s="19"/>
      <c r="J27" s="19"/>
      <c r="K27" s="19"/>
      <c r="L27" s="19"/>
      <c r="M27" s="19"/>
      <c r="N27" s="19"/>
      <c r="O27" s="19" t="s">
        <v>133</v>
      </c>
    </row>
    <row r="28" spans="1:15" ht="28.5" x14ac:dyDescent="0.2">
      <c r="A28" s="21" t="s">
        <v>12</v>
      </c>
      <c r="B28" s="21" t="s">
        <v>106</v>
      </c>
      <c r="C28" s="19" t="s">
        <v>126</v>
      </c>
      <c r="D28" s="20" t="s">
        <v>127</v>
      </c>
      <c r="E28" s="19" t="s">
        <v>70</v>
      </c>
      <c r="F28" s="19" t="s">
        <v>128</v>
      </c>
      <c r="G28" s="19">
        <v>8</v>
      </c>
      <c r="H28" s="19"/>
      <c r="I28" s="19"/>
      <c r="J28" s="19"/>
      <c r="K28" s="19"/>
      <c r="L28" s="19"/>
      <c r="M28" s="19"/>
      <c r="N28" s="19"/>
      <c r="O28" s="19" t="s">
        <v>129</v>
      </c>
    </row>
    <row r="29" spans="1:15" ht="42.75" x14ac:dyDescent="0.2">
      <c r="A29" s="21" t="s">
        <v>12</v>
      </c>
      <c r="B29" s="21" t="s">
        <v>106</v>
      </c>
      <c r="C29" s="19" t="s">
        <v>107</v>
      </c>
      <c r="D29" s="20" t="s">
        <v>108</v>
      </c>
      <c r="E29" s="19" t="s">
        <v>70</v>
      </c>
      <c r="F29" s="19" t="s">
        <v>109</v>
      </c>
      <c r="G29" s="19">
        <v>3</v>
      </c>
      <c r="H29" s="19"/>
      <c r="I29" s="19"/>
      <c r="J29" s="19"/>
      <c r="K29" s="19"/>
      <c r="L29" s="19"/>
      <c r="M29" s="19"/>
      <c r="N29" s="19"/>
      <c r="O29" s="19" t="s">
        <v>110</v>
      </c>
    </row>
    <row r="30" spans="1:15" ht="42.75" x14ac:dyDescent="0.2">
      <c r="A30" s="21" t="s">
        <v>12</v>
      </c>
      <c r="B30" s="21" t="s">
        <v>106</v>
      </c>
      <c r="C30" s="19" t="s">
        <v>123</v>
      </c>
      <c r="D30" s="20" t="s">
        <v>124</v>
      </c>
      <c r="E30" s="19" t="s">
        <v>70</v>
      </c>
      <c r="F30" s="19" t="s">
        <v>109</v>
      </c>
      <c r="G30" s="19">
        <v>3</v>
      </c>
      <c r="H30" s="19"/>
      <c r="I30" s="19"/>
      <c r="J30" s="19"/>
      <c r="K30" s="19"/>
      <c r="L30" s="19"/>
      <c r="M30" s="19"/>
      <c r="N30" s="19"/>
      <c r="O30" s="19" t="s">
        <v>125</v>
      </c>
    </row>
    <row r="31" spans="1:15" ht="28.5" x14ac:dyDescent="0.2">
      <c r="A31" s="21" t="s">
        <v>12</v>
      </c>
      <c r="B31" s="21" t="s">
        <v>17</v>
      </c>
      <c r="C31" s="19" t="s">
        <v>449</v>
      </c>
      <c r="D31" s="20" t="s">
        <v>448</v>
      </c>
      <c r="E31" s="19" t="s">
        <v>442</v>
      </c>
      <c r="F31" s="19"/>
      <c r="G31" s="19"/>
      <c r="H31" s="19"/>
      <c r="I31" s="19">
        <v>7200</v>
      </c>
      <c r="J31" s="19">
        <v>7200</v>
      </c>
      <c r="K31" s="19"/>
      <c r="L31" s="19"/>
      <c r="M31" s="19"/>
      <c r="N31" s="19"/>
      <c r="O31" s="19"/>
    </row>
    <row r="32" spans="1:15" ht="28.5" x14ac:dyDescent="0.2">
      <c r="A32" s="21" t="s">
        <v>12</v>
      </c>
      <c r="B32" s="21" t="s">
        <v>15</v>
      </c>
      <c r="C32" s="19" t="s">
        <v>451</v>
      </c>
      <c r="D32" s="20" t="s">
        <v>450</v>
      </c>
      <c r="E32" s="19" t="s">
        <v>442</v>
      </c>
      <c r="F32" s="19" t="s">
        <v>452</v>
      </c>
      <c r="G32" s="19"/>
      <c r="H32" s="19"/>
      <c r="I32" s="19"/>
      <c r="J32" s="19"/>
      <c r="K32" s="19"/>
      <c r="L32" s="19"/>
      <c r="M32" s="19"/>
      <c r="N32" s="19"/>
      <c r="O32" s="19"/>
    </row>
    <row r="33" spans="1:15" ht="42.75" x14ac:dyDescent="0.2">
      <c r="A33" s="21" t="s">
        <v>12</v>
      </c>
      <c r="B33" s="21" t="s">
        <v>15</v>
      </c>
      <c r="C33" s="19" t="s">
        <v>454</v>
      </c>
      <c r="D33" s="20" t="s">
        <v>453</v>
      </c>
      <c r="E33" s="19" t="s">
        <v>442</v>
      </c>
      <c r="F33" s="19" t="s">
        <v>455</v>
      </c>
      <c r="G33" s="19">
        <v>3</v>
      </c>
      <c r="H33" s="19">
        <v>3</v>
      </c>
      <c r="I33" s="19"/>
      <c r="J33" s="19"/>
      <c r="K33" s="19"/>
      <c r="L33" s="19"/>
      <c r="M33" s="19"/>
      <c r="N33" s="19"/>
      <c r="O33" s="19"/>
    </row>
    <row r="34" spans="1:15" ht="28.5" x14ac:dyDescent="0.2">
      <c r="A34" s="21" t="s">
        <v>12</v>
      </c>
      <c r="B34" s="21" t="s">
        <v>15</v>
      </c>
      <c r="C34" s="19" t="s">
        <v>111</v>
      </c>
      <c r="D34" s="20" t="s">
        <v>112</v>
      </c>
      <c r="E34" s="19" t="s">
        <v>113</v>
      </c>
      <c r="F34" s="19" t="s">
        <v>114</v>
      </c>
      <c r="G34" s="19"/>
      <c r="H34" s="19"/>
      <c r="I34" s="19"/>
      <c r="J34" s="19"/>
      <c r="K34" s="19"/>
      <c r="L34" s="19"/>
      <c r="M34" s="19"/>
      <c r="N34" s="19"/>
      <c r="O34" s="19" t="s">
        <v>110</v>
      </c>
    </row>
    <row r="35" spans="1:15" ht="28.5" x14ac:dyDescent="0.2">
      <c r="A35" s="21" t="s">
        <v>12</v>
      </c>
      <c r="B35" s="21" t="s">
        <v>13</v>
      </c>
      <c r="C35" s="19" t="s">
        <v>457</v>
      </c>
      <c r="D35" s="20" t="s">
        <v>456</v>
      </c>
      <c r="E35" s="19" t="s">
        <v>442</v>
      </c>
      <c r="F35" s="19" t="s">
        <v>459</v>
      </c>
      <c r="G35" s="19"/>
      <c r="H35" s="19"/>
      <c r="I35" s="19"/>
      <c r="J35" s="19"/>
      <c r="K35" s="19"/>
      <c r="L35" s="19"/>
      <c r="M35" s="19"/>
      <c r="N35" s="19"/>
      <c r="O35" s="19" t="s">
        <v>458</v>
      </c>
    </row>
    <row r="36" spans="1:15" ht="15" x14ac:dyDescent="0.2">
      <c r="A36" s="21" t="s">
        <v>12</v>
      </c>
      <c r="B36" s="21" t="s">
        <v>13</v>
      </c>
      <c r="C36" s="19" t="s">
        <v>461</v>
      </c>
      <c r="D36" s="20" t="s">
        <v>460</v>
      </c>
      <c r="E36" s="19" t="s">
        <v>442</v>
      </c>
      <c r="F36" s="19"/>
      <c r="G36" s="19"/>
      <c r="H36" s="19"/>
      <c r="I36" s="19"/>
      <c r="J36" s="19"/>
      <c r="K36" s="19"/>
      <c r="L36" s="19"/>
      <c r="M36" s="19"/>
      <c r="N36" s="19"/>
      <c r="O36" s="19" t="s">
        <v>121</v>
      </c>
    </row>
    <row r="37" spans="1:15" ht="42.75" x14ac:dyDescent="0.2">
      <c r="A37" s="21" t="s">
        <v>12</v>
      </c>
      <c r="B37" s="21" t="s">
        <v>13</v>
      </c>
      <c r="C37" s="19" t="s">
        <v>349</v>
      </c>
      <c r="D37" s="20" t="s">
        <v>350</v>
      </c>
      <c r="E37" s="19" t="s">
        <v>113</v>
      </c>
      <c r="F37" s="19"/>
      <c r="G37" s="19"/>
      <c r="H37" s="19"/>
      <c r="I37" s="19"/>
      <c r="J37" s="19"/>
      <c r="K37" s="19"/>
      <c r="L37" s="19"/>
      <c r="M37" s="19"/>
      <c r="N37" s="19"/>
      <c r="O37" s="19" t="s">
        <v>121</v>
      </c>
    </row>
    <row r="38" spans="1:15" ht="28.5" x14ac:dyDescent="0.2">
      <c r="A38" s="21" t="s">
        <v>12</v>
      </c>
      <c r="B38" s="21" t="s">
        <v>15</v>
      </c>
      <c r="C38" s="19" t="s">
        <v>160</v>
      </c>
      <c r="D38" s="20" t="s">
        <v>161</v>
      </c>
      <c r="E38" s="19" t="s">
        <v>70</v>
      </c>
      <c r="F38" s="19" t="s">
        <v>158</v>
      </c>
      <c r="G38" s="19"/>
      <c r="H38" s="19"/>
      <c r="I38" s="19"/>
      <c r="J38" s="19"/>
      <c r="K38" s="19"/>
      <c r="L38" s="19"/>
      <c r="M38" s="19"/>
      <c r="N38" s="19"/>
      <c r="O38" s="19"/>
    </row>
    <row r="39" spans="1:15" ht="28.5" x14ac:dyDescent="0.2">
      <c r="A39" s="21" t="s">
        <v>12</v>
      </c>
      <c r="B39" s="21" t="s">
        <v>15</v>
      </c>
      <c r="C39" s="19" t="s">
        <v>156</v>
      </c>
      <c r="D39" s="20" t="s">
        <v>157</v>
      </c>
      <c r="E39" s="19" t="s">
        <v>70</v>
      </c>
      <c r="F39" s="19" t="s">
        <v>158</v>
      </c>
      <c r="G39" s="19">
        <v>5</v>
      </c>
      <c r="H39" s="19">
        <v>5</v>
      </c>
      <c r="I39" s="19">
        <v>86400</v>
      </c>
      <c r="J39" s="19">
        <v>86400</v>
      </c>
      <c r="K39" s="19"/>
      <c r="L39" s="19"/>
      <c r="M39" s="19"/>
      <c r="N39" s="19"/>
      <c r="O39" s="19" t="s">
        <v>159</v>
      </c>
    </row>
    <row r="40" spans="1:15" ht="15" x14ac:dyDescent="0.2">
      <c r="A40" s="21" t="s">
        <v>12</v>
      </c>
      <c r="B40" s="21" t="s">
        <v>13</v>
      </c>
      <c r="C40" s="19" t="s">
        <v>243</v>
      </c>
      <c r="D40" s="20" t="s">
        <v>244</v>
      </c>
      <c r="E40" s="19" t="s">
        <v>70</v>
      </c>
      <c r="F40" s="19" t="s">
        <v>245</v>
      </c>
      <c r="G40" s="19">
        <v>2</v>
      </c>
      <c r="H40" s="19"/>
      <c r="I40" s="19"/>
      <c r="J40" s="19"/>
      <c r="K40" s="19"/>
      <c r="L40" s="19"/>
      <c r="M40" s="19"/>
      <c r="N40" s="19"/>
      <c r="O40" s="19" t="s">
        <v>246</v>
      </c>
    </row>
    <row r="41" spans="1:15" ht="28.5" x14ac:dyDescent="0.2">
      <c r="A41" s="21" t="s">
        <v>12</v>
      </c>
      <c r="B41" s="21" t="s">
        <v>13</v>
      </c>
      <c r="C41" s="19" t="s">
        <v>170</v>
      </c>
      <c r="D41" s="20" t="s">
        <v>171</v>
      </c>
      <c r="E41" s="19" t="s">
        <v>70</v>
      </c>
      <c r="F41" s="19" t="s">
        <v>172</v>
      </c>
      <c r="G41" s="19">
        <v>5</v>
      </c>
      <c r="H41" s="19"/>
      <c r="I41" s="19"/>
      <c r="J41" s="19"/>
      <c r="K41" s="19"/>
      <c r="L41" s="19"/>
      <c r="M41" s="19"/>
      <c r="N41" s="19"/>
      <c r="O41" s="19" t="s">
        <v>173</v>
      </c>
    </row>
    <row r="42" spans="1:15" ht="15" x14ac:dyDescent="0.2">
      <c r="A42" s="21" t="s">
        <v>12</v>
      </c>
      <c r="B42" s="21" t="s">
        <v>106</v>
      </c>
      <c r="C42" s="19" t="s">
        <v>174</v>
      </c>
      <c r="D42" s="20" t="s">
        <v>175</v>
      </c>
      <c r="E42" s="19" t="s">
        <v>70</v>
      </c>
      <c r="F42" s="19" t="s">
        <v>169</v>
      </c>
      <c r="G42" s="19">
        <v>8</v>
      </c>
      <c r="H42" s="19"/>
      <c r="I42" s="19"/>
      <c r="J42" s="19"/>
      <c r="K42" s="19"/>
      <c r="L42" s="19"/>
      <c r="M42" s="19"/>
      <c r="N42" s="19"/>
      <c r="O42" s="19" t="s">
        <v>173</v>
      </c>
    </row>
    <row r="43" spans="1:15" ht="15" x14ac:dyDescent="0.2">
      <c r="A43" s="21" t="s">
        <v>12</v>
      </c>
      <c r="B43" s="21" t="s">
        <v>106</v>
      </c>
      <c r="C43" s="19" t="s">
        <v>176</v>
      </c>
      <c r="D43" s="20" t="s">
        <v>177</v>
      </c>
      <c r="E43" s="19" t="s">
        <v>70</v>
      </c>
      <c r="F43" s="19" t="s">
        <v>169</v>
      </c>
      <c r="G43" s="19">
        <v>5</v>
      </c>
      <c r="H43" s="19"/>
      <c r="I43" s="19"/>
      <c r="J43" s="19"/>
      <c r="K43" s="19"/>
      <c r="L43" s="19"/>
      <c r="M43" s="19"/>
      <c r="N43" s="19"/>
      <c r="O43" s="19" t="s">
        <v>173</v>
      </c>
    </row>
    <row r="44" spans="1:15" ht="28.5" x14ac:dyDescent="0.2">
      <c r="A44" s="21" t="s">
        <v>12</v>
      </c>
      <c r="B44" s="21" t="s">
        <v>106</v>
      </c>
      <c r="C44" s="19" t="s">
        <v>167</v>
      </c>
      <c r="D44" s="20" t="s">
        <v>168</v>
      </c>
      <c r="E44" s="19" t="s">
        <v>70</v>
      </c>
      <c r="F44" s="19" t="s">
        <v>169</v>
      </c>
      <c r="G44" s="19">
        <v>5</v>
      </c>
      <c r="H44" s="19"/>
      <c r="I44" s="19">
        <v>86400</v>
      </c>
      <c r="J44" s="19">
        <v>86400</v>
      </c>
      <c r="K44" s="19"/>
      <c r="L44" s="19"/>
      <c r="M44" s="19"/>
      <c r="N44" s="19"/>
      <c r="O44" s="19" t="s">
        <v>149</v>
      </c>
    </row>
    <row r="45" spans="1:15" ht="42.75" x14ac:dyDescent="0.2">
      <c r="A45" s="21" t="s">
        <v>12</v>
      </c>
      <c r="B45" s="21" t="s">
        <v>13</v>
      </c>
      <c r="C45" s="19" t="s">
        <v>162</v>
      </c>
      <c r="D45" s="20" t="s">
        <v>163</v>
      </c>
      <c r="E45" s="19" t="s">
        <v>70</v>
      </c>
      <c r="F45" s="19" t="s">
        <v>164</v>
      </c>
      <c r="G45" s="19">
        <v>8</v>
      </c>
      <c r="H45" s="19"/>
      <c r="I45" s="19">
        <v>0</v>
      </c>
      <c r="J45" s="19">
        <v>0</v>
      </c>
      <c r="K45" s="19"/>
      <c r="L45" s="19"/>
      <c r="M45" s="19"/>
      <c r="N45" s="19"/>
      <c r="O45" s="19" t="s">
        <v>159</v>
      </c>
    </row>
    <row r="46" spans="1:15" ht="42.75" x14ac:dyDescent="0.2">
      <c r="A46" s="21" t="s">
        <v>12</v>
      </c>
      <c r="B46" s="21" t="s">
        <v>13</v>
      </c>
      <c r="C46" s="19" t="s">
        <v>165</v>
      </c>
      <c r="D46" s="20" t="s">
        <v>166</v>
      </c>
      <c r="E46" s="19" t="s">
        <v>70</v>
      </c>
      <c r="F46" s="19" t="s">
        <v>164</v>
      </c>
      <c r="G46" s="19">
        <v>5</v>
      </c>
      <c r="H46" s="19"/>
      <c r="I46" s="19">
        <v>120</v>
      </c>
      <c r="J46" s="19">
        <v>120</v>
      </c>
      <c r="K46" s="19"/>
      <c r="L46" s="19"/>
      <c r="M46" s="19"/>
      <c r="N46" s="19"/>
      <c r="O46" s="19" t="s">
        <v>159</v>
      </c>
    </row>
    <row r="47" spans="1:15" ht="28.5" x14ac:dyDescent="0.2">
      <c r="A47" s="21" t="s">
        <v>12</v>
      </c>
      <c r="B47" s="21" t="s">
        <v>15</v>
      </c>
      <c r="C47" s="19" t="s">
        <v>123</v>
      </c>
      <c r="D47" s="20" t="s">
        <v>153</v>
      </c>
      <c r="E47" s="19" t="s">
        <v>70</v>
      </c>
      <c r="F47" s="19" t="s">
        <v>154</v>
      </c>
      <c r="G47" s="19">
        <v>3</v>
      </c>
      <c r="H47" s="19">
        <v>3</v>
      </c>
      <c r="I47" s="19">
        <v>28800</v>
      </c>
      <c r="J47" s="19">
        <v>28800</v>
      </c>
      <c r="K47" s="19"/>
      <c r="L47" s="19"/>
      <c r="M47" s="19"/>
      <c r="N47" s="19"/>
      <c r="O47" s="19" t="s">
        <v>155</v>
      </c>
    </row>
    <row r="48" spans="1:15" ht="57" x14ac:dyDescent="0.2">
      <c r="A48" s="21" t="s">
        <v>12</v>
      </c>
      <c r="B48" s="21" t="s">
        <v>14</v>
      </c>
      <c r="C48" s="19" t="s">
        <v>146</v>
      </c>
      <c r="D48" s="20" t="s">
        <v>147</v>
      </c>
      <c r="E48" s="19" t="s">
        <v>70</v>
      </c>
      <c r="F48" s="19" t="s">
        <v>148</v>
      </c>
      <c r="G48" s="19">
        <v>5</v>
      </c>
      <c r="H48" s="19"/>
      <c r="I48" s="19"/>
      <c r="J48" s="19"/>
      <c r="K48" s="19"/>
      <c r="L48" s="19"/>
      <c r="M48" s="19"/>
      <c r="N48" s="19"/>
      <c r="O48" s="19" t="s">
        <v>149</v>
      </c>
    </row>
    <row r="49" spans="1:15" ht="28.5" x14ac:dyDescent="0.2">
      <c r="A49" s="21" t="s">
        <v>12</v>
      </c>
      <c r="B49" s="21" t="s">
        <v>17</v>
      </c>
      <c r="C49" s="19" t="s">
        <v>150</v>
      </c>
      <c r="D49" s="20" t="s">
        <v>151</v>
      </c>
      <c r="E49" s="19" t="s">
        <v>70</v>
      </c>
      <c r="F49" s="19" t="s">
        <v>152</v>
      </c>
      <c r="G49" s="19">
        <v>3</v>
      </c>
      <c r="H49" s="19"/>
      <c r="I49" s="19"/>
      <c r="J49" s="19"/>
      <c r="K49" s="19"/>
      <c r="L49" s="19"/>
      <c r="M49" s="19"/>
      <c r="N49" s="19"/>
      <c r="O49" s="19"/>
    </row>
    <row r="50" spans="1:15" ht="42.75" x14ac:dyDescent="0.2">
      <c r="A50" s="21" t="s">
        <v>12</v>
      </c>
      <c r="B50" s="21" t="s">
        <v>15</v>
      </c>
      <c r="C50" s="19" t="s">
        <v>463</v>
      </c>
      <c r="D50" s="20" t="s">
        <v>462</v>
      </c>
      <c r="E50" s="19" t="s">
        <v>442</v>
      </c>
      <c r="F50" s="19" t="s">
        <v>464</v>
      </c>
      <c r="G50" s="19">
        <v>3</v>
      </c>
      <c r="H50" s="19">
        <v>3</v>
      </c>
      <c r="I50" s="19">
        <v>57780</v>
      </c>
      <c r="J50" s="19">
        <v>57780</v>
      </c>
      <c r="K50" s="19"/>
      <c r="L50" s="19"/>
      <c r="M50" s="19"/>
      <c r="N50" s="19"/>
      <c r="O50" s="19"/>
    </row>
    <row r="51" spans="1:15" ht="42.75" x14ac:dyDescent="0.2">
      <c r="A51" s="21" t="s">
        <v>12</v>
      </c>
      <c r="B51" s="21" t="s">
        <v>15</v>
      </c>
      <c r="C51" s="19" t="s">
        <v>466</v>
      </c>
      <c r="D51" s="20" t="s">
        <v>465</v>
      </c>
      <c r="E51" s="19" t="s">
        <v>442</v>
      </c>
      <c r="F51" s="19" t="s">
        <v>468</v>
      </c>
      <c r="G51" s="19">
        <v>2</v>
      </c>
      <c r="H51" s="19">
        <v>2</v>
      </c>
      <c r="I51" s="19">
        <v>115200</v>
      </c>
      <c r="J51" s="19">
        <v>115200</v>
      </c>
      <c r="K51" s="19"/>
      <c r="L51" s="19"/>
      <c r="M51" s="19"/>
      <c r="N51" s="19"/>
      <c r="O51" s="19" t="s">
        <v>467</v>
      </c>
    </row>
    <row r="52" spans="1:15" ht="28.5" x14ac:dyDescent="0.2">
      <c r="A52" s="21" t="s">
        <v>12</v>
      </c>
      <c r="B52" s="21" t="s">
        <v>106</v>
      </c>
      <c r="C52" s="19" t="s">
        <v>470</v>
      </c>
      <c r="D52" s="20" t="s">
        <v>469</v>
      </c>
      <c r="E52" s="19" t="s">
        <v>442</v>
      </c>
      <c r="F52" s="19" t="s">
        <v>471</v>
      </c>
      <c r="G52" s="19">
        <v>5</v>
      </c>
      <c r="H52" s="19"/>
      <c r="I52" s="19">
        <v>115500</v>
      </c>
      <c r="J52" s="19">
        <v>300</v>
      </c>
      <c r="K52" s="19"/>
      <c r="L52" s="19"/>
      <c r="M52" s="19"/>
      <c r="N52" s="19"/>
      <c r="O52" s="19"/>
    </row>
    <row r="53" spans="1:15" ht="28.5" x14ac:dyDescent="0.2">
      <c r="A53" s="21" t="s">
        <v>12</v>
      </c>
      <c r="B53" s="21" t="s">
        <v>106</v>
      </c>
      <c r="C53" s="19" t="s">
        <v>473</v>
      </c>
      <c r="D53" s="20" t="s">
        <v>472</v>
      </c>
      <c r="E53" s="19" t="s">
        <v>442</v>
      </c>
      <c r="F53" s="19" t="s">
        <v>471</v>
      </c>
      <c r="G53" s="19">
        <v>5</v>
      </c>
      <c r="H53" s="19"/>
      <c r="I53" s="19">
        <v>57600</v>
      </c>
      <c r="J53" s="19">
        <v>57600</v>
      </c>
      <c r="K53" s="19"/>
      <c r="L53" s="19"/>
      <c r="M53" s="19"/>
      <c r="N53" s="19"/>
      <c r="O53" s="19" t="s">
        <v>474</v>
      </c>
    </row>
    <row r="54" spans="1:15" ht="28.5" x14ac:dyDescent="0.2">
      <c r="A54" s="21" t="s">
        <v>12</v>
      </c>
      <c r="B54" s="21" t="s">
        <v>106</v>
      </c>
      <c r="C54" s="19" t="s">
        <v>476</v>
      </c>
      <c r="D54" s="20" t="s">
        <v>475</v>
      </c>
      <c r="E54" s="19" t="s">
        <v>442</v>
      </c>
      <c r="F54" s="19" t="s">
        <v>477</v>
      </c>
      <c r="G54" s="19">
        <v>3</v>
      </c>
      <c r="H54" s="19"/>
      <c r="I54" s="19">
        <v>7200</v>
      </c>
      <c r="J54" s="19">
        <v>7200</v>
      </c>
      <c r="K54" s="19"/>
      <c r="L54" s="19"/>
      <c r="M54" s="19"/>
      <c r="N54" s="19"/>
      <c r="O54" s="19" t="s">
        <v>474</v>
      </c>
    </row>
    <row r="55" spans="1:15" ht="15" x14ac:dyDescent="0.2">
      <c r="A55" s="21" t="s">
        <v>12</v>
      </c>
      <c r="B55" s="21" t="s">
        <v>15</v>
      </c>
      <c r="C55" s="19" t="s">
        <v>479</v>
      </c>
      <c r="D55" s="20" t="s">
        <v>478</v>
      </c>
      <c r="E55" s="19" t="s">
        <v>442</v>
      </c>
      <c r="F55" s="19" t="s">
        <v>481</v>
      </c>
      <c r="G55" s="19">
        <v>3</v>
      </c>
      <c r="H55" s="19">
        <v>3</v>
      </c>
      <c r="I55" s="19"/>
      <c r="J55" s="19"/>
      <c r="K55" s="19"/>
      <c r="L55" s="19"/>
      <c r="M55" s="19"/>
      <c r="N55" s="19"/>
      <c r="O55" s="19" t="s">
        <v>480</v>
      </c>
    </row>
    <row r="56" spans="1:15" ht="42.75" x14ac:dyDescent="0.2">
      <c r="A56" s="21" t="s">
        <v>12</v>
      </c>
      <c r="B56" s="21" t="s">
        <v>13</v>
      </c>
      <c r="C56" s="19" t="s">
        <v>346</v>
      </c>
      <c r="D56" s="20" t="s">
        <v>347</v>
      </c>
      <c r="E56" s="19" t="s">
        <v>113</v>
      </c>
      <c r="F56" s="19"/>
      <c r="G56" s="19"/>
      <c r="H56" s="19"/>
      <c r="I56" s="19"/>
      <c r="J56" s="19"/>
      <c r="K56" s="19"/>
      <c r="L56" s="19"/>
      <c r="M56" s="19"/>
      <c r="N56" s="19"/>
      <c r="O56" s="19" t="s">
        <v>348</v>
      </c>
    </row>
    <row r="57" spans="1:15" ht="15" x14ac:dyDescent="0.2">
      <c r="A57" s="21" t="s">
        <v>12</v>
      </c>
      <c r="B57" s="21" t="s">
        <v>15</v>
      </c>
      <c r="C57" s="19" t="s">
        <v>483</v>
      </c>
      <c r="D57" s="20" t="s">
        <v>482</v>
      </c>
      <c r="E57" s="19" t="s">
        <v>442</v>
      </c>
      <c r="F57" s="19" t="s">
        <v>485</v>
      </c>
      <c r="G57" s="19">
        <v>5</v>
      </c>
      <c r="H57" s="19">
        <v>5</v>
      </c>
      <c r="I57" s="19"/>
      <c r="J57" s="19"/>
      <c r="K57" s="19"/>
      <c r="L57" s="19"/>
      <c r="M57" s="19"/>
      <c r="N57" s="19"/>
      <c r="O57" s="19" t="s">
        <v>484</v>
      </c>
    </row>
    <row r="58" spans="1:15" ht="15" x14ac:dyDescent="0.2">
      <c r="A58" s="21" t="s">
        <v>12</v>
      </c>
      <c r="B58" s="21" t="s">
        <v>106</v>
      </c>
      <c r="C58" s="19" t="s">
        <v>487</v>
      </c>
      <c r="D58" s="20" t="s">
        <v>486</v>
      </c>
      <c r="E58" s="19" t="s">
        <v>442</v>
      </c>
      <c r="F58" s="19" t="s">
        <v>477</v>
      </c>
      <c r="G58" s="19">
        <v>2</v>
      </c>
      <c r="H58" s="19"/>
      <c r="I58" s="19">
        <v>100800</v>
      </c>
      <c r="J58" s="19">
        <v>100800</v>
      </c>
      <c r="K58" s="19"/>
      <c r="L58" s="19"/>
      <c r="M58" s="19"/>
      <c r="N58" s="19"/>
      <c r="O58" s="19" t="s">
        <v>488</v>
      </c>
    </row>
    <row r="59" spans="1:15" ht="28.5" x14ac:dyDescent="0.2">
      <c r="A59" s="21" t="s">
        <v>12</v>
      </c>
      <c r="B59" s="21" t="s">
        <v>13</v>
      </c>
      <c r="C59" s="19" t="s">
        <v>490</v>
      </c>
      <c r="D59" s="20" t="s">
        <v>489</v>
      </c>
      <c r="E59" s="19" t="s">
        <v>442</v>
      </c>
      <c r="F59" s="19" t="s">
        <v>491</v>
      </c>
      <c r="G59" s="19">
        <v>10</v>
      </c>
      <c r="H59" s="19"/>
      <c r="I59" s="19"/>
      <c r="J59" s="19"/>
      <c r="K59" s="19"/>
      <c r="L59" s="19"/>
      <c r="M59" s="19"/>
      <c r="N59" s="19"/>
      <c r="O59" s="19" t="s">
        <v>173</v>
      </c>
    </row>
    <row r="60" spans="1:15" ht="42.75" x14ac:dyDescent="0.2">
      <c r="A60" s="21" t="s">
        <v>12</v>
      </c>
      <c r="B60" s="21" t="s">
        <v>13</v>
      </c>
      <c r="C60" s="19" t="s">
        <v>493</v>
      </c>
      <c r="D60" s="20" t="s">
        <v>492</v>
      </c>
      <c r="E60" s="19" t="s">
        <v>442</v>
      </c>
      <c r="F60" s="19" t="s">
        <v>464</v>
      </c>
      <c r="G60" s="19">
        <v>10</v>
      </c>
      <c r="H60" s="19"/>
      <c r="I60" s="19">
        <v>144000</v>
      </c>
      <c r="J60" s="19">
        <v>144000</v>
      </c>
      <c r="K60" s="19"/>
      <c r="L60" s="19"/>
      <c r="M60" s="19"/>
      <c r="N60" s="19"/>
      <c r="O60" s="19" t="s">
        <v>173</v>
      </c>
    </row>
    <row r="61" spans="1:15" ht="57" x14ac:dyDescent="0.2">
      <c r="A61" s="21" t="s">
        <v>12</v>
      </c>
      <c r="B61" s="21" t="s">
        <v>13</v>
      </c>
      <c r="C61" s="19" t="s">
        <v>495</v>
      </c>
      <c r="D61" s="20" t="s">
        <v>494</v>
      </c>
      <c r="E61" s="19" t="s">
        <v>442</v>
      </c>
      <c r="F61" s="19" t="s">
        <v>496</v>
      </c>
      <c r="G61" s="19">
        <v>10</v>
      </c>
      <c r="H61" s="19"/>
      <c r="I61" s="19"/>
      <c r="J61" s="19"/>
      <c r="K61" s="19"/>
      <c r="L61" s="19"/>
      <c r="M61" s="19"/>
      <c r="N61" s="19"/>
      <c r="O61" s="19" t="s">
        <v>173</v>
      </c>
    </row>
    <row r="62" spans="1:15" ht="28.5" x14ac:dyDescent="0.2">
      <c r="A62" s="21" t="s">
        <v>12</v>
      </c>
      <c r="B62" s="21" t="s">
        <v>15</v>
      </c>
      <c r="C62" s="19" t="s">
        <v>498</v>
      </c>
      <c r="D62" s="20" t="s">
        <v>497</v>
      </c>
      <c r="E62" s="19" t="s">
        <v>442</v>
      </c>
      <c r="F62" s="19" t="s">
        <v>477</v>
      </c>
      <c r="G62" s="19">
        <v>2</v>
      </c>
      <c r="H62" s="19">
        <v>2</v>
      </c>
      <c r="I62" s="19"/>
      <c r="J62" s="19"/>
      <c r="K62" s="19"/>
      <c r="L62" s="19"/>
      <c r="M62" s="19"/>
      <c r="N62" s="19"/>
      <c r="O62" s="19" t="s">
        <v>488</v>
      </c>
    </row>
    <row r="63" spans="1:15" ht="28.5" x14ac:dyDescent="0.2">
      <c r="A63" s="21" t="s">
        <v>12</v>
      </c>
      <c r="B63" s="21" t="s">
        <v>106</v>
      </c>
      <c r="C63" s="19" t="s">
        <v>500</v>
      </c>
      <c r="D63" s="20" t="s">
        <v>499</v>
      </c>
      <c r="E63" s="19" t="s">
        <v>442</v>
      </c>
      <c r="F63" s="19" t="s">
        <v>477</v>
      </c>
      <c r="G63" s="19">
        <v>3</v>
      </c>
      <c r="H63" s="19"/>
      <c r="I63" s="19">
        <v>28800</v>
      </c>
      <c r="J63" s="19">
        <v>28800</v>
      </c>
      <c r="K63" s="19"/>
      <c r="L63" s="19"/>
      <c r="M63" s="19"/>
      <c r="N63" s="19"/>
      <c r="O63" s="19" t="s">
        <v>501</v>
      </c>
    </row>
    <row r="64" spans="1:15" ht="42.75" x14ac:dyDescent="0.2">
      <c r="A64" s="21" t="s">
        <v>12</v>
      </c>
      <c r="B64" s="21" t="s">
        <v>13</v>
      </c>
      <c r="C64" s="19" t="s">
        <v>396</v>
      </c>
      <c r="D64" s="20" t="s">
        <v>397</v>
      </c>
      <c r="E64" s="19" t="s">
        <v>113</v>
      </c>
      <c r="F64" s="19"/>
      <c r="G64" s="19"/>
      <c r="H64" s="19"/>
      <c r="I64" s="19"/>
      <c r="J64" s="19"/>
      <c r="K64" s="19"/>
      <c r="L64" s="19"/>
      <c r="M64" s="19"/>
      <c r="N64" s="19"/>
      <c r="O64" s="19" t="s">
        <v>246</v>
      </c>
    </row>
    <row r="65" spans="1:15" ht="42.75" x14ac:dyDescent="0.2">
      <c r="A65" s="21" t="s">
        <v>12</v>
      </c>
      <c r="B65" s="21" t="s">
        <v>15</v>
      </c>
      <c r="C65" s="19" t="s">
        <v>503</v>
      </c>
      <c r="D65" s="20" t="s">
        <v>502</v>
      </c>
      <c r="E65" s="19" t="s">
        <v>442</v>
      </c>
      <c r="F65" s="19" t="s">
        <v>491</v>
      </c>
      <c r="G65" s="19">
        <v>2</v>
      </c>
      <c r="H65" s="19">
        <v>2</v>
      </c>
      <c r="I65" s="19">
        <v>28800</v>
      </c>
      <c r="J65" s="19">
        <v>28800</v>
      </c>
      <c r="K65" s="19"/>
      <c r="L65" s="19"/>
      <c r="M65" s="19"/>
      <c r="N65" s="19"/>
      <c r="O65" s="19" t="s">
        <v>504</v>
      </c>
    </row>
    <row r="66" spans="1:15" ht="42.75" x14ac:dyDescent="0.2">
      <c r="A66" s="21" t="s">
        <v>12</v>
      </c>
      <c r="B66" s="21" t="s">
        <v>106</v>
      </c>
      <c r="C66" s="19" t="s">
        <v>506</v>
      </c>
      <c r="D66" s="20" t="s">
        <v>505</v>
      </c>
      <c r="E66" s="19" t="s">
        <v>442</v>
      </c>
      <c r="F66" s="19" t="s">
        <v>491</v>
      </c>
      <c r="G66" s="19">
        <v>5</v>
      </c>
      <c r="H66" s="19"/>
      <c r="I66" s="19">
        <v>7200</v>
      </c>
      <c r="J66" s="19">
        <v>7200</v>
      </c>
      <c r="K66" s="19"/>
      <c r="L66" s="19"/>
      <c r="M66" s="19"/>
      <c r="N66" s="19"/>
      <c r="O66" s="19" t="s">
        <v>507</v>
      </c>
    </row>
    <row r="67" spans="1:15" ht="42.75" x14ac:dyDescent="0.2">
      <c r="A67" s="21" t="s">
        <v>12</v>
      </c>
      <c r="B67" s="21" t="s">
        <v>15</v>
      </c>
      <c r="C67" s="19" t="s">
        <v>509</v>
      </c>
      <c r="D67" s="20" t="s">
        <v>508</v>
      </c>
      <c r="E67" s="19" t="s">
        <v>442</v>
      </c>
      <c r="F67" s="19" t="s">
        <v>491</v>
      </c>
      <c r="G67" s="19">
        <v>5</v>
      </c>
      <c r="H67" s="19">
        <v>5</v>
      </c>
      <c r="I67" s="19"/>
      <c r="J67" s="19"/>
      <c r="K67" s="19"/>
      <c r="L67" s="19"/>
      <c r="M67" s="19"/>
      <c r="N67" s="19"/>
      <c r="O67" s="19" t="s">
        <v>510</v>
      </c>
    </row>
    <row r="68" spans="1:15" ht="42.75" x14ac:dyDescent="0.2">
      <c r="A68" s="21" t="s">
        <v>12</v>
      </c>
      <c r="B68" s="21" t="s">
        <v>13</v>
      </c>
      <c r="C68" s="19" t="s">
        <v>512</v>
      </c>
      <c r="D68" s="20" t="s">
        <v>511</v>
      </c>
      <c r="E68" s="19" t="s">
        <v>442</v>
      </c>
      <c r="F68" s="19" t="s">
        <v>464</v>
      </c>
      <c r="G68" s="19">
        <v>8</v>
      </c>
      <c r="H68" s="19"/>
      <c r="I68" s="19"/>
      <c r="J68" s="19"/>
      <c r="K68" s="19"/>
      <c r="L68" s="19"/>
      <c r="M68" s="19"/>
      <c r="N68" s="19"/>
      <c r="O68" s="19" t="s">
        <v>510</v>
      </c>
    </row>
    <row r="69" spans="1:15" ht="28.5" x14ac:dyDescent="0.2">
      <c r="A69" s="21" t="s">
        <v>12</v>
      </c>
      <c r="B69" s="21" t="s">
        <v>15</v>
      </c>
      <c r="C69" s="19" t="s">
        <v>514</v>
      </c>
      <c r="D69" s="20" t="s">
        <v>513</v>
      </c>
      <c r="E69" s="19" t="s">
        <v>442</v>
      </c>
      <c r="F69" s="19" t="s">
        <v>485</v>
      </c>
      <c r="G69" s="19">
        <v>5</v>
      </c>
      <c r="H69" s="19">
        <v>5</v>
      </c>
      <c r="I69" s="19">
        <v>151200</v>
      </c>
      <c r="J69" s="19">
        <v>151200</v>
      </c>
      <c r="K69" s="19"/>
      <c r="L69" s="19"/>
      <c r="M69" s="19"/>
      <c r="N69" s="19"/>
      <c r="O69" s="19" t="s">
        <v>510</v>
      </c>
    </row>
    <row r="70" spans="1:15" ht="15" x14ac:dyDescent="0.2">
      <c r="A70" s="21" t="s">
        <v>12</v>
      </c>
      <c r="B70" s="21" t="s">
        <v>106</v>
      </c>
      <c r="C70" s="19" t="s">
        <v>516</v>
      </c>
      <c r="D70" s="20" t="s">
        <v>515</v>
      </c>
      <c r="E70" s="19" t="s">
        <v>442</v>
      </c>
      <c r="F70" s="19" t="s">
        <v>477</v>
      </c>
      <c r="G70" s="19">
        <v>2</v>
      </c>
      <c r="H70" s="19"/>
      <c r="I70" s="19">
        <v>72000</v>
      </c>
      <c r="J70" s="19">
        <v>72000</v>
      </c>
      <c r="K70" s="19"/>
      <c r="L70" s="19"/>
      <c r="M70" s="19"/>
      <c r="N70" s="19"/>
      <c r="O70" s="19" t="s">
        <v>501</v>
      </c>
    </row>
    <row r="71" spans="1:15" ht="15" x14ac:dyDescent="0.2">
      <c r="A71" s="21" t="s">
        <v>12</v>
      </c>
      <c r="B71" s="21" t="s">
        <v>106</v>
      </c>
      <c r="C71" s="19" t="s">
        <v>518</v>
      </c>
      <c r="D71" s="20" t="s">
        <v>517</v>
      </c>
      <c r="E71" s="19" t="s">
        <v>442</v>
      </c>
      <c r="F71" s="19" t="s">
        <v>477</v>
      </c>
      <c r="G71" s="19">
        <v>3</v>
      </c>
      <c r="H71" s="19"/>
      <c r="I71" s="19">
        <v>115200</v>
      </c>
      <c r="J71" s="19">
        <v>115200</v>
      </c>
      <c r="K71" s="19"/>
      <c r="L71" s="19"/>
      <c r="M71" s="19"/>
      <c r="N71" s="19"/>
      <c r="O71" s="19" t="s">
        <v>501</v>
      </c>
    </row>
    <row r="72" spans="1:15" ht="28.5" x14ac:dyDescent="0.2">
      <c r="A72" s="21" t="s">
        <v>12</v>
      </c>
      <c r="B72" s="21" t="s">
        <v>106</v>
      </c>
      <c r="C72" s="19" t="s">
        <v>520</v>
      </c>
      <c r="D72" s="20" t="s">
        <v>519</v>
      </c>
      <c r="E72" s="19" t="s">
        <v>521</v>
      </c>
      <c r="F72" s="19" t="s">
        <v>523</v>
      </c>
      <c r="G72" s="19"/>
      <c r="H72" s="19"/>
      <c r="I72" s="19">
        <v>14400</v>
      </c>
      <c r="J72" s="19">
        <v>14400</v>
      </c>
      <c r="K72" s="19"/>
      <c r="L72" s="19"/>
      <c r="M72" s="19"/>
      <c r="N72" s="19"/>
      <c r="O72" s="19" t="s">
        <v>522</v>
      </c>
    </row>
    <row r="73" spans="1:15" ht="28.5" x14ac:dyDescent="0.2">
      <c r="A73" s="21" t="s">
        <v>12</v>
      </c>
      <c r="B73" s="21" t="s">
        <v>15</v>
      </c>
      <c r="C73" s="19" t="s">
        <v>202</v>
      </c>
      <c r="D73" s="20" t="s">
        <v>203</v>
      </c>
      <c r="E73" s="19" t="s">
        <v>70</v>
      </c>
      <c r="F73" s="19" t="s">
        <v>188</v>
      </c>
      <c r="G73" s="19">
        <v>3</v>
      </c>
      <c r="H73" s="19">
        <v>3</v>
      </c>
      <c r="I73" s="19">
        <v>14400</v>
      </c>
      <c r="J73" s="19">
        <v>14400</v>
      </c>
      <c r="K73" s="19"/>
      <c r="L73" s="19"/>
      <c r="M73" s="19"/>
      <c r="N73" s="19"/>
      <c r="O73" s="19" t="s">
        <v>204</v>
      </c>
    </row>
    <row r="74" spans="1:15" ht="15" x14ac:dyDescent="0.2">
      <c r="A74" s="21" t="s">
        <v>12</v>
      </c>
      <c r="B74" s="21" t="s">
        <v>15</v>
      </c>
      <c r="C74" s="19" t="s">
        <v>207</v>
      </c>
      <c r="D74" s="20" t="s">
        <v>208</v>
      </c>
      <c r="E74" s="19" t="s">
        <v>70</v>
      </c>
      <c r="F74" s="19" t="s">
        <v>188</v>
      </c>
      <c r="G74" s="19">
        <v>5</v>
      </c>
      <c r="H74" s="19">
        <v>5</v>
      </c>
      <c r="I74" s="19">
        <v>86400</v>
      </c>
      <c r="J74" s="19">
        <v>86400</v>
      </c>
      <c r="K74" s="19"/>
      <c r="L74" s="19"/>
      <c r="M74" s="19"/>
      <c r="N74" s="19"/>
      <c r="O74" s="19" t="s">
        <v>209</v>
      </c>
    </row>
    <row r="75" spans="1:15" ht="28.5" x14ac:dyDescent="0.2">
      <c r="A75" s="21" t="s">
        <v>12</v>
      </c>
      <c r="B75" s="21" t="s">
        <v>15</v>
      </c>
      <c r="C75" s="19" t="s">
        <v>199</v>
      </c>
      <c r="D75" s="20" t="s">
        <v>200</v>
      </c>
      <c r="E75" s="19" t="s">
        <v>70</v>
      </c>
      <c r="F75" s="19" t="s">
        <v>188</v>
      </c>
      <c r="G75" s="19">
        <v>5</v>
      </c>
      <c r="H75" s="19">
        <v>5</v>
      </c>
      <c r="I75" s="19">
        <v>28800</v>
      </c>
      <c r="J75" s="19">
        <v>28800</v>
      </c>
      <c r="K75" s="19"/>
      <c r="L75" s="19"/>
      <c r="M75" s="19"/>
      <c r="N75" s="19"/>
      <c r="O75" s="19" t="s">
        <v>201</v>
      </c>
    </row>
    <row r="76" spans="1:15" ht="15" x14ac:dyDescent="0.2">
      <c r="A76" s="21" t="s">
        <v>12</v>
      </c>
      <c r="B76" s="21" t="s">
        <v>14</v>
      </c>
      <c r="C76" s="19" t="s">
        <v>326</v>
      </c>
      <c r="D76" s="20" t="s">
        <v>327</v>
      </c>
      <c r="E76" s="19" t="s">
        <v>70</v>
      </c>
      <c r="F76" s="19" t="s">
        <v>328</v>
      </c>
      <c r="G76" s="19">
        <v>13</v>
      </c>
      <c r="H76" s="19"/>
      <c r="I76" s="19">
        <v>144000</v>
      </c>
      <c r="J76" s="19">
        <v>144000</v>
      </c>
      <c r="K76" s="19"/>
      <c r="L76" s="19"/>
      <c r="M76" s="19"/>
      <c r="N76" s="19"/>
      <c r="O76" s="19" t="s">
        <v>329</v>
      </c>
    </row>
    <row r="77" spans="1:15" ht="28.5" x14ac:dyDescent="0.2">
      <c r="A77" s="21" t="s">
        <v>12</v>
      </c>
      <c r="B77" s="21" t="s">
        <v>14</v>
      </c>
      <c r="C77" s="19" t="s">
        <v>269</v>
      </c>
      <c r="D77" s="20" t="s">
        <v>270</v>
      </c>
      <c r="E77" s="19" t="s">
        <v>70</v>
      </c>
      <c r="F77" s="19" t="s">
        <v>267</v>
      </c>
      <c r="G77" s="19">
        <v>8</v>
      </c>
      <c r="H77" s="19"/>
      <c r="I77" s="19">
        <v>122400</v>
      </c>
      <c r="J77" s="19">
        <v>122400</v>
      </c>
      <c r="K77" s="19"/>
      <c r="L77" s="19"/>
      <c r="M77" s="19"/>
      <c r="N77" s="19"/>
      <c r="O77" s="19"/>
    </row>
    <row r="78" spans="1:15" ht="28.5" x14ac:dyDescent="0.2">
      <c r="A78" s="21" t="s">
        <v>12</v>
      </c>
      <c r="B78" s="21" t="s">
        <v>15</v>
      </c>
      <c r="C78" s="19" t="s">
        <v>190</v>
      </c>
      <c r="D78" s="20" t="s">
        <v>191</v>
      </c>
      <c r="E78" s="19" t="s">
        <v>70</v>
      </c>
      <c r="F78" s="19" t="s">
        <v>188</v>
      </c>
      <c r="G78" s="19">
        <v>3</v>
      </c>
      <c r="H78" s="19">
        <v>3</v>
      </c>
      <c r="I78" s="19">
        <v>28800</v>
      </c>
      <c r="J78" s="19">
        <v>28800</v>
      </c>
      <c r="K78" s="19"/>
      <c r="L78" s="19"/>
      <c r="M78" s="19"/>
      <c r="N78" s="19"/>
      <c r="O78" s="19" t="s">
        <v>88</v>
      </c>
    </row>
    <row r="79" spans="1:15" ht="15" x14ac:dyDescent="0.2">
      <c r="A79" s="21" t="s">
        <v>12</v>
      </c>
      <c r="B79" s="21" t="s">
        <v>15</v>
      </c>
      <c r="C79" s="19" t="s">
        <v>192</v>
      </c>
      <c r="D79" s="20" t="s">
        <v>193</v>
      </c>
      <c r="E79" s="19" t="s">
        <v>70</v>
      </c>
      <c r="F79" s="19" t="s">
        <v>188</v>
      </c>
      <c r="G79" s="19">
        <v>5</v>
      </c>
      <c r="H79" s="19">
        <v>5</v>
      </c>
      <c r="I79" s="19">
        <v>28800</v>
      </c>
      <c r="J79" s="19">
        <v>28800</v>
      </c>
      <c r="K79" s="19"/>
      <c r="L79" s="19"/>
      <c r="M79" s="19"/>
      <c r="N79" s="19"/>
      <c r="O79" s="19" t="s">
        <v>96</v>
      </c>
    </row>
    <row r="80" spans="1:15" ht="42.75" x14ac:dyDescent="0.2">
      <c r="A80" s="21" t="s">
        <v>12</v>
      </c>
      <c r="B80" s="21" t="s">
        <v>15</v>
      </c>
      <c r="C80" s="19" t="s">
        <v>178</v>
      </c>
      <c r="D80" s="20" t="s">
        <v>179</v>
      </c>
      <c r="E80" s="19" t="s">
        <v>70</v>
      </c>
      <c r="F80" s="19" t="s">
        <v>180</v>
      </c>
      <c r="G80" s="19">
        <v>3</v>
      </c>
      <c r="H80" s="19">
        <v>3</v>
      </c>
      <c r="I80" s="19">
        <v>86400</v>
      </c>
      <c r="J80" s="19">
        <v>86400</v>
      </c>
      <c r="K80" s="19"/>
      <c r="L80" s="19"/>
      <c r="M80" s="19"/>
      <c r="N80" s="19"/>
      <c r="O80" s="19" t="s">
        <v>181</v>
      </c>
    </row>
    <row r="81" spans="1:15" ht="28.5" x14ac:dyDescent="0.2">
      <c r="A81" s="21" t="s">
        <v>12</v>
      </c>
      <c r="B81" s="21" t="s">
        <v>15</v>
      </c>
      <c r="C81" s="19" t="s">
        <v>184</v>
      </c>
      <c r="D81" s="20" t="s">
        <v>185</v>
      </c>
      <c r="E81" s="19" t="s">
        <v>70</v>
      </c>
      <c r="F81" s="19" t="s">
        <v>180</v>
      </c>
      <c r="G81" s="19">
        <v>5</v>
      </c>
      <c r="H81" s="19">
        <v>5</v>
      </c>
      <c r="I81" s="19">
        <v>57600</v>
      </c>
      <c r="J81" s="19">
        <v>57600</v>
      </c>
      <c r="K81" s="19"/>
      <c r="L81" s="19"/>
      <c r="M81" s="19"/>
      <c r="N81" s="19"/>
      <c r="O81" s="19" t="s">
        <v>96</v>
      </c>
    </row>
    <row r="82" spans="1:15" ht="28.5" x14ac:dyDescent="0.2">
      <c r="A82" s="21" t="s">
        <v>12</v>
      </c>
      <c r="B82" s="21" t="s">
        <v>15</v>
      </c>
      <c r="C82" s="19" t="s">
        <v>94</v>
      </c>
      <c r="D82" s="20" t="s">
        <v>95</v>
      </c>
      <c r="E82" s="19" t="s">
        <v>70</v>
      </c>
      <c r="F82" s="19" t="s">
        <v>87</v>
      </c>
      <c r="G82" s="19">
        <v>3</v>
      </c>
      <c r="H82" s="19">
        <v>3</v>
      </c>
      <c r="I82" s="19">
        <v>28800</v>
      </c>
      <c r="J82" s="19">
        <v>28800</v>
      </c>
      <c r="K82" s="19"/>
      <c r="L82" s="19"/>
      <c r="M82" s="19"/>
      <c r="N82" s="19"/>
      <c r="O82" s="19" t="s">
        <v>96</v>
      </c>
    </row>
    <row r="83" spans="1:15" ht="15" x14ac:dyDescent="0.2">
      <c r="A83" s="21" t="s">
        <v>12</v>
      </c>
      <c r="B83" s="21" t="s">
        <v>15</v>
      </c>
      <c r="C83" s="19" t="s">
        <v>97</v>
      </c>
      <c r="D83" s="20" t="s">
        <v>98</v>
      </c>
      <c r="E83" s="19" t="s">
        <v>70</v>
      </c>
      <c r="F83" s="19" t="s">
        <v>87</v>
      </c>
      <c r="G83" s="19">
        <v>3</v>
      </c>
      <c r="H83" s="19">
        <v>3</v>
      </c>
      <c r="I83" s="19">
        <v>86400</v>
      </c>
      <c r="J83" s="19">
        <v>86400</v>
      </c>
      <c r="K83" s="19"/>
      <c r="L83" s="19"/>
      <c r="M83" s="19"/>
      <c r="N83" s="19"/>
      <c r="O83" s="19" t="s">
        <v>96</v>
      </c>
    </row>
    <row r="84" spans="1:15" ht="28.5" x14ac:dyDescent="0.2">
      <c r="A84" s="21" t="s">
        <v>12</v>
      </c>
      <c r="B84" s="21" t="s">
        <v>15</v>
      </c>
      <c r="C84" s="19" t="s">
        <v>99</v>
      </c>
      <c r="D84" s="20" t="s">
        <v>100</v>
      </c>
      <c r="E84" s="19" t="s">
        <v>70</v>
      </c>
      <c r="F84" s="19" t="s">
        <v>87</v>
      </c>
      <c r="G84" s="19">
        <v>5</v>
      </c>
      <c r="H84" s="19">
        <v>5</v>
      </c>
      <c r="I84" s="19">
        <v>57600</v>
      </c>
      <c r="J84" s="19">
        <v>57600</v>
      </c>
      <c r="K84" s="19"/>
      <c r="L84" s="19"/>
      <c r="M84" s="19"/>
      <c r="N84" s="19"/>
      <c r="O84" s="19" t="s">
        <v>101</v>
      </c>
    </row>
    <row r="85" spans="1:15" ht="15" x14ac:dyDescent="0.2">
      <c r="A85" s="21" t="s">
        <v>12</v>
      </c>
      <c r="B85" s="21" t="s">
        <v>106</v>
      </c>
      <c r="C85" s="19" t="s">
        <v>525</v>
      </c>
      <c r="D85" s="20" t="s">
        <v>524</v>
      </c>
      <c r="E85" s="19" t="s">
        <v>442</v>
      </c>
      <c r="F85" s="19" t="s">
        <v>447</v>
      </c>
      <c r="G85" s="19">
        <v>5</v>
      </c>
      <c r="H85" s="19"/>
      <c r="I85" s="19"/>
      <c r="J85" s="19"/>
      <c r="K85" s="19"/>
      <c r="L85" s="19"/>
      <c r="M85" s="19"/>
      <c r="N85" s="19"/>
      <c r="O85" s="19" t="s">
        <v>433</v>
      </c>
    </row>
    <row r="86" spans="1:15" ht="15" x14ac:dyDescent="0.2">
      <c r="A86" s="21" t="s">
        <v>12</v>
      </c>
      <c r="B86" s="21" t="s">
        <v>15</v>
      </c>
      <c r="C86" s="19" t="s">
        <v>527</v>
      </c>
      <c r="D86" s="20" t="s">
        <v>526</v>
      </c>
      <c r="E86" s="19" t="s">
        <v>442</v>
      </c>
      <c r="F86" s="19" t="s">
        <v>443</v>
      </c>
      <c r="G86" s="19">
        <v>5</v>
      </c>
      <c r="H86" s="19">
        <v>5</v>
      </c>
      <c r="I86" s="19">
        <v>57600</v>
      </c>
      <c r="J86" s="19">
        <v>57600</v>
      </c>
      <c r="K86" s="19"/>
      <c r="L86" s="19"/>
      <c r="M86" s="19"/>
      <c r="N86" s="19"/>
      <c r="O86" s="19" t="s">
        <v>433</v>
      </c>
    </row>
    <row r="87" spans="1:15" ht="15" x14ac:dyDescent="0.2">
      <c r="A87" s="21" t="s">
        <v>12</v>
      </c>
      <c r="B87" s="21" t="s">
        <v>15</v>
      </c>
      <c r="C87" s="19" t="s">
        <v>529</v>
      </c>
      <c r="D87" s="20" t="s">
        <v>528</v>
      </c>
      <c r="E87" s="19" t="s">
        <v>442</v>
      </c>
      <c r="F87" s="19" t="s">
        <v>443</v>
      </c>
      <c r="G87" s="19">
        <v>5</v>
      </c>
      <c r="H87" s="19">
        <v>5</v>
      </c>
      <c r="I87" s="19">
        <v>21600</v>
      </c>
      <c r="J87" s="19">
        <v>21600</v>
      </c>
      <c r="K87" s="19"/>
      <c r="L87" s="19"/>
      <c r="M87" s="19"/>
      <c r="N87" s="19"/>
      <c r="O87" s="19" t="s">
        <v>433</v>
      </c>
    </row>
    <row r="88" spans="1:15" ht="28.5" x14ac:dyDescent="0.2">
      <c r="A88" s="21" t="s">
        <v>12</v>
      </c>
      <c r="B88" s="21" t="s">
        <v>16</v>
      </c>
      <c r="C88" s="19" t="s">
        <v>230</v>
      </c>
      <c r="D88" s="20" t="s">
        <v>231</v>
      </c>
      <c r="E88" s="19" t="s">
        <v>70</v>
      </c>
      <c r="F88" s="19" t="s">
        <v>219</v>
      </c>
      <c r="G88" s="19">
        <v>8</v>
      </c>
      <c r="H88" s="19"/>
      <c r="I88" s="19"/>
      <c r="J88" s="19"/>
      <c r="K88" s="19"/>
      <c r="L88" s="19"/>
      <c r="M88" s="19"/>
      <c r="N88" s="19"/>
      <c r="O88" s="19" t="s">
        <v>218</v>
      </c>
    </row>
    <row r="89" spans="1:15" ht="28.5" x14ac:dyDescent="0.2">
      <c r="A89" s="21" t="s">
        <v>12</v>
      </c>
      <c r="B89" s="21" t="s">
        <v>13</v>
      </c>
      <c r="C89" s="19" t="s">
        <v>232</v>
      </c>
      <c r="D89" s="20" t="s">
        <v>233</v>
      </c>
      <c r="E89" s="19" t="s">
        <v>70</v>
      </c>
      <c r="F89" s="19" t="s">
        <v>219</v>
      </c>
      <c r="G89" s="19">
        <v>13</v>
      </c>
      <c r="H89" s="19"/>
      <c r="I89" s="19"/>
      <c r="J89" s="19"/>
      <c r="K89" s="19"/>
      <c r="L89" s="19"/>
      <c r="M89" s="19"/>
      <c r="N89" s="19"/>
      <c r="O89" s="19" t="s">
        <v>234</v>
      </c>
    </row>
    <row r="90" spans="1:15" ht="28.5" x14ac:dyDescent="0.2">
      <c r="A90" s="21" t="s">
        <v>12</v>
      </c>
      <c r="B90" s="21" t="s">
        <v>13</v>
      </c>
      <c r="C90" s="19" t="s">
        <v>531</v>
      </c>
      <c r="D90" s="20" t="s">
        <v>530</v>
      </c>
      <c r="E90" s="19" t="s">
        <v>442</v>
      </c>
      <c r="F90" s="19" t="s">
        <v>277</v>
      </c>
      <c r="G90" s="19"/>
      <c r="H90" s="19"/>
      <c r="I90" s="19">
        <v>43200</v>
      </c>
      <c r="J90" s="19">
        <v>43200</v>
      </c>
      <c r="K90" s="19"/>
      <c r="L90" s="19"/>
      <c r="M90" s="19"/>
      <c r="N90" s="19"/>
      <c r="O90" s="19"/>
    </row>
    <row r="91" spans="1:15" ht="15" x14ac:dyDescent="0.2">
      <c r="A91" s="21" t="s">
        <v>12</v>
      </c>
      <c r="B91" s="21" t="s">
        <v>13</v>
      </c>
      <c r="C91" s="19" t="s">
        <v>381</v>
      </c>
      <c r="D91" s="20" t="s">
        <v>382</v>
      </c>
      <c r="E91" s="19" t="s">
        <v>70</v>
      </c>
      <c r="F91" s="19"/>
      <c r="G91" s="19"/>
      <c r="H91" s="19"/>
      <c r="I91" s="19"/>
      <c r="J91" s="19"/>
      <c r="K91" s="19"/>
      <c r="L91" s="19"/>
      <c r="M91" s="19"/>
      <c r="N91" s="19"/>
      <c r="O91" s="19" t="s">
        <v>383</v>
      </c>
    </row>
    <row r="92" spans="1:15" ht="28.5" x14ac:dyDescent="0.2">
      <c r="A92" s="21" t="s">
        <v>12</v>
      </c>
      <c r="B92" s="21" t="s">
        <v>13</v>
      </c>
      <c r="C92" s="19" t="s">
        <v>533</v>
      </c>
      <c r="D92" s="20" t="s">
        <v>532</v>
      </c>
      <c r="E92" s="19" t="s">
        <v>442</v>
      </c>
      <c r="F92" s="19"/>
      <c r="G92" s="19"/>
      <c r="H92" s="19"/>
      <c r="I92" s="19"/>
      <c r="J92" s="19"/>
      <c r="K92" s="19"/>
      <c r="L92" s="19"/>
      <c r="M92" s="19"/>
      <c r="N92" s="19"/>
      <c r="O92" s="19" t="s">
        <v>310</v>
      </c>
    </row>
    <row r="93" spans="1:15" ht="15" x14ac:dyDescent="0.2">
      <c r="A93" s="21" t="s">
        <v>12</v>
      </c>
      <c r="B93" s="21" t="s">
        <v>13</v>
      </c>
      <c r="C93" s="19" t="s">
        <v>535</v>
      </c>
      <c r="D93" s="20" t="s">
        <v>534</v>
      </c>
      <c r="E93" s="19">
        <v>3</v>
      </c>
      <c r="F93" s="19"/>
      <c r="G93" s="19"/>
      <c r="H93" s="19"/>
      <c r="I93" s="19"/>
      <c r="J93" s="19"/>
      <c r="K93" s="19"/>
      <c r="L93" s="19"/>
      <c r="M93" s="19"/>
      <c r="N93" s="19"/>
      <c r="O93" s="19"/>
    </row>
    <row r="94" spans="1:15" ht="28.5" x14ac:dyDescent="0.2">
      <c r="A94" s="21" t="s">
        <v>12</v>
      </c>
      <c r="B94" s="21" t="s">
        <v>15</v>
      </c>
      <c r="C94" s="19" t="s">
        <v>537</v>
      </c>
      <c r="D94" s="20" t="s">
        <v>536</v>
      </c>
      <c r="E94" s="19" t="s">
        <v>538</v>
      </c>
      <c r="F94" s="19"/>
      <c r="G94" s="19"/>
      <c r="H94" s="19"/>
      <c r="I94" s="19"/>
      <c r="J94" s="19">
        <v>0</v>
      </c>
      <c r="K94" s="19"/>
      <c r="L94" s="19"/>
      <c r="M94" s="19"/>
      <c r="N94" s="19"/>
      <c r="O94" s="19"/>
    </row>
    <row r="95" spans="1:15" ht="28.5" x14ac:dyDescent="0.2">
      <c r="A95" s="21" t="s">
        <v>12</v>
      </c>
      <c r="B95" s="21" t="s">
        <v>15</v>
      </c>
      <c r="C95" s="19" t="s">
        <v>540</v>
      </c>
      <c r="D95" s="20" t="s">
        <v>539</v>
      </c>
      <c r="E95" s="19" t="s">
        <v>541</v>
      </c>
      <c r="F95" s="19"/>
      <c r="G95" s="19"/>
      <c r="H95" s="19"/>
      <c r="I95" s="19"/>
      <c r="J95" s="19">
        <v>0</v>
      </c>
      <c r="K95" s="19"/>
      <c r="L95" s="19"/>
      <c r="M95" s="19"/>
      <c r="N95" s="19"/>
      <c r="O95" s="19"/>
    </row>
    <row r="96" spans="1:15" ht="15" x14ac:dyDescent="0.2">
      <c r="A96" s="21" t="s">
        <v>12</v>
      </c>
      <c r="B96" s="21" t="s">
        <v>15</v>
      </c>
      <c r="C96" s="19" t="s">
        <v>543</v>
      </c>
      <c r="D96" s="20" t="s">
        <v>542</v>
      </c>
      <c r="E96" s="19" t="s">
        <v>538</v>
      </c>
      <c r="F96" s="19"/>
      <c r="G96" s="19"/>
      <c r="H96" s="19"/>
      <c r="I96" s="19"/>
      <c r="J96" s="19">
        <v>0</v>
      </c>
      <c r="K96" s="19"/>
      <c r="L96" s="19"/>
      <c r="M96" s="19"/>
      <c r="N96" s="19"/>
      <c r="O96" s="19"/>
    </row>
    <row r="97" spans="1:15" ht="28.5" x14ac:dyDescent="0.2">
      <c r="A97" s="21" t="s">
        <v>12</v>
      </c>
      <c r="B97" s="21" t="s">
        <v>15</v>
      </c>
      <c r="C97" s="19" t="s">
        <v>545</v>
      </c>
      <c r="D97" s="20" t="s">
        <v>544</v>
      </c>
      <c r="E97" s="19" t="s">
        <v>541</v>
      </c>
      <c r="F97" s="19"/>
      <c r="G97" s="19"/>
      <c r="H97" s="19"/>
      <c r="I97" s="19"/>
      <c r="J97" s="19">
        <v>0</v>
      </c>
      <c r="K97" s="19"/>
      <c r="L97" s="19"/>
      <c r="M97" s="19"/>
      <c r="N97" s="19"/>
      <c r="O97" s="19"/>
    </row>
    <row r="98" spans="1:15" ht="28.5" x14ac:dyDescent="0.2">
      <c r="A98" s="21" t="s">
        <v>12</v>
      </c>
      <c r="B98" s="21" t="s">
        <v>15</v>
      </c>
      <c r="C98" s="19" t="s">
        <v>547</v>
      </c>
      <c r="D98" s="20" t="s">
        <v>546</v>
      </c>
      <c r="E98" s="19" t="s">
        <v>541</v>
      </c>
      <c r="F98" s="19"/>
      <c r="G98" s="19"/>
      <c r="H98" s="19"/>
      <c r="I98" s="19"/>
      <c r="J98" s="19">
        <v>0</v>
      </c>
      <c r="K98" s="19"/>
      <c r="L98" s="19"/>
      <c r="M98" s="19"/>
      <c r="N98" s="19"/>
      <c r="O98" s="19"/>
    </row>
    <row r="99" spans="1:15" ht="15" x14ac:dyDescent="0.2">
      <c r="A99" s="21" t="s">
        <v>12</v>
      </c>
      <c r="B99" s="21" t="s">
        <v>15</v>
      </c>
      <c r="C99" s="19" t="s">
        <v>549</v>
      </c>
      <c r="D99" s="20" t="s">
        <v>548</v>
      </c>
      <c r="E99" s="19" t="s">
        <v>541</v>
      </c>
      <c r="F99" s="19"/>
      <c r="G99" s="19"/>
      <c r="H99" s="19"/>
      <c r="I99" s="19"/>
      <c r="J99" s="19">
        <v>0</v>
      </c>
      <c r="K99" s="19"/>
      <c r="L99" s="19"/>
      <c r="M99" s="19"/>
      <c r="N99" s="19"/>
      <c r="O99" s="19"/>
    </row>
    <row r="100" spans="1:15" ht="28.5" x14ac:dyDescent="0.2">
      <c r="A100" s="21" t="s">
        <v>12</v>
      </c>
      <c r="B100" s="21" t="s">
        <v>15</v>
      </c>
      <c r="C100" s="19" t="s">
        <v>551</v>
      </c>
      <c r="D100" s="20" t="s">
        <v>550</v>
      </c>
      <c r="E100" s="19" t="s">
        <v>538</v>
      </c>
      <c r="F100" s="19"/>
      <c r="G100" s="19"/>
      <c r="H100" s="19"/>
      <c r="I100" s="19"/>
      <c r="J100" s="19">
        <v>0</v>
      </c>
      <c r="K100" s="19"/>
      <c r="L100" s="19"/>
      <c r="M100" s="19"/>
      <c r="N100" s="19"/>
      <c r="O100" s="19"/>
    </row>
    <row r="101" spans="1:15" ht="15" x14ac:dyDescent="0.2">
      <c r="A101" s="21" t="s">
        <v>12</v>
      </c>
      <c r="B101" s="21" t="s">
        <v>15</v>
      </c>
      <c r="C101" s="19" t="s">
        <v>553</v>
      </c>
      <c r="D101" s="20" t="s">
        <v>552</v>
      </c>
      <c r="E101" s="19" t="s">
        <v>538</v>
      </c>
      <c r="F101" s="19"/>
      <c r="G101" s="19"/>
      <c r="H101" s="19"/>
      <c r="I101" s="19"/>
      <c r="J101" s="19">
        <v>0</v>
      </c>
      <c r="K101" s="19"/>
      <c r="L101" s="19"/>
      <c r="M101" s="19"/>
      <c r="N101" s="19"/>
      <c r="O101" s="19"/>
    </row>
    <row r="102" spans="1:15" ht="28.5" x14ac:dyDescent="0.2">
      <c r="A102" s="21" t="s">
        <v>12</v>
      </c>
      <c r="B102" s="21" t="s">
        <v>15</v>
      </c>
      <c r="C102" s="19" t="s">
        <v>555</v>
      </c>
      <c r="D102" s="20" t="s">
        <v>554</v>
      </c>
      <c r="E102" s="19" t="s">
        <v>538</v>
      </c>
      <c r="F102" s="19"/>
      <c r="G102" s="19"/>
      <c r="H102" s="19"/>
      <c r="I102" s="19"/>
      <c r="J102" s="19">
        <v>0</v>
      </c>
      <c r="K102" s="19"/>
      <c r="L102" s="19"/>
      <c r="M102" s="19"/>
      <c r="N102" s="19"/>
      <c r="O102" s="19"/>
    </row>
    <row r="103" spans="1:15" ht="28.5" x14ac:dyDescent="0.2">
      <c r="A103" s="21" t="s">
        <v>12</v>
      </c>
      <c r="B103" s="21" t="s">
        <v>15</v>
      </c>
      <c r="C103" s="19" t="s">
        <v>557</v>
      </c>
      <c r="D103" s="20" t="s">
        <v>556</v>
      </c>
      <c r="E103" s="19" t="s">
        <v>538</v>
      </c>
      <c r="F103" s="19"/>
      <c r="G103" s="19"/>
      <c r="H103" s="19"/>
      <c r="I103" s="19"/>
      <c r="J103" s="19">
        <v>0</v>
      </c>
      <c r="K103" s="19"/>
      <c r="L103" s="19"/>
      <c r="M103" s="19"/>
      <c r="N103" s="19"/>
      <c r="O103" s="19"/>
    </row>
    <row r="104" spans="1:15" ht="15" x14ac:dyDescent="0.2">
      <c r="A104" s="21" t="s">
        <v>12</v>
      </c>
      <c r="B104" s="21" t="s">
        <v>15</v>
      </c>
      <c r="C104" s="19" t="s">
        <v>559</v>
      </c>
      <c r="D104" s="20" t="s">
        <v>558</v>
      </c>
      <c r="E104" s="19" t="s">
        <v>541</v>
      </c>
      <c r="F104" s="19"/>
      <c r="G104" s="19"/>
      <c r="H104" s="19"/>
      <c r="I104" s="19"/>
      <c r="J104" s="19">
        <v>0</v>
      </c>
      <c r="K104" s="19"/>
      <c r="L104" s="19"/>
      <c r="M104" s="19"/>
      <c r="N104" s="19"/>
      <c r="O104" s="19"/>
    </row>
    <row r="105" spans="1:15" ht="28.5" x14ac:dyDescent="0.2">
      <c r="A105" s="21" t="s">
        <v>12</v>
      </c>
      <c r="B105" s="21" t="s">
        <v>15</v>
      </c>
      <c r="C105" s="19" t="s">
        <v>561</v>
      </c>
      <c r="D105" s="20" t="s">
        <v>560</v>
      </c>
      <c r="E105" s="19" t="s">
        <v>538</v>
      </c>
      <c r="F105" s="19"/>
      <c r="G105" s="19"/>
      <c r="H105" s="19"/>
      <c r="I105" s="19"/>
      <c r="J105" s="19">
        <v>0</v>
      </c>
      <c r="K105" s="19"/>
      <c r="L105" s="19"/>
      <c r="M105" s="19"/>
      <c r="N105" s="19"/>
      <c r="O105" s="19"/>
    </row>
    <row r="106" spans="1:15" ht="28.5" x14ac:dyDescent="0.2">
      <c r="A106" s="21" t="s">
        <v>12</v>
      </c>
      <c r="B106" s="21" t="s">
        <v>15</v>
      </c>
      <c r="C106" s="19" t="s">
        <v>563</v>
      </c>
      <c r="D106" s="20" t="s">
        <v>562</v>
      </c>
      <c r="E106" s="19" t="s">
        <v>538</v>
      </c>
      <c r="F106" s="19"/>
      <c r="G106" s="19"/>
      <c r="H106" s="19"/>
      <c r="I106" s="19"/>
      <c r="J106" s="19">
        <v>0</v>
      </c>
      <c r="K106" s="19"/>
      <c r="L106" s="19"/>
      <c r="M106" s="19"/>
      <c r="N106" s="19"/>
      <c r="O106" s="19"/>
    </row>
    <row r="107" spans="1:15" ht="28.5" x14ac:dyDescent="0.2">
      <c r="A107" s="21" t="s">
        <v>12</v>
      </c>
      <c r="B107" s="21" t="s">
        <v>15</v>
      </c>
      <c r="C107" s="19" t="s">
        <v>565</v>
      </c>
      <c r="D107" s="20" t="s">
        <v>564</v>
      </c>
      <c r="E107" s="19" t="s">
        <v>538</v>
      </c>
      <c r="F107" s="19"/>
      <c r="G107" s="19"/>
      <c r="H107" s="19"/>
      <c r="I107" s="19"/>
      <c r="J107" s="19">
        <v>0</v>
      </c>
      <c r="K107" s="19"/>
      <c r="L107" s="19"/>
      <c r="M107" s="19"/>
      <c r="N107" s="19"/>
      <c r="O107" s="19"/>
    </row>
    <row r="108" spans="1:15" ht="28.5" x14ac:dyDescent="0.2">
      <c r="A108" s="21" t="s">
        <v>12</v>
      </c>
      <c r="B108" s="21" t="s">
        <v>15</v>
      </c>
      <c r="C108" s="19" t="s">
        <v>567</v>
      </c>
      <c r="D108" s="20" t="s">
        <v>566</v>
      </c>
      <c r="E108" s="19" t="s">
        <v>538</v>
      </c>
      <c r="F108" s="19"/>
      <c r="G108" s="19"/>
      <c r="H108" s="19"/>
      <c r="I108" s="19"/>
      <c r="J108" s="19">
        <v>0</v>
      </c>
      <c r="K108" s="19"/>
      <c r="L108" s="19"/>
      <c r="M108" s="19"/>
      <c r="N108" s="19"/>
      <c r="O108" s="19"/>
    </row>
    <row r="109" spans="1:15" ht="28.5" x14ac:dyDescent="0.2">
      <c r="A109" s="21" t="s">
        <v>12</v>
      </c>
      <c r="B109" s="21" t="s">
        <v>15</v>
      </c>
      <c r="C109" s="19" t="s">
        <v>569</v>
      </c>
      <c r="D109" s="20" t="s">
        <v>568</v>
      </c>
      <c r="E109" s="19" t="s">
        <v>541</v>
      </c>
      <c r="F109" s="19"/>
      <c r="G109" s="19"/>
      <c r="H109" s="19"/>
      <c r="I109" s="19"/>
      <c r="J109" s="19">
        <v>0</v>
      </c>
      <c r="K109" s="19"/>
      <c r="L109" s="19"/>
      <c r="M109" s="19"/>
      <c r="N109" s="19"/>
      <c r="O109" s="19"/>
    </row>
    <row r="110" spans="1:15" ht="28.5" x14ac:dyDescent="0.2">
      <c r="A110" s="21" t="s">
        <v>12</v>
      </c>
      <c r="B110" s="21" t="s">
        <v>15</v>
      </c>
      <c r="C110" s="19" t="s">
        <v>571</v>
      </c>
      <c r="D110" s="20" t="s">
        <v>570</v>
      </c>
      <c r="E110" s="19" t="s">
        <v>541</v>
      </c>
      <c r="F110" s="19"/>
      <c r="G110" s="19"/>
      <c r="H110" s="19"/>
      <c r="I110" s="19">
        <v>0</v>
      </c>
      <c r="J110" s="19">
        <v>0</v>
      </c>
      <c r="K110" s="19"/>
      <c r="L110" s="19"/>
      <c r="M110" s="19"/>
      <c r="N110" s="19"/>
      <c r="O110" s="19"/>
    </row>
    <row r="111" spans="1:15" ht="28.5" x14ac:dyDescent="0.2">
      <c r="A111" s="21" t="s">
        <v>12</v>
      </c>
      <c r="B111" s="21" t="s">
        <v>15</v>
      </c>
      <c r="C111" s="19" t="s">
        <v>573</v>
      </c>
      <c r="D111" s="20" t="s">
        <v>572</v>
      </c>
      <c r="E111" s="19" t="s">
        <v>541</v>
      </c>
      <c r="F111" s="19"/>
      <c r="G111" s="19"/>
      <c r="H111" s="19"/>
      <c r="I111" s="19"/>
      <c r="J111" s="19">
        <v>0</v>
      </c>
      <c r="K111" s="19"/>
      <c r="L111" s="19"/>
      <c r="M111" s="19"/>
      <c r="N111" s="19"/>
      <c r="O111" s="19"/>
    </row>
    <row r="112" spans="1:15" ht="28.5" x14ac:dyDescent="0.2">
      <c r="A112" s="21" t="s">
        <v>12</v>
      </c>
      <c r="B112" s="21" t="s">
        <v>15</v>
      </c>
      <c r="C112" s="19" t="s">
        <v>575</v>
      </c>
      <c r="D112" s="20" t="s">
        <v>574</v>
      </c>
      <c r="E112" s="19" t="s">
        <v>538</v>
      </c>
      <c r="F112" s="19"/>
      <c r="G112" s="19"/>
      <c r="H112" s="19"/>
      <c r="I112" s="19"/>
      <c r="J112" s="19">
        <v>0</v>
      </c>
      <c r="K112" s="19"/>
      <c r="L112" s="19"/>
      <c r="M112" s="19"/>
      <c r="N112" s="19"/>
      <c r="O112" s="19"/>
    </row>
    <row r="113" spans="1:15" ht="15" x14ac:dyDescent="0.2">
      <c r="A113" s="21" t="s">
        <v>12</v>
      </c>
      <c r="B113" s="21" t="s">
        <v>15</v>
      </c>
      <c r="C113" s="19" t="s">
        <v>577</v>
      </c>
      <c r="D113" s="20" t="s">
        <v>576</v>
      </c>
      <c r="E113" s="19" t="s">
        <v>541</v>
      </c>
      <c r="F113" s="19"/>
      <c r="G113" s="19"/>
      <c r="H113" s="19"/>
      <c r="I113" s="19"/>
      <c r="J113" s="19">
        <v>0</v>
      </c>
      <c r="K113" s="19"/>
      <c r="L113" s="19"/>
      <c r="M113" s="19"/>
      <c r="N113" s="19"/>
      <c r="O113" s="19"/>
    </row>
    <row r="114" spans="1:15" ht="28.5" x14ac:dyDescent="0.2">
      <c r="A114" s="21" t="s">
        <v>12</v>
      </c>
      <c r="B114" s="21" t="s">
        <v>15</v>
      </c>
      <c r="C114" s="19" t="s">
        <v>579</v>
      </c>
      <c r="D114" s="20" t="s">
        <v>578</v>
      </c>
      <c r="E114" s="19" t="s">
        <v>538</v>
      </c>
      <c r="F114" s="19"/>
      <c r="G114" s="19"/>
      <c r="H114" s="19"/>
      <c r="I114" s="19"/>
      <c r="J114" s="19">
        <v>0</v>
      </c>
      <c r="K114" s="19"/>
      <c r="L114" s="19"/>
      <c r="M114" s="19"/>
      <c r="N114" s="19"/>
      <c r="O114" s="19"/>
    </row>
    <row r="115" spans="1:15" ht="15" x14ac:dyDescent="0.2">
      <c r="A115" s="21" t="s">
        <v>12</v>
      </c>
      <c r="B115" s="21" t="s">
        <v>15</v>
      </c>
      <c r="C115" s="19" t="s">
        <v>581</v>
      </c>
      <c r="D115" s="20" t="s">
        <v>580</v>
      </c>
      <c r="E115" s="19" t="s">
        <v>541</v>
      </c>
      <c r="F115" s="19"/>
      <c r="G115" s="19"/>
      <c r="H115" s="19"/>
      <c r="I115" s="19"/>
      <c r="J115" s="19">
        <v>0</v>
      </c>
      <c r="K115" s="19"/>
      <c r="L115" s="19"/>
      <c r="M115" s="19"/>
      <c r="N115" s="19"/>
      <c r="O115" s="19"/>
    </row>
    <row r="116" spans="1:15" ht="28.5" x14ac:dyDescent="0.2">
      <c r="A116" s="21" t="s">
        <v>12</v>
      </c>
      <c r="B116" s="21" t="s">
        <v>15</v>
      </c>
      <c r="C116" s="19" t="s">
        <v>583</v>
      </c>
      <c r="D116" s="20" t="s">
        <v>582</v>
      </c>
      <c r="E116" s="19" t="s">
        <v>538</v>
      </c>
      <c r="F116" s="19"/>
      <c r="G116" s="19"/>
      <c r="H116" s="19"/>
      <c r="I116" s="19"/>
      <c r="J116" s="19">
        <v>0</v>
      </c>
      <c r="K116" s="19"/>
      <c r="L116" s="19"/>
      <c r="M116" s="19"/>
      <c r="N116" s="19"/>
      <c r="O116" s="19"/>
    </row>
    <row r="117" spans="1:15" ht="28.5" x14ac:dyDescent="0.2">
      <c r="A117" s="21" t="s">
        <v>12</v>
      </c>
      <c r="B117" s="21" t="s">
        <v>15</v>
      </c>
      <c r="C117" s="19" t="s">
        <v>585</v>
      </c>
      <c r="D117" s="20" t="s">
        <v>584</v>
      </c>
      <c r="E117" s="19" t="s">
        <v>541</v>
      </c>
      <c r="F117" s="19"/>
      <c r="G117" s="19"/>
      <c r="H117" s="19"/>
      <c r="I117" s="19"/>
      <c r="J117" s="19">
        <v>0</v>
      </c>
      <c r="K117" s="19"/>
      <c r="L117" s="19"/>
      <c r="M117" s="19"/>
      <c r="N117" s="19"/>
      <c r="O117" s="19"/>
    </row>
    <row r="118" spans="1:15" ht="15" x14ac:dyDescent="0.2">
      <c r="A118" s="21" t="s">
        <v>12</v>
      </c>
      <c r="B118" s="21" t="s">
        <v>15</v>
      </c>
      <c r="C118" s="19" t="s">
        <v>587</v>
      </c>
      <c r="D118" s="20" t="s">
        <v>586</v>
      </c>
      <c r="E118" s="19" t="s">
        <v>538</v>
      </c>
      <c r="F118" s="19"/>
      <c r="G118" s="19"/>
      <c r="H118" s="19"/>
      <c r="I118" s="19"/>
      <c r="J118" s="19">
        <v>0</v>
      </c>
      <c r="K118" s="19"/>
      <c r="L118" s="19"/>
      <c r="M118" s="19"/>
      <c r="N118" s="19"/>
      <c r="O118" s="19"/>
    </row>
    <row r="119" spans="1:15" ht="42.75" x14ac:dyDescent="0.2">
      <c r="A119" s="21" t="s">
        <v>12</v>
      </c>
      <c r="B119" s="21" t="s">
        <v>15</v>
      </c>
      <c r="C119" s="19" t="s">
        <v>589</v>
      </c>
      <c r="D119" s="20" t="s">
        <v>588</v>
      </c>
      <c r="E119" s="19" t="s">
        <v>541</v>
      </c>
      <c r="F119" s="19"/>
      <c r="G119" s="19"/>
      <c r="H119" s="19"/>
      <c r="I119" s="19"/>
      <c r="J119" s="19">
        <v>0</v>
      </c>
      <c r="K119" s="19"/>
      <c r="L119" s="19"/>
      <c r="M119" s="19"/>
      <c r="N119" s="19"/>
      <c r="O119" s="19"/>
    </row>
    <row r="120" spans="1:15" ht="15" x14ac:dyDescent="0.2">
      <c r="A120" s="21" t="s">
        <v>12</v>
      </c>
      <c r="B120" s="21" t="s">
        <v>15</v>
      </c>
      <c r="C120" s="19" t="s">
        <v>591</v>
      </c>
      <c r="D120" s="20" t="s">
        <v>590</v>
      </c>
      <c r="E120" s="19" t="s">
        <v>538</v>
      </c>
      <c r="F120" s="19"/>
      <c r="G120" s="19"/>
      <c r="H120" s="19"/>
      <c r="I120" s="19"/>
      <c r="J120" s="19">
        <v>0</v>
      </c>
      <c r="K120" s="19"/>
      <c r="L120" s="19"/>
      <c r="M120" s="19"/>
      <c r="N120" s="19"/>
      <c r="O120" s="19"/>
    </row>
    <row r="121" spans="1:15" ht="15" x14ac:dyDescent="0.2">
      <c r="A121" s="21" t="s">
        <v>12</v>
      </c>
      <c r="B121" s="21" t="s">
        <v>15</v>
      </c>
      <c r="C121" s="19" t="s">
        <v>593</v>
      </c>
      <c r="D121" s="20" t="s">
        <v>592</v>
      </c>
      <c r="E121" s="19" t="s">
        <v>541</v>
      </c>
      <c r="F121" s="19"/>
      <c r="G121" s="19"/>
      <c r="H121" s="19"/>
      <c r="I121" s="19"/>
      <c r="J121" s="19">
        <v>0</v>
      </c>
      <c r="K121" s="19"/>
      <c r="L121" s="19"/>
      <c r="M121" s="19"/>
      <c r="N121" s="19"/>
      <c r="O121" s="19"/>
    </row>
    <row r="122" spans="1:15" ht="28.5" x14ac:dyDescent="0.2">
      <c r="A122" s="21" t="s">
        <v>12</v>
      </c>
      <c r="B122" s="21" t="s">
        <v>15</v>
      </c>
      <c r="C122" s="19" t="s">
        <v>595</v>
      </c>
      <c r="D122" s="20" t="s">
        <v>594</v>
      </c>
      <c r="E122" s="19" t="s">
        <v>541</v>
      </c>
      <c r="F122" s="19"/>
      <c r="G122" s="19"/>
      <c r="H122" s="19"/>
      <c r="I122" s="19"/>
      <c r="J122" s="19">
        <v>0</v>
      </c>
      <c r="K122" s="19"/>
      <c r="L122" s="19"/>
      <c r="M122" s="19"/>
      <c r="N122" s="19"/>
      <c r="O122" s="19"/>
    </row>
    <row r="123" spans="1:15" ht="28.5" x14ac:dyDescent="0.2">
      <c r="A123" s="21" t="s">
        <v>12</v>
      </c>
      <c r="B123" s="21" t="s">
        <v>15</v>
      </c>
      <c r="C123" s="19" t="s">
        <v>597</v>
      </c>
      <c r="D123" s="20" t="s">
        <v>596</v>
      </c>
      <c r="E123" s="19" t="s">
        <v>538</v>
      </c>
      <c r="F123" s="19"/>
      <c r="G123" s="19"/>
      <c r="H123" s="19"/>
      <c r="I123" s="19"/>
      <c r="J123" s="19">
        <v>0</v>
      </c>
      <c r="K123" s="19"/>
      <c r="L123" s="19"/>
      <c r="M123" s="19"/>
      <c r="N123" s="19"/>
      <c r="O123" s="19"/>
    </row>
    <row r="124" spans="1:15" ht="28.5" x14ac:dyDescent="0.2">
      <c r="A124" s="21" t="s">
        <v>12</v>
      </c>
      <c r="B124" s="21" t="s">
        <v>15</v>
      </c>
      <c r="C124" s="19" t="s">
        <v>599</v>
      </c>
      <c r="D124" s="20" t="s">
        <v>598</v>
      </c>
      <c r="E124" s="19" t="s">
        <v>538</v>
      </c>
      <c r="F124" s="19"/>
      <c r="G124" s="19"/>
      <c r="H124" s="19"/>
      <c r="I124" s="19"/>
      <c r="J124" s="19">
        <v>0</v>
      </c>
      <c r="K124" s="19"/>
      <c r="L124" s="19"/>
      <c r="M124" s="19"/>
      <c r="N124" s="19"/>
      <c r="O124" s="19"/>
    </row>
    <row r="125" spans="1:15" ht="15" x14ac:dyDescent="0.2">
      <c r="A125" s="21" t="s">
        <v>12</v>
      </c>
      <c r="B125" s="21" t="s">
        <v>15</v>
      </c>
      <c r="C125" s="19" t="s">
        <v>601</v>
      </c>
      <c r="D125" s="20" t="s">
        <v>600</v>
      </c>
      <c r="E125" s="19" t="s">
        <v>541</v>
      </c>
      <c r="F125" s="19"/>
      <c r="G125" s="19"/>
      <c r="H125" s="19"/>
      <c r="I125" s="19"/>
      <c r="J125" s="19">
        <v>0</v>
      </c>
      <c r="K125" s="19"/>
      <c r="L125" s="19"/>
      <c r="M125" s="19"/>
      <c r="N125" s="19"/>
      <c r="O125" s="19"/>
    </row>
    <row r="126" spans="1:15" ht="28.5" x14ac:dyDescent="0.2">
      <c r="A126" s="21" t="s">
        <v>12</v>
      </c>
      <c r="B126" s="21" t="s">
        <v>13</v>
      </c>
      <c r="C126" s="19" t="s">
        <v>603</v>
      </c>
      <c r="D126" s="20" t="s">
        <v>602</v>
      </c>
      <c r="E126" s="19" t="s">
        <v>541</v>
      </c>
      <c r="F126" s="19"/>
      <c r="G126" s="19"/>
      <c r="H126" s="19"/>
      <c r="I126" s="19"/>
      <c r="J126" s="19"/>
      <c r="K126" s="19"/>
      <c r="L126" s="19"/>
      <c r="M126" s="19"/>
      <c r="N126" s="19"/>
      <c r="O126" s="19"/>
    </row>
    <row r="127" spans="1:15" ht="28.5" x14ac:dyDescent="0.2">
      <c r="A127" s="21" t="s">
        <v>12</v>
      </c>
      <c r="B127" s="21" t="s">
        <v>13</v>
      </c>
      <c r="C127" s="19" t="s">
        <v>605</v>
      </c>
      <c r="D127" s="20" t="s">
        <v>604</v>
      </c>
      <c r="E127" s="19" t="s">
        <v>541</v>
      </c>
      <c r="F127" s="19"/>
      <c r="G127" s="19"/>
      <c r="H127" s="19"/>
      <c r="I127" s="19">
        <v>0</v>
      </c>
      <c r="J127" s="19">
        <v>0</v>
      </c>
      <c r="K127" s="19"/>
      <c r="L127" s="19"/>
      <c r="M127" s="19"/>
      <c r="N127" s="19"/>
      <c r="O127" s="19"/>
    </row>
    <row r="128" spans="1:15" ht="28.5" x14ac:dyDescent="0.2">
      <c r="A128" s="21" t="s">
        <v>12</v>
      </c>
      <c r="B128" s="21" t="s">
        <v>13</v>
      </c>
      <c r="C128" s="19" t="s">
        <v>607</v>
      </c>
      <c r="D128" s="20" t="s">
        <v>606</v>
      </c>
      <c r="E128" s="19" t="s">
        <v>541</v>
      </c>
      <c r="F128" s="19"/>
      <c r="G128" s="19"/>
      <c r="H128" s="19"/>
      <c r="I128" s="19">
        <v>0</v>
      </c>
      <c r="J128" s="19">
        <v>0</v>
      </c>
      <c r="K128" s="19"/>
      <c r="L128" s="19"/>
      <c r="M128" s="19"/>
      <c r="N128" s="19"/>
      <c r="O128" s="19"/>
    </row>
    <row r="129" spans="1:15" ht="15" x14ac:dyDescent="0.2">
      <c r="A129" s="21" t="s">
        <v>12</v>
      </c>
      <c r="B129" s="21" t="s">
        <v>13</v>
      </c>
      <c r="C129" s="19" t="s">
        <v>609</v>
      </c>
      <c r="D129" s="20" t="s">
        <v>608</v>
      </c>
      <c r="E129" s="19" t="s">
        <v>541</v>
      </c>
      <c r="F129" s="19"/>
      <c r="G129" s="19"/>
      <c r="H129" s="19"/>
      <c r="I129" s="19">
        <v>0</v>
      </c>
      <c r="J129" s="19">
        <v>0</v>
      </c>
      <c r="K129" s="19"/>
      <c r="L129" s="19"/>
      <c r="M129" s="19"/>
      <c r="N129" s="19"/>
      <c r="O129" s="19"/>
    </row>
    <row r="130" spans="1:15" ht="42.75" x14ac:dyDescent="0.2">
      <c r="A130" s="21" t="s">
        <v>12</v>
      </c>
      <c r="B130" s="21" t="s">
        <v>14</v>
      </c>
      <c r="C130" s="19" t="s">
        <v>611</v>
      </c>
      <c r="D130" s="20" t="s">
        <v>610</v>
      </c>
      <c r="E130" s="19" t="s">
        <v>541</v>
      </c>
      <c r="F130" s="19" t="s">
        <v>613</v>
      </c>
      <c r="G130" s="19">
        <v>13</v>
      </c>
      <c r="H130" s="19"/>
      <c r="I130" s="19">
        <v>115200</v>
      </c>
      <c r="J130" s="19">
        <v>115200</v>
      </c>
      <c r="K130" s="19"/>
      <c r="L130" s="19"/>
      <c r="M130" s="19"/>
      <c r="N130" s="19"/>
      <c r="O130" s="19" t="s">
        <v>612</v>
      </c>
    </row>
    <row r="131" spans="1:15" ht="15" x14ac:dyDescent="0.2">
      <c r="A131" s="21" t="s">
        <v>12</v>
      </c>
      <c r="B131" s="21" t="s">
        <v>106</v>
      </c>
      <c r="C131" s="19" t="s">
        <v>251</v>
      </c>
      <c r="D131" s="20" t="s">
        <v>252</v>
      </c>
      <c r="E131" s="19" t="s">
        <v>70</v>
      </c>
      <c r="F131" s="19" t="s">
        <v>249</v>
      </c>
      <c r="G131" s="19">
        <v>5</v>
      </c>
      <c r="H131" s="19"/>
      <c r="I131" s="19">
        <v>4500</v>
      </c>
      <c r="J131" s="19">
        <v>0</v>
      </c>
      <c r="K131" s="19"/>
      <c r="L131" s="19"/>
      <c r="M131" s="19"/>
      <c r="N131" s="19"/>
      <c r="O131" s="19" t="s">
        <v>253</v>
      </c>
    </row>
    <row r="132" spans="1:15" ht="15" x14ac:dyDescent="0.2">
      <c r="A132" s="21" t="s">
        <v>12</v>
      </c>
      <c r="B132" s="21" t="s">
        <v>16</v>
      </c>
      <c r="C132" s="19" t="s">
        <v>263</v>
      </c>
      <c r="D132" s="20" t="s">
        <v>264</v>
      </c>
      <c r="E132" s="19" t="s">
        <v>70</v>
      </c>
      <c r="F132" s="19" t="s">
        <v>249</v>
      </c>
      <c r="G132" s="19">
        <v>5</v>
      </c>
      <c r="H132" s="19"/>
      <c r="I132" s="19">
        <v>4500</v>
      </c>
      <c r="J132" s="19">
        <v>0</v>
      </c>
      <c r="K132" s="19"/>
      <c r="L132" s="19"/>
      <c r="M132" s="19"/>
      <c r="N132" s="19"/>
      <c r="O132" s="19" t="s">
        <v>253</v>
      </c>
    </row>
    <row r="133" spans="1:15" ht="15" x14ac:dyDescent="0.2">
      <c r="A133" s="21" t="s">
        <v>12</v>
      </c>
      <c r="B133" s="21" t="s">
        <v>16</v>
      </c>
      <c r="C133" s="19" t="s">
        <v>261</v>
      </c>
      <c r="D133" s="20" t="s">
        <v>262</v>
      </c>
      <c r="E133" s="19" t="s">
        <v>70</v>
      </c>
      <c r="F133" s="19" t="s">
        <v>249</v>
      </c>
      <c r="G133" s="19">
        <v>5</v>
      </c>
      <c r="H133" s="19"/>
      <c r="I133" s="19">
        <v>4500</v>
      </c>
      <c r="J133" s="19">
        <v>0</v>
      </c>
      <c r="K133" s="19"/>
      <c r="L133" s="19"/>
      <c r="M133" s="19"/>
      <c r="N133" s="19"/>
      <c r="O133" s="19" t="s">
        <v>253</v>
      </c>
    </row>
    <row r="134" spans="1:15" ht="15" x14ac:dyDescent="0.2">
      <c r="A134" s="21" t="s">
        <v>12</v>
      </c>
      <c r="B134" s="21" t="s">
        <v>106</v>
      </c>
      <c r="C134" s="19" t="s">
        <v>256</v>
      </c>
      <c r="D134" s="20" t="s">
        <v>257</v>
      </c>
      <c r="E134" s="19" t="s">
        <v>70</v>
      </c>
      <c r="F134" s="19" t="s">
        <v>249</v>
      </c>
      <c r="G134" s="19">
        <v>5</v>
      </c>
      <c r="H134" s="19"/>
      <c r="I134" s="19">
        <v>4500</v>
      </c>
      <c r="J134" s="19">
        <v>0</v>
      </c>
      <c r="K134" s="19"/>
      <c r="L134" s="19"/>
      <c r="M134" s="19"/>
      <c r="N134" s="19"/>
      <c r="O134" s="19" t="s">
        <v>253</v>
      </c>
    </row>
    <row r="135" spans="1:15" ht="15" x14ac:dyDescent="0.2">
      <c r="A135" s="21" t="s">
        <v>12</v>
      </c>
      <c r="B135" s="21" t="s">
        <v>106</v>
      </c>
      <c r="C135" s="19" t="s">
        <v>254</v>
      </c>
      <c r="D135" s="20" t="s">
        <v>255</v>
      </c>
      <c r="E135" s="19" t="s">
        <v>70</v>
      </c>
      <c r="F135" s="19" t="s">
        <v>249</v>
      </c>
      <c r="G135" s="19">
        <v>5</v>
      </c>
      <c r="H135" s="19"/>
      <c r="I135" s="19">
        <v>4500</v>
      </c>
      <c r="J135" s="19">
        <v>0</v>
      </c>
      <c r="K135" s="19"/>
      <c r="L135" s="19"/>
      <c r="M135" s="19"/>
      <c r="N135" s="19"/>
      <c r="O135" s="19" t="s">
        <v>253</v>
      </c>
    </row>
    <row r="136" spans="1:15" ht="42.75" x14ac:dyDescent="0.2">
      <c r="A136" s="21" t="s">
        <v>12</v>
      </c>
      <c r="B136" s="21" t="s">
        <v>16</v>
      </c>
      <c r="C136" s="19" t="s">
        <v>258</v>
      </c>
      <c r="D136" s="20" t="s">
        <v>259</v>
      </c>
      <c r="E136" s="19" t="s">
        <v>70</v>
      </c>
      <c r="F136" s="19" t="s">
        <v>249</v>
      </c>
      <c r="G136" s="19">
        <v>5</v>
      </c>
      <c r="H136" s="19"/>
      <c r="I136" s="19">
        <v>4500</v>
      </c>
      <c r="J136" s="19">
        <v>0</v>
      </c>
      <c r="K136" s="19"/>
      <c r="L136" s="19"/>
      <c r="M136" s="19"/>
      <c r="N136" s="19"/>
      <c r="O136" s="19" t="s">
        <v>260</v>
      </c>
    </row>
    <row r="137" spans="1:15" ht="28.5" x14ac:dyDescent="0.2">
      <c r="A137" s="21" t="s">
        <v>12</v>
      </c>
      <c r="B137" s="21" t="s">
        <v>13</v>
      </c>
      <c r="C137" s="19" t="s">
        <v>247</v>
      </c>
      <c r="D137" s="20" t="s">
        <v>248</v>
      </c>
      <c r="E137" s="19" t="s">
        <v>70</v>
      </c>
      <c r="F137" s="19" t="s">
        <v>249</v>
      </c>
      <c r="G137" s="19">
        <v>8</v>
      </c>
      <c r="H137" s="19"/>
      <c r="I137" s="19"/>
      <c r="J137" s="19"/>
      <c r="K137" s="19"/>
      <c r="L137" s="19"/>
      <c r="M137" s="19"/>
      <c r="N137" s="19"/>
      <c r="O137" s="19" t="s">
        <v>250</v>
      </c>
    </row>
    <row r="138" spans="1:15" ht="15" x14ac:dyDescent="0.2">
      <c r="A138" s="21" t="s">
        <v>12</v>
      </c>
      <c r="B138" s="21" t="s">
        <v>15</v>
      </c>
      <c r="C138" s="19" t="s">
        <v>77</v>
      </c>
      <c r="D138" s="20" t="s">
        <v>78</v>
      </c>
      <c r="E138" s="19" t="s">
        <v>70</v>
      </c>
      <c r="F138" s="19" t="s">
        <v>75</v>
      </c>
      <c r="G138" s="19">
        <v>0</v>
      </c>
      <c r="H138" s="19"/>
      <c r="I138" s="19">
        <v>7200</v>
      </c>
      <c r="J138" s="19">
        <v>7200</v>
      </c>
      <c r="K138" s="19"/>
      <c r="L138" s="19"/>
      <c r="M138" s="19"/>
      <c r="N138" s="19"/>
      <c r="O138" s="19" t="s">
        <v>76</v>
      </c>
    </row>
    <row r="139" spans="1:15" ht="15" x14ac:dyDescent="0.2">
      <c r="A139" s="21" t="s">
        <v>12</v>
      </c>
      <c r="B139" s="21" t="s">
        <v>15</v>
      </c>
      <c r="C139" s="19" t="s">
        <v>79</v>
      </c>
      <c r="D139" s="20" t="s">
        <v>80</v>
      </c>
      <c r="E139" s="19" t="s">
        <v>70</v>
      </c>
      <c r="F139" s="19" t="s">
        <v>75</v>
      </c>
      <c r="G139" s="19">
        <v>0</v>
      </c>
      <c r="H139" s="19"/>
      <c r="I139" s="19"/>
      <c r="J139" s="19"/>
      <c r="K139" s="19"/>
      <c r="L139" s="19"/>
      <c r="M139" s="19"/>
      <c r="N139" s="19"/>
      <c r="O139" s="19" t="s">
        <v>76</v>
      </c>
    </row>
    <row r="140" spans="1:15" ht="28.5" x14ac:dyDescent="0.2">
      <c r="A140" s="21" t="s">
        <v>12</v>
      </c>
      <c r="B140" s="21" t="s">
        <v>15</v>
      </c>
      <c r="C140" s="19" t="s">
        <v>73</v>
      </c>
      <c r="D140" s="20" t="s">
        <v>74</v>
      </c>
      <c r="E140" s="19" t="s">
        <v>70</v>
      </c>
      <c r="F140" s="19" t="s">
        <v>75</v>
      </c>
      <c r="G140" s="19">
        <v>0</v>
      </c>
      <c r="H140" s="19"/>
      <c r="I140" s="19"/>
      <c r="J140" s="19"/>
      <c r="K140" s="19"/>
      <c r="L140" s="19"/>
      <c r="M140" s="19"/>
      <c r="N140" s="19"/>
      <c r="O140" s="19" t="s">
        <v>76</v>
      </c>
    </row>
    <row r="141" spans="1:15" ht="15" x14ac:dyDescent="0.2">
      <c r="A141" s="21" t="s">
        <v>12</v>
      </c>
      <c r="B141" s="21" t="s">
        <v>15</v>
      </c>
      <c r="C141" s="19" t="s">
        <v>279</v>
      </c>
      <c r="D141" s="20" t="s">
        <v>614</v>
      </c>
      <c r="E141" s="19" t="s">
        <v>442</v>
      </c>
      <c r="F141" s="19" t="s">
        <v>616</v>
      </c>
      <c r="G141" s="19">
        <v>7</v>
      </c>
      <c r="H141" s="19">
        <v>5</v>
      </c>
      <c r="I141" s="19">
        <v>288000</v>
      </c>
      <c r="J141" s="19">
        <v>57600</v>
      </c>
      <c r="K141" s="19"/>
      <c r="L141" s="19"/>
      <c r="M141" s="19"/>
      <c r="N141" s="19"/>
      <c r="O141" s="19" t="s">
        <v>615</v>
      </c>
    </row>
    <row r="142" spans="1:15" ht="28.5" x14ac:dyDescent="0.2">
      <c r="A142" s="21" t="s">
        <v>12</v>
      </c>
      <c r="B142" s="21" t="s">
        <v>15</v>
      </c>
      <c r="C142" s="19" t="s">
        <v>196</v>
      </c>
      <c r="D142" s="20" t="s">
        <v>197</v>
      </c>
      <c r="E142" s="19" t="s">
        <v>70</v>
      </c>
      <c r="F142" s="19" t="s">
        <v>188</v>
      </c>
      <c r="G142" s="19">
        <v>5</v>
      </c>
      <c r="H142" s="19">
        <v>5</v>
      </c>
      <c r="I142" s="19">
        <v>104400</v>
      </c>
      <c r="J142" s="19">
        <v>104400</v>
      </c>
      <c r="K142" s="19"/>
      <c r="L142" s="19"/>
      <c r="M142" s="19"/>
      <c r="N142" s="19"/>
      <c r="O142" s="19" t="s">
        <v>198</v>
      </c>
    </row>
    <row r="143" spans="1:15" ht="28.5" x14ac:dyDescent="0.2">
      <c r="A143" s="21" t="s">
        <v>12</v>
      </c>
      <c r="B143" s="21" t="s">
        <v>15</v>
      </c>
      <c r="C143" s="19" t="s">
        <v>205</v>
      </c>
      <c r="D143" s="20" t="s">
        <v>206</v>
      </c>
      <c r="E143" s="19" t="s">
        <v>70</v>
      </c>
      <c r="F143" s="19" t="s">
        <v>188</v>
      </c>
      <c r="G143" s="19">
        <v>8</v>
      </c>
      <c r="H143" s="19">
        <v>8</v>
      </c>
      <c r="I143" s="19">
        <v>57600</v>
      </c>
      <c r="J143" s="19">
        <v>57600</v>
      </c>
      <c r="K143" s="19"/>
      <c r="L143" s="19"/>
      <c r="M143" s="19"/>
      <c r="N143" s="19"/>
      <c r="O143" s="19" t="s">
        <v>91</v>
      </c>
    </row>
    <row r="144" spans="1:15" ht="28.5" x14ac:dyDescent="0.2">
      <c r="A144" s="21" t="s">
        <v>12</v>
      </c>
      <c r="B144" s="21" t="s">
        <v>15</v>
      </c>
      <c r="C144" s="19" t="s">
        <v>194</v>
      </c>
      <c r="D144" s="20" t="s">
        <v>195</v>
      </c>
      <c r="E144" s="19" t="s">
        <v>70</v>
      </c>
      <c r="F144" s="19" t="s">
        <v>188</v>
      </c>
      <c r="G144" s="19">
        <v>3</v>
      </c>
      <c r="H144" s="19">
        <v>3</v>
      </c>
      <c r="I144" s="19">
        <v>28800</v>
      </c>
      <c r="J144" s="19">
        <v>28800</v>
      </c>
      <c r="K144" s="19"/>
      <c r="L144" s="19"/>
      <c r="M144" s="19"/>
      <c r="N144" s="19"/>
      <c r="O144" s="19" t="s">
        <v>91</v>
      </c>
    </row>
    <row r="145" spans="1:15" ht="28.5" x14ac:dyDescent="0.2">
      <c r="A145" s="21" t="s">
        <v>12</v>
      </c>
      <c r="B145" s="21" t="s">
        <v>15</v>
      </c>
      <c r="C145" s="19" t="s">
        <v>182</v>
      </c>
      <c r="D145" s="20" t="s">
        <v>183</v>
      </c>
      <c r="E145" s="19" t="s">
        <v>70</v>
      </c>
      <c r="F145" s="19" t="s">
        <v>180</v>
      </c>
      <c r="G145" s="19">
        <v>3</v>
      </c>
      <c r="H145" s="19">
        <v>3</v>
      </c>
      <c r="I145" s="19">
        <v>28800</v>
      </c>
      <c r="J145" s="19">
        <v>28800</v>
      </c>
      <c r="K145" s="19"/>
      <c r="L145" s="19"/>
      <c r="M145" s="19"/>
      <c r="N145" s="19"/>
      <c r="O145" s="19" t="s">
        <v>88</v>
      </c>
    </row>
    <row r="146" spans="1:15" ht="15" x14ac:dyDescent="0.2">
      <c r="A146" s="21" t="s">
        <v>12</v>
      </c>
      <c r="B146" s="21" t="s">
        <v>17</v>
      </c>
      <c r="C146" s="19" t="s">
        <v>102</v>
      </c>
      <c r="D146" s="20" t="s">
        <v>103</v>
      </c>
      <c r="E146" s="19" t="s">
        <v>70</v>
      </c>
      <c r="F146" s="19" t="s">
        <v>87</v>
      </c>
      <c r="G146" s="19">
        <v>1</v>
      </c>
      <c r="H146" s="19"/>
      <c r="I146" s="19">
        <v>14400</v>
      </c>
      <c r="J146" s="19">
        <v>14400</v>
      </c>
      <c r="K146" s="19"/>
      <c r="L146" s="19"/>
      <c r="M146" s="19"/>
      <c r="N146" s="19"/>
      <c r="O146" s="19"/>
    </row>
    <row r="147" spans="1:15" ht="15" x14ac:dyDescent="0.2">
      <c r="A147" s="21" t="s">
        <v>12</v>
      </c>
      <c r="B147" s="21" t="s">
        <v>15</v>
      </c>
      <c r="C147" s="19" t="s">
        <v>89</v>
      </c>
      <c r="D147" s="20" t="s">
        <v>90</v>
      </c>
      <c r="E147" s="19" t="s">
        <v>70</v>
      </c>
      <c r="F147" s="19" t="s">
        <v>87</v>
      </c>
      <c r="G147" s="19">
        <v>8</v>
      </c>
      <c r="H147" s="19">
        <v>8</v>
      </c>
      <c r="I147" s="19">
        <v>129600</v>
      </c>
      <c r="J147" s="19">
        <v>129600</v>
      </c>
      <c r="K147" s="19"/>
      <c r="L147" s="19"/>
      <c r="M147" s="19"/>
      <c r="N147" s="19"/>
      <c r="O147" s="19" t="s">
        <v>91</v>
      </c>
    </row>
    <row r="148" spans="1:15" ht="15" x14ac:dyDescent="0.2">
      <c r="A148" s="21" t="s">
        <v>12</v>
      </c>
      <c r="B148" s="21" t="s">
        <v>15</v>
      </c>
      <c r="C148" s="19" t="s">
        <v>92</v>
      </c>
      <c r="D148" s="20" t="s">
        <v>93</v>
      </c>
      <c r="E148" s="19" t="s">
        <v>70</v>
      </c>
      <c r="F148" s="19" t="s">
        <v>87</v>
      </c>
      <c r="G148" s="19">
        <v>3</v>
      </c>
      <c r="H148" s="19">
        <v>3</v>
      </c>
      <c r="I148" s="19">
        <v>57600</v>
      </c>
      <c r="J148" s="19">
        <v>57600</v>
      </c>
      <c r="K148" s="19"/>
      <c r="L148" s="19"/>
      <c r="M148" s="19"/>
      <c r="N148" s="19"/>
      <c r="O148" s="19" t="s">
        <v>91</v>
      </c>
    </row>
    <row r="149" spans="1:15" ht="28.5" x14ac:dyDescent="0.2">
      <c r="A149" s="21" t="s">
        <v>12</v>
      </c>
      <c r="B149" s="21" t="s">
        <v>15</v>
      </c>
      <c r="C149" s="19" t="s">
        <v>104</v>
      </c>
      <c r="D149" s="20" t="s">
        <v>105</v>
      </c>
      <c r="E149" s="19" t="s">
        <v>70</v>
      </c>
      <c r="F149" s="19" t="s">
        <v>87</v>
      </c>
      <c r="G149" s="19">
        <v>3</v>
      </c>
      <c r="H149" s="19">
        <v>3</v>
      </c>
      <c r="I149" s="19">
        <v>28800</v>
      </c>
      <c r="J149" s="19">
        <v>28800</v>
      </c>
      <c r="K149" s="19"/>
      <c r="L149" s="19"/>
      <c r="M149" s="19"/>
      <c r="N149" s="19"/>
      <c r="O149" s="19" t="s">
        <v>91</v>
      </c>
    </row>
    <row r="150" spans="1:15" ht="15" x14ac:dyDescent="0.2">
      <c r="A150" s="21" t="s">
        <v>12</v>
      </c>
      <c r="B150" s="21" t="s">
        <v>15</v>
      </c>
      <c r="C150" s="19" t="s">
        <v>85</v>
      </c>
      <c r="D150" s="20" t="s">
        <v>86</v>
      </c>
      <c r="E150" s="19" t="s">
        <v>70</v>
      </c>
      <c r="F150" s="19" t="s">
        <v>87</v>
      </c>
      <c r="G150" s="19">
        <v>3</v>
      </c>
      <c r="H150" s="19">
        <v>3</v>
      </c>
      <c r="I150" s="19">
        <v>144000</v>
      </c>
      <c r="J150" s="19">
        <v>144000</v>
      </c>
      <c r="K150" s="19"/>
      <c r="L150" s="19"/>
      <c r="M150" s="19"/>
      <c r="N150" s="19"/>
      <c r="O150" s="19" t="s">
        <v>88</v>
      </c>
    </row>
    <row r="151" spans="1:15" ht="15" x14ac:dyDescent="0.2">
      <c r="A151" s="21" t="s">
        <v>12</v>
      </c>
      <c r="B151" s="21" t="s">
        <v>15</v>
      </c>
      <c r="C151" s="19" t="s">
        <v>618</v>
      </c>
      <c r="D151" s="20" t="s">
        <v>617</v>
      </c>
      <c r="E151" s="19" t="s">
        <v>432</v>
      </c>
      <c r="F151" s="19" t="s">
        <v>434</v>
      </c>
      <c r="G151" s="19">
        <v>5</v>
      </c>
      <c r="H151" s="19">
        <v>5</v>
      </c>
      <c r="I151" s="19">
        <v>208800</v>
      </c>
      <c r="J151" s="19">
        <v>208800</v>
      </c>
      <c r="K151" s="19"/>
      <c r="L151" s="19"/>
      <c r="M151" s="19"/>
      <c r="N151" s="19"/>
      <c r="O151" s="19" t="s">
        <v>619</v>
      </c>
    </row>
    <row r="152" spans="1:15" ht="28.5" x14ac:dyDescent="0.2">
      <c r="A152" s="21" t="s">
        <v>12</v>
      </c>
      <c r="B152" s="21" t="s">
        <v>15</v>
      </c>
      <c r="C152" s="19" t="s">
        <v>621</v>
      </c>
      <c r="D152" s="20" t="s">
        <v>620</v>
      </c>
      <c r="E152" s="19" t="s">
        <v>442</v>
      </c>
      <c r="F152" s="19" t="s">
        <v>443</v>
      </c>
      <c r="G152" s="19">
        <v>5</v>
      </c>
      <c r="H152" s="19">
        <v>5</v>
      </c>
      <c r="I152" s="19">
        <v>57840</v>
      </c>
      <c r="J152" s="19">
        <v>57840</v>
      </c>
      <c r="K152" s="19"/>
      <c r="L152" s="19"/>
      <c r="M152" s="19"/>
      <c r="N152" s="19"/>
      <c r="O152" s="19" t="s">
        <v>622</v>
      </c>
    </row>
    <row r="153" spans="1:15" ht="57" x14ac:dyDescent="0.2">
      <c r="A153" s="21" t="s">
        <v>12</v>
      </c>
      <c r="B153" s="21" t="s">
        <v>15</v>
      </c>
      <c r="C153" s="19" t="s">
        <v>624</v>
      </c>
      <c r="D153" s="20" t="s">
        <v>623</v>
      </c>
      <c r="E153" s="19" t="s">
        <v>442</v>
      </c>
      <c r="F153" s="19" t="s">
        <v>443</v>
      </c>
      <c r="G153" s="19">
        <v>5</v>
      </c>
      <c r="H153" s="19">
        <v>5</v>
      </c>
      <c r="I153" s="19">
        <v>64800</v>
      </c>
      <c r="J153" s="19">
        <v>64800</v>
      </c>
      <c r="K153" s="19"/>
      <c r="L153" s="19"/>
      <c r="M153" s="19"/>
      <c r="N153" s="19"/>
      <c r="O153" s="19" t="s">
        <v>622</v>
      </c>
    </row>
    <row r="154" spans="1:15" ht="42.75" x14ac:dyDescent="0.2">
      <c r="A154" s="21" t="s">
        <v>12</v>
      </c>
      <c r="B154" s="21" t="s">
        <v>106</v>
      </c>
      <c r="C154" s="19" t="s">
        <v>626</v>
      </c>
      <c r="D154" s="20" t="s">
        <v>625</v>
      </c>
      <c r="E154" s="19" t="s">
        <v>442</v>
      </c>
      <c r="F154" s="19" t="s">
        <v>447</v>
      </c>
      <c r="G154" s="19">
        <v>5</v>
      </c>
      <c r="H154" s="19"/>
      <c r="I154" s="19">
        <v>64800</v>
      </c>
      <c r="J154" s="19">
        <v>64800</v>
      </c>
      <c r="K154" s="19"/>
      <c r="L154" s="19"/>
      <c r="M154" s="19"/>
      <c r="N154" s="19"/>
      <c r="O154" s="19" t="s">
        <v>622</v>
      </c>
    </row>
    <row r="155" spans="1:15" ht="42.75" x14ac:dyDescent="0.2">
      <c r="A155" s="21" t="s">
        <v>12</v>
      </c>
      <c r="B155" s="21" t="s">
        <v>15</v>
      </c>
      <c r="C155" s="19" t="s">
        <v>628</v>
      </c>
      <c r="D155" s="20" t="s">
        <v>627</v>
      </c>
      <c r="E155" s="19" t="s">
        <v>442</v>
      </c>
      <c r="F155" s="19" t="s">
        <v>443</v>
      </c>
      <c r="G155" s="19">
        <v>5</v>
      </c>
      <c r="H155" s="19">
        <v>5</v>
      </c>
      <c r="I155" s="19">
        <v>115200</v>
      </c>
      <c r="J155" s="19">
        <v>115200</v>
      </c>
      <c r="K155" s="19"/>
      <c r="L155" s="19"/>
      <c r="M155" s="19"/>
      <c r="N155" s="19"/>
      <c r="O155" s="19" t="s">
        <v>622</v>
      </c>
    </row>
    <row r="156" spans="1:15" ht="28.5" x14ac:dyDescent="0.2">
      <c r="A156" s="21" t="s">
        <v>12</v>
      </c>
      <c r="B156" s="21" t="s">
        <v>15</v>
      </c>
      <c r="C156" s="19" t="s">
        <v>630</v>
      </c>
      <c r="D156" s="20" t="s">
        <v>629</v>
      </c>
      <c r="E156" s="19" t="s">
        <v>442</v>
      </c>
      <c r="F156" s="19" t="s">
        <v>443</v>
      </c>
      <c r="G156" s="19">
        <v>5</v>
      </c>
      <c r="H156" s="19">
        <v>5</v>
      </c>
      <c r="I156" s="19">
        <v>86400</v>
      </c>
      <c r="J156" s="19">
        <v>86400</v>
      </c>
      <c r="K156" s="19"/>
      <c r="L156" s="19"/>
      <c r="M156" s="19"/>
      <c r="N156" s="19"/>
      <c r="O156" s="19" t="s">
        <v>622</v>
      </c>
    </row>
    <row r="157" spans="1:15" x14ac:dyDescent="0.2">
      <c r="A157" s="118" t="s">
        <v>634</v>
      </c>
      <c r="B157" s="119"/>
      <c r="C157" s="119"/>
      <c r="D157" s="119"/>
      <c r="E157" s="119"/>
      <c r="F157" s="119"/>
      <c r="G157" s="119"/>
      <c r="H157" s="119"/>
      <c r="I157" s="119"/>
      <c r="J157" s="119"/>
      <c r="K157" s="119"/>
      <c r="L157" s="119"/>
      <c r="M157" s="119"/>
      <c r="N157" s="119"/>
      <c r="O157" s="120"/>
    </row>
  </sheetData>
  <mergeCells count="4">
    <mergeCell ref="A1:O1"/>
    <mergeCell ref="A2:O2"/>
    <mergeCell ref="A3:O3"/>
    <mergeCell ref="A157:O157"/>
  </mergeCells>
  <hyperlinks>
    <hyperlink ref="A2" r:id="rId1" display="https://webgate.ec.europa.eu/CITnet/jira/issues/?jql=project+in+%28COMPCORP%2C+CCADMIN%2C+CCARCHITEC%2C+CCDOCLIST%2C+ECKL%2C+CCINFRAEC%2C+INTERCOM%2C+CCPMO%2C+PFM%2C+PROCESS%2C+CCTASK%2C+TSKACTION%2C+WAVECC%2C+COMPASS%29+AND+issuetype+in+%28Story%29+and+fixversion+is+not+empty"/>
    <hyperlink ref="D5" r:id="rId2" display="https://webgate.ec.europa.eu/CITnet/jira/browse/WAVECC-44"/>
    <hyperlink ref="D6" r:id="rId3" display="https://webgate.ec.europa.eu/CITnet/jira/browse/WAVECC-43"/>
    <hyperlink ref="D7" r:id="rId4" display="https://webgate.ec.europa.eu/CITnet/jira/browse/WAVECC-35"/>
    <hyperlink ref="D8" r:id="rId5" display="https://webgate.ec.europa.eu/CITnet/jira/browse/WAVECC-28"/>
    <hyperlink ref="D9" r:id="rId6" display="https://webgate.ec.europa.eu/CITnet/jira/browse/WAVECC-26"/>
    <hyperlink ref="D10" r:id="rId7" display="https://webgate.ec.europa.eu/CITnet/jira/browse/WAVECC-25"/>
    <hyperlink ref="D11" r:id="rId8" display="https://webgate.ec.europa.eu/CITnet/jira/browse/WAVECC-7"/>
    <hyperlink ref="D12" r:id="rId9" display="https://webgate.ec.europa.eu/CITnet/jira/browse/WAVECC-6"/>
    <hyperlink ref="D13" r:id="rId10" display="https://webgate.ec.europa.eu/CITnet/jira/browse/PROCESS-129"/>
    <hyperlink ref="D14" r:id="rId11" display="https://webgate.ec.europa.eu/CITnet/jira/browse/PROCESS-128"/>
    <hyperlink ref="D15" r:id="rId12" display="https://webgate.ec.europa.eu/CITnet/jira/browse/PROCESS-122"/>
    <hyperlink ref="D16" r:id="rId13" display="https://webgate.ec.europa.eu/CITnet/jira/browse/PROCESS-121"/>
    <hyperlink ref="D17" r:id="rId14" display="https://webgate.ec.europa.eu/CITnet/jira/browse/PROCESS-120"/>
    <hyperlink ref="D18" r:id="rId15" display="https://webgate.ec.europa.eu/CITnet/jira/browse/PROCESS-119"/>
    <hyperlink ref="D19" r:id="rId16" display="https://webgate.ec.europa.eu/CITnet/jira/browse/PROCESS-118"/>
    <hyperlink ref="D20" r:id="rId17" display="https://webgate.ec.europa.eu/CITnet/jira/browse/PROCESS-117"/>
    <hyperlink ref="D21" r:id="rId18" display="https://webgate.ec.europa.eu/CITnet/jira/browse/PROCESS-116"/>
    <hyperlink ref="D22" r:id="rId19" display="https://webgate.ec.europa.eu/CITnet/jira/browse/PROCESS-115"/>
    <hyperlink ref="D23" r:id="rId20" display="https://webgate.ec.europa.eu/CITnet/jira/browse/PROCESS-114"/>
    <hyperlink ref="D24" r:id="rId21" display="https://webgate.ec.europa.eu/CITnet/jira/browse/PROCESS-113"/>
    <hyperlink ref="D25" r:id="rId22" display="https://webgate.ec.europa.eu/CITnet/jira/browse/PROCESS-112"/>
    <hyperlink ref="D26" r:id="rId23" display="https://webgate.ec.europa.eu/CITnet/jira/browse/PROCESS-111"/>
    <hyperlink ref="D27" r:id="rId24" display="https://webgate.ec.europa.eu/CITnet/jira/browse/PROCESS-110"/>
    <hyperlink ref="D28" r:id="rId25" display="https://webgate.ec.europa.eu/CITnet/jira/browse/PROCESS-109"/>
    <hyperlink ref="D29" r:id="rId26" display="https://webgate.ec.europa.eu/CITnet/jira/browse/PROCESS-108"/>
    <hyperlink ref="D30" r:id="rId27" display="https://webgate.ec.europa.eu/CITnet/jira/browse/PROCESS-107"/>
    <hyperlink ref="D31" r:id="rId28" display="https://webgate.ec.europa.eu/CITnet/jira/browse/PROCESS-90"/>
    <hyperlink ref="D32" r:id="rId29" display="https://webgate.ec.europa.eu/CITnet/jira/browse/PROCESS-89"/>
    <hyperlink ref="D33" r:id="rId30" display="https://webgate.ec.europa.eu/CITnet/jira/browse/PROCESS-86"/>
    <hyperlink ref="D34" r:id="rId31" display="https://webgate.ec.europa.eu/CITnet/jira/browse/PROCESS-76"/>
    <hyperlink ref="D35" r:id="rId32" display="https://webgate.ec.europa.eu/CITnet/jira/browse/PROCESS-74"/>
    <hyperlink ref="D36" r:id="rId33" display="https://webgate.ec.europa.eu/CITnet/jira/browse/PROCESS-49"/>
    <hyperlink ref="D37" r:id="rId34" display="https://webgate.ec.europa.eu/CITnet/jira/browse/PROCESS-48"/>
    <hyperlink ref="D38" r:id="rId35" display="https://webgate.ec.europa.eu/CITnet/jira/browse/PFM-160"/>
    <hyperlink ref="D39" r:id="rId36" display="https://webgate.ec.europa.eu/CITnet/jira/browse/PFM-155"/>
    <hyperlink ref="D40" r:id="rId37" display="https://webgate.ec.europa.eu/CITnet/jira/browse/PFM-152"/>
    <hyperlink ref="D41" r:id="rId38" display="https://webgate.ec.europa.eu/CITnet/jira/browse/PFM-151"/>
    <hyperlink ref="D42" r:id="rId39" display="https://webgate.ec.europa.eu/CITnet/jira/browse/PFM-150"/>
    <hyperlink ref="D43" r:id="rId40" display="https://webgate.ec.europa.eu/CITnet/jira/browse/PFM-149"/>
    <hyperlink ref="D44" r:id="rId41" display="https://webgate.ec.europa.eu/CITnet/jira/browse/PFM-148"/>
    <hyperlink ref="D45" r:id="rId42" display="https://webgate.ec.europa.eu/CITnet/jira/browse/PFM-147"/>
    <hyperlink ref="D46" r:id="rId43" display="https://webgate.ec.europa.eu/CITnet/jira/browse/PFM-146"/>
    <hyperlink ref="D47" r:id="rId44" display="https://webgate.ec.europa.eu/CITnet/jira/browse/PFM-144"/>
    <hyperlink ref="D48" r:id="rId45" display="https://webgate.ec.europa.eu/CITnet/jira/browse/PFM-143"/>
    <hyperlink ref="D49" r:id="rId46" display="https://webgate.ec.europa.eu/CITnet/jira/browse/PFM-142"/>
    <hyperlink ref="D50" r:id="rId47" display="https://webgate.ec.europa.eu/CITnet/jira/browse/PFM-116"/>
    <hyperlink ref="D51" r:id="rId48" display="https://webgate.ec.europa.eu/CITnet/jira/browse/PFM-114"/>
    <hyperlink ref="D52" r:id="rId49" display="https://webgate.ec.europa.eu/CITnet/jira/browse/PFM-110"/>
    <hyperlink ref="D53" r:id="rId50" display="https://webgate.ec.europa.eu/CITnet/jira/browse/PFM-92"/>
    <hyperlink ref="D54" r:id="rId51" display="https://webgate.ec.europa.eu/CITnet/jira/browse/PFM-91"/>
    <hyperlink ref="D55" r:id="rId52" display="https://webgate.ec.europa.eu/CITnet/jira/browse/PFM-87"/>
    <hyperlink ref="D56" r:id="rId53" display="https://webgate.ec.europa.eu/CITnet/jira/browse/PFM-82"/>
    <hyperlink ref="D57" r:id="rId54" display="https://webgate.ec.europa.eu/CITnet/jira/browse/PFM-81"/>
    <hyperlink ref="D58" r:id="rId55" display="https://webgate.ec.europa.eu/CITnet/jira/browse/PFM-73"/>
    <hyperlink ref="D59" r:id="rId56" display="https://webgate.ec.europa.eu/CITnet/jira/browse/PFM-71"/>
    <hyperlink ref="D60" r:id="rId57" display="https://webgate.ec.europa.eu/CITnet/jira/browse/PFM-69"/>
    <hyperlink ref="D61" r:id="rId58" display="https://webgate.ec.europa.eu/CITnet/jira/browse/PFM-68"/>
    <hyperlink ref="D62" r:id="rId59" display="https://webgate.ec.europa.eu/CITnet/jira/browse/PFM-64"/>
    <hyperlink ref="D63" r:id="rId60" display="https://webgate.ec.europa.eu/CITnet/jira/browse/PFM-63"/>
    <hyperlink ref="D64" r:id="rId61" display="https://webgate.ec.europa.eu/CITnet/jira/browse/PFM-59"/>
    <hyperlink ref="D65" r:id="rId62" display="https://webgate.ec.europa.eu/CITnet/jira/browse/PFM-56"/>
    <hyperlink ref="D66" r:id="rId63" display="https://webgate.ec.europa.eu/CITnet/jira/browse/PFM-54"/>
    <hyperlink ref="D67" r:id="rId64" display="https://webgate.ec.europa.eu/CITnet/jira/browse/PFM-53"/>
    <hyperlink ref="D68" r:id="rId65" display="https://webgate.ec.europa.eu/CITnet/jira/browse/PFM-52"/>
    <hyperlink ref="D69" r:id="rId66" display="https://webgate.ec.europa.eu/CITnet/jira/browse/PFM-51"/>
    <hyperlink ref="D70" r:id="rId67" display="https://webgate.ec.europa.eu/CITnet/jira/browse/PFM-50"/>
    <hyperlink ref="D71" r:id="rId68" display="https://webgate.ec.europa.eu/CITnet/jira/browse/PFM-49"/>
    <hyperlink ref="D72" r:id="rId69" display="https://webgate.ec.europa.eu/CITnet/jira/browse/PFM-8"/>
    <hyperlink ref="D73" r:id="rId70" display="https://webgate.ec.europa.eu/CITnet/jira/browse/INTERCOM-74"/>
    <hyperlink ref="D74" r:id="rId71" display="https://webgate.ec.europa.eu/CITnet/jira/browse/INTERCOM-73"/>
    <hyperlink ref="D75" r:id="rId72" display="https://webgate.ec.europa.eu/CITnet/jira/browse/INTERCOM-70"/>
    <hyperlink ref="D76" r:id="rId73" display="https://webgate.ec.europa.eu/CITnet/jira/browse/INTERCOM-67"/>
    <hyperlink ref="D77" r:id="rId74" display="https://webgate.ec.europa.eu/CITnet/jira/browse/INTERCOM-66"/>
    <hyperlink ref="D78" r:id="rId75" display="https://webgate.ec.europa.eu/CITnet/jira/browse/INTERCOM-65"/>
    <hyperlink ref="D79" r:id="rId76" display="https://webgate.ec.europa.eu/CITnet/jira/browse/INTERCOM-64"/>
    <hyperlink ref="D80" r:id="rId77" display="https://webgate.ec.europa.eu/CITnet/jira/browse/INTERCOM-60"/>
    <hyperlink ref="D81" r:id="rId78" display="https://webgate.ec.europa.eu/CITnet/jira/browse/INTERCOM-58"/>
    <hyperlink ref="D82" r:id="rId79" display="https://webgate.ec.europa.eu/CITnet/jira/browse/INTERCOM-57"/>
    <hyperlink ref="D83" r:id="rId80" display="https://webgate.ec.europa.eu/CITnet/jira/browse/INTERCOM-56"/>
    <hyperlink ref="D84" r:id="rId81" display="https://webgate.ec.europa.eu/CITnet/jira/browse/INTERCOM-53"/>
    <hyperlink ref="D85" r:id="rId82" display="https://webgate.ec.europa.eu/CITnet/jira/browse/INTERCOM-43"/>
    <hyperlink ref="D86" r:id="rId83" display="https://webgate.ec.europa.eu/CITnet/jira/browse/INTERCOM-41"/>
    <hyperlink ref="D87" r:id="rId84" display="https://webgate.ec.europa.eu/CITnet/jira/browse/INTERCOM-36"/>
    <hyperlink ref="D88" r:id="rId85" display="https://webgate.ec.europa.eu/CITnet/jira/browse/CCTASK-567"/>
    <hyperlink ref="D89" r:id="rId86" display="https://webgate.ec.europa.eu/CITnet/jira/browse/CCTASK-564"/>
    <hyperlink ref="D90" r:id="rId87" display="https://webgate.ec.europa.eu/CITnet/jira/browse/CCTASK-522"/>
    <hyperlink ref="D91" r:id="rId88" display="https://webgate.ec.europa.eu/CITnet/jira/browse/CCTASK-512"/>
    <hyperlink ref="D92" r:id="rId89" display="https://webgate.ec.europa.eu/CITnet/jira/browse/CCTASK-455"/>
    <hyperlink ref="D93" r:id="rId90" display="https://webgate.ec.europa.eu/CITnet/jira/browse/CCTASK-137"/>
    <hyperlink ref="D94" r:id="rId91" display="https://webgate.ec.europa.eu/CITnet/jira/browse/CCTASK-123"/>
    <hyperlink ref="D95" r:id="rId92" display="https://webgate.ec.europa.eu/CITnet/jira/browse/CCTASK-121"/>
    <hyperlink ref="D96" r:id="rId93" display="https://webgate.ec.europa.eu/CITnet/jira/browse/CCTASK-120"/>
    <hyperlink ref="D97" r:id="rId94" display="https://webgate.ec.europa.eu/CITnet/jira/browse/CCTASK-118"/>
    <hyperlink ref="D98" r:id="rId95" display="https://webgate.ec.europa.eu/CITnet/jira/browse/CCTASK-117"/>
    <hyperlink ref="D99" r:id="rId96" display="https://webgate.ec.europa.eu/CITnet/jira/browse/CCTASK-116"/>
    <hyperlink ref="D100" r:id="rId97" display="https://webgate.ec.europa.eu/CITnet/jira/browse/CCTASK-113"/>
    <hyperlink ref="D101" r:id="rId98" display="https://webgate.ec.europa.eu/CITnet/jira/browse/CCTASK-112"/>
    <hyperlink ref="D102" r:id="rId99" display="https://webgate.ec.europa.eu/CITnet/jira/browse/CCTASK-110"/>
    <hyperlink ref="D103" r:id="rId100" display="https://webgate.ec.europa.eu/CITnet/jira/browse/CCTASK-109"/>
    <hyperlink ref="D104" r:id="rId101" display="https://webgate.ec.europa.eu/CITnet/jira/browse/CCTASK-107"/>
    <hyperlink ref="D105" r:id="rId102" display="https://webgate.ec.europa.eu/CITnet/jira/browse/CCTASK-104"/>
    <hyperlink ref="D106" r:id="rId103" display="https://webgate.ec.europa.eu/CITnet/jira/browse/CCTASK-103"/>
    <hyperlink ref="D107" r:id="rId104" display="https://webgate.ec.europa.eu/CITnet/jira/browse/CCTASK-102"/>
    <hyperlink ref="D108" r:id="rId105" display="https://webgate.ec.europa.eu/CITnet/jira/browse/CCTASK-101"/>
    <hyperlink ref="D109" r:id="rId106" display="https://webgate.ec.europa.eu/CITnet/jira/browse/CCTASK-100"/>
    <hyperlink ref="D110" r:id="rId107" display="https://webgate.ec.europa.eu/CITnet/jira/browse/CCTASK-99"/>
    <hyperlink ref="D111" r:id="rId108" display="https://webgate.ec.europa.eu/CITnet/jira/browse/CCTASK-98"/>
    <hyperlink ref="D112" r:id="rId109" display="https://webgate.ec.europa.eu/CITnet/jira/browse/CCTASK-97"/>
    <hyperlink ref="D113" r:id="rId110" display="https://webgate.ec.europa.eu/CITnet/jira/browse/CCTASK-94"/>
    <hyperlink ref="D114" r:id="rId111" display="https://webgate.ec.europa.eu/CITnet/jira/browse/CCTASK-93"/>
    <hyperlink ref="D115" r:id="rId112" display="https://webgate.ec.europa.eu/CITnet/jira/browse/CCTASK-90"/>
    <hyperlink ref="D116" r:id="rId113" display="https://webgate.ec.europa.eu/CITnet/jira/browse/CCTASK-89"/>
    <hyperlink ref="D117" r:id="rId114" display="https://webgate.ec.europa.eu/CITnet/jira/browse/CCTASK-88"/>
    <hyperlink ref="D118" r:id="rId115" display="https://webgate.ec.europa.eu/CITnet/jira/browse/CCTASK-87"/>
    <hyperlink ref="D119" r:id="rId116" display="https://webgate.ec.europa.eu/CITnet/jira/browse/CCTASK-84"/>
    <hyperlink ref="D120" r:id="rId117" display="https://webgate.ec.europa.eu/CITnet/jira/browse/CCTASK-82"/>
    <hyperlink ref="D121" r:id="rId118" display="https://webgate.ec.europa.eu/CITnet/jira/browse/CCTASK-80"/>
    <hyperlink ref="D122" r:id="rId119" display="https://webgate.ec.europa.eu/CITnet/jira/browse/CCTASK-79"/>
    <hyperlink ref="D123" r:id="rId120" display="https://webgate.ec.europa.eu/CITnet/jira/browse/CCTASK-78"/>
    <hyperlink ref="D124" r:id="rId121" display="https://webgate.ec.europa.eu/CITnet/jira/browse/CCTASK-77"/>
    <hyperlink ref="D125" r:id="rId122" display="https://webgate.ec.europa.eu/CITnet/jira/browse/CCTASK-75"/>
    <hyperlink ref="D126" r:id="rId123" display="https://webgate.ec.europa.eu/CITnet/jira/browse/CCTASK-67"/>
    <hyperlink ref="D127" r:id="rId124" display="https://webgate.ec.europa.eu/CITnet/jira/browse/CCTASK-65"/>
    <hyperlink ref="D128" r:id="rId125" display="https://webgate.ec.europa.eu/CITnet/jira/browse/CCTASK-62"/>
    <hyperlink ref="D129" r:id="rId126" display="https://webgate.ec.europa.eu/CITnet/jira/browse/CCTASK-53"/>
    <hyperlink ref="D130" r:id="rId127" display="https://webgate.ec.europa.eu/CITnet/jira/browse/CCTASK-50"/>
    <hyperlink ref="D131" r:id="rId128" display="https://webgate.ec.europa.eu/CITnet/jira/browse/CCPMO-119"/>
    <hyperlink ref="D132" r:id="rId129" display="https://webgate.ec.europa.eu/CITnet/jira/browse/CCPMO-111"/>
    <hyperlink ref="D133" r:id="rId130" display="https://webgate.ec.europa.eu/CITnet/jira/browse/CCPMO-103"/>
    <hyperlink ref="D134" r:id="rId131" display="https://webgate.ec.europa.eu/CITnet/jira/browse/CCPMO-95"/>
    <hyperlink ref="D135" r:id="rId132" display="https://webgate.ec.europa.eu/CITnet/jira/browse/CCPMO-87"/>
    <hyperlink ref="D136" r:id="rId133" display="https://webgate.ec.europa.eu/CITnet/jira/browse/CCPMO-79"/>
    <hyperlink ref="D137" r:id="rId134" display="https://webgate.ec.europa.eu/CITnet/jira/browse/CCPMO-62"/>
    <hyperlink ref="D138" r:id="rId135" display="https://webgate.ec.europa.eu/CITnet/jira/browse/CCPMO-59"/>
    <hyperlink ref="D139" r:id="rId136" display="https://webgate.ec.europa.eu/CITnet/jira/browse/CCPMO-58"/>
    <hyperlink ref="D140" r:id="rId137" display="https://webgate.ec.europa.eu/CITnet/jira/browse/CCPMO-46"/>
    <hyperlink ref="D141" r:id="rId138" display="https://webgate.ec.europa.eu/CITnet/jira/browse/CCDOCLIST-63"/>
    <hyperlink ref="D142" r:id="rId139" display="https://webgate.ec.europa.eu/CITnet/jira/browse/CCADMIN-56"/>
    <hyperlink ref="D143" r:id="rId140" display="https://webgate.ec.europa.eu/CITnet/jira/browse/CCADMIN-53"/>
    <hyperlink ref="D144" r:id="rId141" display="https://webgate.ec.europa.eu/CITnet/jira/browse/CCADMIN-52"/>
    <hyperlink ref="D145" r:id="rId142" display="https://webgate.ec.europa.eu/CITnet/jira/browse/CCADMIN-51"/>
    <hyperlink ref="D146" r:id="rId143" display="https://webgate.ec.europa.eu/CITnet/jira/browse/CCADMIN-48"/>
    <hyperlink ref="D147" r:id="rId144" display="https://webgate.ec.europa.eu/CITnet/jira/browse/CCADMIN-47"/>
    <hyperlink ref="D148" r:id="rId145" display="https://webgate.ec.europa.eu/CITnet/jira/browse/CCADMIN-46"/>
    <hyperlink ref="D149" r:id="rId146" display="https://webgate.ec.europa.eu/CITnet/jira/browse/CCADMIN-45"/>
    <hyperlink ref="D150" r:id="rId147" display="https://webgate.ec.europa.eu/CITnet/jira/browse/CCADMIN-43"/>
    <hyperlink ref="D151" r:id="rId148" display="https://webgate.ec.europa.eu/CITnet/jira/browse/CCADMIN-35"/>
    <hyperlink ref="D152" r:id="rId149" display="https://webgate.ec.europa.eu/CITnet/jira/browse/CCADMIN-16"/>
    <hyperlink ref="D153" r:id="rId150" display="https://webgate.ec.europa.eu/CITnet/jira/browse/CCADMIN-15"/>
    <hyperlink ref="D154" r:id="rId151" display="https://webgate.ec.europa.eu/CITnet/jira/browse/CCADMIN-14"/>
    <hyperlink ref="D155" r:id="rId152" display="https://webgate.ec.europa.eu/CITnet/jira/browse/CCADMIN-13"/>
    <hyperlink ref="D156" r:id="rId153" display="https://webgate.ec.europa.eu/CITnet/jira/browse/CCADMIN-12"/>
  </hyperlinks>
  <printOptions horizontalCentered="1" verticalCentered="1"/>
  <pageMargins left="0.25" right="0.25" top="0.25" bottom="0.5" header="0.5" footer="0.25"/>
  <pageSetup orientation="landscape" horizontalDpi="0" verticalDpi="0"/>
  <headerFooter>
    <oddFooter>&amp;R&amp;P of &amp;N</oddFooter>
  </headerFooter>
  <drawing r:id="rId15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2060"/>
  </sheetPr>
  <dimension ref="A1:O57"/>
  <sheetViews>
    <sheetView topLeftCell="A2" zoomScale="90" zoomScaleNormal="90" workbookViewId="0">
      <selection activeCell="B5" sqref="B5"/>
    </sheetView>
  </sheetViews>
  <sheetFormatPr defaultRowHeight="12" x14ac:dyDescent="0.2"/>
  <cols>
    <col min="1" max="1" width="11.25" style="17" bestFit="1" customWidth="1"/>
    <col min="2" max="2" width="18" style="17" bestFit="1" customWidth="1"/>
    <col min="3" max="3" width="32" style="17" bestFit="1" customWidth="1"/>
    <col min="4" max="4" width="13.25" style="17" bestFit="1" customWidth="1"/>
    <col min="5" max="5" width="31.125" style="17" bestFit="1" customWidth="1"/>
    <col min="6" max="6" width="32" style="17" bestFit="1" customWidth="1"/>
    <col min="7" max="7" width="11.75" style="17" bestFit="1" customWidth="1"/>
    <col min="8" max="8" width="9" style="17" bestFit="1" customWidth="1"/>
    <col min="9" max="9" width="17.875" style="17" bestFit="1" customWidth="1"/>
    <col min="10" max="10" width="20.375" style="17" bestFit="1" customWidth="1"/>
    <col min="11" max="11" width="8.5" style="17" bestFit="1" customWidth="1"/>
    <col min="12" max="12" width="14.125" style="17" bestFit="1" customWidth="1"/>
    <col min="13" max="13" width="14.625" style="17" bestFit="1" customWidth="1"/>
    <col min="14" max="14" width="14.5" style="17" bestFit="1" customWidth="1"/>
    <col min="15" max="15" width="32" style="17" bestFit="1" customWidth="1"/>
    <col min="16" max="16384" width="9" style="17"/>
  </cols>
  <sheetData>
    <row r="1" spans="1:15" ht="27" customHeight="1" x14ac:dyDescent="0.2">
      <c r="A1" s="112"/>
      <c r="B1" s="113"/>
      <c r="C1" s="113"/>
      <c r="D1" s="113"/>
      <c r="E1" s="113"/>
      <c r="F1" s="113"/>
      <c r="G1" s="113"/>
      <c r="H1" s="113"/>
      <c r="I1" s="113"/>
      <c r="J1" s="113"/>
      <c r="K1" s="113"/>
      <c r="L1" s="113"/>
      <c r="M1" s="113"/>
      <c r="N1" s="113"/>
      <c r="O1" s="114"/>
    </row>
    <row r="2" spans="1:15" ht="15" customHeight="1" x14ac:dyDescent="0.2">
      <c r="A2" s="76" t="s">
        <v>426</v>
      </c>
      <c r="B2" s="77"/>
      <c r="C2" s="77"/>
      <c r="D2" s="77"/>
      <c r="E2" s="77"/>
      <c r="F2" s="77"/>
      <c r="G2" s="77"/>
      <c r="H2" s="77"/>
      <c r="I2" s="77"/>
      <c r="J2" s="77"/>
      <c r="K2" s="77"/>
      <c r="L2" s="77"/>
      <c r="M2" s="77"/>
      <c r="N2" s="77"/>
      <c r="O2" s="78"/>
    </row>
    <row r="3" spans="1:15" ht="15" customHeight="1" x14ac:dyDescent="0.2">
      <c r="A3" s="115" t="s">
        <v>631</v>
      </c>
      <c r="B3" s="116"/>
      <c r="C3" s="116"/>
      <c r="D3" s="116"/>
      <c r="E3" s="116"/>
      <c r="F3" s="116"/>
      <c r="G3" s="116"/>
      <c r="H3" s="116"/>
      <c r="I3" s="116"/>
      <c r="J3" s="116"/>
      <c r="K3" s="116"/>
      <c r="L3" s="116"/>
      <c r="M3" s="116"/>
      <c r="N3" s="116"/>
      <c r="O3" s="117"/>
    </row>
    <row r="4" spans="1:15" ht="15" x14ac:dyDescent="0.2">
      <c r="A4" s="18" t="s">
        <v>4</v>
      </c>
      <c r="B4" s="18" t="s">
        <v>5</v>
      </c>
      <c r="C4" s="18" t="s">
        <v>54</v>
      </c>
      <c r="D4" s="18" t="s">
        <v>6</v>
      </c>
      <c r="E4" s="18" t="s">
        <v>7</v>
      </c>
      <c r="F4" s="18" t="s">
        <v>53</v>
      </c>
      <c r="G4" s="18" t="s">
        <v>8</v>
      </c>
      <c r="H4" s="18" t="s">
        <v>427</v>
      </c>
      <c r="I4" s="18" t="s">
        <v>429</v>
      </c>
      <c r="J4" s="18" t="s">
        <v>428</v>
      </c>
      <c r="K4" s="18" t="s">
        <v>9</v>
      </c>
      <c r="L4" s="18" t="s">
        <v>10</v>
      </c>
      <c r="M4" s="18" t="s">
        <v>52</v>
      </c>
      <c r="N4" s="18" t="s">
        <v>51</v>
      </c>
      <c r="O4" s="18" t="s">
        <v>11</v>
      </c>
    </row>
    <row r="5" spans="1:15" ht="15" x14ac:dyDescent="0.2">
      <c r="A5" s="21" t="s">
        <v>18</v>
      </c>
      <c r="B5" s="21" t="s">
        <v>19</v>
      </c>
      <c r="C5" s="19" t="s">
        <v>392</v>
      </c>
      <c r="D5" s="20" t="s">
        <v>155</v>
      </c>
      <c r="E5" s="19" t="s">
        <v>70</v>
      </c>
      <c r="F5" s="19"/>
      <c r="G5" s="19"/>
      <c r="H5" s="19"/>
      <c r="I5" s="19"/>
      <c r="J5" s="19"/>
      <c r="K5" s="19"/>
      <c r="L5" s="19"/>
      <c r="M5" s="19"/>
      <c r="N5" s="19"/>
      <c r="O5" s="19" t="s">
        <v>393</v>
      </c>
    </row>
    <row r="6" spans="1:15" ht="15" x14ac:dyDescent="0.2">
      <c r="A6" s="21" t="s">
        <v>18</v>
      </c>
      <c r="B6" s="21" t="s">
        <v>15</v>
      </c>
      <c r="C6" s="19" t="s">
        <v>392</v>
      </c>
      <c r="D6" s="20" t="s">
        <v>394</v>
      </c>
      <c r="E6" s="19" t="s">
        <v>70</v>
      </c>
      <c r="F6" s="19"/>
      <c r="G6" s="19"/>
      <c r="H6" s="19"/>
      <c r="I6" s="19"/>
      <c r="J6" s="19"/>
      <c r="K6" s="19"/>
      <c r="L6" s="19"/>
      <c r="M6" s="19"/>
      <c r="N6" s="19"/>
      <c r="O6" s="19" t="s">
        <v>395</v>
      </c>
    </row>
    <row r="7" spans="1:15" ht="28.5" x14ac:dyDescent="0.2">
      <c r="A7" s="21" t="s">
        <v>18</v>
      </c>
      <c r="B7" s="21" t="s">
        <v>19</v>
      </c>
      <c r="C7" s="19" t="s">
        <v>99</v>
      </c>
      <c r="D7" s="20" t="s">
        <v>101</v>
      </c>
      <c r="E7" s="19" t="s">
        <v>70</v>
      </c>
      <c r="F7" s="19"/>
      <c r="G7" s="19">
        <v>5</v>
      </c>
      <c r="H7" s="19"/>
      <c r="I7" s="19"/>
      <c r="J7" s="19"/>
      <c r="K7" s="19"/>
      <c r="L7" s="19"/>
      <c r="M7" s="19"/>
      <c r="N7" s="19"/>
      <c r="O7" s="19" t="s">
        <v>100</v>
      </c>
    </row>
    <row r="8" spans="1:15" ht="28.5" x14ac:dyDescent="0.2">
      <c r="A8" s="21" t="s">
        <v>18</v>
      </c>
      <c r="B8" s="21" t="s">
        <v>19</v>
      </c>
      <c r="C8" s="19" t="s">
        <v>387</v>
      </c>
      <c r="D8" s="20" t="s">
        <v>159</v>
      </c>
      <c r="E8" s="19" t="s">
        <v>70</v>
      </c>
      <c r="F8" s="19"/>
      <c r="G8" s="19"/>
      <c r="H8" s="19"/>
      <c r="I8" s="19"/>
      <c r="J8" s="19"/>
      <c r="K8" s="19"/>
      <c r="L8" s="19"/>
      <c r="M8" s="19"/>
      <c r="N8" s="19"/>
      <c r="O8" s="19" t="s">
        <v>388</v>
      </c>
    </row>
    <row r="9" spans="1:15" ht="28.5" x14ac:dyDescent="0.2">
      <c r="A9" s="21" t="s">
        <v>18</v>
      </c>
      <c r="B9" s="21" t="s">
        <v>19</v>
      </c>
      <c r="C9" s="19" t="s">
        <v>309</v>
      </c>
      <c r="D9" s="20" t="s">
        <v>310</v>
      </c>
      <c r="E9" s="19" t="s">
        <v>70</v>
      </c>
      <c r="F9" s="19" t="s">
        <v>291</v>
      </c>
      <c r="G9" s="19"/>
      <c r="H9" s="19"/>
      <c r="I9" s="19"/>
      <c r="J9" s="19"/>
      <c r="K9" s="19"/>
      <c r="L9" s="19"/>
      <c r="M9" s="19"/>
      <c r="N9" s="19"/>
      <c r="O9" s="19" t="s">
        <v>311</v>
      </c>
    </row>
    <row r="10" spans="1:15" ht="42.75" x14ac:dyDescent="0.2">
      <c r="A10" s="21" t="s">
        <v>24</v>
      </c>
      <c r="B10" s="21" t="s">
        <v>19</v>
      </c>
      <c r="C10" s="19" t="s">
        <v>285</v>
      </c>
      <c r="D10" s="20" t="s">
        <v>286</v>
      </c>
      <c r="E10" s="19" t="s">
        <v>113</v>
      </c>
      <c r="F10" s="19" t="s">
        <v>287</v>
      </c>
      <c r="G10" s="19"/>
      <c r="H10" s="19"/>
      <c r="I10" s="19"/>
      <c r="J10" s="19"/>
      <c r="K10" s="19"/>
      <c r="L10" s="19"/>
      <c r="M10" s="19"/>
      <c r="N10" s="19"/>
      <c r="O10" s="19" t="s">
        <v>288</v>
      </c>
    </row>
    <row r="11" spans="1:15" ht="42.75" x14ac:dyDescent="0.2">
      <c r="A11" s="21" t="s">
        <v>18</v>
      </c>
      <c r="B11" s="21" t="s">
        <v>21</v>
      </c>
      <c r="C11" s="19" t="s">
        <v>306</v>
      </c>
      <c r="D11" s="20" t="s">
        <v>307</v>
      </c>
      <c r="E11" s="19" t="s">
        <v>70</v>
      </c>
      <c r="F11" s="19" t="s">
        <v>291</v>
      </c>
      <c r="G11" s="19"/>
      <c r="H11" s="19"/>
      <c r="I11" s="19"/>
      <c r="J11" s="19"/>
      <c r="K11" s="19"/>
      <c r="L11" s="19"/>
      <c r="M11" s="19"/>
      <c r="N11" s="19"/>
      <c r="O11" s="19" t="s">
        <v>308</v>
      </c>
    </row>
    <row r="12" spans="1:15" ht="28.5" x14ac:dyDescent="0.2">
      <c r="A12" s="21" t="s">
        <v>18</v>
      </c>
      <c r="B12" s="21" t="s">
        <v>19</v>
      </c>
      <c r="C12" s="19" t="s">
        <v>304</v>
      </c>
      <c r="D12" s="20" t="s">
        <v>234</v>
      </c>
      <c r="E12" s="19" t="s">
        <v>70</v>
      </c>
      <c r="F12" s="19" t="s">
        <v>291</v>
      </c>
      <c r="G12" s="19"/>
      <c r="H12" s="19"/>
      <c r="I12" s="19"/>
      <c r="J12" s="19"/>
      <c r="K12" s="19"/>
      <c r="L12" s="19"/>
      <c r="M12" s="19"/>
      <c r="N12" s="19"/>
      <c r="O12" s="19" t="s">
        <v>305</v>
      </c>
    </row>
    <row r="13" spans="1:15" ht="15" x14ac:dyDescent="0.2">
      <c r="A13" s="21" t="s">
        <v>18</v>
      </c>
      <c r="B13" s="21" t="s">
        <v>19</v>
      </c>
      <c r="C13" s="19" t="s">
        <v>384</v>
      </c>
      <c r="D13" s="20" t="s">
        <v>385</v>
      </c>
      <c r="E13" s="19" t="s">
        <v>70</v>
      </c>
      <c r="F13" s="19"/>
      <c r="G13" s="19"/>
      <c r="H13" s="19"/>
      <c r="I13" s="19"/>
      <c r="J13" s="19"/>
      <c r="K13" s="19"/>
      <c r="L13" s="19"/>
      <c r="M13" s="19"/>
      <c r="N13" s="19"/>
      <c r="O13" s="19" t="s">
        <v>386</v>
      </c>
    </row>
    <row r="14" spans="1:15" ht="42.75" x14ac:dyDescent="0.2">
      <c r="A14" s="21" t="s">
        <v>18</v>
      </c>
      <c r="B14" s="21" t="s">
        <v>20</v>
      </c>
      <c r="C14" s="19" t="s">
        <v>120</v>
      </c>
      <c r="D14" s="20" t="s">
        <v>121</v>
      </c>
      <c r="E14" s="19" t="s">
        <v>113</v>
      </c>
      <c r="F14" s="19" t="s">
        <v>114</v>
      </c>
      <c r="G14" s="19"/>
      <c r="H14" s="19"/>
      <c r="I14" s="19"/>
      <c r="J14" s="19"/>
      <c r="K14" s="19"/>
      <c r="L14" s="19"/>
      <c r="M14" s="19"/>
      <c r="N14" s="19"/>
      <c r="O14" s="19" t="s">
        <v>122</v>
      </c>
    </row>
    <row r="15" spans="1:15" ht="15" x14ac:dyDescent="0.2">
      <c r="A15" s="21" t="s">
        <v>18</v>
      </c>
      <c r="B15" s="21" t="s">
        <v>21</v>
      </c>
      <c r="C15" s="19" t="s">
        <v>207</v>
      </c>
      <c r="D15" s="20" t="s">
        <v>209</v>
      </c>
      <c r="E15" s="19" t="s">
        <v>70</v>
      </c>
      <c r="F15" s="19"/>
      <c r="G15" s="19">
        <v>8</v>
      </c>
      <c r="H15" s="19"/>
      <c r="I15" s="19"/>
      <c r="J15" s="19"/>
      <c r="K15" s="19"/>
      <c r="L15" s="19"/>
      <c r="M15" s="19"/>
      <c r="N15" s="19"/>
      <c r="O15" s="19" t="s">
        <v>208</v>
      </c>
    </row>
    <row r="16" spans="1:15" ht="42.75" x14ac:dyDescent="0.2">
      <c r="A16" s="21" t="s">
        <v>18</v>
      </c>
      <c r="B16" s="21" t="s">
        <v>19</v>
      </c>
      <c r="C16" s="19" t="s">
        <v>301</v>
      </c>
      <c r="D16" s="20" t="s">
        <v>302</v>
      </c>
      <c r="E16" s="19" t="s">
        <v>70</v>
      </c>
      <c r="F16" s="19" t="s">
        <v>291</v>
      </c>
      <c r="G16" s="19"/>
      <c r="H16" s="19"/>
      <c r="I16" s="19"/>
      <c r="J16" s="19"/>
      <c r="K16" s="19"/>
      <c r="L16" s="19"/>
      <c r="M16" s="19"/>
      <c r="N16" s="19"/>
      <c r="O16" s="19" t="s">
        <v>303</v>
      </c>
    </row>
    <row r="17" spans="1:15" ht="15" x14ac:dyDescent="0.2">
      <c r="A17" s="21" t="s">
        <v>18</v>
      </c>
      <c r="B17" s="21" t="s">
        <v>15</v>
      </c>
      <c r="C17" s="19" t="s">
        <v>379</v>
      </c>
      <c r="D17" s="20" t="s">
        <v>181</v>
      </c>
      <c r="E17" s="19" t="s">
        <v>70</v>
      </c>
      <c r="F17" s="19"/>
      <c r="G17" s="19">
        <v>3</v>
      </c>
      <c r="H17" s="19"/>
      <c r="I17" s="19"/>
      <c r="J17" s="19"/>
      <c r="K17" s="19"/>
      <c r="L17" s="19"/>
      <c r="M17" s="19"/>
      <c r="N17" s="19"/>
      <c r="O17" s="19" t="s">
        <v>380</v>
      </c>
    </row>
    <row r="18" spans="1:15" ht="42.75" x14ac:dyDescent="0.2">
      <c r="A18" s="21" t="s">
        <v>18</v>
      </c>
      <c r="B18" s="21" t="s">
        <v>19</v>
      </c>
      <c r="C18" s="19" t="s">
        <v>377</v>
      </c>
      <c r="D18" s="20" t="s">
        <v>91</v>
      </c>
      <c r="E18" s="19" t="s">
        <v>70</v>
      </c>
      <c r="F18" s="19"/>
      <c r="G18" s="19">
        <v>13</v>
      </c>
      <c r="H18" s="19"/>
      <c r="I18" s="19"/>
      <c r="J18" s="19"/>
      <c r="K18" s="19"/>
      <c r="L18" s="19"/>
      <c r="M18" s="19"/>
      <c r="N18" s="19"/>
      <c r="O18" s="19" t="s">
        <v>378</v>
      </c>
    </row>
    <row r="19" spans="1:15" ht="28.5" x14ac:dyDescent="0.2">
      <c r="A19" s="21" t="s">
        <v>18</v>
      </c>
      <c r="B19" s="21" t="s">
        <v>20</v>
      </c>
      <c r="C19" s="19" t="s">
        <v>375</v>
      </c>
      <c r="D19" s="20" t="s">
        <v>376</v>
      </c>
      <c r="E19" s="19" t="s">
        <v>70</v>
      </c>
      <c r="F19" s="19"/>
      <c r="G19" s="19"/>
      <c r="H19" s="19"/>
      <c r="I19" s="19"/>
      <c r="J19" s="19"/>
      <c r="K19" s="19"/>
      <c r="L19" s="19"/>
      <c r="M19" s="19"/>
      <c r="N19" s="19"/>
      <c r="O19" s="19" t="s">
        <v>239</v>
      </c>
    </row>
    <row r="20" spans="1:15" ht="15" x14ac:dyDescent="0.2">
      <c r="A20" s="21" t="s">
        <v>18</v>
      </c>
      <c r="B20" s="21" t="s">
        <v>19</v>
      </c>
      <c r="C20" s="19" t="s">
        <v>373</v>
      </c>
      <c r="D20" s="20" t="s">
        <v>198</v>
      </c>
      <c r="E20" s="19" t="s">
        <v>70</v>
      </c>
      <c r="F20" s="19"/>
      <c r="G20" s="19">
        <v>5</v>
      </c>
      <c r="H20" s="19"/>
      <c r="I20" s="19"/>
      <c r="J20" s="19"/>
      <c r="K20" s="19"/>
      <c r="L20" s="19"/>
      <c r="M20" s="19"/>
      <c r="N20" s="19"/>
      <c r="O20" s="19" t="s">
        <v>374</v>
      </c>
    </row>
    <row r="21" spans="1:15" ht="28.5" x14ac:dyDescent="0.2">
      <c r="A21" s="21" t="s">
        <v>24</v>
      </c>
      <c r="B21" s="21" t="s">
        <v>19</v>
      </c>
      <c r="C21" s="19" t="s">
        <v>298</v>
      </c>
      <c r="D21" s="20" t="s">
        <v>299</v>
      </c>
      <c r="E21" s="19" t="s">
        <v>113</v>
      </c>
      <c r="F21" s="19" t="s">
        <v>291</v>
      </c>
      <c r="G21" s="19"/>
      <c r="H21" s="19"/>
      <c r="I21" s="19"/>
      <c r="J21" s="19"/>
      <c r="K21" s="19"/>
      <c r="L21" s="19"/>
      <c r="M21" s="19"/>
      <c r="N21" s="19"/>
      <c r="O21" s="19" t="s">
        <v>300</v>
      </c>
    </row>
    <row r="22" spans="1:15" ht="15" x14ac:dyDescent="0.2">
      <c r="A22" s="21" t="s">
        <v>18</v>
      </c>
      <c r="B22" s="21" t="s">
        <v>22</v>
      </c>
      <c r="C22" s="19" t="s">
        <v>271</v>
      </c>
      <c r="D22" s="20" t="s">
        <v>272</v>
      </c>
      <c r="E22" s="19" t="s">
        <v>70</v>
      </c>
      <c r="F22" s="19" t="s">
        <v>273</v>
      </c>
      <c r="G22" s="19"/>
      <c r="H22" s="19"/>
      <c r="I22" s="19"/>
      <c r="J22" s="19"/>
      <c r="K22" s="19"/>
      <c r="L22" s="19"/>
      <c r="M22" s="19"/>
      <c r="N22" s="19"/>
      <c r="O22" s="19" t="s">
        <v>274</v>
      </c>
    </row>
    <row r="23" spans="1:15" ht="15" x14ac:dyDescent="0.2">
      <c r="A23" s="21" t="s">
        <v>18</v>
      </c>
      <c r="B23" s="21" t="s">
        <v>15</v>
      </c>
      <c r="C23" s="19" t="s">
        <v>371</v>
      </c>
      <c r="D23" s="20" t="s">
        <v>204</v>
      </c>
      <c r="E23" s="19" t="s">
        <v>70</v>
      </c>
      <c r="F23" s="19"/>
      <c r="G23" s="19">
        <v>3</v>
      </c>
      <c r="H23" s="19"/>
      <c r="I23" s="19"/>
      <c r="J23" s="19"/>
      <c r="K23" s="19"/>
      <c r="L23" s="19"/>
      <c r="M23" s="19"/>
      <c r="N23" s="19"/>
      <c r="O23" s="19" t="s">
        <v>372</v>
      </c>
    </row>
    <row r="24" spans="1:15" ht="28.5" x14ac:dyDescent="0.2">
      <c r="A24" s="21" t="s">
        <v>18</v>
      </c>
      <c r="B24" s="21" t="s">
        <v>15</v>
      </c>
      <c r="C24" s="19" t="s">
        <v>81</v>
      </c>
      <c r="D24" s="20" t="s">
        <v>82</v>
      </c>
      <c r="E24" s="19" t="s">
        <v>70</v>
      </c>
      <c r="F24" s="19" t="s">
        <v>83</v>
      </c>
      <c r="G24" s="19"/>
      <c r="H24" s="19"/>
      <c r="I24" s="19"/>
      <c r="J24" s="19"/>
      <c r="K24" s="19"/>
      <c r="L24" s="19"/>
      <c r="M24" s="19"/>
      <c r="N24" s="19"/>
      <c r="O24" s="19" t="s">
        <v>84</v>
      </c>
    </row>
    <row r="25" spans="1:15" ht="57" x14ac:dyDescent="0.2">
      <c r="A25" s="21" t="s">
        <v>24</v>
      </c>
      <c r="B25" s="21" t="s">
        <v>25</v>
      </c>
      <c r="C25" s="19" t="s">
        <v>369</v>
      </c>
      <c r="D25" s="20" t="s">
        <v>76</v>
      </c>
      <c r="E25" s="19" t="s">
        <v>70</v>
      </c>
      <c r="F25" s="19"/>
      <c r="G25" s="19"/>
      <c r="H25" s="19"/>
      <c r="I25" s="19"/>
      <c r="J25" s="19"/>
      <c r="K25" s="19"/>
      <c r="L25" s="19"/>
      <c r="M25" s="19"/>
      <c r="N25" s="19"/>
      <c r="O25" s="19" t="s">
        <v>370</v>
      </c>
    </row>
    <row r="26" spans="1:15" ht="15" x14ac:dyDescent="0.2">
      <c r="A26" s="21" t="s">
        <v>18</v>
      </c>
      <c r="B26" s="21" t="s">
        <v>19</v>
      </c>
      <c r="C26" s="19" t="s">
        <v>366</v>
      </c>
      <c r="D26" s="20" t="s">
        <v>367</v>
      </c>
      <c r="E26" s="19" t="s">
        <v>70</v>
      </c>
      <c r="F26" s="19"/>
      <c r="G26" s="19"/>
      <c r="H26" s="19"/>
      <c r="I26" s="19"/>
      <c r="J26" s="19"/>
      <c r="K26" s="19"/>
      <c r="L26" s="19"/>
      <c r="M26" s="19"/>
      <c r="N26" s="19"/>
      <c r="O26" s="19" t="s">
        <v>368</v>
      </c>
    </row>
    <row r="27" spans="1:15" ht="28.5" x14ac:dyDescent="0.2">
      <c r="A27" s="21" t="s">
        <v>18</v>
      </c>
      <c r="B27" s="21" t="s">
        <v>20</v>
      </c>
      <c r="C27" s="19" t="s">
        <v>363</v>
      </c>
      <c r="D27" s="20" t="s">
        <v>364</v>
      </c>
      <c r="E27" s="19" t="s">
        <v>70</v>
      </c>
      <c r="F27" s="19"/>
      <c r="G27" s="19"/>
      <c r="H27" s="19"/>
      <c r="I27" s="19"/>
      <c r="J27" s="19"/>
      <c r="K27" s="19"/>
      <c r="L27" s="19"/>
      <c r="M27" s="19"/>
      <c r="N27" s="19"/>
      <c r="O27" s="19" t="s">
        <v>365</v>
      </c>
    </row>
    <row r="28" spans="1:15" ht="15" x14ac:dyDescent="0.2">
      <c r="A28" s="21" t="s">
        <v>18</v>
      </c>
      <c r="B28" s="21" t="s">
        <v>20</v>
      </c>
      <c r="C28" s="19" t="s">
        <v>282</v>
      </c>
      <c r="D28" s="20" t="s">
        <v>283</v>
      </c>
      <c r="E28" s="19" t="s">
        <v>70</v>
      </c>
      <c r="F28" s="19" t="s">
        <v>277</v>
      </c>
      <c r="G28" s="19"/>
      <c r="H28" s="19"/>
      <c r="I28" s="19"/>
      <c r="J28" s="19"/>
      <c r="K28" s="19"/>
      <c r="L28" s="19"/>
      <c r="M28" s="19"/>
      <c r="N28" s="19"/>
      <c r="O28" s="19" t="s">
        <v>284</v>
      </c>
    </row>
    <row r="29" spans="1:15" ht="28.5" x14ac:dyDescent="0.2">
      <c r="A29" s="21" t="s">
        <v>18</v>
      </c>
      <c r="B29" s="21" t="s">
        <v>20</v>
      </c>
      <c r="C29" s="19" t="s">
        <v>214</v>
      </c>
      <c r="D29" s="20" t="s">
        <v>215</v>
      </c>
      <c r="E29" s="19" t="s">
        <v>70</v>
      </c>
      <c r="F29" s="19" t="s">
        <v>212</v>
      </c>
      <c r="G29" s="19">
        <v>8</v>
      </c>
      <c r="H29" s="19"/>
      <c r="I29" s="19"/>
      <c r="J29" s="19"/>
      <c r="K29" s="19"/>
      <c r="L29" s="19">
        <v>10</v>
      </c>
      <c r="M29" s="19"/>
      <c r="N29" s="19">
        <v>5</v>
      </c>
      <c r="O29" s="19" t="s">
        <v>216</v>
      </c>
    </row>
    <row r="30" spans="1:15" ht="42.75" x14ac:dyDescent="0.2">
      <c r="A30" s="21" t="s">
        <v>24</v>
      </c>
      <c r="B30" s="21" t="s">
        <v>19</v>
      </c>
      <c r="C30" s="19" t="s">
        <v>210</v>
      </c>
      <c r="D30" s="20" t="s">
        <v>211</v>
      </c>
      <c r="E30" s="19" t="s">
        <v>70</v>
      </c>
      <c r="F30" s="19" t="s">
        <v>212</v>
      </c>
      <c r="G30" s="19"/>
      <c r="H30" s="19"/>
      <c r="I30" s="19"/>
      <c r="J30" s="19"/>
      <c r="K30" s="19"/>
      <c r="L30" s="19"/>
      <c r="M30" s="19"/>
      <c r="N30" s="19"/>
      <c r="O30" s="19" t="s">
        <v>213</v>
      </c>
    </row>
    <row r="31" spans="1:15" ht="15" x14ac:dyDescent="0.2">
      <c r="A31" s="21" t="s">
        <v>18</v>
      </c>
      <c r="B31" s="21" t="s">
        <v>21</v>
      </c>
      <c r="C31" s="19" t="s">
        <v>293</v>
      </c>
      <c r="D31" s="20" t="s">
        <v>294</v>
      </c>
      <c r="E31" s="19" t="s">
        <v>70</v>
      </c>
      <c r="F31" s="19" t="s">
        <v>291</v>
      </c>
      <c r="G31" s="19"/>
      <c r="H31" s="19"/>
      <c r="I31" s="19"/>
      <c r="J31" s="19"/>
      <c r="K31" s="19"/>
      <c r="L31" s="19"/>
      <c r="M31" s="19"/>
      <c r="N31" s="19"/>
      <c r="O31" s="19" t="s">
        <v>295</v>
      </c>
    </row>
    <row r="32" spans="1:15" ht="28.5" x14ac:dyDescent="0.2">
      <c r="A32" s="21" t="s">
        <v>18</v>
      </c>
      <c r="B32" s="21" t="s">
        <v>20</v>
      </c>
      <c r="C32" s="19" t="s">
        <v>293</v>
      </c>
      <c r="D32" s="20" t="s">
        <v>296</v>
      </c>
      <c r="E32" s="19" t="s">
        <v>70</v>
      </c>
      <c r="F32" s="19" t="s">
        <v>291</v>
      </c>
      <c r="G32" s="19"/>
      <c r="H32" s="19"/>
      <c r="I32" s="19"/>
      <c r="J32" s="19"/>
      <c r="K32" s="19"/>
      <c r="L32" s="19"/>
      <c r="M32" s="19"/>
      <c r="N32" s="19"/>
      <c r="O32" s="19" t="s">
        <v>297</v>
      </c>
    </row>
    <row r="33" spans="1:15" ht="28.5" x14ac:dyDescent="0.2">
      <c r="A33" s="21" t="s">
        <v>18</v>
      </c>
      <c r="B33" s="21" t="s">
        <v>20</v>
      </c>
      <c r="C33" s="19" t="s">
        <v>117</v>
      </c>
      <c r="D33" s="20" t="s">
        <v>118</v>
      </c>
      <c r="E33" s="19" t="s">
        <v>70</v>
      </c>
      <c r="F33" s="19" t="s">
        <v>114</v>
      </c>
      <c r="G33" s="19">
        <v>10</v>
      </c>
      <c r="H33" s="19"/>
      <c r="I33" s="19"/>
      <c r="J33" s="19"/>
      <c r="K33" s="19"/>
      <c r="L33" s="19"/>
      <c r="M33" s="19"/>
      <c r="N33" s="19"/>
      <c r="O33" s="19" t="s">
        <v>119</v>
      </c>
    </row>
    <row r="34" spans="1:15" ht="15" x14ac:dyDescent="0.2">
      <c r="A34" s="21" t="s">
        <v>18</v>
      </c>
      <c r="B34" s="21" t="s">
        <v>22</v>
      </c>
      <c r="C34" s="19" t="s">
        <v>361</v>
      </c>
      <c r="D34" s="20" t="s">
        <v>362</v>
      </c>
      <c r="E34" s="19" t="s">
        <v>70</v>
      </c>
      <c r="F34" s="19"/>
      <c r="G34" s="19"/>
      <c r="H34" s="19"/>
      <c r="I34" s="19"/>
      <c r="J34" s="19"/>
      <c r="K34" s="19"/>
      <c r="L34" s="19"/>
      <c r="M34" s="19"/>
      <c r="N34" s="19"/>
      <c r="O34" s="19"/>
    </row>
    <row r="35" spans="1:15" ht="28.5" x14ac:dyDescent="0.2">
      <c r="A35" s="21" t="s">
        <v>18</v>
      </c>
      <c r="B35" s="21" t="s">
        <v>19</v>
      </c>
      <c r="C35" s="19" t="s">
        <v>358</v>
      </c>
      <c r="D35" s="20" t="s">
        <v>129</v>
      </c>
      <c r="E35" s="19" t="s">
        <v>359</v>
      </c>
      <c r="F35" s="19"/>
      <c r="G35" s="19"/>
      <c r="H35" s="19"/>
      <c r="I35" s="19"/>
      <c r="J35" s="19"/>
      <c r="K35" s="19"/>
      <c r="L35" s="19"/>
      <c r="M35" s="19"/>
      <c r="N35" s="19"/>
      <c r="O35" s="19" t="s">
        <v>360</v>
      </c>
    </row>
    <row r="36" spans="1:15" ht="15" x14ac:dyDescent="0.2">
      <c r="A36" s="21" t="s">
        <v>18</v>
      </c>
      <c r="B36" s="21" t="s">
        <v>19</v>
      </c>
      <c r="C36" s="19" t="s">
        <v>355</v>
      </c>
      <c r="D36" s="20" t="s">
        <v>149</v>
      </c>
      <c r="E36" s="19" t="s">
        <v>70</v>
      </c>
      <c r="F36" s="19"/>
      <c r="G36" s="19"/>
      <c r="H36" s="19"/>
      <c r="I36" s="19"/>
      <c r="J36" s="19"/>
      <c r="K36" s="19"/>
      <c r="L36" s="19"/>
      <c r="M36" s="19"/>
      <c r="N36" s="19"/>
      <c r="O36" s="19" t="s">
        <v>356</v>
      </c>
    </row>
    <row r="37" spans="1:15" ht="28.5" x14ac:dyDescent="0.2">
      <c r="A37" s="21" t="s">
        <v>18</v>
      </c>
      <c r="B37" s="21" t="s">
        <v>19</v>
      </c>
      <c r="C37" s="19" t="s">
        <v>355</v>
      </c>
      <c r="D37" s="20" t="s">
        <v>133</v>
      </c>
      <c r="E37" s="19" t="s">
        <v>70</v>
      </c>
      <c r="F37" s="19"/>
      <c r="G37" s="19"/>
      <c r="H37" s="19"/>
      <c r="I37" s="19"/>
      <c r="J37" s="19"/>
      <c r="K37" s="19"/>
      <c r="L37" s="19"/>
      <c r="M37" s="19"/>
      <c r="N37" s="19"/>
      <c r="O37" s="19" t="s">
        <v>357</v>
      </c>
    </row>
    <row r="38" spans="1:15" ht="28.5" x14ac:dyDescent="0.2">
      <c r="A38" s="21" t="s">
        <v>18</v>
      </c>
      <c r="B38" s="21" t="s">
        <v>15</v>
      </c>
      <c r="C38" s="19" t="s">
        <v>227</v>
      </c>
      <c r="D38" s="20" t="s">
        <v>228</v>
      </c>
      <c r="E38" s="19" t="s">
        <v>70</v>
      </c>
      <c r="F38" s="19" t="s">
        <v>219</v>
      </c>
      <c r="G38" s="19">
        <v>8</v>
      </c>
      <c r="H38" s="19"/>
      <c r="I38" s="19"/>
      <c r="J38" s="19"/>
      <c r="K38" s="19"/>
      <c r="L38" s="19"/>
      <c r="M38" s="19"/>
      <c r="N38" s="19"/>
      <c r="O38" s="19" t="s">
        <v>229</v>
      </c>
    </row>
    <row r="39" spans="1:15" ht="28.5" x14ac:dyDescent="0.2">
      <c r="A39" s="21" t="s">
        <v>18</v>
      </c>
      <c r="B39" s="21" t="s">
        <v>19</v>
      </c>
      <c r="C39" s="19" t="s">
        <v>115</v>
      </c>
      <c r="D39" s="20" t="s">
        <v>110</v>
      </c>
      <c r="E39" s="19" t="s">
        <v>70</v>
      </c>
      <c r="F39" s="19" t="s">
        <v>114</v>
      </c>
      <c r="G39" s="19"/>
      <c r="H39" s="19"/>
      <c r="I39" s="19"/>
      <c r="J39" s="19"/>
      <c r="K39" s="19"/>
      <c r="L39" s="19"/>
      <c r="M39" s="19"/>
      <c r="N39" s="19"/>
      <c r="O39" s="19" t="s">
        <v>116</v>
      </c>
    </row>
    <row r="40" spans="1:15" ht="28.5" x14ac:dyDescent="0.2">
      <c r="A40" s="21" t="s">
        <v>18</v>
      </c>
      <c r="B40" s="21" t="s">
        <v>20</v>
      </c>
      <c r="C40" s="19" t="s">
        <v>353</v>
      </c>
      <c r="D40" s="20" t="s">
        <v>315</v>
      </c>
      <c r="E40" s="19" t="s">
        <v>70</v>
      </c>
      <c r="F40" s="19"/>
      <c r="G40" s="19"/>
      <c r="H40" s="19"/>
      <c r="I40" s="19"/>
      <c r="J40" s="19"/>
      <c r="K40" s="19"/>
      <c r="L40" s="19"/>
      <c r="M40" s="19"/>
      <c r="N40" s="19"/>
      <c r="O40" s="19" t="s">
        <v>354</v>
      </c>
    </row>
    <row r="41" spans="1:15" ht="15" x14ac:dyDescent="0.2">
      <c r="A41" s="21" t="s">
        <v>18</v>
      </c>
      <c r="B41" s="21" t="s">
        <v>15</v>
      </c>
      <c r="C41" s="19" t="s">
        <v>351</v>
      </c>
      <c r="D41" s="20" t="s">
        <v>201</v>
      </c>
      <c r="E41" s="19" t="s">
        <v>70</v>
      </c>
      <c r="F41" s="19"/>
      <c r="G41" s="19">
        <v>5</v>
      </c>
      <c r="H41" s="19"/>
      <c r="I41" s="19"/>
      <c r="J41" s="19"/>
      <c r="K41" s="19"/>
      <c r="L41" s="19"/>
      <c r="M41" s="19"/>
      <c r="N41" s="19"/>
      <c r="O41" s="19" t="s">
        <v>352</v>
      </c>
    </row>
    <row r="42" spans="1:15" ht="28.5" x14ac:dyDescent="0.2">
      <c r="A42" s="21" t="s">
        <v>18</v>
      </c>
      <c r="B42" s="21" t="s">
        <v>15</v>
      </c>
      <c r="C42" s="19" t="s">
        <v>224</v>
      </c>
      <c r="D42" s="20" t="s">
        <v>225</v>
      </c>
      <c r="E42" s="19" t="s">
        <v>70</v>
      </c>
      <c r="F42" s="19" t="s">
        <v>219</v>
      </c>
      <c r="G42" s="19"/>
      <c r="H42" s="19"/>
      <c r="I42" s="19"/>
      <c r="J42" s="19"/>
      <c r="K42" s="19"/>
      <c r="L42" s="19"/>
      <c r="M42" s="19"/>
      <c r="N42" s="19"/>
      <c r="O42" s="19" t="s">
        <v>226</v>
      </c>
    </row>
    <row r="43" spans="1:15" ht="42.75" x14ac:dyDescent="0.2">
      <c r="A43" s="21" t="s">
        <v>18</v>
      </c>
      <c r="B43" s="21" t="s">
        <v>19</v>
      </c>
      <c r="C43" s="19" t="s">
        <v>344</v>
      </c>
      <c r="D43" s="20" t="s">
        <v>96</v>
      </c>
      <c r="E43" s="19" t="s">
        <v>70</v>
      </c>
      <c r="F43" s="19"/>
      <c r="G43" s="19">
        <v>13</v>
      </c>
      <c r="H43" s="19"/>
      <c r="I43" s="19"/>
      <c r="J43" s="19"/>
      <c r="K43" s="19"/>
      <c r="L43" s="19"/>
      <c r="M43" s="19"/>
      <c r="N43" s="19"/>
      <c r="O43" s="19" t="s">
        <v>345</v>
      </c>
    </row>
    <row r="44" spans="1:15" ht="28.5" x14ac:dyDescent="0.2">
      <c r="A44" s="21" t="s">
        <v>18</v>
      </c>
      <c r="B44" s="21" t="s">
        <v>15</v>
      </c>
      <c r="C44" s="19" t="s">
        <v>279</v>
      </c>
      <c r="D44" s="20" t="s">
        <v>280</v>
      </c>
      <c r="E44" s="19" t="s">
        <v>113</v>
      </c>
      <c r="F44" s="19" t="s">
        <v>277</v>
      </c>
      <c r="G44" s="19"/>
      <c r="H44" s="19"/>
      <c r="I44" s="19"/>
      <c r="J44" s="19"/>
      <c r="K44" s="19"/>
      <c r="L44" s="19"/>
      <c r="M44" s="19"/>
      <c r="N44" s="19"/>
      <c r="O44" s="19" t="s">
        <v>281</v>
      </c>
    </row>
    <row r="45" spans="1:15" ht="28.5" x14ac:dyDescent="0.2">
      <c r="A45" s="21" t="s">
        <v>18</v>
      </c>
      <c r="B45" s="21" t="s">
        <v>15</v>
      </c>
      <c r="C45" s="19" t="s">
        <v>221</v>
      </c>
      <c r="D45" s="20" t="s">
        <v>222</v>
      </c>
      <c r="E45" s="19" t="s">
        <v>70</v>
      </c>
      <c r="F45" s="19" t="s">
        <v>219</v>
      </c>
      <c r="G45" s="19">
        <v>8</v>
      </c>
      <c r="H45" s="19"/>
      <c r="I45" s="19">
        <v>7200</v>
      </c>
      <c r="J45" s="19">
        <v>7200</v>
      </c>
      <c r="K45" s="19"/>
      <c r="L45" s="19"/>
      <c r="M45" s="19"/>
      <c r="N45" s="19"/>
      <c r="O45" s="19" t="s">
        <v>223</v>
      </c>
    </row>
    <row r="46" spans="1:15" ht="15" x14ac:dyDescent="0.2">
      <c r="A46" s="21" t="s">
        <v>18</v>
      </c>
      <c r="B46" s="21" t="s">
        <v>15</v>
      </c>
      <c r="C46" s="19" t="s">
        <v>275</v>
      </c>
      <c r="D46" s="20" t="s">
        <v>276</v>
      </c>
      <c r="E46" s="19" t="s">
        <v>70</v>
      </c>
      <c r="F46" s="19" t="s">
        <v>277</v>
      </c>
      <c r="G46" s="19"/>
      <c r="H46" s="19"/>
      <c r="I46" s="19"/>
      <c r="J46" s="19"/>
      <c r="K46" s="19"/>
      <c r="L46" s="19"/>
      <c r="M46" s="19"/>
      <c r="N46" s="19"/>
      <c r="O46" s="19" t="s">
        <v>278</v>
      </c>
    </row>
    <row r="47" spans="1:15" ht="28.5" x14ac:dyDescent="0.2">
      <c r="A47" s="21" t="s">
        <v>18</v>
      </c>
      <c r="B47" s="21" t="s">
        <v>19</v>
      </c>
      <c r="C47" s="19" t="s">
        <v>85</v>
      </c>
      <c r="D47" s="20" t="s">
        <v>88</v>
      </c>
      <c r="E47" s="19" t="s">
        <v>70</v>
      </c>
      <c r="F47" s="19"/>
      <c r="G47" s="19">
        <v>5</v>
      </c>
      <c r="H47" s="19"/>
      <c r="I47" s="19"/>
      <c r="J47" s="19"/>
      <c r="K47" s="19"/>
      <c r="L47" s="19"/>
      <c r="M47" s="19"/>
      <c r="N47" s="19"/>
      <c r="O47" s="19" t="s">
        <v>343</v>
      </c>
    </row>
    <row r="48" spans="1:15" ht="28.5" x14ac:dyDescent="0.2">
      <c r="A48" s="21" t="s">
        <v>18</v>
      </c>
      <c r="B48" s="21" t="s">
        <v>19</v>
      </c>
      <c r="C48" s="19" t="s">
        <v>340</v>
      </c>
      <c r="D48" s="20" t="s">
        <v>341</v>
      </c>
      <c r="E48" s="19" t="s">
        <v>70</v>
      </c>
      <c r="F48" s="19"/>
      <c r="G48" s="19">
        <v>13</v>
      </c>
      <c r="H48" s="19"/>
      <c r="I48" s="19"/>
      <c r="J48" s="19"/>
      <c r="K48" s="19"/>
      <c r="L48" s="19"/>
      <c r="M48" s="19"/>
      <c r="N48" s="19"/>
      <c r="O48" s="19" t="s">
        <v>342</v>
      </c>
    </row>
    <row r="49" spans="1:15" ht="15" x14ac:dyDescent="0.2">
      <c r="A49" s="21" t="s">
        <v>24</v>
      </c>
      <c r="B49" s="21" t="s">
        <v>20</v>
      </c>
      <c r="C49" s="19" t="s">
        <v>338</v>
      </c>
      <c r="D49" s="20" t="s">
        <v>339</v>
      </c>
      <c r="E49" s="19" t="s">
        <v>70</v>
      </c>
      <c r="F49" s="19"/>
      <c r="G49" s="19"/>
      <c r="H49" s="19"/>
      <c r="I49" s="19"/>
      <c r="J49" s="19"/>
      <c r="K49" s="19"/>
      <c r="L49" s="19"/>
      <c r="M49" s="19"/>
      <c r="N49" s="19"/>
      <c r="O49" s="19"/>
    </row>
    <row r="50" spans="1:15" ht="15" x14ac:dyDescent="0.2">
      <c r="A50" s="21" t="s">
        <v>24</v>
      </c>
      <c r="B50" s="21" t="s">
        <v>20</v>
      </c>
      <c r="C50" s="19" t="s">
        <v>337</v>
      </c>
      <c r="D50" s="20" t="s">
        <v>250</v>
      </c>
      <c r="E50" s="19" t="s">
        <v>70</v>
      </c>
      <c r="F50" s="19"/>
      <c r="G50" s="19"/>
      <c r="H50" s="19"/>
      <c r="I50" s="19"/>
      <c r="J50" s="19"/>
      <c r="K50" s="19"/>
      <c r="L50" s="19"/>
      <c r="M50" s="19"/>
      <c r="N50" s="19"/>
      <c r="O50" s="19" t="s">
        <v>248</v>
      </c>
    </row>
    <row r="51" spans="1:15" ht="15" x14ac:dyDescent="0.2">
      <c r="A51" s="21" t="s">
        <v>24</v>
      </c>
      <c r="B51" s="21" t="s">
        <v>19</v>
      </c>
      <c r="C51" s="19" t="s">
        <v>335</v>
      </c>
      <c r="D51" s="20" t="s">
        <v>336</v>
      </c>
      <c r="E51" s="19" t="s">
        <v>70</v>
      </c>
      <c r="F51" s="19"/>
      <c r="G51" s="19"/>
      <c r="H51" s="19"/>
      <c r="I51" s="19"/>
      <c r="J51" s="19"/>
      <c r="K51" s="19"/>
      <c r="L51" s="19"/>
      <c r="M51" s="19"/>
      <c r="N51" s="19"/>
      <c r="O51" s="19"/>
    </row>
    <row r="52" spans="1:15" ht="15" x14ac:dyDescent="0.2">
      <c r="A52" s="21" t="s">
        <v>18</v>
      </c>
      <c r="B52" s="21" t="s">
        <v>21</v>
      </c>
      <c r="C52" s="19" t="s">
        <v>333</v>
      </c>
      <c r="D52" s="20" t="s">
        <v>329</v>
      </c>
      <c r="E52" s="19" t="s">
        <v>70</v>
      </c>
      <c r="F52" s="19"/>
      <c r="G52" s="19">
        <v>13</v>
      </c>
      <c r="H52" s="19"/>
      <c r="I52" s="19"/>
      <c r="J52" s="19"/>
      <c r="K52" s="19"/>
      <c r="L52" s="19"/>
      <c r="M52" s="19"/>
      <c r="N52" s="19"/>
      <c r="O52" s="19" t="s">
        <v>334</v>
      </c>
    </row>
    <row r="53" spans="1:15" ht="28.5" x14ac:dyDescent="0.2">
      <c r="A53" s="21" t="s">
        <v>18</v>
      </c>
      <c r="B53" s="21" t="s">
        <v>23</v>
      </c>
      <c r="C53" s="19" t="s">
        <v>217</v>
      </c>
      <c r="D53" s="20" t="s">
        <v>218</v>
      </c>
      <c r="E53" s="19" t="s">
        <v>70</v>
      </c>
      <c r="F53" s="19" t="s">
        <v>219</v>
      </c>
      <c r="G53" s="19"/>
      <c r="H53" s="19"/>
      <c r="I53" s="19"/>
      <c r="J53" s="19"/>
      <c r="K53" s="19"/>
      <c r="L53" s="19"/>
      <c r="M53" s="19"/>
      <c r="N53" s="19"/>
      <c r="O53" s="19" t="s">
        <v>220</v>
      </c>
    </row>
    <row r="54" spans="1:15" ht="85.5" x14ac:dyDescent="0.2">
      <c r="A54" s="21" t="s">
        <v>18</v>
      </c>
      <c r="B54" s="21" t="s">
        <v>25</v>
      </c>
      <c r="C54" s="19" t="s">
        <v>68</v>
      </c>
      <c r="D54" s="20" t="s">
        <v>69</v>
      </c>
      <c r="E54" s="19" t="s">
        <v>70</v>
      </c>
      <c r="F54" s="19" t="s">
        <v>71</v>
      </c>
      <c r="G54" s="19"/>
      <c r="H54" s="19"/>
      <c r="I54" s="19">
        <v>28800</v>
      </c>
      <c r="J54" s="19">
        <v>28800</v>
      </c>
      <c r="K54" s="19"/>
      <c r="L54" s="19"/>
      <c r="M54" s="19"/>
      <c r="N54" s="19"/>
      <c r="O54" s="19" t="s">
        <v>72</v>
      </c>
    </row>
    <row r="55" spans="1:15" ht="42.75" x14ac:dyDescent="0.2">
      <c r="A55" s="21" t="s">
        <v>18</v>
      </c>
      <c r="B55" s="21" t="s">
        <v>19</v>
      </c>
      <c r="C55" s="19" t="s">
        <v>289</v>
      </c>
      <c r="D55" s="20" t="s">
        <v>290</v>
      </c>
      <c r="E55" s="19" t="s">
        <v>70</v>
      </c>
      <c r="F55" s="19" t="s">
        <v>291</v>
      </c>
      <c r="G55" s="19"/>
      <c r="H55" s="19"/>
      <c r="I55" s="19"/>
      <c r="J55" s="19"/>
      <c r="K55" s="19"/>
      <c r="L55" s="19">
        <v>0</v>
      </c>
      <c r="M55" s="19"/>
      <c r="N55" s="19">
        <v>0</v>
      </c>
      <c r="O55" s="19" t="s">
        <v>292</v>
      </c>
    </row>
    <row r="56" spans="1:15" ht="28.5" x14ac:dyDescent="0.2">
      <c r="A56" s="21" t="s">
        <v>18</v>
      </c>
      <c r="B56" s="21" t="s">
        <v>20</v>
      </c>
      <c r="C56" s="19" t="s">
        <v>330</v>
      </c>
      <c r="D56" s="20" t="s">
        <v>331</v>
      </c>
      <c r="E56" s="19" t="s">
        <v>70</v>
      </c>
      <c r="F56" s="19"/>
      <c r="G56" s="19"/>
      <c r="H56" s="19"/>
      <c r="I56" s="19"/>
      <c r="J56" s="19"/>
      <c r="K56" s="19"/>
      <c r="L56" s="19"/>
      <c r="M56" s="19"/>
      <c r="N56" s="19"/>
      <c r="O56" s="19" t="s">
        <v>332</v>
      </c>
    </row>
    <row r="57" spans="1:15" x14ac:dyDescent="0.2">
      <c r="A57" s="118" t="s">
        <v>632</v>
      </c>
      <c r="B57" s="119"/>
      <c r="C57" s="119"/>
      <c r="D57" s="119"/>
      <c r="E57" s="119"/>
      <c r="F57" s="119"/>
      <c r="G57" s="119"/>
      <c r="H57" s="119"/>
      <c r="I57" s="119"/>
      <c r="J57" s="119"/>
      <c r="K57" s="119"/>
      <c r="L57" s="119"/>
      <c r="M57" s="119"/>
      <c r="N57" s="119"/>
      <c r="O57" s="120"/>
    </row>
  </sheetData>
  <mergeCells count="4">
    <mergeCell ref="A1:O1"/>
    <mergeCell ref="A2:O2"/>
    <mergeCell ref="A3:O3"/>
    <mergeCell ref="A57:O57"/>
  </mergeCells>
  <hyperlinks>
    <hyperlink ref="A2" r:id="rId1" display="https://webgate.ec.europa.eu/CITnet/jira/issues/?jql=project+in+%28COMPCORP%2C+CCADMIN%2C+CCARCHITEC%2C+CCDOCLIST%2C+ECKL%2C+CCINFRAEC%2C+INTERCOM%2C+CCPMO%2C+PFM%2C+PROCESS%2C+CCTASK%2C+TSKACTION%2C+WAVECC%2C+COMPASS%29+AND+issuetype+in+%28Enabler%2C+%22New+Feature%22%29+AND+fixVersion+in+%28COMPCORP-PI4%29+ORDER+BY+summary+DESC%2C+issuetype+DESC%2C+cf%5B12631%5D+ASC%2C+WSJF+DESC"/>
    <hyperlink ref="D5" r:id="rId2" display="https://webgate.ec.europa.eu/CITnet/jira/browse/PFM-126"/>
    <hyperlink ref="D6" r:id="rId3" display="https://webgate.ec.europa.eu/CITnet/jira/browse/PROCESS-96"/>
    <hyperlink ref="D7" r:id="rId4" display="https://webgate.ec.europa.eu/CITnet/jira/browse/INTERCOM-52"/>
    <hyperlink ref="D8" r:id="rId5" display="https://webgate.ec.europa.eu/CITnet/jira/browse/PFM-131"/>
    <hyperlink ref="D9" r:id="rId6" display="https://webgate.ec.europa.eu/CITnet/jira/browse/CCTASK-476"/>
    <hyperlink ref="D10" r:id="rId7" display="https://webgate.ec.europa.eu/CITnet/jira/browse/CCARCHITEC-49"/>
    <hyperlink ref="D11" r:id="rId8" display="https://webgate.ec.europa.eu/CITnet/jira/browse/CCDOCLIST-174"/>
    <hyperlink ref="D12" r:id="rId9" display="https://webgate.ec.europa.eu/CITnet/jira/browse/CCTASK-519"/>
    <hyperlink ref="D13" r:id="rId10" display="https://webgate.ec.europa.eu/CITnet/jira/browse/CCTASK-518"/>
    <hyperlink ref="D14" r:id="rId11" display="https://webgate.ec.europa.eu/CITnet/jira/browse/PROCESS-75"/>
    <hyperlink ref="D15" r:id="rId12" display="https://webgate.ec.europa.eu/CITnet/jira/browse/INTERCOM-72"/>
    <hyperlink ref="D16" r:id="rId13" display="https://webgate.ec.europa.eu/CITnet/jira/browse/CCTASK-272"/>
    <hyperlink ref="D17" r:id="rId14" display="https://webgate.ec.europa.eu/CITnet/jira/browse/INTERCOM-59"/>
    <hyperlink ref="D18" r:id="rId15" display="https://webgate.ec.europa.eu/CITnet/jira/browse/CCADMIN-44"/>
    <hyperlink ref="D19" r:id="rId16" display="https://webgate.ec.europa.eu/CITnet/jira/browse/PROCESS-125"/>
    <hyperlink ref="D20" r:id="rId17" display="https://webgate.ec.europa.eu/CITnet/jira/browse/CCADMIN-55"/>
    <hyperlink ref="D21" r:id="rId18" display="https://webgate.ec.europa.eu/CITnet/jira/browse/CCTASK-527"/>
    <hyperlink ref="D22" r:id="rId19" display="https://webgate.ec.europa.eu/CITnet/jira/browse/CCTASK-534"/>
    <hyperlink ref="D23" r:id="rId20" display="https://webgate.ec.europa.eu/CITnet/jira/browse/INTERCOM-75"/>
    <hyperlink ref="D24" r:id="rId21" display="https://webgate.ec.europa.eu/CITnet/jira/browse/CCDOCLIST-165"/>
    <hyperlink ref="D25" r:id="rId22" display="https://webgate.ec.europa.eu/CITnet/jira/browse/CCPMO-76"/>
    <hyperlink ref="D26" r:id="rId23" display="https://webgate.ec.europa.eu/CITnet/jira/browse/WAVECC-34"/>
    <hyperlink ref="D27" r:id="rId24" display="https://webgate.ec.europa.eu/CITnet/jira/browse/CCDOCLIST-116"/>
    <hyperlink ref="D28" r:id="rId25" display="https://webgate.ec.europa.eu/CITnet/jira/browse/CCDOCLIST-25"/>
    <hyperlink ref="D29" r:id="rId26" display="https://webgate.ec.europa.eu/CITnet/jira/browse/COMPCORP-114"/>
    <hyperlink ref="D30" r:id="rId27" display="https://webgate.ec.europa.eu/CITnet/jira/browse/CCARCHITEC-37"/>
    <hyperlink ref="D31" r:id="rId28" display="https://webgate.ec.europa.eu/CITnet/jira/browse/CCDOCLIST-181"/>
    <hyperlink ref="D32" r:id="rId29" display="https://webgate.ec.europa.eu/CITnet/jira/browse/CCTASK-579"/>
    <hyperlink ref="D33" r:id="rId30" display="https://webgate.ec.europa.eu/CITnet/jira/browse/PROCESS-92"/>
    <hyperlink ref="D34" r:id="rId31" display="https://webgate.ec.europa.eu/CITnet/jira/browse/CCTASK-532"/>
    <hyperlink ref="D35" r:id="rId32" display="https://webgate.ec.europa.eu/CITnet/jira/browse/PROCESS-33"/>
    <hyperlink ref="D36" r:id="rId33" display="https://webgate.ec.europa.eu/CITnet/jira/browse/PFM-125"/>
    <hyperlink ref="D37" r:id="rId34" display="https://webgate.ec.europa.eu/CITnet/jira/browse/PROCESS-95"/>
    <hyperlink ref="D38" r:id="rId35" display="https://webgate.ec.europa.eu/CITnet/jira/browse/CCDOCLIST-157"/>
    <hyperlink ref="D39" r:id="rId36" display="https://webgate.ec.europa.eu/CITnet/jira/browse/PROCESS-44"/>
    <hyperlink ref="D40" r:id="rId37" display="https://webgate.ec.europa.eu/CITnet/jira/browse/PROCESS-98"/>
    <hyperlink ref="D41" r:id="rId38" display="https://webgate.ec.europa.eu/CITnet/jira/browse/INTERCOM-71"/>
    <hyperlink ref="D42" r:id="rId39" display="https://webgate.ec.europa.eu/CITnet/jira/browse/CCDOCLIST-19"/>
    <hyperlink ref="D43" r:id="rId40" display="https://webgate.ec.europa.eu/CITnet/jira/browse/INTERCOM-54"/>
    <hyperlink ref="D44" r:id="rId41" display="https://webgate.ec.europa.eu/CITnet/jira/browse/CCDOCLIST-27"/>
    <hyperlink ref="D45" r:id="rId42" display="https://webgate.ec.europa.eu/CITnet/jira/browse/CCDOCLIST-156"/>
    <hyperlink ref="D46" r:id="rId43" display="https://webgate.ec.europa.eu/CITnet/jira/browse/CCDOCLIST-17"/>
    <hyperlink ref="D47" r:id="rId44" display="https://webgate.ec.europa.eu/CITnet/jira/browse/CCADMIN-42"/>
    <hyperlink ref="D48" r:id="rId45" display="https://webgate.ec.europa.eu/CITnet/jira/browse/WAVECC-42"/>
    <hyperlink ref="D49" r:id="rId46" display="https://webgate.ec.europa.eu/CITnet/jira/browse/CCPMO-63"/>
    <hyperlink ref="D50" r:id="rId47" display="https://webgate.ec.europa.eu/CITnet/jira/browse/CCPMO-77"/>
    <hyperlink ref="D51" r:id="rId48" display="https://webgate.ec.europa.eu/CITnet/jira/browse/CCPMO-129"/>
    <hyperlink ref="D52" r:id="rId49" display="https://webgate.ec.europa.eu/CITnet/jira/browse/INTERCOM-55"/>
    <hyperlink ref="D53" r:id="rId50" display="https://webgate.ec.europa.eu/CITnet/jira/browse/CCTASK-533"/>
    <hyperlink ref="D54" r:id="rId51" display="https://webgate.ec.europa.eu/CITnet/jira/browse/TSKACTION-217"/>
    <hyperlink ref="D55" r:id="rId52" display="https://webgate.ec.europa.eu/CITnet/jira/browse/TSKACTION-245"/>
    <hyperlink ref="D56" r:id="rId53" display="https://webgate.ec.europa.eu/CITnet/jira/browse/TSKACTION-56"/>
  </hyperlinks>
  <printOptions horizontalCentered="1" verticalCentered="1"/>
  <pageMargins left="0.25" right="0.25" top="0.25" bottom="0.5" header="0.5" footer="0.25"/>
  <pageSetup orientation="landscape" horizontalDpi="0" verticalDpi="0"/>
  <headerFooter>
    <oddFooter>&amp;R&amp;P of &amp;N</oddFooter>
  </headerFooter>
  <drawing r:id="rId54"/>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rgb="FF002060"/>
  </sheetPr>
  <dimension ref="A1:R36"/>
  <sheetViews>
    <sheetView topLeftCell="B1" workbookViewId="0">
      <selection activeCell="R35" sqref="B5:R35"/>
    </sheetView>
  </sheetViews>
  <sheetFormatPr defaultRowHeight="12" x14ac:dyDescent="0.2"/>
  <cols>
    <col min="1" max="1" width="10.625" style="125" hidden="1" customWidth="1"/>
    <col min="2" max="2" width="10.25" style="125" bestFit="1" customWidth="1"/>
    <col min="3" max="3" width="32" style="125" bestFit="1" customWidth="1"/>
    <col min="4" max="4" width="12.875" style="125" bestFit="1" customWidth="1"/>
    <col min="5" max="5" width="32" style="125" hidden="1" customWidth="1"/>
    <col min="6" max="6" width="6.25" style="125" hidden="1" customWidth="1"/>
    <col min="7" max="7" width="11.75" style="125" hidden="1" customWidth="1"/>
    <col min="8" max="8" width="9" style="125" hidden="1" customWidth="1"/>
    <col min="9" max="9" width="17.875" style="125" hidden="1" customWidth="1"/>
    <col min="10" max="10" width="20.375" style="125" hidden="1" customWidth="1"/>
    <col min="11" max="11" width="8.5" style="125" hidden="1" customWidth="1"/>
    <col min="12" max="12" width="14.125" style="125" hidden="1" customWidth="1"/>
    <col min="13" max="13" width="14.625" style="125" hidden="1" customWidth="1"/>
    <col min="14" max="14" width="14.5" style="125" hidden="1" customWidth="1"/>
    <col min="15" max="15" width="32" style="125" hidden="1" customWidth="1"/>
    <col min="16" max="16" width="20.75" style="125" bestFit="1" customWidth="1"/>
    <col min="17" max="17" width="22.75" style="125" bestFit="1" customWidth="1"/>
    <col min="18" max="18" width="17.875" style="125" bestFit="1" customWidth="1"/>
    <col min="19" max="16384" width="9" style="125"/>
  </cols>
  <sheetData>
    <row r="1" spans="1:18" ht="27" customHeight="1" x14ac:dyDescent="0.2">
      <c r="A1" s="122"/>
      <c r="B1" s="123"/>
      <c r="C1" s="123"/>
      <c r="D1" s="123"/>
      <c r="E1" s="123"/>
      <c r="F1" s="123"/>
      <c r="G1" s="123"/>
      <c r="H1" s="123"/>
      <c r="I1" s="123"/>
      <c r="J1" s="123"/>
      <c r="K1" s="123"/>
      <c r="L1" s="123"/>
      <c r="M1" s="123"/>
      <c r="N1" s="123"/>
      <c r="O1" s="123"/>
      <c r="P1" s="123"/>
      <c r="Q1" s="123"/>
      <c r="R1" s="124"/>
    </row>
    <row r="2" spans="1:18" ht="15" customHeight="1" x14ac:dyDescent="0.2">
      <c r="A2" s="76" t="s">
        <v>426</v>
      </c>
      <c r="B2" s="77"/>
      <c r="C2" s="77"/>
      <c r="D2" s="77"/>
      <c r="E2" s="77"/>
      <c r="F2" s="77"/>
      <c r="G2" s="77"/>
      <c r="H2" s="77"/>
      <c r="I2" s="77"/>
      <c r="J2" s="77"/>
      <c r="K2" s="77"/>
      <c r="L2" s="77"/>
      <c r="M2" s="77"/>
      <c r="N2" s="77"/>
      <c r="O2" s="77"/>
      <c r="P2" s="77"/>
      <c r="Q2" s="77"/>
      <c r="R2" s="78"/>
    </row>
    <row r="3" spans="1:18" ht="15" customHeight="1" x14ac:dyDescent="0.2">
      <c r="A3" s="126" t="s">
        <v>4880</v>
      </c>
      <c r="B3" s="127"/>
      <c r="C3" s="127"/>
      <c r="D3" s="127"/>
      <c r="E3" s="127"/>
      <c r="F3" s="127"/>
      <c r="G3" s="127"/>
      <c r="H3" s="127"/>
      <c r="I3" s="127"/>
      <c r="J3" s="127"/>
      <c r="K3" s="127"/>
      <c r="L3" s="127"/>
      <c r="M3" s="127"/>
      <c r="N3" s="127"/>
      <c r="O3" s="127"/>
      <c r="P3" s="127"/>
      <c r="Q3" s="127"/>
      <c r="R3" s="128"/>
    </row>
    <row r="4" spans="1:18" ht="15" x14ac:dyDescent="0.2">
      <c r="A4" s="129" t="s">
        <v>4</v>
      </c>
      <c r="B4" s="129" t="s">
        <v>5</v>
      </c>
      <c r="C4" s="129" t="s">
        <v>54</v>
      </c>
      <c r="D4" s="129" t="s">
        <v>6</v>
      </c>
      <c r="E4" s="129" t="s">
        <v>7</v>
      </c>
      <c r="F4" s="129" t="s">
        <v>53</v>
      </c>
      <c r="G4" s="129" t="s">
        <v>8</v>
      </c>
      <c r="H4" s="129" t="s">
        <v>427</v>
      </c>
      <c r="I4" s="129" t="s">
        <v>429</v>
      </c>
      <c r="J4" s="129" t="s">
        <v>428</v>
      </c>
      <c r="K4" s="129" t="s">
        <v>9</v>
      </c>
      <c r="L4" s="129" t="s">
        <v>10</v>
      </c>
      <c r="M4" s="129" t="s">
        <v>52</v>
      </c>
      <c r="N4" s="129" t="s">
        <v>51</v>
      </c>
      <c r="O4" s="129" t="s">
        <v>11</v>
      </c>
      <c r="P4" s="129" t="s">
        <v>4800</v>
      </c>
      <c r="Q4" s="129" t="s">
        <v>4801</v>
      </c>
      <c r="R4" s="129" t="s">
        <v>4802</v>
      </c>
    </row>
    <row r="5" spans="1:18" ht="28.5" x14ac:dyDescent="0.2">
      <c r="A5" s="130" t="s">
        <v>4803</v>
      </c>
      <c r="B5" s="130" t="s">
        <v>14</v>
      </c>
      <c r="C5" s="131" t="s">
        <v>4879</v>
      </c>
      <c r="D5" s="20" t="s">
        <v>4878</v>
      </c>
      <c r="E5" s="131" t="s">
        <v>1762</v>
      </c>
      <c r="F5" s="131"/>
      <c r="G5" s="131"/>
      <c r="H5" s="131"/>
      <c r="I5" s="131"/>
      <c r="J5" s="131"/>
      <c r="K5" s="131"/>
      <c r="L5" s="131"/>
      <c r="M5" s="131"/>
      <c r="N5" s="131"/>
      <c r="O5" s="131"/>
      <c r="P5" s="131">
        <v>0</v>
      </c>
      <c r="Q5" s="131">
        <v>1</v>
      </c>
      <c r="R5" s="131"/>
    </row>
    <row r="6" spans="1:18" ht="28.5" x14ac:dyDescent="0.2">
      <c r="A6" s="130" t="s">
        <v>4803</v>
      </c>
      <c r="B6" s="130" t="s">
        <v>14</v>
      </c>
      <c r="C6" s="131" t="s">
        <v>4877</v>
      </c>
      <c r="D6" s="20" t="s">
        <v>4876</v>
      </c>
      <c r="E6" s="131" t="s">
        <v>1762</v>
      </c>
      <c r="F6" s="131"/>
      <c r="G6" s="131"/>
      <c r="H6" s="131"/>
      <c r="I6" s="131"/>
      <c r="J6" s="131"/>
      <c r="K6" s="131"/>
      <c r="L6" s="131"/>
      <c r="M6" s="131"/>
      <c r="N6" s="131"/>
      <c r="O6" s="131" t="s">
        <v>3779</v>
      </c>
      <c r="P6" s="131">
        <v>0</v>
      </c>
      <c r="Q6" s="131">
        <v>1</v>
      </c>
      <c r="R6" s="131" t="s">
        <v>4818</v>
      </c>
    </row>
    <row r="7" spans="1:18" ht="15" x14ac:dyDescent="0.2">
      <c r="A7" s="130" t="s">
        <v>4803</v>
      </c>
      <c r="B7" s="130" t="s">
        <v>14</v>
      </c>
      <c r="C7" s="131" t="s">
        <v>4816</v>
      </c>
      <c r="D7" s="20" t="s">
        <v>4817</v>
      </c>
      <c r="E7" s="131" t="s">
        <v>70</v>
      </c>
      <c r="F7" s="131"/>
      <c r="G7" s="131"/>
      <c r="H7" s="131"/>
      <c r="I7" s="131"/>
      <c r="J7" s="131"/>
      <c r="K7" s="131"/>
      <c r="L7" s="131"/>
      <c r="M7" s="131"/>
      <c r="N7" s="131"/>
      <c r="O7" s="131"/>
      <c r="P7" s="131"/>
      <c r="Q7" s="131">
        <v>2</v>
      </c>
      <c r="R7" s="131" t="s">
        <v>4818</v>
      </c>
    </row>
    <row r="8" spans="1:18" ht="28.5" x14ac:dyDescent="0.2">
      <c r="A8" s="130" t="s">
        <v>4803</v>
      </c>
      <c r="B8" s="130" t="s">
        <v>14</v>
      </c>
      <c r="C8" s="131" t="s">
        <v>4875</v>
      </c>
      <c r="D8" s="20" t="s">
        <v>4874</v>
      </c>
      <c r="E8" s="131" t="s">
        <v>70</v>
      </c>
      <c r="F8" s="131"/>
      <c r="G8" s="131"/>
      <c r="H8" s="131"/>
      <c r="I8" s="131"/>
      <c r="J8" s="131"/>
      <c r="K8" s="131"/>
      <c r="L8" s="131"/>
      <c r="M8" s="131"/>
      <c r="N8" s="131"/>
      <c r="O8" s="131"/>
      <c r="P8" s="131">
        <v>0</v>
      </c>
      <c r="Q8" s="131">
        <v>3</v>
      </c>
      <c r="R8" s="131" t="s">
        <v>4818</v>
      </c>
    </row>
    <row r="9" spans="1:18" ht="15" x14ac:dyDescent="0.2">
      <c r="A9" s="130" t="s">
        <v>4803</v>
      </c>
      <c r="B9" s="130" t="s">
        <v>14</v>
      </c>
      <c r="C9" s="131" t="s">
        <v>4828</v>
      </c>
      <c r="D9" s="20" t="s">
        <v>4829</v>
      </c>
      <c r="E9" s="131" t="s">
        <v>70</v>
      </c>
      <c r="F9" s="131"/>
      <c r="G9" s="131"/>
      <c r="H9" s="131"/>
      <c r="I9" s="131"/>
      <c r="J9" s="131"/>
      <c r="K9" s="131"/>
      <c r="L9" s="131"/>
      <c r="M9" s="131"/>
      <c r="N9" s="131"/>
      <c r="O9" s="131"/>
      <c r="P9" s="131">
        <v>0</v>
      </c>
      <c r="Q9" s="131">
        <v>3</v>
      </c>
      <c r="R9" s="131" t="s">
        <v>4818</v>
      </c>
    </row>
    <row r="10" spans="1:18" ht="15" x14ac:dyDescent="0.2">
      <c r="A10" s="130" t="s">
        <v>4803</v>
      </c>
      <c r="B10" s="130" t="s">
        <v>14</v>
      </c>
      <c r="C10" s="131" t="s">
        <v>85</v>
      </c>
      <c r="D10" s="20" t="s">
        <v>4804</v>
      </c>
      <c r="E10" s="131" t="s">
        <v>70</v>
      </c>
      <c r="F10" s="131"/>
      <c r="G10" s="131"/>
      <c r="H10" s="131"/>
      <c r="I10" s="131"/>
      <c r="J10" s="131"/>
      <c r="K10" s="131"/>
      <c r="L10" s="131"/>
      <c r="M10" s="131"/>
      <c r="N10" s="131"/>
      <c r="O10" s="131" t="s">
        <v>88</v>
      </c>
      <c r="P10" s="131">
        <v>0</v>
      </c>
      <c r="Q10" s="131">
        <v>4</v>
      </c>
      <c r="R10" s="131"/>
    </row>
    <row r="11" spans="1:18" ht="57" x14ac:dyDescent="0.2">
      <c r="A11" s="130" t="s">
        <v>4803</v>
      </c>
      <c r="B11" s="130" t="s">
        <v>14</v>
      </c>
      <c r="C11" s="131" t="s">
        <v>355</v>
      </c>
      <c r="D11" s="20" t="s">
        <v>4822</v>
      </c>
      <c r="E11" s="131" t="s">
        <v>70</v>
      </c>
      <c r="F11" s="131"/>
      <c r="G11" s="131"/>
      <c r="H11" s="131"/>
      <c r="I11" s="131"/>
      <c r="J11" s="131"/>
      <c r="K11" s="131"/>
      <c r="L11" s="131"/>
      <c r="M11" s="131"/>
      <c r="N11" s="131"/>
      <c r="O11" s="131" t="s">
        <v>4823</v>
      </c>
      <c r="P11" s="131">
        <v>0</v>
      </c>
      <c r="Q11" s="131">
        <v>4</v>
      </c>
      <c r="R11" s="131"/>
    </row>
    <row r="12" spans="1:18" ht="15" x14ac:dyDescent="0.2">
      <c r="A12" s="130" t="s">
        <v>4803</v>
      </c>
      <c r="B12" s="130" t="s">
        <v>14</v>
      </c>
      <c r="C12" s="131" t="s">
        <v>373</v>
      </c>
      <c r="D12" s="20" t="s">
        <v>4806</v>
      </c>
      <c r="E12" s="131" t="s">
        <v>70</v>
      </c>
      <c r="F12" s="131"/>
      <c r="G12" s="131"/>
      <c r="H12" s="131"/>
      <c r="I12" s="131"/>
      <c r="J12" s="131"/>
      <c r="K12" s="131"/>
      <c r="L12" s="131"/>
      <c r="M12" s="131"/>
      <c r="N12" s="131"/>
      <c r="O12" s="131" t="s">
        <v>198</v>
      </c>
      <c r="P12" s="131">
        <v>0</v>
      </c>
      <c r="Q12" s="131">
        <v>4</v>
      </c>
      <c r="R12" s="131"/>
    </row>
    <row r="13" spans="1:18" ht="28.5" x14ac:dyDescent="0.2">
      <c r="A13" s="130" t="s">
        <v>4803</v>
      </c>
      <c r="B13" s="130" t="s">
        <v>13</v>
      </c>
      <c r="C13" s="131" t="s">
        <v>4873</v>
      </c>
      <c r="D13" s="20" t="s">
        <v>4872</v>
      </c>
      <c r="E13" s="131" t="s">
        <v>1762</v>
      </c>
      <c r="F13" s="131"/>
      <c r="G13" s="131"/>
      <c r="H13" s="131"/>
      <c r="I13" s="131"/>
      <c r="J13" s="131"/>
      <c r="K13" s="131"/>
      <c r="L13" s="131"/>
      <c r="M13" s="131"/>
      <c r="N13" s="131"/>
      <c r="O13" s="131" t="s">
        <v>4871</v>
      </c>
      <c r="P13" s="131">
        <v>0</v>
      </c>
      <c r="Q13" s="131">
        <v>4</v>
      </c>
      <c r="R13" s="131"/>
    </row>
    <row r="14" spans="1:18" ht="28.5" x14ac:dyDescent="0.2">
      <c r="A14" s="130" t="s">
        <v>4803</v>
      </c>
      <c r="B14" s="130" t="s">
        <v>14</v>
      </c>
      <c r="C14" s="131" t="s">
        <v>4870</v>
      </c>
      <c r="D14" s="20" t="s">
        <v>4869</v>
      </c>
      <c r="E14" s="131" t="s">
        <v>1762</v>
      </c>
      <c r="F14" s="131"/>
      <c r="G14" s="131"/>
      <c r="H14" s="131"/>
      <c r="I14" s="131"/>
      <c r="J14" s="131"/>
      <c r="K14" s="131"/>
      <c r="L14" s="131"/>
      <c r="M14" s="131"/>
      <c r="N14" s="131"/>
      <c r="O14" s="131"/>
      <c r="P14" s="131"/>
      <c r="Q14" s="131">
        <v>5</v>
      </c>
      <c r="R14" s="131"/>
    </row>
    <row r="15" spans="1:18" ht="28.5" x14ac:dyDescent="0.2">
      <c r="A15" s="130" t="s">
        <v>4803</v>
      </c>
      <c r="B15" s="130" t="s">
        <v>14</v>
      </c>
      <c r="C15" s="131" t="s">
        <v>4868</v>
      </c>
      <c r="D15" s="20" t="s">
        <v>4867</v>
      </c>
      <c r="E15" s="131" t="s">
        <v>1762</v>
      </c>
      <c r="F15" s="131"/>
      <c r="G15" s="131"/>
      <c r="H15" s="131"/>
      <c r="I15" s="131"/>
      <c r="J15" s="131"/>
      <c r="K15" s="131"/>
      <c r="L15" s="131"/>
      <c r="M15" s="131"/>
      <c r="N15" s="131"/>
      <c r="O15" s="131" t="s">
        <v>4866</v>
      </c>
      <c r="P15" s="131">
        <v>0</v>
      </c>
      <c r="Q15" s="131">
        <v>5</v>
      </c>
      <c r="R15" s="131"/>
    </row>
    <row r="16" spans="1:18" ht="15" x14ac:dyDescent="0.2">
      <c r="A16" s="130" t="s">
        <v>4803</v>
      </c>
      <c r="B16" s="130" t="s">
        <v>14</v>
      </c>
      <c r="C16" s="131" t="s">
        <v>4846</v>
      </c>
      <c r="D16" s="20" t="s">
        <v>4847</v>
      </c>
      <c r="E16" s="131" t="s">
        <v>70</v>
      </c>
      <c r="F16" s="131"/>
      <c r="G16" s="131"/>
      <c r="H16" s="131"/>
      <c r="I16" s="131"/>
      <c r="J16" s="131"/>
      <c r="K16" s="131"/>
      <c r="L16" s="131"/>
      <c r="M16" s="131"/>
      <c r="N16" s="131"/>
      <c r="O16" s="131"/>
      <c r="P16" s="131"/>
      <c r="Q16" s="131">
        <v>7</v>
      </c>
      <c r="R16" s="131"/>
    </row>
    <row r="17" spans="1:18" ht="28.5" x14ac:dyDescent="0.2">
      <c r="A17" s="130" t="s">
        <v>4803</v>
      </c>
      <c r="B17" s="130" t="s">
        <v>14</v>
      </c>
      <c r="C17" s="131" t="s">
        <v>4826</v>
      </c>
      <c r="D17" s="20" t="s">
        <v>4827</v>
      </c>
      <c r="E17" s="131" t="s">
        <v>70</v>
      </c>
      <c r="F17" s="131"/>
      <c r="G17" s="131"/>
      <c r="H17" s="131"/>
      <c r="I17" s="131"/>
      <c r="J17" s="131"/>
      <c r="K17" s="131"/>
      <c r="L17" s="131"/>
      <c r="M17" s="131"/>
      <c r="N17" s="131"/>
      <c r="O17" s="131"/>
      <c r="P17" s="131">
        <v>0</v>
      </c>
      <c r="Q17" s="131">
        <v>7</v>
      </c>
      <c r="R17" s="131"/>
    </row>
    <row r="18" spans="1:18" ht="15" x14ac:dyDescent="0.2">
      <c r="A18" s="130" t="s">
        <v>4803</v>
      </c>
      <c r="B18" s="130" t="s">
        <v>13</v>
      </c>
      <c r="C18" s="131" t="s">
        <v>4853</v>
      </c>
      <c r="D18" s="20" t="s">
        <v>4854</v>
      </c>
      <c r="E18" s="131" t="s">
        <v>70</v>
      </c>
      <c r="F18" s="131"/>
      <c r="G18" s="131"/>
      <c r="H18" s="131"/>
      <c r="I18" s="131"/>
      <c r="J18" s="131"/>
      <c r="K18" s="131"/>
      <c r="L18" s="131"/>
      <c r="M18" s="131"/>
      <c r="N18" s="131"/>
      <c r="O18" s="131" t="s">
        <v>4855</v>
      </c>
      <c r="P18" s="131"/>
      <c r="Q18" s="131">
        <v>8</v>
      </c>
      <c r="R18" s="131"/>
    </row>
    <row r="19" spans="1:18" ht="28.5" x14ac:dyDescent="0.2">
      <c r="A19" s="130" t="s">
        <v>4803</v>
      </c>
      <c r="B19" s="130" t="s">
        <v>14</v>
      </c>
      <c r="C19" s="131" t="s">
        <v>4842</v>
      </c>
      <c r="D19" s="20" t="s">
        <v>4843</v>
      </c>
      <c r="E19" s="131" t="s">
        <v>70</v>
      </c>
      <c r="F19" s="131"/>
      <c r="G19" s="131"/>
      <c r="H19" s="131"/>
      <c r="I19" s="131"/>
      <c r="J19" s="131"/>
      <c r="K19" s="131"/>
      <c r="L19" s="131"/>
      <c r="M19" s="131"/>
      <c r="N19" s="131"/>
      <c r="O19" s="131"/>
      <c r="P19" s="131">
        <v>0</v>
      </c>
      <c r="Q19" s="131">
        <v>8</v>
      </c>
      <c r="R19" s="131"/>
    </row>
    <row r="20" spans="1:18" ht="15" x14ac:dyDescent="0.2">
      <c r="A20" s="130" t="s">
        <v>4803</v>
      </c>
      <c r="B20" s="130" t="s">
        <v>14</v>
      </c>
      <c r="C20" s="131" t="s">
        <v>4838</v>
      </c>
      <c r="D20" s="20" t="s">
        <v>4839</v>
      </c>
      <c r="E20" s="131" t="s">
        <v>70</v>
      </c>
      <c r="F20" s="131"/>
      <c r="G20" s="131"/>
      <c r="H20" s="131"/>
      <c r="I20" s="131"/>
      <c r="J20" s="131"/>
      <c r="K20" s="131"/>
      <c r="L20" s="131"/>
      <c r="M20" s="131"/>
      <c r="N20" s="131"/>
      <c r="O20" s="131"/>
      <c r="P20" s="131">
        <v>0</v>
      </c>
      <c r="Q20" s="131">
        <v>8</v>
      </c>
      <c r="R20" s="131"/>
    </row>
    <row r="21" spans="1:18" ht="28.5" x14ac:dyDescent="0.2">
      <c r="A21" s="130" t="s">
        <v>4803</v>
      </c>
      <c r="B21" s="130" t="s">
        <v>14</v>
      </c>
      <c r="C21" s="131" t="s">
        <v>4824</v>
      </c>
      <c r="D21" s="20" t="s">
        <v>4825</v>
      </c>
      <c r="E21" s="131" t="s">
        <v>70</v>
      </c>
      <c r="F21" s="131"/>
      <c r="G21" s="131"/>
      <c r="H21" s="131"/>
      <c r="I21" s="131"/>
      <c r="J21" s="131"/>
      <c r="K21" s="131"/>
      <c r="L21" s="131"/>
      <c r="M21" s="131"/>
      <c r="N21" s="131"/>
      <c r="O21" s="131"/>
      <c r="P21" s="131">
        <v>0</v>
      </c>
      <c r="Q21" s="131">
        <v>8</v>
      </c>
      <c r="R21" s="131"/>
    </row>
    <row r="22" spans="1:18" ht="28.5" x14ac:dyDescent="0.2">
      <c r="A22" s="130" t="s">
        <v>4803</v>
      </c>
      <c r="B22" s="130" t="s">
        <v>14</v>
      </c>
      <c r="C22" s="131" t="s">
        <v>4865</v>
      </c>
      <c r="D22" s="20" t="s">
        <v>4864</v>
      </c>
      <c r="E22" s="131" t="s">
        <v>1762</v>
      </c>
      <c r="F22" s="131"/>
      <c r="G22" s="131">
        <v>8</v>
      </c>
      <c r="H22" s="131"/>
      <c r="I22" s="131"/>
      <c r="J22" s="131"/>
      <c r="K22" s="131"/>
      <c r="L22" s="131">
        <v>5</v>
      </c>
      <c r="M22" s="131"/>
      <c r="N22" s="131">
        <v>3</v>
      </c>
      <c r="O22" s="131" t="s">
        <v>4863</v>
      </c>
      <c r="P22" s="131">
        <v>0</v>
      </c>
      <c r="Q22" s="131">
        <v>8</v>
      </c>
      <c r="R22" s="131"/>
    </row>
    <row r="23" spans="1:18" ht="15" x14ac:dyDescent="0.2">
      <c r="A23" s="130" t="s">
        <v>4803</v>
      </c>
      <c r="B23" s="130" t="s">
        <v>14</v>
      </c>
      <c r="C23" s="131" t="s">
        <v>4840</v>
      </c>
      <c r="D23" s="20" t="s">
        <v>4841</v>
      </c>
      <c r="E23" s="131" t="s">
        <v>70</v>
      </c>
      <c r="F23" s="131"/>
      <c r="G23" s="131"/>
      <c r="H23" s="131"/>
      <c r="I23" s="131">
        <v>43200</v>
      </c>
      <c r="J23" s="131">
        <v>43200</v>
      </c>
      <c r="K23" s="131"/>
      <c r="L23" s="131"/>
      <c r="M23" s="131"/>
      <c r="N23" s="131"/>
      <c r="O23" s="131" t="s">
        <v>385</v>
      </c>
      <c r="P23" s="131">
        <v>0</v>
      </c>
      <c r="Q23" s="131">
        <v>8</v>
      </c>
      <c r="R23" s="131"/>
    </row>
    <row r="24" spans="1:18" ht="28.5" x14ac:dyDescent="0.2">
      <c r="A24" s="130" t="s">
        <v>4803</v>
      </c>
      <c r="B24" s="130" t="s">
        <v>14</v>
      </c>
      <c r="C24" s="131" t="s">
        <v>4832</v>
      </c>
      <c r="D24" s="20" t="s">
        <v>4833</v>
      </c>
      <c r="E24" s="131" t="s">
        <v>70</v>
      </c>
      <c r="F24" s="131"/>
      <c r="G24" s="131"/>
      <c r="H24" s="131"/>
      <c r="I24" s="131"/>
      <c r="J24" s="131"/>
      <c r="K24" s="131"/>
      <c r="L24" s="131"/>
      <c r="M24" s="131"/>
      <c r="N24" s="131"/>
      <c r="O24" s="131"/>
      <c r="P24" s="131">
        <v>0</v>
      </c>
      <c r="Q24" s="131">
        <v>9</v>
      </c>
      <c r="R24" s="131"/>
    </row>
    <row r="25" spans="1:18" ht="15" x14ac:dyDescent="0.2">
      <c r="A25" s="130" t="s">
        <v>4803</v>
      </c>
      <c r="B25" s="130" t="s">
        <v>14</v>
      </c>
      <c r="C25" s="131" t="s">
        <v>4819</v>
      </c>
      <c r="D25" s="20" t="s">
        <v>4820</v>
      </c>
      <c r="E25" s="131" t="s">
        <v>70</v>
      </c>
      <c r="F25" s="131"/>
      <c r="G25" s="131"/>
      <c r="H25" s="131"/>
      <c r="I25" s="131"/>
      <c r="J25" s="131"/>
      <c r="K25" s="131"/>
      <c r="L25" s="131"/>
      <c r="M25" s="131"/>
      <c r="N25" s="131"/>
      <c r="O25" s="131" t="s">
        <v>4821</v>
      </c>
      <c r="P25" s="131"/>
      <c r="Q25" s="131">
        <v>10</v>
      </c>
      <c r="R25" s="131"/>
    </row>
    <row r="26" spans="1:18" ht="15" x14ac:dyDescent="0.2">
      <c r="A26" s="130" t="s">
        <v>4803</v>
      </c>
      <c r="B26" s="130" t="s">
        <v>14</v>
      </c>
      <c r="C26" s="131" t="s">
        <v>4807</v>
      </c>
      <c r="D26" s="20" t="s">
        <v>4808</v>
      </c>
      <c r="E26" s="131" t="s">
        <v>4809</v>
      </c>
      <c r="F26" s="131"/>
      <c r="G26" s="131"/>
      <c r="H26" s="131"/>
      <c r="I26" s="131"/>
      <c r="J26" s="131"/>
      <c r="K26" s="131"/>
      <c r="L26" s="131"/>
      <c r="M26" s="131"/>
      <c r="N26" s="131"/>
      <c r="O26" s="131"/>
      <c r="P26" s="131"/>
      <c r="Q26" s="131">
        <v>10</v>
      </c>
      <c r="R26" s="131"/>
    </row>
    <row r="27" spans="1:18" ht="42.75" x14ac:dyDescent="0.2">
      <c r="A27" s="130" t="s">
        <v>4803</v>
      </c>
      <c r="B27" s="130" t="s">
        <v>14</v>
      </c>
      <c r="C27" s="131" t="s">
        <v>4810</v>
      </c>
      <c r="D27" s="20" t="s">
        <v>4811</v>
      </c>
      <c r="E27" s="131" t="s">
        <v>4809</v>
      </c>
      <c r="F27" s="131"/>
      <c r="G27" s="131"/>
      <c r="H27" s="131"/>
      <c r="I27" s="131"/>
      <c r="J27" s="131"/>
      <c r="K27" s="131"/>
      <c r="L27" s="131"/>
      <c r="M27" s="131"/>
      <c r="N27" s="131"/>
      <c r="O27" s="131" t="s">
        <v>4812</v>
      </c>
      <c r="P27" s="131"/>
      <c r="Q27" s="131">
        <v>10</v>
      </c>
      <c r="R27" s="131"/>
    </row>
    <row r="28" spans="1:18" ht="28.5" x14ac:dyDescent="0.2">
      <c r="A28" s="130" t="s">
        <v>4803</v>
      </c>
      <c r="B28" s="130" t="s">
        <v>14</v>
      </c>
      <c r="C28" s="131" t="s">
        <v>4848</v>
      </c>
      <c r="D28" s="20" t="s">
        <v>4849</v>
      </c>
      <c r="E28" s="131" t="s">
        <v>70</v>
      </c>
      <c r="F28" s="131"/>
      <c r="G28" s="131"/>
      <c r="H28" s="131"/>
      <c r="I28" s="131"/>
      <c r="J28" s="131"/>
      <c r="K28" s="131"/>
      <c r="L28" s="131"/>
      <c r="M28" s="131"/>
      <c r="N28" s="131"/>
      <c r="O28" s="131" t="s">
        <v>4850</v>
      </c>
      <c r="P28" s="131">
        <v>0</v>
      </c>
      <c r="Q28" s="131">
        <v>10</v>
      </c>
      <c r="R28" s="131"/>
    </row>
    <row r="29" spans="1:18" ht="15" x14ac:dyDescent="0.2">
      <c r="A29" s="130" t="s">
        <v>4803</v>
      </c>
      <c r="B29" s="130" t="s">
        <v>14</v>
      </c>
      <c r="C29" s="131" t="s">
        <v>4851</v>
      </c>
      <c r="D29" s="20" t="s">
        <v>4852</v>
      </c>
      <c r="E29" s="131" t="s">
        <v>70</v>
      </c>
      <c r="F29" s="131"/>
      <c r="G29" s="131"/>
      <c r="H29" s="131"/>
      <c r="I29" s="131"/>
      <c r="J29" s="131"/>
      <c r="K29" s="131"/>
      <c r="L29" s="131"/>
      <c r="M29" s="131"/>
      <c r="N29" s="131"/>
      <c r="O29" s="131"/>
      <c r="P29" s="131">
        <v>0</v>
      </c>
      <c r="Q29" s="131">
        <v>10</v>
      </c>
      <c r="R29" s="131" t="s">
        <v>4818</v>
      </c>
    </row>
    <row r="30" spans="1:18" ht="15" x14ac:dyDescent="0.2">
      <c r="A30" s="130" t="s">
        <v>4803</v>
      </c>
      <c r="B30" s="130" t="s">
        <v>14</v>
      </c>
      <c r="C30" s="131" t="s">
        <v>377</v>
      </c>
      <c r="D30" s="20" t="s">
        <v>4805</v>
      </c>
      <c r="E30" s="131" t="s">
        <v>70</v>
      </c>
      <c r="F30" s="131"/>
      <c r="G30" s="131"/>
      <c r="H30" s="131"/>
      <c r="I30" s="131"/>
      <c r="J30" s="131"/>
      <c r="K30" s="131"/>
      <c r="L30" s="131"/>
      <c r="M30" s="131"/>
      <c r="N30" s="131"/>
      <c r="O30" s="131" t="s">
        <v>91</v>
      </c>
      <c r="P30" s="131">
        <v>0</v>
      </c>
      <c r="Q30" s="131">
        <v>10</v>
      </c>
      <c r="R30" s="131"/>
    </row>
    <row r="31" spans="1:18" ht="28.5" x14ac:dyDescent="0.2">
      <c r="A31" s="130" t="s">
        <v>4803</v>
      </c>
      <c r="B31" s="130" t="s">
        <v>14</v>
      </c>
      <c r="C31" s="131" t="s">
        <v>4813</v>
      </c>
      <c r="D31" s="20" t="s">
        <v>4814</v>
      </c>
      <c r="E31" s="131" t="s">
        <v>4809</v>
      </c>
      <c r="F31" s="131"/>
      <c r="G31" s="131"/>
      <c r="H31" s="131"/>
      <c r="I31" s="131"/>
      <c r="J31" s="131"/>
      <c r="K31" s="131"/>
      <c r="L31" s="131"/>
      <c r="M31" s="131"/>
      <c r="N31" s="131"/>
      <c r="O31" s="131" t="s">
        <v>4815</v>
      </c>
      <c r="P31" s="131"/>
      <c r="Q31" s="131">
        <v>10</v>
      </c>
      <c r="R31" s="131"/>
    </row>
    <row r="32" spans="1:18" ht="28.5" x14ac:dyDescent="0.2">
      <c r="A32" s="130" t="s">
        <v>4803</v>
      </c>
      <c r="B32" s="130" t="s">
        <v>14</v>
      </c>
      <c r="C32" s="131" t="s">
        <v>4834</v>
      </c>
      <c r="D32" s="20" t="s">
        <v>4835</v>
      </c>
      <c r="E32" s="131" t="s">
        <v>70</v>
      </c>
      <c r="F32" s="131"/>
      <c r="G32" s="131"/>
      <c r="H32" s="131"/>
      <c r="I32" s="131"/>
      <c r="J32" s="131"/>
      <c r="K32" s="131"/>
      <c r="L32" s="131"/>
      <c r="M32" s="131"/>
      <c r="N32" s="131"/>
      <c r="O32" s="131"/>
      <c r="P32" s="131">
        <v>0</v>
      </c>
      <c r="Q32" s="131">
        <v>10</v>
      </c>
      <c r="R32" s="131"/>
    </row>
    <row r="33" spans="1:18" ht="28.5" x14ac:dyDescent="0.2">
      <c r="A33" s="130" t="s">
        <v>4803</v>
      </c>
      <c r="B33" s="130" t="s">
        <v>14</v>
      </c>
      <c r="C33" s="131" t="s">
        <v>4836</v>
      </c>
      <c r="D33" s="20" t="s">
        <v>4837</v>
      </c>
      <c r="E33" s="131" t="s">
        <v>70</v>
      </c>
      <c r="F33" s="131"/>
      <c r="G33" s="131"/>
      <c r="H33" s="131"/>
      <c r="I33" s="131"/>
      <c r="J33" s="131"/>
      <c r="K33" s="131"/>
      <c r="L33" s="131"/>
      <c r="M33" s="131"/>
      <c r="N33" s="131"/>
      <c r="O33" s="131"/>
      <c r="P33" s="131">
        <v>0</v>
      </c>
      <c r="Q33" s="131">
        <v>10</v>
      </c>
      <c r="R33" s="131"/>
    </row>
    <row r="34" spans="1:18" ht="28.5" x14ac:dyDescent="0.2">
      <c r="A34" s="130" t="s">
        <v>4803</v>
      </c>
      <c r="B34" s="130" t="s">
        <v>14</v>
      </c>
      <c r="C34" s="131" t="s">
        <v>4844</v>
      </c>
      <c r="D34" s="20" t="s">
        <v>4845</v>
      </c>
      <c r="E34" s="131" t="s">
        <v>70</v>
      </c>
      <c r="F34" s="131"/>
      <c r="G34" s="131"/>
      <c r="H34" s="131"/>
      <c r="I34" s="131"/>
      <c r="J34" s="131"/>
      <c r="K34" s="131"/>
      <c r="L34" s="131"/>
      <c r="M34" s="131"/>
      <c r="N34" s="131"/>
      <c r="O34" s="131" t="s">
        <v>124</v>
      </c>
      <c r="P34" s="131">
        <v>0</v>
      </c>
      <c r="Q34" s="131">
        <v>10</v>
      </c>
      <c r="R34" s="131"/>
    </row>
    <row r="35" spans="1:18" ht="28.5" x14ac:dyDescent="0.2">
      <c r="A35" s="130" t="s">
        <v>4803</v>
      </c>
      <c r="B35" s="130" t="s">
        <v>14</v>
      </c>
      <c r="C35" s="131" t="s">
        <v>4830</v>
      </c>
      <c r="D35" s="20" t="s">
        <v>4831</v>
      </c>
      <c r="E35" s="131" t="s">
        <v>70</v>
      </c>
      <c r="F35" s="131"/>
      <c r="G35" s="131"/>
      <c r="H35" s="131"/>
      <c r="I35" s="131"/>
      <c r="J35" s="131"/>
      <c r="K35" s="131"/>
      <c r="L35" s="131"/>
      <c r="M35" s="131"/>
      <c r="N35" s="131"/>
      <c r="O35" s="131"/>
      <c r="P35" s="131">
        <v>0</v>
      </c>
      <c r="Q35" s="131">
        <v>10</v>
      </c>
      <c r="R35" s="131"/>
    </row>
    <row r="36" spans="1:18" x14ac:dyDescent="0.2">
      <c r="A36" s="132" t="s">
        <v>4862</v>
      </c>
      <c r="B36" s="133"/>
      <c r="C36" s="133"/>
      <c r="D36" s="133"/>
      <c r="E36" s="133"/>
      <c r="F36" s="133"/>
      <c r="G36" s="133"/>
      <c r="H36" s="133"/>
      <c r="I36" s="133"/>
      <c r="J36" s="133"/>
      <c r="K36" s="133"/>
      <c r="L36" s="133"/>
      <c r="M36" s="133"/>
      <c r="N36" s="133"/>
      <c r="O36" s="133"/>
      <c r="P36" s="133"/>
      <c r="Q36" s="133"/>
      <c r="R36" s="134"/>
    </row>
  </sheetData>
  <mergeCells count="4">
    <mergeCell ref="A1:R1"/>
    <mergeCell ref="A2:R2"/>
    <mergeCell ref="A3:R3"/>
    <mergeCell ref="A36:R36"/>
  </mergeCells>
  <hyperlinks>
    <hyperlink ref="A2" r:id="rId1" display="https://webgate.ec.europa.eu/CITnet/jira/issues/?jql=project+in+%28%22Compass+Corporate+PMO%22%2C+%22Compass+Corporate+Architecture%22%2C+%22Compass+Corporate+Infrastructure%22%2C+uxatec%2C+mwp%2C+EUI%2C+%22Compass+Corporate+Admin+Tool%22%2C+%22Compass+Corporate+Internal+Communication+Microservice%22%2C+%22Compass+Corporate+Wave+Integration%22%2C+%22Compass+Corporate+Document+List%22%2C+%22Compass+Corporate+eChecklist+-+ECKL%22%2C+%22Compass+Corporate+Process+Centre%22%2C+%22RDIS2+Compass+Corporate+Integration%22%2C+%22Compass+Corporate+Portfolio+Manager%22%2C+%22Compass+Corporate+Task+Centre%22%2C+%22Compass+Corporate+TSKACTION%22%2C+%22COMP+CORP+CLOCK%22%2C+%22Compass+Green+-+Compass+Corporate+Integration%22%29+AND+issuetype+in+%28%22PI+Objective%22%29+and+fixversion+in+%28COMPCORP-PI4%29+ORDER+BY+%22Planned+Business+Value%22+ASC"/>
    <hyperlink ref="D5" r:id="rId2" display="https://webgate.ec.europa.eu/CITnet/jira/browse/MWP-576"/>
    <hyperlink ref="D6" r:id="rId3" display="https://webgate.ec.europa.eu/CITnet/jira/browse/MWP-559"/>
    <hyperlink ref="D7" r:id="rId4" display="https://webgate.ec.europa.eu/CITnet/jira/browse/CCINFRAEC-6"/>
    <hyperlink ref="D8" r:id="rId5" display="https://webgate.ec.europa.eu/CITnet/jira/browse/RDIS2CC-10"/>
    <hyperlink ref="D9" r:id="rId6" display="https://webgate.ec.europa.eu/CITnet/jira/browse/CCPMO-70"/>
    <hyperlink ref="D10" r:id="rId7" display="https://webgate.ec.europa.eu/CITnet/jira/browse/CCADMIN-41"/>
    <hyperlink ref="D11" r:id="rId8" display="https://webgate.ec.europa.eu/CITnet/jira/browse/INTERCOM-51"/>
    <hyperlink ref="D12" r:id="rId9" display="https://webgate.ec.europa.eu/CITnet/jira/browse/CCADMIN-39"/>
    <hyperlink ref="D13" r:id="rId10" display="https://webgate.ec.europa.eu/CITnet/jira/browse/MWP-563"/>
    <hyperlink ref="D14" r:id="rId11" display="https://webgate.ec.europa.eu/CITnet/jira/browse/MWP-577"/>
    <hyperlink ref="D15" r:id="rId12" display="https://webgate.ec.europa.eu/CITnet/jira/browse/MWP-558"/>
    <hyperlink ref="D16" r:id="rId13" display="https://webgate.ec.europa.eu/CITnet/jira/browse/CCTASK-544"/>
    <hyperlink ref="D17" r:id="rId14" display="https://webgate.ec.europa.eu/CITnet/jira/browse/CCPMO-69"/>
    <hyperlink ref="D18" r:id="rId15" display="https://webgate.ec.europa.eu/CITnet/jira/browse/CCADMIN-50"/>
    <hyperlink ref="D19" r:id="rId16" display="https://webgate.ec.europa.eu/CITnet/jira/browse/PROCESS-105"/>
    <hyperlink ref="D20" r:id="rId17" display="https://webgate.ec.europa.eu/CITnet/jira/browse/PFM-136"/>
    <hyperlink ref="D21" r:id="rId18" display="https://webgate.ec.europa.eu/CITnet/jira/browse/CCPMO-68"/>
    <hyperlink ref="D22" r:id="rId19" display="https://webgate.ec.europa.eu/CITnet/jira/browse/MWP-557"/>
    <hyperlink ref="D23" r:id="rId20" display="https://webgate.ec.europa.eu/CITnet/jira/browse/PFM-135"/>
    <hyperlink ref="D24" r:id="rId21" display="https://webgate.ec.europa.eu/CITnet/jira/browse/CCPMO-66"/>
    <hyperlink ref="D25" r:id="rId22" display="https://webgate.ec.europa.eu/CITnet/jira/browse/CCINFRAEC-5"/>
    <hyperlink ref="D26" r:id="rId23" display="https://webgate.ec.europa.eu/CITnet/jira/browse/CCARCHITEC-46"/>
    <hyperlink ref="D27" r:id="rId24" display="https://webgate.ec.europa.eu/CITnet/jira/browse/CCARCHITEC-64"/>
    <hyperlink ref="D28" r:id="rId25" display="https://webgate.ec.europa.eu/CITnet/jira/browse/WAVECC-39"/>
    <hyperlink ref="D29" r:id="rId26" display="https://webgate.ec.europa.eu/CITnet/jira/browse/WAVECC-41"/>
    <hyperlink ref="D30" r:id="rId27" display="https://webgate.ec.europa.eu/CITnet/jira/browse/CCADMIN-40"/>
    <hyperlink ref="D31" r:id="rId28" display="https://webgate.ec.europa.eu/CITnet/jira/browse/CCARCHITEC-62"/>
    <hyperlink ref="D32" r:id="rId29" display="https://webgate.ec.europa.eu/CITnet/jira/browse/PFM-137"/>
    <hyperlink ref="D33" r:id="rId30" display="https://webgate.ec.europa.eu/CITnet/jira/browse/PFM-134"/>
    <hyperlink ref="D34" r:id="rId31" display="https://webgate.ec.europa.eu/CITnet/jira/browse/PROCESS-104"/>
    <hyperlink ref="D35" r:id="rId32" display="https://webgate.ec.europa.eu/CITnet/jira/browse/CCPMO-67"/>
  </hyperlinks>
  <printOptions horizontalCentered="1" verticalCentered="1"/>
  <pageMargins left="0.25" right="0.25" top="0.25" bottom="0.5" header="0.5" footer="0.25"/>
  <pageSetup orientation="landscape" horizontalDpi="0" verticalDpi="0"/>
  <headerFooter>
    <oddFooter>&amp;R&amp;P of &amp;N</oddFooter>
  </headerFooter>
  <drawing r:id="rId3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I27"/>
  <sheetViews>
    <sheetView view="pageLayout" topLeftCell="A4" zoomScaleNormal="100" workbookViewId="0">
      <selection activeCell="H18" sqref="H18:H21"/>
    </sheetView>
  </sheetViews>
  <sheetFormatPr defaultRowHeight="15" x14ac:dyDescent="0.25"/>
  <cols>
    <col min="1" max="2" width="9" style="142"/>
    <col min="3" max="3" width="11.125" style="142" customWidth="1"/>
    <col min="4" max="5" width="9" style="142"/>
    <col min="6" max="6" width="8.375" style="142" customWidth="1"/>
    <col min="7" max="7" width="4.25" style="142" customWidth="1"/>
    <col min="8" max="16384" width="9" style="142"/>
  </cols>
  <sheetData>
    <row r="1" spans="1:9" ht="15" customHeight="1" x14ac:dyDescent="0.25">
      <c r="B1" s="163" t="s">
        <v>4919</v>
      </c>
      <c r="C1" s="164"/>
      <c r="D1" s="157" t="s">
        <v>398</v>
      </c>
      <c r="E1" s="157"/>
      <c r="F1" s="158"/>
    </row>
    <row r="2" spans="1:9" ht="15.75" customHeight="1" x14ac:dyDescent="0.25">
      <c r="B2" s="165"/>
      <c r="C2" s="166"/>
      <c r="D2" s="159"/>
      <c r="E2" s="159"/>
      <c r="F2" s="160"/>
      <c r="H2" s="143" t="s">
        <v>4912</v>
      </c>
      <c r="I2" s="143"/>
    </row>
    <row r="3" spans="1:9" ht="16.5" customHeight="1" thickBot="1" x14ac:dyDescent="0.3">
      <c r="B3" s="167"/>
      <c r="C3" s="168"/>
      <c r="D3" s="161"/>
      <c r="E3" s="161"/>
      <c r="F3" s="162"/>
      <c r="H3" s="143"/>
      <c r="I3" s="143"/>
    </row>
    <row r="4" spans="1:9" x14ac:dyDescent="0.25">
      <c r="A4" s="144" t="s">
        <v>4913</v>
      </c>
      <c r="B4" s="144"/>
      <c r="C4" s="144"/>
      <c r="D4" s="144"/>
      <c r="E4" s="144"/>
      <c r="F4" s="144"/>
      <c r="H4" s="169" t="s">
        <v>4914</v>
      </c>
      <c r="I4" s="169" t="s">
        <v>4915</v>
      </c>
    </row>
    <row r="5" spans="1:9" x14ac:dyDescent="0.25">
      <c r="A5" s="145"/>
      <c r="B5" s="145"/>
      <c r="C5" s="145"/>
      <c r="D5" s="145"/>
      <c r="E5" s="145"/>
      <c r="F5" s="145"/>
      <c r="H5" s="169"/>
      <c r="I5" s="169"/>
    </row>
    <row r="6" spans="1:9" ht="28.35" customHeight="1" x14ac:dyDescent="0.3">
      <c r="A6" s="151" t="s">
        <v>4836</v>
      </c>
      <c r="B6" s="151"/>
      <c r="C6" s="151"/>
      <c r="D6" s="151"/>
      <c r="E6" s="151"/>
      <c r="F6" s="151"/>
      <c r="H6" s="176"/>
      <c r="I6" s="175">
        <v>10</v>
      </c>
    </row>
    <row r="7" spans="1:9" ht="28.35" customHeight="1" x14ac:dyDescent="0.3">
      <c r="A7" s="151" t="s">
        <v>4840</v>
      </c>
      <c r="B7" s="151"/>
      <c r="C7" s="151"/>
      <c r="D7" s="151"/>
      <c r="E7" s="151"/>
      <c r="F7" s="151"/>
      <c r="H7" s="176"/>
      <c r="I7" s="175">
        <v>8</v>
      </c>
    </row>
    <row r="8" spans="1:9" ht="28.35" customHeight="1" x14ac:dyDescent="0.3">
      <c r="A8" s="151" t="s">
        <v>4838</v>
      </c>
      <c r="B8" s="151"/>
      <c r="C8" s="151"/>
      <c r="D8" s="151"/>
      <c r="E8" s="151"/>
      <c r="F8" s="151"/>
      <c r="H8" s="176"/>
      <c r="I8" s="175">
        <v>8</v>
      </c>
    </row>
    <row r="9" spans="1:9" ht="28.35" customHeight="1" x14ac:dyDescent="0.3">
      <c r="A9" s="151" t="s">
        <v>4834</v>
      </c>
      <c r="B9" s="151"/>
      <c r="C9" s="151"/>
      <c r="D9" s="151"/>
      <c r="E9" s="151"/>
      <c r="F9" s="151"/>
      <c r="H9" s="176"/>
      <c r="I9" s="175">
        <v>10</v>
      </c>
    </row>
    <row r="10" spans="1:9" ht="28.35" customHeight="1" x14ac:dyDescent="0.35">
      <c r="A10" s="146" t="s">
        <v>4844</v>
      </c>
      <c r="B10" s="146"/>
      <c r="C10" s="146"/>
      <c r="D10" s="146"/>
      <c r="E10" s="146"/>
      <c r="F10" s="146"/>
      <c r="H10" s="176"/>
      <c r="I10" s="175">
        <v>10</v>
      </c>
    </row>
    <row r="11" spans="1:9" ht="28.35" customHeight="1" x14ac:dyDescent="0.35">
      <c r="A11" s="146" t="s">
        <v>4842</v>
      </c>
      <c r="B11" s="146"/>
      <c r="C11" s="146"/>
      <c r="D11" s="146"/>
      <c r="E11" s="146"/>
      <c r="F11" s="146"/>
      <c r="H11" s="176"/>
      <c r="I11" s="175">
        <v>8</v>
      </c>
    </row>
    <row r="12" spans="1:9" ht="28.35" customHeight="1" x14ac:dyDescent="0.35">
      <c r="A12" s="146"/>
      <c r="B12" s="146"/>
      <c r="C12" s="146"/>
      <c r="D12" s="146"/>
      <c r="E12" s="146"/>
      <c r="F12" s="146"/>
      <c r="H12" s="176"/>
      <c r="I12" s="175"/>
    </row>
    <row r="13" spans="1:9" ht="28.35" customHeight="1" x14ac:dyDescent="0.35">
      <c r="A13" s="146"/>
      <c r="B13" s="146"/>
      <c r="C13" s="146"/>
      <c r="D13" s="146"/>
      <c r="E13" s="146"/>
      <c r="F13" s="146"/>
      <c r="H13" s="176"/>
      <c r="I13" s="175"/>
    </row>
    <row r="14" spans="1:9" ht="28.35" customHeight="1" x14ac:dyDescent="0.35">
      <c r="A14" s="146"/>
      <c r="B14" s="146"/>
      <c r="C14" s="146"/>
      <c r="D14" s="146"/>
      <c r="E14" s="146"/>
      <c r="F14" s="146"/>
      <c r="H14" s="176"/>
      <c r="I14" s="175"/>
    </row>
    <row r="15" spans="1:9" ht="28.35" customHeight="1" x14ac:dyDescent="0.35">
      <c r="A15" s="146"/>
      <c r="B15" s="146"/>
      <c r="C15" s="146"/>
      <c r="D15" s="146"/>
      <c r="E15" s="146"/>
      <c r="F15" s="146"/>
      <c r="H15" s="176"/>
      <c r="I15" s="175"/>
    </row>
    <row r="16" spans="1:9" ht="18.75" x14ac:dyDescent="0.25">
      <c r="A16" s="147" t="s">
        <v>4916</v>
      </c>
      <c r="B16" s="147"/>
      <c r="C16" s="147"/>
      <c r="D16" s="147"/>
      <c r="E16" s="147"/>
      <c r="F16" s="147"/>
      <c r="H16" s="154"/>
      <c r="I16" s="154"/>
    </row>
    <row r="17" spans="1:9" ht="18.75" x14ac:dyDescent="0.25">
      <c r="A17" s="145"/>
      <c r="B17" s="145"/>
      <c r="C17" s="145"/>
      <c r="D17" s="145"/>
      <c r="E17" s="145"/>
      <c r="F17" s="145"/>
      <c r="H17" s="154"/>
      <c r="I17" s="154"/>
    </row>
    <row r="18" spans="1:9" ht="28.35" customHeight="1" x14ac:dyDescent="0.3">
      <c r="A18" s="151"/>
      <c r="B18" s="151"/>
      <c r="C18" s="151"/>
      <c r="D18" s="151"/>
      <c r="E18" s="151"/>
      <c r="F18" s="151"/>
      <c r="H18" s="176"/>
      <c r="I18" s="153"/>
    </row>
    <row r="19" spans="1:9" ht="28.35" customHeight="1" x14ac:dyDescent="0.35">
      <c r="A19" s="146"/>
      <c r="B19" s="146"/>
      <c r="C19" s="146"/>
      <c r="D19" s="146"/>
      <c r="E19" s="146"/>
      <c r="F19" s="146"/>
      <c r="H19" s="176"/>
      <c r="I19" s="153"/>
    </row>
    <row r="20" spans="1:9" ht="28.35" customHeight="1" x14ac:dyDescent="0.35">
      <c r="A20" s="146"/>
      <c r="B20" s="146"/>
      <c r="C20" s="146"/>
      <c r="D20" s="146"/>
      <c r="E20" s="146"/>
      <c r="F20" s="146"/>
      <c r="H20" s="176"/>
      <c r="I20" s="153"/>
    </row>
    <row r="21" spans="1:9" ht="28.35" customHeight="1" x14ac:dyDescent="0.35">
      <c r="A21" s="146"/>
      <c r="B21" s="146"/>
      <c r="C21" s="146"/>
      <c r="D21" s="146"/>
      <c r="E21" s="146"/>
      <c r="F21" s="146"/>
      <c r="H21" s="176"/>
      <c r="I21" s="153"/>
    </row>
    <row r="22" spans="1:9" x14ac:dyDescent="0.25">
      <c r="A22" s="148"/>
      <c r="B22" s="148"/>
      <c r="C22" s="148"/>
      <c r="D22" s="148"/>
      <c r="E22" s="148"/>
      <c r="F22" s="148"/>
      <c r="G22" s="148"/>
      <c r="H22" s="155"/>
      <c r="I22" s="155"/>
    </row>
    <row r="23" spans="1:9" x14ac:dyDescent="0.25">
      <c r="A23" s="148"/>
      <c r="B23" s="148"/>
      <c r="C23" s="148"/>
      <c r="D23" s="149" t="s">
        <v>4917</v>
      </c>
      <c r="E23" s="149"/>
      <c r="F23" s="149"/>
      <c r="G23" s="149"/>
      <c r="H23" s="152">
        <f>SUM(H6:H15)+SUM(H18:H21)</f>
        <v>0</v>
      </c>
      <c r="I23" s="152">
        <f>SUM(I6:I15)</f>
        <v>54</v>
      </c>
    </row>
    <row r="24" spans="1:9" x14ac:dyDescent="0.25">
      <c r="A24" s="148"/>
      <c r="B24" s="148"/>
      <c r="C24" s="148"/>
      <c r="D24" s="149"/>
      <c r="E24" s="149"/>
      <c r="F24" s="149"/>
      <c r="G24" s="149"/>
      <c r="H24" s="152"/>
      <c r="I24" s="152"/>
    </row>
    <row r="25" spans="1:9" x14ac:dyDescent="0.25">
      <c r="A25" s="148"/>
      <c r="B25" s="148"/>
      <c r="C25" s="148"/>
      <c r="D25" s="149" t="s">
        <v>4918</v>
      </c>
      <c r="E25" s="149"/>
      <c r="F25" s="149"/>
      <c r="G25" s="149"/>
      <c r="H25" s="156">
        <f>IF(I23&gt;0,H23/I23,0)</f>
        <v>0</v>
      </c>
      <c r="I25" s="155"/>
    </row>
    <row r="26" spans="1:9" x14ac:dyDescent="0.25">
      <c r="A26" s="148"/>
      <c r="B26" s="148"/>
      <c r="C26" s="148"/>
      <c r="D26" s="149"/>
      <c r="E26" s="149"/>
      <c r="F26" s="149"/>
      <c r="G26" s="149"/>
      <c r="H26" s="156"/>
      <c r="I26" s="155"/>
    </row>
    <row r="27" spans="1:9" x14ac:dyDescent="0.25">
      <c r="A27" s="148"/>
      <c r="B27" s="148"/>
      <c r="C27" s="148"/>
      <c r="D27" s="150"/>
      <c r="E27" s="148"/>
      <c r="F27" s="148"/>
      <c r="G27" s="148"/>
    </row>
  </sheetData>
  <mergeCells count="26">
    <mergeCell ref="D25:G26"/>
    <mergeCell ref="H25:H26"/>
    <mergeCell ref="A19:F19"/>
    <mergeCell ref="A20:F20"/>
    <mergeCell ref="A21:F21"/>
    <mergeCell ref="D23:G24"/>
    <mergeCell ref="H23:H24"/>
    <mergeCell ref="I23:I24"/>
    <mergeCell ref="A12:F12"/>
    <mergeCell ref="A13:F13"/>
    <mergeCell ref="A14:F14"/>
    <mergeCell ref="A15:F15"/>
    <mergeCell ref="A16:F17"/>
    <mergeCell ref="A18:F18"/>
    <mergeCell ref="A6:F6"/>
    <mergeCell ref="A7:F7"/>
    <mergeCell ref="A8:F8"/>
    <mergeCell ref="A9:F9"/>
    <mergeCell ref="A10:F10"/>
    <mergeCell ref="A11:F11"/>
    <mergeCell ref="B1:C3"/>
    <mergeCell ref="D1:F3"/>
    <mergeCell ref="H2:I3"/>
    <mergeCell ref="A4:F5"/>
    <mergeCell ref="H4:H5"/>
    <mergeCell ref="I4:I5"/>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I27"/>
  <sheetViews>
    <sheetView view="pageLayout" zoomScaleNormal="100" workbookViewId="0">
      <selection activeCell="H30" sqref="H30"/>
    </sheetView>
  </sheetViews>
  <sheetFormatPr defaultRowHeight="15" x14ac:dyDescent="0.25"/>
  <cols>
    <col min="1" max="2" width="9" style="142"/>
    <col min="3" max="3" width="11.125" style="142" customWidth="1"/>
    <col min="4" max="5" width="9" style="142"/>
    <col min="6" max="6" width="8.375" style="142" customWidth="1"/>
    <col min="7" max="7" width="4.25" style="142" customWidth="1"/>
    <col min="8" max="16384" width="9" style="142"/>
  </cols>
  <sheetData>
    <row r="1" spans="1:9" ht="15" customHeight="1" x14ac:dyDescent="0.25">
      <c r="B1" s="163" t="s">
        <v>4919</v>
      </c>
      <c r="C1" s="164"/>
      <c r="D1" s="157" t="s">
        <v>403</v>
      </c>
      <c r="E1" s="157"/>
      <c r="F1" s="158"/>
    </row>
    <row r="2" spans="1:9" ht="15.75" customHeight="1" x14ac:dyDescent="0.25">
      <c r="B2" s="165"/>
      <c r="C2" s="166"/>
      <c r="D2" s="159"/>
      <c r="E2" s="159"/>
      <c r="F2" s="160"/>
      <c r="H2" s="143" t="s">
        <v>4912</v>
      </c>
      <c r="I2" s="143"/>
    </row>
    <row r="3" spans="1:9" ht="16.5" customHeight="1" thickBot="1" x14ac:dyDescent="0.3">
      <c r="B3" s="167"/>
      <c r="C3" s="168"/>
      <c r="D3" s="161"/>
      <c r="E3" s="161"/>
      <c r="F3" s="162"/>
      <c r="H3" s="143"/>
      <c r="I3" s="143"/>
    </row>
    <row r="4" spans="1:9" x14ac:dyDescent="0.25">
      <c r="A4" s="144" t="s">
        <v>4913</v>
      </c>
      <c r="B4" s="144"/>
      <c r="C4" s="144"/>
      <c r="D4" s="144"/>
      <c r="E4" s="144"/>
      <c r="F4" s="144"/>
      <c r="H4" s="169" t="s">
        <v>4914</v>
      </c>
      <c r="I4" s="169" t="s">
        <v>4915</v>
      </c>
    </row>
    <row r="5" spans="1:9" x14ac:dyDescent="0.25">
      <c r="A5" s="145"/>
      <c r="B5" s="145"/>
      <c r="C5" s="145"/>
      <c r="D5" s="145"/>
      <c r="E5" s="145"/>
      <c r="F5" s="145"/>
      <c r="H5" s="169"/>
      <c r="I5" s="169"/>
    </row>
    <row r="6" spans="1:9" ht="28.35" customHeight="1" x14ac:dyDescent="0.3">
      <c r="A6" s="151" t="s">
        <v>4832</v>
      </c>
      <c r="B6" s="151"/>
      <c r="C6" s="151"/>
      <c r="D6" s="151"/>
      <c r="E6" s="151"/>
      <c r="F6" s="151"/>
      <c r="H6" s="176"/>
      <c r="I6" s="175">
        <v>9</v>
      </c>
    </row>
    <row r="7" spans="1:9" ht="28.35" customHeight="1" x14ac:dyDescent="0.3">
      <c r="A7" s="151" t="s">
        <v>4830</v>
      </c>
      <c r="B7" s="151"/>
      <c r="C7" s="151"/>
      <c r="D7" s="151"/>
      <c r="E7" s="151"/>
      <c r="F7" s="151"/>
      <c r="H7" s="176"/>
      <c r="I7" s="175">
        <v>10</v>
      </c>
    </row>
    <row r="8" spans="1:9" ht="28.35" customHeight="1" x14ac:dyDescent="0.3">
      <c r="A8" s="151" t="s">
        <v>4824</v>
      </c>
      <c r="B8" s="151"/>
      <c r="C8" s="151"/>
      <c r="D8" s="151"/>
      <c r="E8" s="151"/>
      <c r="F8" s="151"/>
      <c r="H8" s="176"/>
      <c r="I8" s="175">
        <v>8</v>
      </c>
    </row>
    <row r="9" spans="1:9" ht="28.35" customHeight="1" x14ac:dyDescent="0.3">
      <c r="A9" s="151" t="s">
        <v>4826</v>
      </c>
      <c r="B9" s="151"/>
      <c r="C9" s="151"/>
      <c r="D9" s="151"/>
      <c r="E9" s="151"/>
      <c r="F9" s="151"/>
      <c r="H9" s="176"/>
      <c r="I9" s="175">
        <v>7</v>
      </c>
    </row>
    <row r="10" spans="1:9" ht="28.35" customHeight="1" x14ac:dyDescent="0.35">
      <c r="A10" s="146"/>
      <c r="B10" s="146"/>
      <c r="C10" s="146"/>
      <c r="D10" s="146"/>
      <c r="E10" s="146"/>
      <c r="F10" s="146"/>
      <c r="H10" s="176"/>
      <c r="I10" s="175"/>
    </row>
    <row r="11" spans="1:9" ht="28.35" customHeight="1" x14ac:dyDescent="0.35">
      <c r="A11" s="146"/>
      <c r="B11" s="146"/>
      <c r="C11" s="146"/>
      <c r="D11" s="146"/>
      <c r="E11" s="146"/>
      <c r="F11" s="146"/>
      <c r="H11" s="176"/>
      <c r="I11" s="175"/>
    </row>
    <row r="12" spans="1:9" ht="28.35" customHeight="1" x14ac:dyDescent="0.35">
      <c r="A12" s="146"/>
      <c r="B12" s="146"/>
      <c r="C12" s="146"/>
      <c r="D12" s="146"/>
      <c r="E12" s="146"/>
      <c r="F12" s="146"/>
      <c r="H12" s="176"/>
      <c r="I12" s="175"/>
    </row>
    <row r="13" spans="1:9" ht="28.35" customHeight="1" x14ac:dyDescent="0.35">
      <c r="A13" s="146"/>
      <c r="B13" s="146"/>
      <c r="C13" s="146"/>
      <c r="D13" s="146"/>
      <c r="E13" s="146"/>
      <c r="F13" s="146"/>
      <c r="H13" s="176"/>
      <c r="I13" s="175"/>
    </row>
    <row r="14" spans="1:9" ht="28.35" customHeight="1" x14ac:dyDescent="0.35">
      <c r="A14" s="146"/>
      <c r="B14" s="146"/>
      <c r="C14" s="146"/>
      <c r="D14" s="146"/>
      <c r="E14" s="146"/>
      <c r="F14" s="146"/>
      <c r="H14" s="176"/>
      <c r="I14" s="175"/>
    </row>
    <row r="15" spans="1:9" ht="28.35" customHeight="1" x14ac:dyDescent="0.35">
      <c r="A15" s="146"/>
      <c r="B15" s="146"/>
      <c r="C15" s="146"/>
      <c r="D15" s="146"/>
      <c r="E15" s="146"/>
      <c r="F15" s="146"/>
      <c r="H15" s="176"/>
      <c r="I15" s="175"/>
    </row>
    <row r="16" spans="1:9" ht="18.75" x14ac:dyDescent="0.25">
      <c r="A16" s="147" t="s">
        <v>4916</v>
      </c>
      <c r="B16" s="147"/>
      <c r="C16" s="147"/>
      <c r="D16" s="147"/>
      <c r="E16" s="147"/>
      <c r="F16" s="147"/>
      <c r="H16" s="154"/>
      <c r="I16" s="154"/>
    </row>
    <row r="17" spans="1:9" ht="18.75" x14ac:dyDescent="0.25">
      <c r="A17" s="145"/>
      <c r="B17" s="145"/>
      <c r="C17" s="145"/>
      <c r="D17" s="145"/>
      <c r="E17" s="145"/>
      <c r="F17" s="145"/>
      <c r="H17" s="154"/>
      <c r="I17" s="154"/>
    </row>
    <row r="18" spans="1:9" ht="28.35" customHeight="1" x14ac:dyDescent="0.3">
      <c r="A18" s="151" t="s">
        <v>4828</v>
      </c>
      <c r="B18" s="151"/>
      <c r="C18" s="151"/>
      <c r="D18" s="151"/>
      <c r="E18" s="151"/>
      <c r="F18" s="151"/>
      <c r="H18" s="176"/>
      <c r="I18" s="153">
        <v>3</v>
      </c>
    </row>
    <row r="19" spans="1:9" ht="28.35" customHeight="1" x14ac:dyDescent="0.35">
      <c r="A19" s="146"/>
      <c r="B19" s="146"/>
      <c r="C19" s="146"/>
      <c r="D19" s="146"/>
      <c r="E19" s="146"/>
      <c r="F19" s="146"/>
      <c r="H19" s="176"/>
      <c r="I19" s="153"/>
    </row>
    <row r="20" spans="1:9" ht="28.35" customHeight="1" x14ac:dyDescent="0.35">
      <c r="A20" s="146"/>
      <c r="B20" s="146"/>
      <c r="C20" s="146"/>
      <c r="D20" s="146"/>
      <c r="E20" s="146"/>
      <c r="F20" s="146"/>
      <c r="H20" s="176"/>
      <c r="I20" s="153"/>
    </row>
    <row r="21" spans="1:9" ht="28.35" customHeight="1" x14ac:dyDescent="0.35">
      <c r="A21" s="146"/>
      <c r="B21" s="146"/>
      <c r="C21" s="146"/>
      <c r="D21" s="146"/>
      <c r="E21" s="146"/>
      <c r="F21" s="146"/>
      <c r="H21" s="176"/>
      <c r="I21" s="153"/>
    </row>
    <row r="22" spans="1:9" x14ac:dyDescent="0.25">
      <c r="A22" s="148"/>
      <c r="B22" s="148"/>
      <c r="C22" s="148"/>
      <c r="D22" s="148"/>
      <c r="E22" s="148"/>
      <c r="F22" s="148"/>
      <c r="G22" s="148"/>
      <c r="H22" s="155"/>
      <c r="I22" s="155"/>
    </row>
    <row r="23" spans="1:9" x14ac:dyDescent="0.25">
      <c r="A23" s="148"/>
      <c r="B23" s="148"/>
      <c r="C23" s="148"/>
      <c r="D23" s="149" t="s">
        <v>4917</v>
      </c>
      <c r="E23" s="149"/>
      <c r="F23" s="149"/>
      <c r="G23" s="149"/>
      <c r="H23" s="152">
        <f>SUM(H6:H15)+SUM(H18:H21)</f>
        <v>0</v>
      </c>
      <c r="I23" s="152">
        <f>SUM(I6:I15)</f>
        <v>34</v>
      </c>
    </row>
    <row r="24" spans="1:9" ht="15.75" thickBot="1" x14ac:dyDescent="0.3">
      <c r="A24" s="148"/>
      <c r="B24" s="148"/>
      <c r="C24" s="148"/>
      <c r="D24" s="149"/>
      <c r="E24" s="149"/>
      <c r="F24" s="149"/>
      <c r="G24" s="149"/>
      <c r="H24" s="152"/>
      <c r="I24" s="152"/>
    </row>
    <row r="25" spans="1:9" x14ac:dyDescent="0.25">
      <c r="A25" s="148"/>
      <c r="B25" s="148"/>
      <c r="C25" s="148"/>
      <c r="D25" s="149" t="s">
        <v>4918</v>
      </c>
      <c r="E25" s="149"/>
      <c r="F25" s="149"/>
      <c r="G25" s="149"/>
      <c r="H25" s="177">
        <f>IF(I23&gt;0,H23/I23,0)</f>
        <v>0</v>
      </c>
      <c r="I25" s="155"/>
    </row>
    <row r="26" spans="1:9" ht="15.75" thickBot="1" x14ac:dyDescent="0.3">
      <c r="A26" s="148"/>
      <c r="B26" s="148"/>
      <c r="C26" s="148"/>
      <c r="D26" s="149"/>
      <c r="E26" s="149"/>
      <c r="F26" s="149"/>
      <c r="G26" s="149"/>
      <c r="H26" s="178"/>
      <c r="I26" s="155"/>
    </row>
    <row r="27" spans="1:9" x14ac:dyDescent="0.25">
      <c r="A27" s="148"/>
      <c r="B27" s="148"/>
      <c r="C27" s="148"/>
      <c r="D27" s="150"/>
      <c r="E27" s="148"/>
      <c r="F27" s="148"/>
      <c r="G27" s="148"/>
    </row>
  </sheetData>
  <mergeCells count="26">
    <mergeCell ref="A19:F19"/>
    <mergeCell ref="A20:F20"/>
    <mergeCell ref="A21:F21"/>
    <mergeCell ref="D23:G24"/>
    <mergeCell ref="D25:G26"/>
    <mergeCell ref="I23:I24"/>
    <mergeCell ref="H23:H24"/>
    <mergeCell ref="H25:H26"/>
    <mergeCell ref="A12:F12"/>
    <mergeCell ref="A13:F13"/>
    <mergeCell ref="A14:F14"/>
    <mergeCell ref="A15:F15"/>
    <mergeCell ref="A16:F17"/>
    <mergeCell ref="A18:F18"/>
    <mergeCell ref="A6:F6"/>
    <mergeCell ref="A7:F7"/>
    <mergeCell ref="A8:F8"/>
    <mergeCell ref="A9:F9"/>
    <mergeCell ref="A10:F10"/>
    <mergeCell ref="A11:F11"/>
    <mergeCell ref="D1:F3"/>
    <mergeCell ref="H2:I3"/>
    <mergeCell ref="A4:F5"/>
    <mergeCell ref="H4:H5"/>
    <mergeCell ref="I4:I5"/>
    <mergeCell ref="B1:C3"/>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I27"/>
  <sheetViews>
    <sheetView view="pageLayout" zoomScaleNormal="100" workbookViewId="0">
      <selection activeCell="A29" sqref="A29"/>
    </sheetView>
  </sheetViews>
  <sheetFormatPr defaultRowHeight="15" x14ac:dyDescent="0.25"/>
  <cols>
    <col min="1" max="2" width="9" style="142"/>
    <col min="3" max="3" width="11.125" style="142" customWidth="1"/>
    <col min="4" max="5" width="9" style="142"/>
    <col min="6" max="6" width="8.375" style="142" customWidth="1"/>
    <col min="7" max="7" width="4.25" style="142" customWidth="1"/>
    <col min="8" max="16384" width="9" style="142"/>
  </cols>
  <sheetData>
    <row r="1" spans="1:9" ht="15" customHeight="1" x14ac:dyDescent="0.25">
      <c r="B1" s="163" t="s">
        <v>4919</v>
      </c>
      <c r="C1" s="164"/>
      <c r="D1" s="157" t="s">
        <v>400</v>
      </c>
      <c r="E1" s="157"/>
      <c r="F1" s="158"/>
    </row>
    <row r="2" spans="1:9" ht="15.75" customHeight="1" x14ac:dyDescent="0.25">
      <c r="B2" s="165"/>
      <c r="C2" s="166"/>
      <c r="D2" s="159"/>
      <c r="E2" s="159"/>
      <c r="F2" s="160"/>
      <c r="H2" s="143" t="s">
        <v>4912</v>
      </c>
      <c r="I2" s="143"/>
    </row>
    <row r="3" spans="1:9" ht="16.5" customHeight="1" thickBot="1" x14ac:dyDescent="0.3">
      <c r="B3" s="167"/>
      <c r="C3" s="168"/>
      <c r="D3" s="161"/>
      <c r="E3" s="161"/>
      <c r="F3" s="162"/>
      <c r="H3" s="143"/>
      <c r="I3" s="143"/>
    </row>
    <row r="4" spans="1:9" x14ac:dyDescent="0.25">
      <c r="A4" s="144" t="s">
        <v>4913</v>
      </c>
      <c r="B4" s="144"/>
      <c r="C4" s="144"/>
      <c r="D4" s="144"/>
      <c r="E4" s="144"/>
      <c r="F4" s="144"/>
      <c r="H4" s="169" t="s">
        <v>4914</v>
      </c>
      <c r="I4" s="169" t="s">
        <v>4915</v>
      </c>
    </row>
    <row r="5" spans="1:9" x14ac:dyDescent="0.25">
      <c r="A5" s="145"/>
      <c r="B5" s="145"/>
      <c r="C5" s="145"/>
      <c r="D5" s="145"/>
      <c r="E5" s="145"/>
      <c r="F5" s="145"/>
      <c r="H5" s="169"/>
      <c r="I5" s="169"/>
    </row>
    <row r="6" spans="1:9" ht="28.35" customHeight="1" x14ac:dyDescent="0.3">
      <c r="A6" s="151" t="s">
        <v>373</v>
      </c>
      <c r="B6" s="151"/>
      <c r="C6" s="151"/>
      <c r="D6" s="151"/>
      <c r="E6" s="151"/>
      <c r="F6" s="151"/>
      <c r="H6" s="176"/>
      <c r="I6" s="175">
        <v>4</v>
      </c>
    </row>
    <row r="7" spans="1:9" ht="28.35" customHeight="1" x14ac:dyDescent="0.3">
      <c r="A7" s="151" t="s">
        <v>377</v>
      </c>
      <c r="B7" s="151"/>
      <c r="C7" s="151"/>
      <c r="D7" s="151"/>
      <c r="E7" s="151"/>
      <c r="F7" s="151"/>
      <c r="H7" s="176"/>
      <c r="I7" s="175">
        <v>10</v>
      </c>
    </row>
    <row r="8" spans="1:9" ht="28.35" customHeight="1" x14ac:dyDescent="0.3">
      <c r="A8" s="151" t="s">
        <v>85</v>
      </c>
      <c r="B8" s="151"/>
      <c r="C8" s="151"/>
      <c r="D8" s="151"/>
      <c r="E8" s="151"/>
      <c r="F8" s="151"/>
      <c r="H8" s="176"/>
      <c r="I8" s="175">
        <v>4</v>
      </c>
    </row>
    <row r="9" spans="1:9" ht="28.35" customHeight="1" x14ac:dyDescent="0.3">
      <c r="A9" s="151" t="s">
        <v>355</v>
      </c>
      <c r="B9" s="151"/>
      <c r="C9" s="151"/>
      <c r="D9" s="151"/>
      <c r="E9" s="151"/>
      <c r="F9" s="151"/>
      <c r="H9" s="176"/>
      <c r="I9" s="175">
        <v>4</v>
      </c>
    </row>
    <row r="10" spans="1:9" ht="28.35" customHeight="1" x14ac:dyDescent="0.25">
      <c r="A10" s="170" t="s">
        <v>4848</v>
      </c>
      <c r="B10" s="170"/>
      <c r="C10" s="170"/>
      <c r="D10" s="170"/>
      <c r="E10" s="170"/>
      <c r="F10" s="170"/>
      <c r="H10" s="176"/>
      <c r="I10" s="175">
        <v>10</v>
      </c>
    </row>
    <row r="11" spans="1:9" ht="28.35" customHeight="1" x14ac:dyDescent="0.35">
      <c r="A11" s="146" t="s">
        <v>4851</v>
      </c>
      <c r="B11" s="146"/>
      <c r="C11" s="146"/>
      <c r="D11" s="146"/>
      <c r="E11" s="146"/>
      <c r="F11" s="146"/>
      <c r="H11" s="176"/>
      <c r="I11" s="175">
        <v>10</v>
      </c>
    </row>
    <row r="12" spans="1:9" ht="28.35" customHeight="1" x14ac:dyDescent="0.35">
      <c r="A12" s="146" t="s">
        <v>4853</v>
      </c>
      <c r="B12" s="146"/>
      <c r="C12" s="146"/>
      <c r="D12" s="146"/>
      <c r="E12" s="146"/>
      <c r="F12" s="146"/>
      <c r="H12" s="176"/>
      <c r="I12" s="175">
        <v>8</v>
      </c>
    </row>
    <row r="13" spans="1:9" ht="28.35" customHeight="1" x14ac:dyDescent="0.35">
      <c r="A13" s="146"/>
      <c r="B13" s="146"/>
      <c r="C13" s="146"/>
      <c r="D13" s="146"/>
      <c r="E13" s="146"/>
      <c r="F13" s="146"/>
      <c r="H13" s="176"/>
      <c r="I13" s="175"/>
    </row>
    <row r="14" spans="1:9" ht="28.35" customHeight="1" x14ac:dyDescent="0.35">
      <c r="A14" s="146"/>
      <c r="B14" s="146"/>
      <c r="C14" s="146"/>
      <c r="D14" s="146"/>
      <c r="E14" s="146"/>
      <c r="F14" s="146"/>
      <c r="H14" s="176"/>
      <c r="I14" s="175"/>
    </row>
    <row r="15" spans="1:9" ht="28.35" customHeight="1" x14ac:dyDescent="0.35">
      <c r="A15" s="146"/>
      <c r="B15" s="146"/>
      <c r="C15" s="146"/>
      <c r="D15" s="146"/>
      <c r="E15" s="146"/>
      <c r="F15" s="146"/>
      <c r="H15" s="176"/>
      <c r="I15" s="175"/>
    </row>
    <row r="16" spans="1:9" ht="18.75" x14ac:dyDescent="0.25">
      <c r="A16" s="147" t="s">
        <v>4916</v>
      </c>
      <c r="B16" s="147"/>
      <c r="C16" s="147"/>
      <c r="D16" s="147"/>
      <c r="E16" s="147"/>
      <c r="F16" s="147"/>
      <c r="H16" s="154"/>
      <c r="I16" s="154"/>
    </row>
    <row r="17" spans="1:9" ht="18.75" x14ac:dyDescent="0.25">
      <c r="A17" s="145"/>
      <c r="B17" s="145"/>
      <c r="C17" s="145"/>
      <c r="D17" s="145"/>
      <c r="E17" s="145"/>
      <c r="F17" s="145"/>
      <c r="H17" s="154"/>
      <c r="I17" s="154"/>
    </row>
    <row r="18" spans="1:9" ht="28.35" customHeight="1" x14ac:dyDescent="0.3">
      <c r="A18" s="151"/>
      <c r="B18" s="151"/>
      <c r="C18" s="151"/>
      <c r="D18" s="151"/>
      <c r="E18" s="151"/>
      <c r="F18" s="151"/>
      <c r="H18" s="176"/>
      <c r="I18" s="153"/>
    </row>
    <row r="19" spans="1:9" ht="28.35" customHeight="1" x14ac:dyDescent="0.35">
      <c r="A19" s="146"/>
      <c r="B19" s="146"/>
      <c r="C19" s="146"/>
      <c r="D19" s="146"/>
      <c r="E19" s="146"/>
      <c r="F19" s="146"/>
      <c r="H19" s="176"/>
      <c r="I19" s="153"/>
    </row>
    <row r="20" spans="1:9" ht="28.35" customHeight="1" x14ac:dyDescent="0.35">
      <c r="A20" s="146"/>
      <c r="B20" s="146"/>
      <c r="C20" s="146"/>
      <c r="D20" s="146"/>
      <c r="E20" s="146"/>
      <c r="F20" s="146"/>
      <c r="H20" s="176"/>
      <c r="I20" s="153"/>
    </row>
    <row r="21" spans="1:9" ht="28.35" customHeight="1" x14ac:dyDescent="0.35">
      <c r="A21" s="146"/>
      <c r="B21" s="146"/>
      <c r="C21" s="146"/>
      <c r="D21" s="146"/>
      <c r="E21" s="146"/>
      <c r="F21" s="146"/>
      <c r="H21" s="176"/>
      <c r="I21" s="153"/>
    </row>
    <row r="22" spans="1:9" x14ac:dyDescent="0.25">
      <c r="A22" s="148"/>
      <c r="B22" s="148"/>
      <c r="C22" s="148"/>
      <c r="D22" s="148"/>
      <c r="E22" s="148"/>
      <c r="F22" s="148"/>
      <c r="G22" s="148"/>
      <c r="H22" s="155"/>
      <c r="I22" s="155"/>
    </row>
    <row r="23" spans="1:9" x14ac:dyDescent="0.25">
      <c r="A23" s="148"/>
      <c r="B23" s="148"/>
      <c r="C23" s="148"/>
      <c r="D23" s="149" t="s">
        <v>4917</v>
      </c>
      <c r="E23" s="149"/>
      <c r="F23" s="149"/>
      <c r="G23" s="149"/>
      <c r="H23" s="152">
        <f>SUM(H6:H15)+SUM(H18:H21)</f>
        <v>0</v>
      </c>
      <c r="I23" s="152">
        <f>SUM(I6:I15)</f>
        <v>50</v>
      </c>
    </row>
    <row r="24" spans="1:9" ht="15.75" thickBot="1" x14ac:dyDescent="0.3">
      <c r="A24" s="148"/>
      <c r="B24" s="148"/>
      <c r="C24" s="148"/>
      <c r="D24" s="149"/>
      <c r="E24" s="149"/>
      <c r="F24" s="149"/>
      <c r="G24" s="149"/>
      <c r="H24" s="152"/>
      <c r="I24" s="152"/>
    </row>
    <row r="25" spans="1:9" x14ac:dyDescent="0.25">
      <c r="A25" s="148"/>
      <c r="B25" s="148"/>
      <c r="C25" s="148"/>
      <c r="D25" s="149" t="s">
        <v>4918</v>
      </c>
      <c r="E25" s="149"/>
      <c r="F25" s="149"/>
      <c r="G25" s="149"/>
      <c r="H25" s="177">
        <f>IF(I23&gt;0,H23/I23,0)</f>
        <v>0</v>
      </c>
      <c r="I25" s="155"/>
    </row>
    <row r="26" spans="1:9" ht="15.75" thickBot="1" x14ac:dyDescent="0.3">
      <c r="A26" s="148"/>
      <c r="B26" s="148"/>
      <c r="C26" s="148"/>
      <c r="D26" s="149"/>
      <c r="E26" s="149"/>
      <c r="F26" s="149"/>
      <c r="G26" s="149"/>
      <c r="H26" s="178"/>
      <c r="I26" s="155"/>
    </row>
    <row r="27" spans="1:9" x14ac:dyDescent="0.25">
      <c r="A27" s="148"/>
      <c r="B27" s="148"/>
      <c r="C27" s="148"/>
      <c r="D27" s="150"/>
      <c r="E27" s="148"/>
      <c r="F27" s="148"/>
      <c r="G27" s="148"/>
    </row>
  </sheetData>
  <mergeCells count="26">
    <mergeCell ref="D25:G26"/>
    <mergeCell ref="H25:H26"/>
    <mergeCell ref="A19:F19"/>
    <mergeCell ref="A20:F20"/>
    <mergeCell ref="A21:F21"/>
    <mergeCell ref="D23:G24"/>
    <mergeCell ref="H23:H24"/>
    <mergeCell ref="I23:I24"/>
    <mergeCell ref="A12:F12"/>
    <mergeCell ref="A13:F13"/>
    <mergeCell ref="A14:F14"/>
    <mergeCell ref="A15:F15"/>
    <mergeCell ref="A16:F17"/>
    <mergeCell ref="A18:F18"/>
    <mergeCell ref="A6:F6"/>
    <mergeCell ref="A7:F7"/>
    <mergeCell ref="A8:F8"/>
    <mergeCell ref="A9:F9"/>
    <mergeCell ref="A10:F10"/>
    <mergeCell ref="A11:F11"/>
    <mergeCell ref="B1:C3"/>
    <mergeCell ref="D1:F3"/>
    <mergeCell ref="H2:I3"/>
    <mergeCell ref="A4:F5"/>
    <mergeCell ref="H4:H5"/>
    <mergeCell ref="I4:I5"/>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I27"/>
  <sheetViews>
    <sheetView view="pageLayout" zoomScaleNormal="100" workbookViewId="0">
      <selection activeCell="H25" sqref="H25:H26"/>
    </sheetView>
  </sheetViews>
  <sheetFormatPr defaultRowHeight="15" x14ac:dyDescent="0.25"/>
  <cols>
    <col min="1" max="2" width="9" style="142"/>
    <col min="3" max="3" width="11.125" style="142" customWidth="1"/>
    <col min="4" max="5" width="9" style="142"/>
    <col min="6" max="6" width="8.375" style="142" customWidth="1"/>
    <col min="7" max="7" width="4.25" style="142" customWidth="1"/>
    <col min="8" max="16384" width="9" style="142"/>
  </cols>
  <sheetData>
    <row r="1" spans="1:9" ht="15" customHeight="1" x14ac:dyDescent="0.25">
      <c r="B1" s="163" t="s">
        <v>4919</v>
      </c>
      <c r="C1" s="164"/>
      <c r="D1" s="157" t="s">
        <v>399</v>
      </c>
      <c r="E1" s="157"/>
      <c r="F1" s="158"/>
    </row>
    <row r="2" spans="1:9" ht="15.75" customHeight="1" x14ac:dyDescent="0.25">
      <c r="B2" s="165"/>
      <c r="C2" s="166"/>
      <c r="D2" s="159"/>
      <c r="E2" s="159"/>
      <c r="F2" s="160"/>
      <c r="H2" s="143" t="s">
        <v>4912</v>
      </c>
      <c r="I2" s="143"/>
    </row>
    <row r="3" spans="1:9" ht="16.5" customHeight="1" thickBot="1" x14ac:dyDescent="0.3">
      <c r="B3" s="167"/>
      <c r="C3" s="168"/>
      <c r="D3" s="161"/>
      <c r="E3" s="161"/>
      <c r="F3" s="162"/>
      <c r="H3" s="143"/>
      <c r="I3" s="143"/>
    </row>
    <row r="4" spans="1:9" x14ac:dyDescent="0.25">
      <c r="A4" s="144" t="s">
        <v>4913</v>
      </c>
      <c r="B4" s="144"/>
      <c r="C4" s="144"/>
      <c r="D4" s="144"/>
      <c r="E4" s="144"/>
      <c r="F4" s="144"/>
      <c r="H4" s="169" t="s">
        <v>4914</v>
      </c>
      <c r="I4" s="169" t="s">
        <v>4915</v>
      </c>
    </row>
    <row r="5" spans="1:9" x14ac:dyDescent="0.25">
      <c r="A5" s="145"/>
      <c r="B5" s="145"/>
      <c r="C5" s="145"/>
      <c r="D5" s="145"/>
      <c r="E5" s="145"/>
      <c r="F5" s="145"/>
      <c r="H5" s="169"/>
      <c r="I5" s="169"/>
    </row>
    <row r="6" spans="1:9" ht="28.35" customHeight="1" x14ac:dyDescent="0.25">
      <c r="A6" s="171" t="s">
        <v>4846</v>
      </c>
      <c r="B6" s="171"/>
      <c r="C6" s="171"/>
      <c r="D6" s="171"/>
      <c r="E6" s="171"/>
      <c r="F6" s="171"/>
      <c r="H6" s="176"/>
      <c r="I6" s="175">
        <v>7</v>
      </c>
    </row>
    <row r="7" spans="1:9" ht="28.35" customHeight="1" x14ac:dyDescent="0.3">
      <c r="A7" s="151"/>
      <c r="B7" s="151"/>
      <c r="C7" s="151"/>
      <c r="D7" s="151"/>
      <c r="E7" s="151"/>
      <c r="F7" s="151"/>
      <c r="H7" s="176"/>
      <c r="I7" s="175"/>
    </row>
    <row r="8" spans="1:9" ht="28.35" customHeight="1" x14ac:dyDescent="0.3">
      <c r="A8" s="151"/>
      <c r="B8" s="151"/>
      <c r="C8" s="151"/>
      <c r="D8" s="151"/>
      <c r="E8" s="151"/>
      <c r="F8" s="151"/>
      <c r="H8" s="176"/>
      <c r="I8" s="175"/>
    </row>
    <row r="9" spans="1:9" ht="28.35" customHeight="1" x14ac:dyDescent="0.3">
      <c r="A9" s="151"/>
      <c r="B9" s="151"/>
      <c r="C9" s="151"/>
      <c r="D9" s="151"/>
      <c r="E9" s="151"/>
      <c r="F9" s="151"/>
      <c r="H9" s="176"/>
      <c r="I9" s="175"/>
    </row>
    <row r="10" spans="1:9" ht="28.35" customHeight="1" x14ac:dyDescent="0.35">
      <c r="A10" s="146"/>
      <c r="B10" s="146"/>
      <c r="C10" s="146"/>
      <c r="D10" s="146"/>
      <c r="E10" s="146"/>
      <c r="F10" s="146"/>
      <c r="H10" s="176"/>
      <c r="I10" s="175"/>
    </row>
    <row r="11" spans="1:9" ht="28.35" customHeight="1" x14ac:dyDescent="0.35">
      <c r="A11" s="146"/>
      <c r="B11" s="146"/>
      <c r="C11" s="146"/>
      <c r="D11" s="146"/>
      <c r="E11" s="146"/>
      <c r="F11" s="146"/>
      <c r="H11" s="176"/>
      <c r="I11" s="175"/>
    </row>
    <row r="12" spans="1:9" ht="28.35" customHeight="1" x14ac:dyDescent="0.35">
      <c r="A12" s="146"/>
      <c r="B12" s="146"/>
      <c r="C12" s="146"/>
      <c r="D12" s="146"/>
      <c r="E12" s="146"/>
      <c r="F12" s="146"/>
      <c r="H12" s="176"/>
      <c r="I12" s="175"/>
    </row>
    <row r="13" spans="1:9" ht="28.35" customHeight="1" x14ac:dyDescent="0.35">
      <c r="A13" s="146"/>
      <c r="B13" s="146"/>
      <c r="C13" s="146"/>
      <c r="D13" s="146"/>
      <c r="E13" s="146"/>
      <c r="F13" s="146"/>
      <c r="H13" s="176"/>
      <c r="I13" s="175"/>
    </row>
    <row r="14" spans="1:9" ht="28.35" customHeight="1" x14ac:dyDescent="0.35">
      <c r="A14" s="146"/>
      <c r="B14" s="146"/>
      <c r="C14" s="146"/>
      <c r="D14" s="146"/>
      <c r="E14" s="146"/>
      <c r="F14" s="146"/>
      <c r="H14" s="176"/>
      <c r="I14" s="175"/>
    </row>
    <row r="15" spans="1:9" ht="28.35" customHeight="1" x14ac:dyDescent="0.35">
      <c r="A15" s="146"/>
      <c r="B15" s="146"/>
      <c r="C15" s="146"/>
      <c r="D15" s="146"/>
      <c r="E15" s="146"/>
      <c r="F15" s="146"/>
      <c r="H15" s="176"/>
      <c r="I15" s="175"/>
    </row>
    <row r="16" spans="1:9" ht="18.75" x14ac:dyDescent="0.25">
      <c r="A16" s="147" t="s">
        <v>4916</v>
      </c>
      <c r="B16" s="147"/>
      <c r="C16" s="147"/>
      <c r="D16" s="147"/>
      <c r="E16" s="147"/>
      <c r="F16" s="147"/>
      <c r="H16" s="154"/>
      <c r="I16" s="154"/>
    </row>
    <row r="17" spans="1:9" ht="18.75" x14ac:dyDescent="0.25">
      <c r="A17" s="145"/>
      <c r="B17" s="145"/>
      <c r="C17" s="145"/>
      <c r="D17" s="145"/>
      <c r="E17" s="145"/>
      <c r="F17" s="145"/>
      <c r="H17" s="154"/>
      <c r="I17" s="154"/>
    </row>
    <row r="18" spans="1:9" ht="28.35" customHeight="1" x14ac:dyDescent="0.3">
      <c r="A18" s="151"/>
      <c r="B18" s="151"/>
      <c r="C18" s="151"/>
      <c r="D18" s="151"/>
      <c r="E18" s="151"/>
      <c r="F18" s="151"/>
      <c r="H18" s="176"/>
      <c r="I18" s="153"/>
    </row>
    <row r="19" spans="1:9" ht="28.35" customHeight="1" x14ac:dyDescent="0.35">
      <c r="A19" s="146"/>
      <c r="B19" s="146"/>
      <c r="C19" s="146"/>
      <c r="D19" s="146"/>
      <c r="E19" s="146"/>
      <c r="F19" s="146"/>
      <c r="H19" s="176"/>
      <c r="I19" s="153"/>
    </row>
    <row r="20" spans="1:9" ht="28.35" customHeight="1" x14ac:dyDescent="0.35">
      <c r="A20" s="146"/>
      <c r="B20" s="146"/>
      <c r="C20" s="146"/>
      <c r="D20" s="146"/>
      <c r="E20" s="146"/>
      <c r="F20" s="146"/>
      <c r="H20" s="176"/>
      <c r="I20" s="153"/>
    </row>
    <row r="21" spans="1:9" ht="28.35" customHeight="1" x14ac:dyDescent="0.35">
      <c r="A21" s="146"/>
      <c r="B21" s="146"/>
      <c r="C21" s="146"/>
      <c r="D21" s="146"/>
      <c r="E21" s="146"/>
      <c r="F21" s="146"/>
      <c r="H21" s="176"/>
      <c r="I21" s="153"/>
    </row>
    <row r="22" spans="1:9" x14ac:dyDescent="0.25">
      <c r="A22" s="148"/>
      <c r="B22" s="148"/>
      <c r="C22" s="148"/>
      <c r="D22" s="148"/>
      <c r="E22" s="148"/>
      <c r="F22" s="148"/>
      <c r="G22" s="148"/>
      <c r="H22" s="155"/>
      <c r="I22" s="155"/>
    </row>
    <row r="23" spans="1:9" x14ac:dyDescent="0.25">
      <c r="A23" s="148"/>
      <c r="B23" s="148"/>
      <c r="C23" s="148"/>
      <c r="D23" s="149" t="s">
        <v>4917</v>
      </c>
      <c r="E23" s="149"/>
      <c r="F23" s="149"/>
      <c r="G23" s="149"/>
      <c r="H23" s="152">
        <f>SUM(H6:H15)+SUM(H18:H21)</f>
        <v>0</v>
      </c>
      <c r="I23" s="152">
        <f>SUM(I6:I15)</f>
        <v>7</v>
      </c>
    </row>
    <row r="24" spans="1:9" ht="15.75" thickBot="1" x14ac:dyDescent="0.3">
      <c r="A24" s="148"/>
      <c r="B24" s="148"/>
      <c r="C24" s="148"/>
      <c r="D24" s="149"/>
      <c r="E24" s="149"/>
      <c r="F24" s="149"/>
      <c r="G24" s="149"/>
      <c r="H24" s="152"/>
      <c r="I24" s="152"/>
    </row>
    <row r="25" spans="1:9" x14ac:dyDescent="0.25">
      <c r="A25" s="148"/>
      <c r="B25" s="148"/>
      <c r="C25" s="148"/>
      <c r="D25" s="149" t="s">
        <v>4918</v>
      </c>
      <c r="E25" s="149"/>
      <c r="F25" s="149"/>
      <c r="G25" s="149"/>
      <c r="H25" s="177">
        <f>IF(I23&gt;0,H23/I23,0)</f>
        <v>0</v>
      </c>
      <c r="I25" s="155"/>
    </row>
    <row r="26" spans="1:9" ht="15.75" thickBot="1" x14ac:dyDescent="0.3">
      <c r="A26" s="148"/>
      <c r="B26" s="148"/>
      <c r="C26" s="148"/>
      <c r="D26" s="149"/>
      <c r="E26" s="149"/>
      <c r="F26" s="149"/>
      <c r="G26" s="149"/>
      <c r="H26" s="178"/>
      <c r="I26" s="155"/>
    </row>
    <row r="27" spans="1:9" x14ac:dyDescent="0.25">
      <c r="A27" s="148"/>
      <c r="B27" s="148"/>
      <c r="C27" s="148"/>
      <c r="D27" s="150"/>
      <c r="E27" s="148"/>
      <c r="F27" s="148"/>
      <c r="G27" s="148"/>
    </row>
  </sheetData>
  <mergeCells count="26">
    <mergeCell ref="D25:G26"/>
    <mergeCell ref="H25:H26"/>
    <mergeCell ref="A19:F19"/>
    <mergeCell ref="A20:F20"/>
    <mergeCell ref="A21:F21"/>
    <mergeCell ref="D23:G24"/>
    <mergeCell ref="H23:H24"/>
    <mergeCell ref="I23:I24"/>
    <mergeCell ref="A12:F12"/>
    <mergeCell ref="A13:F13"/>
    <mergeCell ref="A14:F14"/>
    <mergeCell ref="A15:F15"/>
    <mergeCell ref="A16:F17"/>
    <mergeCell ref="A18:F18"/>
    <mergeCell ref="A6:F6"/>
    <mergeCell ref="A7:F7"/>
    <mergeCell ref="A8:F8"/>
    <mergeCell ref="A9:F9"/>
    <mergeCell ref="A10:F10"/>
    <mergeCell ref="A11:F11"/>
    <mergeCell ref="B1:C3"/>
    <mergeCell ref="D1:F3"/>
    <mergeCell ref="H2:I3"/>
    <mergeCell ref="A4:F5"/>
    <mergeCell ref="H4:H5"/>
    <mergeCell ref="I4:I5"/>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I27"/>
  <sheetViews>
    <sheetView tabSelected="1" view="pageLayout" topLeftCell="A10" zoomScaleNormal="100" workbookViewId="0">
      <selection activeCell="H25" sqref="H25:H26"/>
    </sheetView>
  </sheetViews>
  <sheetFormatPr defaultRowHeight="15" x14ac:dyDescent="0.25"/>
  <cols>
    <col min="1" max="2" width="9" style="142"/>
    <col min="3" max="3" width="11.125" style="142" customWidth="1"/>
    <col min="4" max="5" width="9" style="142"/>
    <col min="6" max="6" width="8.375" style="142" customWidth="1"/>
    <col min="7" max="7" width="4.25" style="142" customWidth="1"/>
    <col min="8" max="16384" width="9" style="142"/>
  </cols>
  <sheetData>
    <row r="1" spans="1:9" ht="15" customHeight="1" x14ac:dyDescent="0.25">
      <c r="B1" s="163" t="s">
        <v>4919</v>
      </c>
      <c r="C1" s="164"/>
      <c r="D1" s="157" t="s">
        <v>402</v>
      </c>
      <c r="E1" s="157"/>
      <c r="F1" s="158"/>
    </row>
    <row r="2" spans="1:9" ht="15.75" customHeight="1" x14ac:dyDescent="0.25">
      <c r="B2" s="165"/>
      <c r="C2" s="166"/>
      <c r="D2" s="159"/>
      <c r="E2" s="159"/>
      <c r="F2" s="160"/>
      <c r="H2" s="143" t="s">
        <v>4912</v>
      </c>
      <c r="I2" s="143"/>
    </row>
    <row r="3" spans="1:9" ht="16.5" customHeight="1" thickBot="1" x14ac:dyDescent="0.3">
      <c r="B3" s="167"/>
      <c r="C3" s="168"/>
      <c r="D3" s="161"/>
      <c r="E3" s="161"/>
      <c r="F3" s="162"/>
      <c r="H3" s="143"/>
      <c r="I3" s="143"/>
    </row>
    <row r="4" spans="1:9" x14ac:dyDescent="0.25">
      <c r="A4" s="144" t="s">
        <v>4913</v>
      </c>
      <c r="B4" s="144"/>
      <c r="C4" s="144"/>
      <c r="D4" s="144"/>
      <c r="E4" s="144"/>
      <c r="F4" s="144"/>
      <c r="H4" s="169" t="s">
        <v>4914</v>
      </c>
      <c r="I4" s="169" t="s">
        <v>4915</v>
      </c>
    </row>
    <row r="5" spans="1:9" x14ac:dyDescent="0.25">
      <c r="A5" s="145"/>
      <c r="B5" s="145"/>
      <c r="C5" s="145"/>
      <c r="D5" s="145"/>
      <c r="E5" s="145"/>
      <c r="F5" s="145"/>
      <c r="H5" s="169"/>
      <c r="I5" s="169"/>
    </row>
    <row r="6" spans="1:9" ht="28.35" customHeight="1" x14ac:dyDescent="0.25">
      <c r="A6" s="171" t="s">
        <v>4807</v>
      </c>
      <c r="B6" s="171"/>
      <c r="C6" s="171"/>
      <c r="D6" s="171"/>
      <c r="E6" s="171"/>
      <c r="F6" s="171"/>
      <c r="H6" s="176"/>
      <c r="I6" s="175">
        <v>10</v>
      </c>
    </row>
    <row r="7" spans="1:9" ht="28.35" customHeight="1" x14ac:dyDescent="0.25">
      <c r="A7" s="171" t="s">
        <v>4813</v>
      </c>
      <c r="B7" s="171"/>
      <c r="C7" s="171"/>
      <c r="D7" s="171"/>
      <c r="E7" s="171"/>
      <c r="F7" s="171"/>
      <c r="H7" s="176"/>
      <c r="I7" s="175">
        <v>10</v>
      </c>
    </row>
    <row r="8" spans="1:9" ht="28.35" customHeight="1" x14ac:dyDescent="0.25">
      <c r="A8" s="172" t="s">
        <v>4810</v>
      </c>
      <c r="B8" s="172"/>
      <c r="C8" s="172"/>
      <c r="D8" s="172"/>
      <c r="E8" s="172"/>
      <c r="F8" s="172"/>
      <c r="H8" s="176"/>
      <c r="I8" s="175">
        <v>10</v>
      </c>
    </row>
    <row r="9" spans="1:9" ht="28.35" customHeight="1" x14ac:dyDescent="0.25">
      <c r="A9" s="171" t="s">
        <v>4819</v>
      </c>
      <c r="B9" s="171"/>
      <c r="C9" s="171"/>
      <c r="D9" s="171"/>
      <c r="E9" s="171"/>
      <c r="F9" s="171"/>
      <c r="H9" s="176"/>
      <c r="I9" s="175">
        <v>10</v>
      </c>
    </row>
    <row r="10" spans="1:9" ht="28.35" customHeight="1" x14ac:dyDescent="0.35">
      <c r="A10" s="146"/>
      <c r="B10" s="146"/>
      <c r="C10" s="146"/>
      <c r="D10" s="146"/>
      <c r="E10" s="146"/>
      <c r="F10" s="146"/>
      <c r="H10" s="176"/>
      <c r="I10" s="175"/>
    </row>
    <row r="11" spans="1:9" ht="28.35" customHeight="1" x14ac:dyDescent="0.35">
      <c r="A11" s="146"/>
      <c r="B11" s="146"/>
      <c r="C11" s="146"/>
      <c r="D11" s="146"/>
      <c r="E11" s="146"/>
      <c r="F11" s="146"/>
      <c r="H11" s="176"/>
      <c r="I11" s="175"/>
    </row>
    <row r="12" spans="1:9" ht="28.35" customHeight="1" x14ac:dyDescent="0.35">
      <c r="A12" s="146"/>
      <c r="B12" s="146"/>
      <c r="C12" s="146"/>
      <c r="D12" s="146"/>
      <c r="E12" s="146"/>
      <c r="F12" s="146"/>
      <c r="H12" s="176"/>
      <c r="I12" s="175"/>
    </row>
    <row r="13" spans="1:9" ht="28.35" customHeight="1" x14ac:dyDescent="0.35">
      <c r="A13" s="146"/>
      <c r="B13" s="146"/>
      <c r="C13" s="146"/>
      <c r="D13" s="146"/>
      <c r="E13" s="146"/>
      <c r="F13" s="146"/>
      <c r="H13" s="176"/>
      <c r="I13" s="175"/>
    </row>
    <row r="14" spans="1:9" ht="28.35" customHeight="1" x14ac:dyDescent="0.35">
      <c r="A14" s="146"/>
      <c r="B14" s="146"/>
      <c r="C14" s="146"/>
      <c r="D14" s="146"/>
      <c r="E14" s="146"/>
      <c r="F14" s="146"/>
      <c r="H14" s="176"/>
      <c r="I14" s="175"/>
    </row>
    <row r="15" spans="1:9" ht="28.35" customHeight="1" x14ac:dyDescent="0.35">
      <c r="A15" s="146"/>
      <c r="B15" s="146"/>
      <c r="C15" s="146"/>
      <c r="D15" s="146"/>
      <c r="E15" s="146"/>
      <c r="F15" s="146"/>
      <c r="H15" s="176"/>
      <c r="I15" s="175"/>
    </row>
    <row r="16" spans="1:9" ht="18.75" x14ac:dyDescent="0.25">
      <c r="A16" s="147" t="s">
        <v>4916</v>
      </c>
      <c r="B16" s="147"/>
      <c r="C16" s="147"/>
      <c r="D16" s="147"/>
      <c r="E16" s="147"/>
      <c r="F16" s="147"/>
      <c r="H16" s="154"/>
      <c r="I16" s="154"/>
    </row>
    <row r="17" spans="1:9" ht="18.75" x14ac:dyDescent="0.25">
      <c r="A17" s="145"/>
      <c r="B17" s="145"/>
      <c r="C17" s="145"/>
      <c r="D17" s="145"/>
      <c r="E17" s="145"/>
      <c r="F17" s="145"/>
      <c r="H17" s="154"/>
      <c r="I17" s="154"/>
    </row>
    <row r="18" spans="1:9" ht="28.35" customHeight="1" x14ac:dyDescent="0.25">
      <c r="A18" s="171" t="s">
        <v>4816</v>
      </c>
      <c r="B18" s="171"/>
      <c r="C18" s="171"/>
      <c r="D18" s="171"/>
      <c r="E18" s="171"/>
      <c r="F18" s="171"/>
      <c r="H18" s="176"/>
      <c r="I18" s="153">
        <v>2</v>
      </c>
    </row>
    <row r="19" spans="1:9" ht="28.35" customHeight="1" x14ac:dyDescent="0.35">
      <c r="A19" s="146"/>
      <c r="B19" s="146"/>
      <c r="C19" s="146"/>
      <c r="D19" s="146"/>
      <c r="E19" s="146"/>
      <c r="F19" s="146"/>
      <c r="H19" s="176"/>
      <c r="I19" s="153"/>
    </row>
    <row r="20" spans="1:9" ht="28.35" customHeight="1" x14ac:dyDescent="0.35">
      <c r="A20" s="146"/>
      <c r="B20" s="146"/>
      <c r="C20" s="146"/>
      <c r="D20" s="146"/>
      <c r="E20" s="146"/>
      <c r="F20" s="146"/>
      <c r="H20" s="176"/>
      <c r="I20" s="153"/>
    </row>
    <row r="21" spans="1:9" ht="28.35" customHeight="1" x14ac:dyDescent="0.35">
      <c r="A21" s="146"/>
      <c r="B21" s="146"/>
      <c r="C21" s="146"/>
      <c r="D21" s="146"/>
      <c r="E21" s="146"/>
      <c r="F21" s="146"/>
      <c r="H21" s="176"/>
      <c r="I21" s="153"/>
    </row>
    <row r="22" spans="1:9" x14ac:dyDescent="0.25">
      <c r="A22" s="148"/>
      <c r="B22" s="148"/>
      <c r="C22" s="148"/>
      <c r="D22" s="148"/>
      <c r="E22" s="148"/>
      <c r="F22" s="148"/>
      <c r="G22" s="148"/>
      <c r="H22" s="155"/>
      <c r="I22" s="155"/>
    </row>
    <row r="23" spans="1:9" x14ac:dyDescent="0.25">
      <c r="A23" s="148"/>
      <c r="B23" s="148"/>
      <c r="C23" s="148"/>
      <c r="D23" s="149" t="s">
        <v>4917</v>
      </c>
      <c r="E23" s="149"/>
      <c r="F23" s="149"/>
      <c r="G23" s="149"/>
      <c r="H23" s="152">
        <f>SUM(H6:H15)+SUM(H18:H21)</f>
        <v>0</v>
      </c>
      <c r="I23" s="152">
        <f>SUM(I6:I15)</f>
        <v>40</v>
      </c>
    </row>
    <row r="24" spans="1:9" ht="15.75" thickBot="1" x14ac:dyDescent="0.3">
      <c r="A24" s="148"/>
      <c r="B24" s="148"/>
      <c r="C24" s="148"/>
      <c r="D24" s="149"/>
      <c r="E24" s="149"/>
      <c r="F24" s="149"/>
      <c r="G24" s="149"/>
      <c r="H24" s="152"/>
      <c r="I24" s="152"/>
    </row>
    <row r="25" spans="1:9" x14ac:dyDescent="0.25">
      <c r="A25" s="148"/>
      <c r="B25" s="148"/>
      <c r="C25" s="148"/>
      <c r="D25" s="149" t="s">
        <v>4918</v>
      </c>
      <c r="E25" s="149"/>
      <c r="F25" s="149"/>
      <c r="G25" s="149"/>
      <c r="H25" s="177">
        <f>IF(I23&gt;0,H23/I23,0)</f>
        <v>0</v>
      </c>
      <c r="I25" s="155"/>
    </row>
    <row r="26" spans="1:9" ht="15.75" thickBot="1" x14ac:dyDescent="0.3">
      <c r="A26" s="148"/>
      <c r="B26" s="148"/>
      <c r="C26" s="148"/>
      <c r="D26" s="149"/>
      <c r="E26" s="149"/>
      <c r="F26" s="149"/>
      <c r="G26" s="149"/>
      <c r="H26" s="178"/>
      <c r="I26" s="155"/>
    </row>
    <row r="27" spans="1:9" x14ac:dyDescent="0.25">
      <c r="A27" s="148"/>
      <c r="B27" s="148"/>
      <c r="C27" s="148"/>
      <c r="D27" s="150"/>
      <c r="E27" s="148"/>
      <c r="F27" s="148"/>
      <c r="G27" s="148"/>
    </row>
  </sheetData>
  <mergeCells count="26">
    <mergeCell ref="D25:G26"/>
    <mergeCell ref="H25:H26"/>
    <mergeCell ref="A19:F19"/>
    <mergeCell ref="A20:F20"/>
    <mergeCell ref="A21:F21"/>
    <mergeCell ref="D23:G24"/>
    <mergeCell ref="H23:H24"/>
    <mergeCell ref="I23:I24"/>
    <mergeCell ref="A12:F12"/>
    <mergeCell ref="A13:F13"/>
    <mergeCell ref="A14:F14"/>
    <mergeCell ref="A15:F15"/>
    <mergeCell ref="A16:F17"/>
    <mergeCell ref="A18:F18"/>
    <mergeCell ref="A6:F6"/>
    <mergeCell ref="A7:F7"/>
    <mergeCell ref="A8:F8"/>
    <mergeCell ref="A9:F9"/>
    <mergeCell ref="A10:F10"/>
    <mergeCell ref="A11:F11"/>
    <mergeCell ref="B1:C3"/>
    <mergeCell ref="D1:F3"/>
    <mergeCell ref="H2:I3"/>
    <mergeCell ref="A4:F5"/>
    <mergeCell ref="H4:H5"/>
    <mergeCell ref="I4:I5"/>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I27"/>
  <sheetViews>
    <sheetView view="pageLayout" topLeftCell="A10" zoomScaleNormal="100" workbookViewId="0">
      <selection activeCell="I32" sqref="I32"/>
    </sheetView>
  </sheetViews>
  <sheetFormatPr defaultRowHeight="15" x14ac:dyDescent="0.25"/>
  <cols>
    <col min="1" max="2" width="9" style="142"/>
    <col min="3" max="3" width="11.125" style="142" customWidth="1"/>
    <col min="4" max="5" width="9" style="142"/>
    <col min="6" max="6" width="8.375" style="142" customWidth="1"/>
    <col min="7" max="7" width="4.25" style="142" customWidth="1"/>
    <col min="8" max="16384" width="9" style="142"/>
  </cols>
  <sheetData>
    <row r="1" spans="1:9" ht="15" customHeight="1" x14ac:dyDescent="0.25">
      <c r="B1" s="163" t="s">
        <v>4919</v>
      </c>
      <c r="C1" s="164"/>
      <c r="D1" s="157" t="s">
        <v>4920</v>
      </c>
      <c r="E1" s="157"/>
      <c r="F1" s="158"/>
    </row>
    <row r="2" spans="1:9" ht="15.75" customHeight="1" x14ac:dyDescent="0.25">
      <c r="B2" s="165"/>
      <c r="C2" s="166"/>
      <c r="D2" s="159"/>
      <c r="E2" s="159"/>
      <c r="F2" s="160"/>
      <c r="H2" s="143" t="s">
        <v>4912</v>
      </c>
      <c r="I2" s="143"/>
    </row>
    <row r="3" spans="1:9" ht="16.5" customHeight="1" thickBot="1" x14ac:dyDescent="0.3">
      <c r="B3" s="167"/>
      <c r="C3" s="168"/>
      <c r="D3" s="161"/>
      <c r="E3" s="161"/>
      <c r="F3" s="162"/>
      <c r="H3" s="143"/>
      <c r="I3" s="143"/>
    </row>
    <row r="4" spans="1:9" x14ac:dyDescent="0.25">
      <c r="A4" s="144" t="s">
        <v>4913</v>
      </c>
      <c r="B4" s="144"/>
      <c r="C4" s="144"/>
      <c r="D4" s="144"/>
      <c r="E4" s="144"/>
      <c r="F4" s="144"/>
      <c r="H4" s="169" t="s">
        <v>4914</v>
      </c>
      <c r="I4" s="169" t="s">
        <v>4915</v>
      </c>
    </row>
    <row r="5" spans="1:9" x14ac:dyDescent="0.25">
      <c r="A5" s="145"/>
      <c r="B5" s="145"/>
      <c r="C5" s="145"/>
      <c r="D5" s="145"/>
      <c r="E5" s="145"/>
      <c r="F5" s="145"/>
      <c r="H5" s="169"/>
      <c r="I5" s="169"/>
    </row>
    <row r="6" spans="1:9" ht="28.35" customHeight="1" x14ac:dyDescent="0.25">
      <c r="A6" s="173" t="s">
        <v>4865</v>
      </c>
      <c r="B6" s="173"/>
      <c r="C6" s="173"/>
      <c r="D6" s="173"/>
      <c r="E6" s="173"/>
      <c r="F6" s="173"/>
      <c r="H6" s="176"/>
      <c r="I6" s="175">
        <v>8</v>
      </c>
    </row>
    <row r="7" spans="1:9" ht="28.35" customHeight="1" x14ac:dyDescent="0.25">
      <c r="A7" s="171" t="s">
        <v>4868</v>
      </c>
      <c r="B7" s="171"/>
      <c r="C7" s="171"/>
      <c r="D7" s="171"/>
      <c r="E7" s="171"/>
      <c r="F7" s="171"/>
      <c r="H7" s="176"/>
      <c r="I7" s="175">
        <v>5</v>
      </c>
    </row>
    <row r="8" spans="1:9" ht="28.35" customHeight="1" x14ac:dyDescent="0.25">
      <c r="A8" s="174" t="s">
        <v>4873</v>
      </c>
      <c r="B8" s="174"/>
      <c r="C8" s="174"/>
      <c r="D8" s="174"/>
      <c r="E8" s="174"/>
      <c r="F8" s="174"/>
      <c r="H8" s="176"/>
      <c r="I8" s="175">
        <v>4</v>
      </c>
    </row>
    <row r="9" spans="1:9" ht="28.35" customHeight="1" x14ac:dyDescent="0.25">
      <c r="A9" s="171" t="s">
        <v>4879</v>
      </c>
      <c r="B9" s="171"/>
      <c r="C9" s="171"/>
      <c r="D9" s="171"/>
      <c r="E9" s="171"/>
      <c r="F9" s="171"/>
      <c r="H9" s="176"/>
      <c r="I9" s="175">
        <v>1</v>
      </c>
    </row>
    <row r="10" spans="1:9" ht="28.35" customHeight="1" x14ac:dyDescent="0.35">
      <c r="A10" s="146" t="s">
        <v>4870</v>
      </c>
      <c r="B10" s="146"/>
      <c r="C10" s="146"/>
      <c r="D10" s="146"/>
      <c r="E10" s="146"/>
      <c r="F10" s="146"/>
      <c r="H10" s="176"/>
      <c r="I10" s="175">
        <v>5</v>
      </c>
    </row>
    <row r="11" spans="1:9" ht="28.35" customHeight="1" x14ac:dyDescent="0.35">
      <c r="A11" s="146"/>
      <c r="B11" s="146"/>
      <c r="C11" s="146"/>
      <c r="D11" s="146"/>
      <c r="E11" s="146"/>
      <c r="F11" s="146"/>
      <c r="H11" s="176"/>
      <c r="I11" s="175"/>
    </row>
    <row r="12" spans="1:9" ht="28.35" customHeight="1" x14ac:dyDescent="0.35">
      <c r="A12" s="146"/>
      <c r="B12" s="146"/>
      <c r="C12" s="146"/>
      <c r="D12" s="146"/>
      <c r="E12" s="146"/>
      <c r="F12" s="146"/>
      <c r="H12" s="176"/>
      <c r="I12" s="175"/>
    </row>
    <row r="13" spans="1:9" ht="28.35" customHeight="1" x14ac:dyDescent="0.35">
      <c r="A13" s="146"/>
      <c r="B13" s="146"/>
      <c r="C13" s="146"/>
      <c r="D13" s="146"/>
      <c r="E13" s="146"/>
      <c r="F13" s="146"/>
      <c r="H13" s="176"/>
      <c r="I13" s="175"/>
    </row>
    <row r="14" spans="1:9" ht="28.35" customHeight="1" x14ac:dyDescent="0.35">
      <c r="A14" s="146"/>
      <c r="B14" s="146"/>
      <c r="C14" s="146"/>
      <c r="D14" s="146"/>
      <c r="E14" s="146"/>
      <c r="F14" s="146"/>
      <c r="H14" s="176"/>
      <c r="I14" s="175"/>
    </row>
    <row r="15" spans="1:9" ht="28.35" customHeight="1" x14ac:dyDescent="0.35">
      <c r="A15" s="146"/>
      <c r="B15" s="146"/>
      <c r="C15" s="146"/>
      <c r="D15" s="146"/>
      <c r="E15" s="146"/>
      <c r="F15" s="146"/>
      <c r="H15" s="176"/>
      <c r="I15" s="175"/>
    </row>
    <row r="16" spans="1:9" ht="18.75" x14ac:dyDescent="0.25">
      <c r="A16" s="147" t="s">
        <v>4916</v>
      </c>
      <c r="B16" s="147"/>
      <c r="C16" s="147"/>
      <c r="D16" s="147"/>
      <c r="E16" s="147"/>
      <c r="F16" s="147"/>
      <c r="H16" s="154"/>
      <c r="I16" s="154"/>
    </row>
    <row r="17" spans="1:9" ht="18.75" x14ac:dyDescent="0.25">
      <c r="A17" s="145"/>
      <c r="B17" s="145"/>
      <c r="C17" s="145"/>
      <c r="D17" s="145"/>
      <c r="E17" s="145"/>
      <c r="F17" s="145"/>
      <c r="H17" s="154"/>
      <c r="I17" s="154"/>
    </row>
    <row r="18" spans="1:9" ht="28.35" customHeight="1" x14ac:dyDescent="0.25">
      <c r="A18" s="171" t="s">
        <v>4877</v>
      </c>
      <c r="B18" s="171"/>
      <c r="C18" s="171"/>
      <c r="D18" s="171"/>
      <c r="E18" s="171"/>
      <c r="F18" s="171"/>
      <c r="H18" s="176"/>
      <c r="I18" s="153">
        <v>1</v>
      </c>
    </row>
    <row r="19" spans="1:9" ht="28.35" customHeight="1" x14ac:dyDescent="0.35">
      <c r="A19" s="146" t="s">
        <v>4875</v>
      </c>
      <c r="B19" s="146"/>
      <c r="C19" s="146"/>
      <c r="D19" s="146"/>
      <c r="E19" s="146"/>
      <c r="F19" s="146"/>
      <c r="H19" s="176"/>
      <c r="I19" s="153">
        <v>3</v>
      </c>
    </row>
    <row r="20" spans="1:9" ht="28.35" customHeight="1" x14ac:dyDescent="0.35">
      <c r="A20" s="146"/>
      <c r="B20" s="146"/>
      <c r="C20" s="146"/>
      <c r="D20" s="146"/>
      <c r="E20" s="146"/>
      <c r="F20" s="146"/>
      <c r="H20" s="176"/>
      <c r="I20" s="153"/>
    </row>
    <row r="21" spans="1:9" ht="28.35" customHeight="1" x14ac:dyDescent="0.35">
      <c r="A21" s="146"/>
      <c r="B21" s="146"/>
      <c r="C21" s="146"/>
      <c r="D21" s="146"/>
      <c r="E21" s="146"/>
      <c r="F21" s="146"/>
      <c r="H21" s="176"/>
      <c r="I21" s="153"/>
    </row>
    <row r="22" spans="1:9" x14ac:dyDescent="0.25">
      <c r="A22" s="148"/>
      <c r="B22" s="148"/>
      <c r="C22" s="148"/>
      <c r="D22" s="148"/>
      <c r="E22" s="148"/>
      <c r="F22" s="148"/>
      <c r="G22" s="148"/>
      <c r="H22" s="155"/>
      <c r="I22" s="155"/>
    </row>
    <row r="23" spans="1:9" x14ac:dyDescent="0.25">
      <c r="A23" s="148"/>
      <c r="B23" s="148"/>
      <c r="C23" s="148"/>
      <c r="D23" s="149" t="s">
        <v>4917</v>
      </c>
      <c r="E23" s="149"/>
      <c r="F23" s="149"/>
      <c r="G23" s="149"/>
      <c r="H23" s="152">
        <f>SUM(H6:H15)+SUM(H18:H21)</f>
        <v>0</v>
      </c>
      <c r="I23" s="152">
        <f>SUM(I6:I15)</f>
        <v>23</v>
      </c>
    </row>
    <row r="24" spans="1:9" ht="15.75" thickBot="1" x14ac:dyDescent="0.3">
      <c r="A24" s="148"/>
      <c r="B24" s="148"/>
      <c r="C24" s="148"/>
      <c r="D24" s="149"/>
      <c r="E24" s="149"/>
      <c r="F24" s="149"/>
      <c r="G24" s="149"/>
      <c r="H24" s="152"/>
      <c r="I24" s="152"/>
    </row>
    <row r="25" spans="1:9" x14ac:dyDescent="0.25">
      <c r="A25" s="148"/>
      <c r="B25" s="148"/>
      <c r="C25" s="148"/>
      <c r="D25" s="149" t="s">
        <v>4918</v>
      </c>
      <c r="E25" s="149"/>
      <c r="F25" s="149"/>
      <c r="G25" s="149"/>
      <c r="H25" s="177">
        <f>IF(I23&gt;0,H23/I23,0)</f>
        <v>0</v>
      </c>
      <c r="I25" s="155"/>
    </row>
    <row r="26" spans="1:9" ht="15.75" thickBot="1" x14ac:dyDescent="0.3">
      <c r="A26" s="148"/>
      <c r="B26" s="148"/>
      <c r="C26" s="148"/>
      <c r="D26" s="149"/>
      <c r="E26" s="149"/>
      <c r="F26" s="149"/>
      <c r="G26" s="149"/>
      <c r="H26" s="178"/>
      <c r="I26" s="155"/>
    </row>
    <row r="27" spans="1:9" x14ac:dyDescent="0.25">
      <c r="A27" s="148"/>
      <c r="B27" s="148"/>
      <c r="C27" s="148"/>
      <c r="D27" s="150"/>
      <c r="E27" s="148"/>
      <c r="F27" s="148"/>
      <c r="G27" s="148"/>
    </row>
  </sheetData>
  <mergeCells count="26">
    <mergeCell ref="D25:G26"/>
    <mergeCell ref="H25:H26"/>
    <mergeCell ref="A19:F19"/>
    <mergeCell ref="A20:F20"/>
    <mergeCell ref="A21:F21"/>
    <mergeCell ref="D23:G24"/>
    <mergeCell ref="H23:H24"/>
    <mergeCell ref="I23:I24"/>
    <mergeCell ref="A12:F12"/>
    <mergeCell ref="A13:F13"/>
    <mergeCell ref="A14:F14"/>
    <mergeCell ref="A15:F15"/>
    <mergeCell ref="A16:F17"/>
    <mergeCell ref="A18:F18"/>
    <mergeCell ref="A6:F6"/>
    <mergeCell ref="A7:F7"/>
    <mergeCell ref="A8:F8"/>
    <mergeCell ref="A9:F9"/>
    <mergeCell ref="A10:F10"/>
    <mergeCell ref="A11:F11"/>
    <mergeCell ref="B1:C3"/>
    <mergeCell ref="D1:F3"/>
    <mergeCell ref="H2:I3"/>
    <mergeCell ref="A4:F5"/>
    <mergeCell ref="H4:H5"/>
    <mergeCell ref="I4:I5"/>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rgb="FF00B050"/>
  </sheetPr>
  <dimension ref="A1:V116"/>
  <sheetViews>
    <sheetView workbookViewId="0">
      <selection activeCell="F3" sqref="F3"/>
    </sheetView>
  </sheetViews>
  <sheetFormatPr defaultRowHeight="15.75" x14ac:dyDescent="0.25"/>
  <cols>
    <col min="1" max="1" width="16.375" customWidth="1"/>
    <col min="2" max="2" width="25.375" style="48" customWidth="1"/>
    <col min="3" max="4" width="47.125" customWidth="1"/>
    <col min="5" max="5" width="15.375" customWidth="1"/>
    <col min="6" max="6" width="8.375" customWidth="1"/>
    <col min="7" max="8" width="7.75" customWidth="1"/>
    <col min="9" max="9" width="7.625" customWidth="1"/>
    <col min="10" max="10" width="12" style="46" customWidth="1"/>
    <col min="11" max="11" width="13.5" style="38" customWidth="1"/>
    <col min="12" max="12" width="53.125" customWidth="1"/>
    <col min="13" max="13" width="7.375" customWidth="1"/>
    <col min="14" max="14" width="7.5" customWidth="1"/>
    <col min="15" max="15" width="15.375" customWidth="1"/>
    <col min="16" max="16" width="9.125" customWidth="1"/>
  </cols>
  <sheetData>
    <row r="1" spans="1:22" x14ac:dyDescent="0.25">
      <c r="E1" s="38"/>
      <c r="F1" s="38">
        <f>SUM(F3:F218)</f>
        <v>0</v>
      </c>
      <c r="G1" s="38">
        <f>SUM(G3:G218)</f>
        <v>217</v>
      </c>
      <c r="H1" s="38"/>
      <c r="I1" s="38"/>
      <c r="J1" s="48"/>
      <c r="L1" s="38"/>
      <c r="M1" s="38">
        <f>SUM(M3:M218)</f>
        <v>0</v>
      </c>
      <c r="N1" s="38">
        <f>SUM(N3:N218)</f>
        <v>0</v>
      </c>
      <c r="O1" s="38"/>
      <c r="P1" s="38"/>
    </row>
    <row r="2" spans="1:22" ht="102" customHeight="1" x14ac:dyDescent="0.25">
      <c r="A2" s="45" t="s">
        <v>27</v>
      </c>
      <c r="B2" s="45" t="s">
        <v>5</v>
      </c>
      <c r="C2" s="135" t="s">
        <v>4861</v>
      </c>
      <c r="D2" s="135" t="s">
        <v>4881</v>
      </c>
      <c r="E2" s="135" t="s">
        <v>28</v>
      </c>
      <c r="F2" s="49" t="s">
        <v>4858</v>
      </c>
      <c r="G2" s="49" t="s">
        <v>4859</v>
      </c>
      <c r="H2" s="49" t="s">
        <v>4860</v>
      </c>
      <c r="I2" s="50" t="s">
        <v>4856</v>
      </c>
      <c r="J2" s="45" t="s">
        <v>27</v>
      </c>
      <c r="K2" s="45" t="s">
        <v>5</v>
      </c>
      <c r="L2" s="135" t="s">
        <v>4857</v>
      </c>
      <c r="M2" s="49" t="s">
        <v>2</v>
      </c>
      <c r="N2" s="49" t="s">
        <v>1</v>
      </c>
      <c r="O2" s="135" t="s">
        <v>28</v>
      </c>
      <c r="P2" s="135" t="s">
        <v>842</v>
      </c>
    </row>
    <row r="3" spans="1:22" ht="142.5" x14ac:dyDescent="0.25">
      <c r="A3" s="138" t="s">
        <v>4837</v>
      </c>
      <c r="B3" s="139" t="s">
        <v>14</v>
      </c>
      <c r="C3" s="136" t="s">
        <v>4836</v>
      </c>
      <c r="D3" s="136" t="s">
        <v>4906</v>
      </c>
      <c r="E3" s="140" t="s">
        <v>398</v>
      </c>
      <c r="F3" s="141">
        <v>0</v>
      </c>
      <c r="G3" s="141">
        <v>10</v>
      </c>
      <c r="H3" s="141" t="s">
        <v>4911</v>
      </c>
      <c r="J3" s="136"/>
      <c r="K3" s="136"/>
      <c r="L3" s="137"/>
      <c r="M3" s="136"/>
      <c r="N3" s="136"/>
      <c r="O3" s="136"/>
      <c r="P3" s="136"/>
      <c r="Q3" s="136"/>
      <c r="R3" s="136"/>
      <c r="S3" s="136"/>
      <c r="T3" s="136"/>
      <c r="U3" s="136"/>
      <c r="V3" s="136"/>
    </row>
    <row r="4" spans="1:22" ht="28.5" x14ac:dyDescent="0.25">
      <c r="A4" s="138" t="s">
        <v>4841</v>
      </c>
      <c r="B4" s="139" t="s">
        <v>14</v>
      </c>
      <c r="C4" s="136" t="s">
        <v>4840</v>
      </c>
      <c r="D4" s="136" t="s">
        <v>4898</v>
      </c>
      <c r="E4" s="140" t="s">
        <v>398</v>
      </c>
      <c r="F4" s="141">
        <v>0</v>
      </c>
      <c r="G4" s="141">
        <v>8</v>
      </c>
      <c r="H4" s="141" t="s">
        <v>4911</v>
      </c>
      <c r="J4" s="136" t="s">
        <v>385</v>
      </c>
      <c r="K4" s="136"/>
      <c r="L4" s="137"/>
      <c r="M4" s="136"/>
      <c r="N4" s="136"/>
      <c r="O4" s="136"/>
      <c r="P4" s="136"/>
      <c r="Q4" s="136"/>
      <c r="R4" s="136"/>
      <c r="S4" s="136"/>
      <c r="T4" s="136"/>
      <c r="U4" s="136"/>
      <c r="V4" s="136"/>
    </row>
    <row r="5" spans="1:22" ht="42.75" x14ac:dyDescent="0.25">
      <c r="A5" s="138" t="s">
        <v>4839</v>
      </c>
      <c r="B5" s="139" t="s">
        <v>14</v>
      </c>
      <c r="C5" s="136" t="s">
        <v>4838</v>
      </c>
      <c r="D5" s="136" t="s">
        <v>4895</v>
      </c>
      <c r="E5" s="140" t="s">
        <v>398</v>
      </c>
      <c r="F5" s="141">
        <v>0</v>
      </c>
      <c r="G5" s="141">
        <v>8</v>
      </c>
      <c r="H5" s="141" t="s">
        <v>4911</v>
      </c>
      <c r="J5" s="136"/>
      <c r="K5" s="136"/>
      <c r="L5" s="137"/>
      <c r="M5" s="136"/>
      <c r="N5" s="136"/>
      <c r="O5" s="136"/>
      <c r="P5" s="136"/>
      <c r="Q5" s="136"/>
      <c r="R5" s="136"/>
      <c r="S5" s="136"/>
      <c r="T5" s="136"/>
      <c r="U5" s="136"/>
      <c r="V5" s="136"/>
    </row>
    <row r="6" spans="1:22" ht="57" x14ac:dyDescent="0.25">
      <c r="A6" s="138" t="s">
        <v>4835</v>
      </c>
      <c r="B6" s="139" t="s">
        <v>14</v>
      </c>
      <c r="C6" s="136" t="s">
        <v>4834</v>
      </c>
      <c r="D6" s="136" t="s">
        <v>4905</v>
      </c>
      <c r="E6" s="140" t="s">
        <v>398</v>
      </c>
      <c r="F6" s="141">
        <v>0</v>
      </c>
      <c r="G6" s="141">
        <v>10</v>
      </c>
      <c r="H6" s="141" t="s">
        <v>4911</v>
      </c>
      <c r="J6" s="136"/>
      <c r="K6" s="136"/>
      <c r="L6" s="137"/>
      <c r="M6" s="136"/>
      <c r="N6" s="136"/>
      <c r="O6" s="136"/>
      <c r="P6" s="136"/>
      <c r="Q6" s="136"/>
      <c r="R6" s="136"/>
      <c r="S6" s="136"/>
      <c r="T6" s="136"/>
      <c r="U6" s="136"/>
      <c r="V6" s="136"/>
    </row>
    <row r="7" spans="1:22" ht="156.75" x14ac:dyDescent="0.25">
      <c r="A7" s="138" t="s">
        <v>4845</v>
      </c>
      <c r="B7" s="139" t="s">
        <v>14</v>
      </c>
      <c r="C7" s="136" t="s">
        <v>4844</v>
      </c>
      <c r="D7" s="136" t="s">
        <v>4907</v>
      </c>
      <c r="E7" s="140" t="s">
        <v>398</v>
      </c>
      <c r="F7" s="141">
        <v>0</v>
      </c>
      <c r="G7" s="141">
        <v>10</v>
      </c>
      <c r="H7" s="141" t="s">
        <v>4911</v>
      </c>
      <c r="J7" s="136" t="s">
        <v>124</v>
      </c>
      <c r="K7" s="136"/>
      <c r="L7" s="137"/>
      <c r="M7" s="136"/>
      <c r="N7" s="136"/>
      <c r="O7" s="136"/>
      <c r="P7" s="136"/>
      <c r="Q7" s="136"/>
      <c r="R7" s="136"/>
      <c r="S7" s="136"/>
      <c r="T7" s="136"/>
      <c r="U7" s="136"/>
      <c r="V7" s="136"/>
    </row>
    <row r="8" spans="1:22" ht="71.25" x14ac:dyDescent="0.25">
      <c r="A8" s="138" t="s">
        <v>4843</v>
      </c>
      <c r="B8" s="139" t="s">
        <v>14</v>
      </c>
      <c r="C8" s="136" t="s">
        <v>4842</v>
      </c>
      <c r="D8" s="136" t="s">
        <v>4894</v>
      </c>
      <c r="E8" s="140" t="s">
        <v>398</v>
      </c>
      <c r="F8" s="141">
        <v>0</v>
      </c>
      <c r="G8" s="141">
        <v>8</v>
      </c>
      <c r="H8" s="141" t="s">
        <v>4911</v>
      </c>
      <c r="J8" s="136"/>
      <c r="K8" s="136"/>
      <c r="L8" s="137"/>
      <c r="M8" s="136"/>
      <c r="N8" s="136"/>
      <c r="O8" s="136"/>
      <c r="P8" s="136"/>
      <c r="Q8" s="136"/>
      <c r="R8" s="136"/>
      <c r="S8" s="136"/>
      <c r="T8" s="136"/>
      <c r="U8" s="136"/>
      <c r="V8" s="136"/>
    </row>
    <row r="9" spans="1:22" ht="99.75" x14ac:dyDescent="0.25">
      <c r="A9" s="138" t="s">
        <v>4833</v>
      </c>
      <c r="B9" s="139" t="s">
        <v>14</v>
      </c>
      <c r="C9" s="136" t="s">
        <v>4832</v>
      </c>
      <c r="D9" s="136" t="s">
        <v>4899</v>
      </c>
      <c r="E9" s="140" t="s">
        <v>403</v>
      </c>
      <c r="F9" s="141">
        <v>0</v>
      </c>
      <c r="G9" s="141">
        <v>9</v>
      </c>
      <c r="H9" s="141" t="s">
        <v>4911</v>
      </c>
      <c r="J9" s="136"/>
      <c r="K9" s="136"/>
      <c r="L9" s="137"/>
      <c r="M9" s="136"/>
      <c r="N9" s="136"/>
      <c r="O9" s="136"/>
      <c r="P9" s="136"/>
      <c r="Q9" s="136"/>
      <c r="R9" s="136"/>
      <c r="S9" s="136"/>
      <c r="T9" s="136"/>
      <c r="U9" s="136"/>
      <c r="V9" s="136"/>
    </row>
    <row r="10" spans="1:22" ht="99.75" x14ac:dyDescent="0.25">
      <c r="A10" s="138" t="s">
        <v>4831</v>
      </c>
      <c r="B10" s="139" t="s">
        <v>14</v>
      </c>
      <c r="C10" s="136" t="s">
        <v>4830</v>
      </c>
      <c r="D10" s="136" t="s">
        <v>4908</v>
      </c>
      <c r="E10" s="140" t="s">
        <v>403</v>
      </c>
      <c r="F10" s="141">
        <v>0</v>
      </c>
      <c r="G10" s="141">
        <v>10</v>
      </c>
      <c r="H10" s="141" t="s">
        <v>4911</v>
      </c>
      <c r="J10" s="136"/>
      <c r="K10" s="136"/>
      <c r="L10" s="137"/>
      <c r="M10" s="136"/>
      <c r="N10" s="136"/>
      <c r="O10" s="136"/>
      <c r="P10" s="136"/>
      <c r="Q10" s="136"/>
      <c r="R10" s="136"/>
      <c r="S10" s="136"/>
      <c r="T10" s="136"/>
      <c r="U10" s="136"/>
      <c r="V10" s="136"/>
    </row>
    <row r="11" spans="1:22" ht="128.25" x14ac:dyDescent="0.25">
      <c r="A11" s="138" t="s">
        <v>4825</v>
      </c>
      <c r="B11" s="139" t="s">
        <v>14</v>
      </c>
      <c r="C11" s="136" t="s">
        <v>4824</v>
      </c>
      <c r="D11" s="136" t="s">
        <v>4896</v>
      </c>
      <c r="E11" s="140" t="s">
        <v>403</v>
      </c>
      <c r="F11" s="141">
        <v>0</v>
      </c>
      <c r="G11" s="141">
        <v>8</v>
      </c>
      <c r="H11" s="141" t="s">
        <v>4911</v>
      </c>
      <c r="J11" s="136"/>
      <c r="K11" s="136"/>
      <c r="L11" s="137"/>
      <c r="M11" s="136"/>
      <c r="N11" s="136"/>
      <c r="O11" s="136"/>
      <c r="P11" s="136"/>
      <c r="Q11" s="136"/>
      <c r="R11" s="136"/>
      <c r="S11" s="136"/>
      <c r="T11" s="136"/>
      <c r="U11" s="136"/>
      <c r="V11" s="136"/>
    </row>
    <row r="12" spans="1:22" ht="171" x14ac:dyDescent="0.25">
      <c r="A12" s="138" t="s">
        <v>4827</v>
      </c>
      <c r="B12" s="139" t="s">
        <v>14</v>
      </c>
      <c r="C12" s="136" t="s">
        <v>4826</v>
      </c>
      <c r="D12" s="136" t="s">
        <v>4892</v>
      </c>
      <c r="E12" s="140" t="s">
        <v>403</v>
      </c>
      <c r="F12" s="141">
        <v>0</v>
      </c>
      <c r="G12" s="141">
        <v>7</v>
      </c>
      <c r="H12" s="141" t="s">
        <v>4911</v>
      </c>
      <c r="J12" s="136"/>
      <c r="K12" s="136"/>
      <c r="L12" s="137"/>
      <c r="M12" s="136"/>
      <c r="N12" s="136"/>
      <c r="O12" s="136"/>
      <c r="P12" s="136"/>
      <c r="Q12" s="136"/>
      <c r="R12" s="136"/>
      <c r="S12" s="136"/>
      <c r="T12" s="136"/>
      <c r="U12" s="136"/>
      <c r="V12" s="136"/>
    </row>
    <row r="13" spans="1:22" ht="85.5" x14ac:dyDescent="0.25">
      <c r="A13" s="138" t="s">
        <v>4829</v>
      </c>
      <c r="B13" s="139" t="s">
        <v>14</v>
      </c>
      <c r="C13" s="136" t="s">
        <v>4828</v>
      </c>
      <c r="D13" s="136" t="s">
        <v>4886</v>
      </c>
      <c r="E13" s="140" t="s">
        <v>403</v>
      </c>
      <c r="F13" s="141">
        <v>0</v>
      </c>
      <c r="G13" s="141">
        <v>3</v>
      </c>
      <c r="H13" s="141" t="s">
        <v>4818</v>
      </c>
      <c r="J13" s="136"/>
      <c r="K13" s="136"/>
      <c r="L13" s="137"/>
      <c r="M13" s="136"/>
      <c r="N13" s="136"/>
      <c r="O13" s="136"/>
      <c r="P13" s="136"/>
      <c r="Q13" s="136"/>
      <c r="R13" s="136"/>
      <c r="S13" s="136"/>
      <c r="T13" s="136"/>
      <c r="U13" s="136"/>
      <c r="V13" s="136"/>
    </row>
    <row r="14" spans="1:22" x14ac:dyDescent="0.25">
      <c r="A14" s="138" t="s">
        <v>4806</v>
      </c>
      <c r="B14" s="139" t="s">
        <v>14</v>
      </c>
      <c r="C14" s="136" t="s">
        <v>373</v>
      </c>
      <c r="D14" s="136" t="s">
        <v>4889</v>
      </c>
      <c r="E14" s="48" t="s">
        <v>400</v>
      </c>
      <c r="F14" s="141">
        <v>0</v>
      </c>
      <c r="G14" s="141">
        <v>4</v>
      </c>
      <c r="H14" s="141" t="s">
        <v>4911</v>
      </c>
      <c r="J14" s="136" t="s">
        <v>198</v>
      </c>
      <c r="K14" s="136"/>
      <c r="L14" s="137"/>
      <c r="M14" s="136"/>
      <c r="N14" s="136"/>
      <c r="O14" s="136"/>
      <c r="P14" s="136"/>
      <c r="Q14" s="136"/>
      <c r="R14" s="136"/>
      <c r="S14" s="136"/>
      <c r="T14" s="136"/>
      <c r="U14" s="136"/>
      <c r="V14" s="136"/>
    </row>
    <row r="15" spans="1:22" ht="57" x14ac:dyDescent="0.25">
      <c r="A15" s="138" t="s">
        <v>4805</v>
      </c>
      <c r="B15" s="139" t="s">
        <v>14</v>
      </c>
      <c r="C15" s="136" t="s">
        <v>377</v>
      </c>
      <c r="D15" s="136" t="s">
        <v>4903</v>
      </c>
      <c r="E15" s="48" t="s">
        <v>400</v>
      </c>
      <c r="F15" s="141">
        <v>0</v>
      </c>
      <c r="G15" s="141">
        <v>10</v>
      </c>
      <c r="H15" s="141" t="s">
        <v>4911</v>
      </c>
      <c r="J15" s="136" t="s">
        <v>91</v>
      </c>
      <c r="K15" s="136"/>
      <c r="L15" s="137"/>
      <c r="M15" s="136"/>
      <c r="N15" s="136"/>
      <c r="O15" s="136"/>
      <c r="P15" s="136"/>
      <c r="Q15" s="136"/>
      <c r="R15" s="136"/>
      <c r="S15" s="136"/>
      <c r="T15" s="136"/>
      <c r="U15" s="136"/>
      <c r="V15" s="136"/>
    </row>
    <row r="16" spans="1:22" ht="57" x14ac:dyDescent="0.25">
      <c r="A16" s="138" t="s">
        <v>4804</v>
      </c>
      <c r="B16" s="139" t="s">
        <v>14</v>
      </c>
      <c r="C16" s="136" t="s">
        <v>85</v>
      </c>
      <c r="D16" s="136" t="s">
        <v>4887</v>
      </c>
      <c r="E16" s="48" t="s">
        <v>400</v>
      </c>
      <c r="F16" s="141">
        <v>0</v>
      </c>
      <c r="G16" s="141">
        <v>4</v>
      </c>
      <c r="H16" s="141" t="s">
        <v>4911</v>
      </c>
      <c r="J16" s="136" t="s">
        <v>88</v>
      </c>
      <c r="K16" s="136"/>
      <c r="L16" s="137"/>
      <c r="M16" s="136"/>
      <c r="N16" s="136"/>
      <c r="O16" s="136"/>
      <c r="P16" s="136"/>
      <c r="Q16" s="136"/>
      <c r="R16" s="136"/>
      <c r="S16" s="136"/>
      <c r="T16" s="136"/>
      <c r="U16" s="136"/>
      <c r="V16" s="136"/>
    </row>
    <row r="17" spans="1:22" ht="199.5" x14ac:dyDescent="0.25">
      <c r="A17" s="138" t="s">
        <v>4822</v>
      </c>
      <c r="B17" s="139" t="s">
        <v>14</v>
      </c>
      <c r="C17" s="136" t="s">
        <v>355</v>
      </c>
      <c r="D17" s="136" t="s">
        <v>4888</v>
      </c>
      <c r="E17" s="48" t="s">
        <v>400</v>
      </c>
      <c r="F17" s="141">
        <v>0</v>
      </c>
      <c r="G17" s="141">
        <v>4</v>
      </c>
      <c r="H17" s="141" t="s">
        <v>4911</v>
      </c>
      <c r="J17" s="136" t="s">
        <v>4823</v>
      </c>
      <c r="K17" s="136"/>
      <c r="L17" s="137"/>
      <c r="M17" s="136"/>
      <c r="N17" s="136"/>
      <c r="O17" s="136"/>
      <c r="P17" s="136"/>
      <c r="Q17" s="136"/>
      <c r="R17" s="136"/>
      <c r="S17" s="136"/>
      <c r="T17" s="136"/>
      <c r="U17" s="136"/>
      <c r="V17" s="136"/>
    </row>
    <row r="18" spans="1:22" ht="71.25" x14ac:dyDescent="0.25">
      <c r="A18" s="138" t="s">
        <v>4849</v>
      </c>
      <c r="B18" s="139" t="s">
        <v>14</v>
      </c>
      <c r="C18" s="136" t="s">
        <v>4848</v>
      </c>
      <c r="D18" s="136" t="s">
        <v>4901</v>
      </c>
      <c r="E18" s="48" t="s">
        <v>400</v>
      </c>
      <c r="F18" s="141">
        <v>0</v>
      </c>
      <c r="G18" s="141">
        <v>10</v>
      </c>
      <c r="H18" s="141" t="s">
        <v>4911</v>
      </c>
      <c r="J18" s="136" t="s">
        <v>4850</v>
      </c>
      <c r="K18" s="136"/>
      <c r="L18" s="137"/>
      <c r="M18" s="136"/>
      <c r="N18" s="136"/>
      <c r="O18" s="136"/>
      <c r="P18" s="136"/>
      <c r="Q18" s="136"/>
      <c r="R18" s="136"/>
      <c r="S18" s="136"/>
      <c r="T18" s="136"/>
      <c r="U18" s="136"/>
      <c r="V18" s="136"/>
    </row>
    <row r="19" spans="1:22" x14ac:dyDescent="0.25">
      <c r="A19" s="138" t="s">
        <v>4852</v>
      </c>
      <c r="B19" s="139" t="s">
        <v>14</v>
      </c>
      <c r="C19" s="136" t="s">
        <v>4851</v>
      </c>
      <c r="D19" s="136" t="s">
        <v>4902</v>
      </c>
      <c r="E19" s="48" t="s">
        <v>400</v>
      </c>
      <c r="F19" s="141">
        <v>0</v>
      </c>
      <c r="G19" s="141">
        <v>10</v>
      </c>
      <c r="H19" s="141" t="s">
        <v>4818</v>
      </c>
      <c r="J19" s="136"/>
      <c r="K19" s="136"/>
      <c r="L19" s="137"/>
      <c r="M19" s="136"/>
      <c r="N19" s="136"/>
      <c r="O19" s="136"/>
      <c r="P19" s="136"/>
      <c r="Q19" s="136"/>
      <c r="R19" s="136"/>
      <c r="S19" s="136"/>
      <c r="T19" s="136"/>
      <c r="U19" s="136"/>
      <c r="V19" s="136"/>
    </row>
    <row r="20" spans="1:22" ht="57" x14ac:dyDescent="0.25">
      <c r="A20" s="138" t="s">
        <v>4854</v>
      </c>
      <c r="B20" s="139" t="s">
        <v>13</v>
      </c>
      <c r="C20" s="136" t="s">
        <v>4853</v>
      </c>
      <c r="D20" s="136" t="s">
        <v>4893</v>
      </c>
      <c r="E20" s="48" t="s">
        <v>400</v>
      </c>
      <c r="F20" s="141"/>
      <c r="G20" s="141">
        <v>8</v>
      </c>
      <c r="H20" s="141" t="s">
        <v>4911</v>
      </c>
      <c r="J20" s="136" t="s">
        <v>4855</v>
      </c>
      <c r="K20" s="136"/>
      <c r="L20" s="137"/>
      <c r="M20" s="136"/>
      <c r="N20" s="136"/>
      <c r="O20" s="136"/>
      <c r="P20" s="136"/>
      <c r="Q20" s="136"/>
      <c r="R20" s="136"/>
      <c r="S20" s="136"/>
      <c r="T20" s="136"/>
      <c r="U20" s="136"/>
      <c r="V20" s="136"/>
    </row>
    <row r="21" spans="1:22" ht="99.75" x14ac:dyDescent="0.25">
      <c r="A21" s="138" t="s">
        <v>4847</v>
      </c>
      <c r="B21" s="139" t="s">
        <v>14</v>
      </c>
      <c r="C21" s="136" t="s">
        <v>4846</v>
      </c>
      <c r="D21" s="136" t="s">
        <v>4910</v>
      </c>
      <c r="E21" s="48" t="s">
        <v>399</v>
      </c>
      <c r="F21" s="141"/>
      <c r="G21" s="141">
        <v>7</v>
      </c>
      <c r="H21" s="141" t="s">
        <v>4911</v>
      </c>
      <c r="J21" s="136"/>
      <c r="K21" s="136"/>
      <c r="L21" s="137"/>
      <c r="M21" s="136"/>
      <c r="N21" s="136"/>
      <c r="O21" s="136"/>
      <c r="P21" s="136"/>
      <c r="Q21" s="136"/>
      <c r="R21" s="136"/>
      <c r="S21" s="136"/>
      <c r="T21" s="136"/>
      <c r="U21" s="136"/>
      <c r="V21" s="136"/>
    </row>
    <row r="22" spans="1:22" ht="66" customHeight="1" x14ac:dyDescent="0.25">
      <c r="A22" s="138" t="s">
        <v>4808</v>
      </c>
      <c r="B22" s="139" t="s">
        <v>14</v>
      </c>
      <c r="C22" s="136" t="s">
        <v>4807</v>
      </c>
      <c r="D22" s="136" t="s">
        <v>4807</v>
      </c>
      <c r="E22" s="140" t="s">
        <v>402</v>
      </c>
      <c r="F22" s="141"/>
      <c r="G22" s="141">
        <v>10</v>
      </c>
      <c r="H22" s="141" t="s">
        <v>4911</v>
      </c>
      <c r="J22" s="136"/>
      <c r="K22" s="136"/>
      <c r="L22" s="137"/>
      <c r="M22" s="136"/>
      <c r="N22" s="136"/>
      <c r="O22" s="136"/>
      <c r="P22" s="136"/>
      <c r="Q22" s="136"/>
      <c r="R22" s="136"/>
      <c r="S22" s="136"/>
      <c r="T22" s="136"/>
      <c r="U22" s="136"/>
      <c r="V22" s="136"/>
    </row>
    <row r="23" spans="1:22" ht="85.5" x14ac:dyDescent="0.25">
      <c r="A23" s="138" t="s">
        <v>4814</v>
      </c>
      <c r="B23" s="139" t="s">
        <v>14</v>
      </c>
      <c r="C23" s="136" t="s">
        <v>4813</v>
      </c>
      <c r="D23" s="136" t="s">
        <v>4904</v>
      </c>
      <c r="E23" s="140" t="s">
        <v>402</v>
      </c>
      <c r="F23" s="141"/>
      <c r="G23" s="141">
        <v>10</v>
      </c>
      <c r="H23" s="141" t="s">
        <v>4911</v>
      </c>
      <c r="J23" s="136" t="s">
        <v>4815</v>
      </c>
      <c r="K23" s="136"/>
      <c r="L23" s="137"/>
      <c r="M23" s="136"/>
      <c r="N23" s="136"/>
      <c r="O23" s="136"/>
      <c r="P23" s="136"/>
      <c r="Q23" s="136"/>
      <c r="R23" s="136"/>
      <c r="S23" s="136"/>
      <c r="T23" s="136"/>
      <c r="U23" s="136"/>
      <c r="V23" s="136"/>
    </row>
    <row r="24" spans="1:22" ht="114" x14ac:dyDescent="0.25">
      <c r="A24" s="138" t="s">
        <v>4811</v>
      </c>
      <c r="B24" s="139" t="s">
        <v>14</v>
      </c>
      <c r="C24" s="136" t="s">
        <v>4810</v>
      </c>
      <c r="D24" s="136" t="s">
        <v>4810</v>
      </c>
      <c r="E24" s="140" t="s">
        <v>402</v>
      </c>
      <c r="F24" s="141"/>
      <c r="G24" s="141">
        <v>10</v>
      </c>
      <c r="H24" s="141" t="s">
        <v>4911</v>
      </c>
      <c r="J24" s="136" t="s">
        <v>4812</v>
      </c>
      <c r="K24" s="136"/>
      <c r="L24" s="137"/>
      <c r="M24" s="136"/>
      <c r="N24" s="136"/>
      <c r="O24" s="136"/>
      <c r="P24" s="136"/>
      <c r="Q24" s="136"/>
      <c r="R24" s="136"/>
      <c r="S24" s="136"/>
      <c r="T24" s="136"/>
      <c r="U24" s="136"/>
      <c r="V24" s="136"/>
    </row>
    <row r="25" spans="1:22" ht="57" x14ac:dyDescent="0.25">
      <c r="A25" s="138" t="s">
        <v>4820</v>
      </c>
      <c r="B25" s="139" t="s">
        <v>14</v>
      </c>
      <c r="C25" s="136" t="s">
        <v>4819</v>
      </c>
      <c r="D25" s="136" t="s">
        <v>4900</v>
      </c>
      <c r="E25" s="140" t="s">
        <v>402</v>
      </c>
      <c r="F25" s="141"/>
      <c r="G25" s="141">
        <v>10</v>
      </c>
      <c r="H25" s="141" t="s">
        <v>4911</v>
      </c>
      <c r="J25" s="136" t="s">
        <v>4821</v>
      </c>
      <c r="K25" s="136"/>
      <c r="L25" s="137"/>
      <c r="M25" s="136"/>
      <c r="N25" s="136"/>
      <c r="O25" s="136"/>
      <c r="P25" s="136"/>
      <c r="Q25" s="136"/>
      <c r="R25" s="136"/>
      <c r="S25" s="136"/>
      <c r="T25" s="136"/>
      <c r="U25" s="136"/>
      <c r="V25" s="136"/>
    </row>
    <row r="26" spans="1:22" x14ac:dyDescent="0.25">
      <c r="A26" s="138" t="s">
        <v>4817</v>
      </c>
      <c r="B26" s="139" t="s">
        <v>14</v>
      </c>
      <c r="C26" s="136" t="s">
        <v>4816</v>
      </c>
      <c r="D26" s="136" t="s">
        <v>4884</v>
      </c>
      <c r="E26" s="140" t="s">
        <v>402</v>
      </c>
      <c r="F26" s="141"/>
      <c r="G26" s="141">
        <v>2</v>
      </c>
      <c r="H26" s="141" t="s">
        <v>4818</v>
      </c>
      <c r="J26" s="136"/>
      <c r="K26" s="136"/>
      <c r="L26" s="137"/>
      <c r="M26" s="136"/>
      <c r="N26" s="136"/>
      <c r="O26" s="136"/>
      <c r="P26" s="136"/>
      <c r="Q26" s="136"/>
      <c r="R26" s="136"/>
      <c r="S26" s="136"/>
      <c r="T26" s="136"/>
      <c r="U26" s="136"/>
      <c r="V26" s="136"/>
    </row>
    <row r="27" spans="1:22" ht="57" x14ac:dyDescent="0.25">
      <c r="A27" s="138" t="s">
        <v>4864</v>
      </c>
      <c r="B27" s="139" t="s">
        <v>14</v>
      </c>
      <c r="C27" s="136" t="s">
        <v>4865</v>
      </c>
      <c r="D27" s="136" t="s">
        <v>4897</v>
      </c>
      <c r="E27" s="140" t="s">
        <v>4909</v>
      </c>
      <c r="F27" s="141">
        <v>0</v>
      </c>
      <c r="G27" s="141">
        <v>8</v>
      </c>
      <c r="H27" s="141" t="s">
        <v>4911</v>
      </c>
      <c r="J27" s="136" t="s">
        <v>4863</v>
      </c>
      <c r="K27" s="136"/>
      <c r="L27" s="137"/>
      <c r="M27" s="136"/>
      <c r="N27" s="136"/>
      <c r="O27" s="136"/>
      <c r="P27" s="136"/>
      <c r="Q27" s="136"/>
      <c r="R27" s="136"/>
      <c r="S27" s="136"/>
      <c r="T27" s="136"/>
      <c r="U27" s="136"/>
      <c r="V27" s="136"/>
    </row>
    <row r="28" spans="1:22" ht="71.25" x14ac:dyDescent="0.25">
      <c r="A28" s="138" t="s">
        <v>4867</v>
      </c>
      <c r="B28" s="139" t="s">
        <v>14</v>
      </c>
      <c r="C28" s="136" t="s">
        <v>4868</v>
      </c>
      <c r="D28" s="136" t="s">
        <v>4891</v>
      </c>
      <c r="E28" s="140" t="s">
        <v>4909</v>
      </c>
      <c r="F28" s="141">
        <v>0</v>
      </c>
      <c r="G28" s="141">
        <v>5</v>
      </c>
      <c r="H28" s="141" t="s">
        <v>4911</v>
      </c>
      <c r="J28" s="136" t="s">
        <v>4866</v>
      </c>
      <c r="K28" s="136"/>
      <c r="L28" s="137"/>
      <c r="M28" s="136"/>
      <c r="N28" s="136"/>
      <c r="O28" s="136"/>
      <c r="P28" s="136"/>
      <c r="Q28" s="136"/>
      <c r="R28" s="136"/>
      <c r="S28" s="136"/>
      <c r="T28" s="136"/>
      <c r="U28" s="136"/>
      <c r="V28" s="136"/>
    </row>
    <row r="29" spans="1:22" x14ac:dyDescent="0.25">
      <c r="A29" s="138" t="s">
        <v>4876</v>
      </c>
      <c r="B29" s="139" t="s">
        <v>14</v>
      </c>
      <c r="C29" s="136" t="s">
        <v>4877</v>
      </c>
      <c r="D29" s="136" t="s">
        <v>4883</v>
      </c>
      <c r="E29" s="140" t="s">
        <v>4909</v>
      </c>
      <c r="F29" s="141">
        <v>0</v>
      </c>
      <c r="G29" s="141">
        <v>1</v>
      </c>
      <c r="H29" s="141" t="s">
        <v>4818</v>
      </c>
      <c r="J29" s="136" t="s">
        <v>3779</v>
      </c>
      <c r="K29" s="136"/>
      <c r="L29" s="137"/>
      <c r="M29" s="136"/>
      <c r="N29" s="136"/>
      <c r="O29" s="136"/>
      <c r="P29" s="136"/>
      <c r="Q29" s="136"/>
      <c r="R29" s="136"/>
      <c r="S29" s="136"/>
      <c r="T29" s="136"/>
      <c r="U29" s="136"/>
      <c r="V29" s="136"/>
    </row>
    <row r="30" spans="1:22" ht="42.75" x14ac:dyDescent="0.25">
      <c r="A30" s="138" t="s">
        <v>4872</v>
      </c>
      <c r="B30" s="139" t="s">
        <v>13</v>
      </c>
      <c r="C30" s="136" t="s">
        <v>4873</v>
      </c>
      <c r="D30" s="136" t="s">
        <v>4890</v>
      </c>
      <c r="E30" s="140" t="s">
        <v>4909</v>
      </c>
      <c r="F30" s="141">
        <v>0</v>
      </c>
      <c r="G30" s="141">
        <v>4</v>
      </c>
      <c r="H30" s="141" t="s">
        <v>4911</v>
      </c>
      <c r="J30" s="136" t="s">
        <v>4871</v>
      </c>
      <c r="K30" s="136"/>
      <c r="L30" s="137"/>
      <c r="M30" s="136"/>
      <c r="N30" s="136"/>
      <c r="O30" s="136"/>
      <c r="P30" s="136"/>
      <c r="Q30" s="136"/>
      <c r="R30" s="136"/>
      <c r="S30" s="136"/>
      <c r="T30" s="136"/>
      <c r="U30" s="136"/>
      <c r="V30" s="136"/>
    </row>
    <row r="31" spans="1:22" x14ac:dyDescent="0.25">
      <c r="A31" s="138" t="s">
        <v>4878</v>
      </c>
      <c r="B31" s="139" t="s">
        <v>14</v>
      </c>
      <c r="C31" s="136" t="s">
        <v>4879</v>
      </c>
      <c r="D31" s="136" t="s">
        <v>4882</v>
      </c>
      <c r="E31" s="140" t="s">
        <v>4909</v>
      </c>
      <c r="F31" s="141">
        <v>0</v>
      </c>
      <c r="G31" s="141">
        <v>1</v>
      </c>
      <c r="H31" s="141" t="s">
        <v>4911</v>
      </c>
      <c r="J31" s="136"/>
      <c r="K31" s="136"/>
      <c r="L31" s="137"/>
      <c r="M31" s="136"/>
      <c r="N31" s="136"/>
      <c r="O31" s="136"/>
      <c r="P31" s="136"/>
      <c r="Q31" s="136"/>
      <c r="R31" s="136"/>
      <c r="S31" s="136"/>
      <c r="T31" s="136"/>
      <c r="U31" s="136"/>
      <c r="V31" s="136"/>
    </row>
    <row r="32" spans="1:22" x14ac:dyDescent="0.25">
      <c r="A32" s="138" t="s">
        <v>4869</v>
      </c>
      <c r="B32" s="139" t="s">
        <v>14</v>
      </c>
      <c r="C32" s="136" t="s">
        <v>4870</v>
      </c>
      <c r="D32" s="136" t="s">
        <v>4870</v>
      </c>
      <c r="E32" s="140" t="s">
        <v>4909</v>
      </c>
      <c r="F32" s="141"/>
      <c r="G32" s="141">
        <v>5</v>
      </c>
      <c r="H32" s="141" t="s">
        <v>4911</v>
      </c>
      <c r="J32" s="136"/>
      <c r="K32" s="136"/>
      <c r="L32" s="137"/>
      <c r="M32" s="136"/>
      <c r="N32" s="136"/>
      <c r="O32" s="136"/>
      <c r="P32" s="136"/>
      <c r="Q32" s="136"/>
      <c r="R32" s="136"/>
      <c r="S32" s="136"/>
      <c r="T32" s="136"/>
      <c r="U32" s="136"/>
      <c r="V32" s="136"/>
    </row>
    <row r="33" spans="1:22" ht="42.75" x14ac:dyDescent="0.25">
      <c r="A33" s="138" t="s">
        <v>4874</v>
      </c>
      <c r="B33" s="139" t="s">
        <v>14</v>
      </c>
      <c r="C33" s="136" t="s">
        <v>4875</v>
      </c>
      <c r="D33" s="136" t="s">
        <v>4885</v>
      </c>
      <c r="E33" s="140"/>
      <c r="F33" s="141">
        <v>0</v>
      </c>
      <c r="G33" s="141">
        <v>3</v>
      </c>
      <c r="H33" s="141" t="s">
        <v>4818</v>
      </c>
      <c r="J33" s="136"/>
      <c r="K33" s="136"/>
      <c r="L33" s="137"/>
      <c r="M33" s="136"/>
      <c r="N33" s="136"/>
      <c r="O33" s="136"/>
      <c r="P33" s="136"/>
      <c r="Q33" s="136"/>
      <c r="R33" s="136"/>
      <c r="S33" s="136"/>
      <c r="T33" s="136"/>
      <c r="U33" s="136"/>
      <c r="V33" s="136"/>
    </row>
    <row r="34" spans="1:22" x14ac:dyDescent="0.25">
      <c r="F34" s="38"/>
      <c r="G34" s="38"/>
      <c r="H34" s="38"/>
      <c r="M34" s="38"/>
      <c r="N34" s="38"/>
    </row>
    <row r="35" spans="1:22" x14ac:dyDescent="0.25">
      <c r="F35" s="38"/>
      <c r="G35" s="38"/>
      <c r="H35" s="38"/>
      <c r="M35" s="38"/>
      <c r="N35" s="38"/>
    </row>
    <row r="36" spans="1:22" x14ac:dyDescent="0.25">
      <c r="F36" s="38"/>
      <c r="G36" s="38"/>
      <c r="H36" s="38"/>
      <c r="M36" s="38"/>
      <c r="N36" s="38"/>
    </row>
    <row r="37" spans="1:22" x14ac:dyDescent="0.25">
      <c r="F37" s="38"/>
      <c r="G37" s="38"/>
      <c r="H37" s="38"/>
      <c r="M37" s="38"/>
      <c r="N37" s="38"/>
    </row>
    <row r="38" spans="1:22" x14ac:dyDescent="0.25">
      <c r="F38" s="38"/>
      <c r="G38" s="38"/>
      <c r="H38" s="38"/>
      <c r="M38" s="38"/>
      <c r="N38" s="38"/>
    </row>
    <row r="39" spans="1:22" x14ac:dyDescent="0.25">
      <c r="F39" s="38"/>
      <c r="G39" s="38"/>
      <c r="H39" s="38"/>
      <c r="M39" s="38"/>
      <c r="N39" s="38"/>
    </row>
    <row r="40" spans="1:22" x14ac:dyDescent="0.25">
      <c r="F40" s="38"/>
      <c r="G40" s="38"/>
      <c r="H40" s="38"/>
      <c r="M40" s="38"/>
      <c r="N40" s="38"/>
    </row>
    <row r="41" spans="1:22" x14ac:dyDescent="0.25">
      <c r="F41" s="38"/>
      <c r="G41" s="38"/>
      <c r="H41" s="38"/>
      <c r="M41" s="38"/>
      <c r="N41" s="38"/>
    </row>
    <row r="42" spans="1:22" x14ac:dyDescent="0.25">
      <c r="F42" s="38"/>
      <c r="G42" s="38"/>
      <c r="H42" s="38"/>
      <c r="M42" s="38"/>
      <c r="N42" s="38"/>
    </row>
    <row r="43" spans="1:22" x14ac:dyDescent="0.25">
      <c r="F43" s="38"/>
      <c r="G43" s="38"/>
      <c r="H43" s="38"/>
      <c r="M43" s="38"/>
      <c r="N43" s="38"/>
    </row>
    <row r="44" spans="1:22" x14ac:dyDescent="0.25">
      <c r="F44" s="38"/>
      <c r="G44" s="38"/>
      <c r="H44" s="38"/>
      <c r="M44" s="38"/>
      <c r="N44" s="38"/>
    </row>
    <row r="45" spans="1:22" x14ac:dyDescent="0.25">
      <c r="F45" s="38"/>
      <c r="G45" s="38"/>
      <c r="H45" s="38"/>
      <c r="M45" s="38"/>
      <c r="N45" s="38"/>
    </row>
    <row r="46" spans="1:22" x14ac:dyDescent="0.25">
      <c r="F46" s="38"/>
      <c r="G46" s="38"/>
      <c r="H46" s="38"/>
      <c r="M46" s="38"/>
      <c r="N46" s="38"/>
    </row>
    <row r="47" spans="1:22" x14ac:dyDescent="0.25">
      <c r="F47" s="38"/>
      <c r="G47" s="38"/>
      <c r="H47" s="38"/>
      <c r="M47" s="38"/>
      <c r="N47" s="38"/>
    </row>
    <row r="48" spans="1:22" x14ac:dyDescent="0.25">
      <c r="F48" s="38"/>
      <c r="G48" s="38"/>
      <c r="H48" s="38"/>
      <c r="M48" s="38"/>
      <c r="N48" s="38"/>
    </row>
    <row r="49" spans="6:14" x14ac:dyDescent="0.25">
      <c r="F49" s="38"/>
      <c r="G49" s="38"/>
      <c r="H49" s="38"/>
      <c r="M49" s="38"/>
      <c r="N49" s="38"/>
    </row>
    <row r="50" spans="6:14" x14ac:dyDescent="0.25">
      <c r="F50" s="38"/>
      <c r="G50" s="38"/>
      <c r="H50" s="38"/>
      <c r="M50" s="38"/>
      <c r="N50" s="38"/>
    </row>
    <row r="51" spans="6:14" x14ac:dyDescent="0.25">
      <c r="F51" s="38"/>
      <c r="G51" s="38"/>
      <c r="H51" s="38"/>
      <c r="M51" s="38"/>
      <c r="N51" s="38"/>
    </row>
    <row r="52" spans="6:14" x14ac:dyDescent="0.25">
      <c r="F52" s="38"/>
      <c r="G52" s="38"/>
      <c r="H52" s="38"/>
      <c r="M52" s="38"/>
      <c r="N52" s="38"/>
    </row>
    <row r="53" spans="6:14" x14ac:dyDescent="0.25">
      <c r="F53" s="38"/>
      <c r="G53" s="38"/>
      <c r="H53" s="38"/>
      <c r="M53" s="38"/>
      <c r="N53" s="38"/>
    </row>
    <row r="54" spans="6:14" x14ac:dyDescent="0.25">
      <c r="F54" s="38"/>
      <c r="G54" s="38"/>
      <c r="H54" s="38"/>
      <c r="M54" s="38"/>
      <c r="N54" s="38"/>
    </row>
    <row r="55" spans="6:14" x14ac:dyDescent="0.25">
      <c r="F55" s="38"/>
      <c r="G55" s="38"/>
      <c r="H55" s="38"/>
      <c r="M55" s="38"/>
      <c r="N55" s="38"/>
    </row>
    <row r="56" spans="6:14" x14ac:dyDescent="0.25">
      <c r="F56" s="38"/>
      <c r="G56" s="38"/>
      <c r="H56" s="38"/>
      <c r="M56" s="38"/>
      <c r="N56" s="38"/>
    </row>
    <row r="57" spans="6:14" x14ac:dyDescent="0.25">
      <c r="F57" s="38"/>
      <c r="G57" s="38"/>
      <c r="H57" s="38"/>
      <c r="M57" s="38"/>
      <c r="N57" s="38"/>
    </row>
    <row r="58" spans="6:14" x14ac:dyDescent="0.25">
      <c r="F58" s="38"/>
      <c r="G58" s="38"/>
      <c r="H58" s="38"/>
      <c r="M58" s="38"/>
      <c r="N58" s="38"/>
    </row>
    <row r="59" spans="6:14" x14ac:dyDescent="0.25">
      <c r="F59" s="38"/>
      <c r="G59" s="38"/>
      <c r="H59" s="38"/>
      <c r="M59" s="38"/>
      <c r="N59" s="38"/>
    </row>
    <row r="60" spans="6:14" x14ac:dyDescent="0.25">
      <c r="F60" s="38"/>
      <c r="G60" s="38"/>
      <c r="H60" s="38"/>
      <c r="M60" s="38"/>
      <c r="N60" s="38"/>
    </row>
    <row r="61" spans="6:14" x14ac:dyDescent="0.25">
      <c r="F61" s="38"/>
      <c r="G61" s="38"/>
      <c r="H61" s="38"/>
      <c r="M61" s="38"/>
      <c r="N61" s="38"/>
    </row>
    <row r="62" spans="6:14" x14ac:dyDescent="0.25">
      <c r="F62" s="38"/>
      <c r="G62" s="38"/>
      <c r="H62" s="38"/>
      <c r="M62" s="38"/>
      <c r="N62" s="38"/>
    </row>
    <row r="63" spans="6:14" x14ac:dyDescent="0.25">
      <c r="F63" s="38"/>
      <c r="G63" s="38"/>
      <c r="H63" s="38"/>
      <c r="M63" s="38"/>
      <c r="N63" s="38"/>
    </row>
    <row r="64" spans="6:14" x14ac:dyDescent="0.25">
      <c r="F64" s="38"/>
      <c r="G64" s="38"/>
      <c r="H64" s="38"/>
      <c r="M64" s="38"/>
      <c r="N64" s="38"/>
    </row>
    <row r="65" spans="6:14" x14ac:dyDescent="0.25">
      <c r="F65" s="38"/>
      <c r="G65" s="38"/>
      <c r="H65" s="38"/>
      <c r="M65" s="38"/>
      <c r="N65" s="38"/>
    </row>
    <row r="66" spans="6:14" x14ac:dyDescent="0.25">
      <c r="F66" s="38"/>
      <c r="G66" s="38"/>
      <c r="H66" s="38"/>
      <c r="M66" s="38"/>
      <c r="N66" s="38"/>
    </row>
    <row r="67" spans="6:14" x14ac:dyDescent="0.25">
      <c r="F67" s="38"/>
      <c r="G67" s="38"/>
      <c r="H67" s="38"/>
      <c r="M67" s="38"/>
      <c r="N67" s="38"/>
    </row>
    <row r="68" spans="6:14" x14ac:dyDescent="0.25">
      <c r="F68" s="38"/>
      <c r="G68" s="38"/>
      <c r="H68" s="38"/>
      <c r="M68" s="38"/>
      <c r="N68" s="38"/>
    </row>
    <row r="69" spans="6:14" x14ac:dyDescent="0.25">
      <c r="F69" s="38"/>
      <c r="G69" s="38"/>
      <c r="H69" s="38"/>
      <c r="M69" s="38"/>
      <c r="N69" s="38"/>
    </row>
    <row r="70" spans="6:14" x14ac:dyDescent="0.25">
      <c r="F70" s="38"/>
      <c r="G70" s="38"/>
      <c r="H70" s="38"/>
      <c r="M70" s="38"/>
      <c r="N70" s="38"/>
    </row>
    <row r="71" spans="6:14" x14ac:dyDescent="0.25">
      <c r="F71" s="38"/>
      <c r="G71" s="38"/>
      <c r="H71" s="38"/>
      <c r="M71" s="38"/>
      <c r="N71" s="38"/>
    </row>
    <row r="72" spans="6:14" x14ac:dyDescent="0.25">
      <c r="F72" s="38"/>
      <c r="G72" s="38"/>
      <c r="H72" s="38"/>
      <c r="M72" s="38"/>
      <c r="N72" s="38"/>
    </row>
    <row r="73" spans="6:14" x14ac:dyDescent="0.25">
      <c r="F73" s="38"/>
      <c r="G73" s="38"/>
      <c r="H73" s="38"/>
      <c r="M73" s="38"/>
      <c r="N73" s="38"/>
    </row>
    <row r="74" spans="6:14" x14ac:dyDescent="0.25">
      <c r="F74" s="38"/>
      <c r="G74" s="38"/>
      <c r="H74" s="38"/>
      <c r="M74" s="38"/>
      <c r="N74" s="38"/>
    </row>
    <row r="75" spans="6:14" x14ac:dyDescent="0.25">
      <c r="F75" s="38"/>
      <c r="G75" s="38"/>
      <c r="H75" s="38"/>
      <c r="M75" s="38"/>
      <c r="N75" s="38"/>
    </row>
    <row r="76" spans="6:14" x14ac:dyDescent="0.25">
      <c r="F76" s="38"/>
      <c r="G76" s="38"/>
      <c r="H76" s="38"/>
      <c r="M76" s="38"/>
      <c r="N76" s="38"/>
    </row>
    <row r="77" spans="6:14" x14ac:dyDescent="0.25">
      <c r="F77" s="38"/>
      <c r="G77" s="38"/>
      <c r="H77" s="38"/>
      <c r="M77" s="38"/>
      <c r="N77" s="38"/>
    </row>
    <row r="78" spans="6:14" x14ac:dyDescent="0.25">
      <c r="F78" s="38"/>
      <c r="G78" s="38"/>
      <c r="H78" s="38"/>
      <c r="M78" s="38"/>
      <c r="N78" s="38"/>
    </row>
    <row r="79" spans="6:14" x14ac:dyDescent="0.25">
      <c r="F79" s="38"/>
      <c r="G79" s="38"/>
      <c r="H79" s="38"/>
      <c r="M79" s="38"/>
      <c r="N79" s="38"/>
    </row>
    <row r="80" spans="6:14" x14ac:dyDescent="0.25">
      <c r="F80" s="38"/>
      <c r="G80" s="38"/>
      <c r="H80" s="38"/>
      <c r="M80" s="38"/>
      <c r="N80" s="38"/>
    </row>
    <row r="81" spans="6:14" x14ac:dyDescent="0.25">
      <c r="F81" s="38"/>
      <c r="G81" s="38"/>
      <c r="H81" s="38"/>
      <c r="M81" s="38"/>
      <c r="N81" s="38"/>
    </row>
    <row r="82" spans="6:14" x14ac:dyDescent="0.25">
      <c r="F82" s="38"/>
      <c r="G82" s="38"/>
      <c r="H82" s="38"/>
      <c r="M82" s="38"/>
      <c r="N82" s="38"/>
    </row>
    <row r="83" spans="6:14" x14ac:dyDescent="0.25">
      <c r="F83" s="38"/>
      <c r="G83" s="38"/>
      <c r="H83" s="38"/>
      <c r="M83" s="38"/>
      <c r="N83" s="38"/>
    </row>
    <row r="84" spans="6:14" x14ac:dyDescent="0.25">
      <c r="F84" s="38"/>
      <c r="G84" s="38"/>
      <c r="H84" s="38"/>
      <c r="M84" s="38"/>
      <c r="N84" s="38"/>
    </row>
    <row r="85" spans="6:14" x14ac:dyDescent="0.25">
      <c r="F85" s="38"/>
      <c r="G85" s="38"/>
      <c r="H85" s="38"/>
      <c r="M85" s="38"/>
      <c r="N85" s="38"/>
    </row>
    <row r="86" spans="6:14" x14ac:dyDescent="0.25">
      <c r="F86" s="38"/>
      <c r="G86" s="38"/>
      <c r="H86" s="38"/>
      <c r="M86" s="38"/>
      <c r="N86" s="38"/>
    </row>
    <row r="87" spans="6:14" x14ac:dyDescent="0.25">
      <c r="F87" s="38"/>
      <c r="G87" s="38"/>
      <c r="H87" s="38"/>
      <c r="M87" s="38"/>
      <c r="N87" s="38"/>
    </row>
    <row r="88" spans="6:14" x14ac:dyDescent="0.25">
      <c r="F88" s="38"/>
      <c r="G88" s="38"/>
      <c r="H88" s="38"/>
      <c r="M88" s="38"/>
      <c r="N88" s="38"/>
    </row>
    <row r="89" spans="6:14" x14ac:dyDescent="0.25">
      <c r="F89" s="38"/>
      <c r="G89" s="38"/>
      <c r="H89" s="38"/>
      <c r="M89" s="38"/>
      <c r="N89" s="38"/>
    </row>
    <row r="90" spans="6:14" x14ac:dyDescent="0.25">
      <c r="F90" s="38"/>
      <c r="G90" s="38"/>
      <c r="H90" s="38"/>
      <c r="M90" s="38"/>
      <c r="N90" s="38"/>
    </row>
    <row r="91" spans="6:14" x14ac:dyDescent="0.25">
      <c r="F91" s="38"/>
      <c r="G91" s="38"/>
      <c r="H91" s="38"/>
      <c r="M91" s="38"/>
      <c r="N91" s="38"/>
    </row>
    <row r="92" spans="6:14" x14ac:dyDescent="0.25">
      <c r="F92" s="38"/>
      <c r="G92" s="38"/>
      <c r="H92" s="38"/>
      <c r="M92" s="38"/>
      <c r="N92" s="38"/>
    </row>
    <row r="93" spans="6:14" x14ac:dyDescent="0.25">
      <c r="F93" s="38"/>
      <c r="G93" s="38"/>
      <c r="H93" s="38"/>
      <c r="M93" s="38"/>
      <c r="N93" s="38"/>
    </row>
    <row r="94" spans="6:14" x14ac:dyDescent="0.25">
      <c r="F94" s="38"/>
      <c r="G94" s="38"/>
      <c r="H94" s="38"/>
      <c r="M94" s="38"/>
      <c r="N94" s="38"/>
    </row>
    <row r="95" spans="6:14" x14ac:dyDescent="0.25">
      <c r="F95" s="38"/>
      <c r="G95" s="38"/>
      <c r="H95" s="38"/>
      <c r="M95" s="38"/>
      <c r="N95" s="38"/>
    </row>
    <row r="96" spans="6:14" x14ac:dyDescent="0.25">
      <c r="F96" s="38"/>
      <c r="G96" s="38"/>
      <c r="H96" s="38"/>
      <c r="M96" s="38"/>
      <c r="N96" s="38"/>
    </row>
    <row r="97" spans="6:14" x14ac:dyDescent="0.25">
      <c r="F97" s="38"/>
      <c r="G97" s="38"/>
      <c r="H97" s="38"/>
      <c r="M97" s="38"/>
      <c r="N97" s="38"/>
    </row>
    <row r="98" spans="6:14" x14ac:dyDescent="0.25">
      <c r="F98" s="38"/>
      <c r="G98" s="38"/>
      <c r="H98" s="38"/>
      <c r="M98" s="38"/>
      <c r="N98" s="38"/>
    </row>
    <row r="99" spans="6:14" x14ac:dyDescent="0.25">
      <c r="M99" s="38"/>
      <c r="N99" s="38"/>
    </row>
    <row r="100" spans="6:14" x14ac:dyDescent="0.25">
      <c r="M100" s="38"/>
      <c r="N100" s="38"/>
    </row>
    <row r="101" spans="6:14" x14ac:dyDescent="0.25">
      <c r="M101" s="38"/>
      <c r="N101" s="38"/>
    </row>
    <row r="102" spans="6:14" x14ac:dyDescent="0.25">
      <c r="M102" s="38"/>
      <c r="N102" s="38"/>
    </row>
    <row r="103" spans="6:14" x14ac:dyDescent="0.25">
      <c r="M103" s="38"/>
      <c r="N103" s="38"/>
    </row>
    <row r="104" spans="6:14" x14ac:dyDescent="0.25">
      <c r="M104" s="38"/>
      <c r="N104" s="38"/>
    </row>
    <row r="105" spans="6:14" x14ac:dyDescent="0.25">
      <c r="M105" s="38"/>
      <c r="N105" s="38"/>
    </row>
    <row r="106" spans="6:14" x14ac:dyDescent="0.25">
      <c r="M106" s="38"/>
      <c r="N106" s="38"/>
    </row>
    <row r="107" spans="6:14" x14ac:dyDescent="0.25">
      <c r="M107" s="38"/>
      <c r="N107" s="38"/>
    </row>
    <row r="108" spans="6:14" x14ac:dyDescent="0.25">
      <c r="M108" s="38"/>
      <c r="N108" s="38"/>
    </row>
    <row r="109" spans="6:14" x14ac:dyDescent="0.25">
      <c r="M109" s="38"/>
      <c r="N109" s="38"/>
    </row>
    <row r="110" spans="6:14" x14ac:dyDescent="0.25">
      <c r="M110" s="38"/>
      <c r="N110" s="38"/>
    </row>
    <row r="111" spans="6:14" x14ac:dyDescent="0.25">
      <c r="M111" s="38"/>
      <c r="N111" s="38"/>
    </row>
    <row r="112" spans="6:14" x14ac:dyDescent="0.25">
      <c r="M112" s="38"/>
      <c r="N112" s="38"/>
    </row>
    <row r="113" spans="13:14" x14ac:dyDescent="0.25">
      <c r="M113" s="38"/>
      <c r="N113" s="38"/>
    </row>
    <row r="114" spans="13:14" x14ac:dyDescent="0.25">
      <c r="M114" s="38"/>
      <c r="N114" s="38"/>
    </row>
    <row r="115" spans="13:14" x14ac:dyDescent="0.25">
      <c r="M115" s="38"/>
      <c r="N115" s="38"/>
    </row>
    <row r="116" spans="13:14" x14ac:dyDescent="0.25">
      <c r="M116" s="38"/>
      <c r="N116" s="38"/>
    </row>
  </sheetData>
  <sortState ref="A3:P33">
    <sortCondition ref="E3:E33"/>
  </sortState>
  <hyperlinks>
    <hyperlink ref="A31" r:id="rId1" display="https://webgate.ec.europa.eu/CITnet/jira/browse/MWP-576"/>
    <hyperlink ref="A29" r:id="rId2" display="https://webgate.ec.europa.eu/CITnet/jira/browse/MWP-559"/>
    <hyperlink ref="A26" r:id="rId3" display="https://webgate.ec.europa.eu/CITnet/jira/browse/CCINFRAEC-6"/>
    <hyperlink ref="A33" r:id="rId4" display="https://webgate.ec.europa.eu/CITnet/jira/browse/RDIS2CC-10"/>
    <hyperlink ref="A13" r:id="rId5" display="https://webgate.ec.europa.eu/CITnet/jira/browse/CCPMO-70"/>
    <hyperlink ref="A16" r:id="rId6" display="https://webgate.ec.europa.eu/CITnet/jira/browse/CCADMIN-41"/>
    <hyperlink ref="A17" r:id="rId7" display="https://webgate.ec.europa.eu/CITnet/jira/browse/INTERCOM-51"/>
    <hyperlink ref="A14" r:id="rId8" display="https://webgate.ec.europa.eu/CITnet/jira/browse/CCADMIN-39"/>
    <hyperlink ref="A30" r:id="rId9" display="https://webgate.ec.europa.eu/CITnet/jira/browse/MWP-563"/>
    <hyperlink ref="A32" r:id="rId10" display="https://webgate.ec.europa.eu/CITnet/jira/browse/MWP-577"/>
    <hyperlink ref="A28" r:id="rId11" display="https://webgate.ec.europa.eu/CITnet/jira/browse/MWP-558"/>
    <hyperlink ref="A21" r:id="rId12" display="https://webgate.ec.europa.eu/CITnet/jira/browse/CCTASK-544"/>
    <hyperlink ref="A12" r:id="rId13" display="https://webgate.ec.europa.eu/CITnet/jira/browse/CCPMO-69"/>
    <hyperlink ref="A20" r:id="rId14" display="https://webgate.ec.europa.eu/CITnet/jira/browse/CCADMIN-50"/>
    <hyperlink ref="A8" r:id="rId15" display="https://webgate.ec.europa.eu/CITnet/jira/browse/PROCESS-105"/>
    <hyperlink ref="A5" r:id="rId16" display="https://webgate.ec.europa.eu/CITnet/jira/browse/PFM-136"/>
    <hyperlink ref="A11" r:id="rId17" display="https://webgate.ec.europa.eu/CITnet/jira/browse/CCPMO-68"/>
    <hyperlink ref="A27" r:id="rId18" display="https://webgate.ec.europa.eu/CITnet/jira/browse/MWP-557"/>
    <hyperlink ref="A4" r:id="rId19" display="https://webgate.ec.europa.eu/CITnet/jira/browse/PFM-135"/>
    <hyperlink ref="A9" r:id="rId20" display="https://webgate.ec.europa.eu/CITnet/jira/browse/CCPMO-66"/>
    <hyperlink ref="A25" r:id="rId21" display="https://webgate.ec.europa.eu/CITnet/jira/browse/CCINFRAEC-5"/>
    <hyperlink ref="A22" r:id="rId22" display="https://webgate.ec.europa.eu/CITnet/jira/browse/CCARCHITEC-46"/>
    <hyperlink ref="A24" r:id="rId23" display="https://webgate.ec.europa.eu/CITnet/jira/browse/CCARCHITEC-64"/>
    <hyperlink ref="A18" r:id="rId24" display="https://webgate.ec.europa.eu/CITnet/jira/browse/WAVECC-39"/>
    <hyperlink ref="A19" r:id="rId25" display="https://webgate.ec.europa.eu/CITnet/jira/browse/WAVECC-41"/>
    <hyperlink ref="A15" r:id="rId26" display="https://webgate.ec.europa.eu/CITnet/jira/browse/CCADMIN-40"/>
    <hyperlink ref="A23" r:id="rId27" display="https://webgate.ec.europa.eu/CITnet/jira/browse/CCARCHITEC-62"/>
    <hyperlink ref="A6" r:id="rId28" display="https://webgate.ec.europa.eu/CITnet/jira/browse/PFM-137"/>
    <hyperlink ref="A3" r:id="rId29" display="https://webgate.ec.europa.eu/CITnet/jira/browse/PFM-134"/>
    <hyperlink ref="A7" r:id="rId30" display="https://webgate.ec.europa.eu/CITnet/jira/browse/PROCESS-104"/>
    <hyperlink ref="A10" r:id="rId31" display="https://webgate.ec.europa.eu/CITnet/jira/browse/CCPMO-67"/>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00B050"/>
  </sheetPr>
  <dimension ref="A1:M118"/>
  <sheetViews>
    <sheetView topLeftCell="A10" workbookViewId="0">
      <selection activeCell="B26" sqref="B26"/>
    </sheetView>
  </sheetViews>
  <sheetFormatPr defaultRowHeight="15.75" x14ac:dyDescent="0.25"/>
  <cols>
    <col min="1" max="1" width="16.375" customWidth="1"/>
    <col min="2" max="2" width="25.375" style="48" customWidth="1"/>
    <col min="3" max="3" width="56.5" customWidth="1"/>
    <col min="4" max="4" width="8.375" customWidth="1"/>
    <col min="5" max="5" width="7.75" customWidth="1"/>
    <col min="6" max="6" width="15.375" customWidth="1"/>
    <col min="7" max="7" width="9.125" customWidth="1"/>
    <col min="8" max="8" width="7.625" customWidth="1"/>
    <col min="9" max="9" width="12" style="46" customWidth="1"/>
    <col min="10" max="10" width="13.5" style="38" customWidth="1"/>
    <col min="11" max="11" width="53.125" customWidth="1"/>
    <col min="12" max="12" width="7.375" customWidth="1"/>
    <col min="13" max="13" width="7.5" customWidth="1"/>
  </cols>
  <sheetData>
    <row r="1" spans="1:13" x14ac:dyDescent="0.25">
      <c r="D1" s="38">
        <f>SUM(D3:D220)</f>
        <v>0</v>
      </c>
      <c r="E1" s="38">
        <f>SUM(E3:E220)</f>
        <v>0</v>
      </c>
      <c r="F1" s="38"/>
      <c r="G1" s="38"/>
      <c r="H1" s="38"/>
      <c r="I1" s="48"/>
      <c r="K1" s="38"/>
      <c r="L1" s="38">
        <f>SUM(L3:L220)</f>
        <v>0</v>
      </c>
      <c r="M1" s="38">
        <f>SUM(M3:M220)</f>
        <v>0</v>
      </c>
    </row>
    <row r="2" spans="1:13" ht="102" customHeight="1" x14ac:dyDescent="0.35">
      <c r="A2" s="40" t="s">
        <v>27</v>
      </c>
      <c r="B2" s="45" t="s">
        <v>5</v>
      </c>
      <c r="C2" s="2" t="s">
        <v>839</v>
      </c>
      <c r="D2" s="49" t="s">
        <v>2</v>
      </c>
      <c r="E2" s="49" t="s">
        <v>1</v>
      </c>
      <c r="F2" s="2" t="s">
        <v>28</v>
      </c>
      <c r="G2" s="2" t="s">
        <v>842</v>
      </c>
      <c r="H2" s="50" t="s">
        <v>840</v>
      </c>
      <c r="I2" s="47" t="s">
        <v>27</v>
      </c>
      <c r="J2" s="40" t="s">
        <v>5</v>
      </c>
      <c r="K2" s="2" t="s">
        <v>841</v>
      </c>
      <c r="L2" s="49" t="s">
        <v>2</v>
      </c>
      <c r="M2" s="49" t="s">
        <v>1</v>
      </c>
    </row>
    <row r="3" spans="1:13" x14ac:dyDescent="0.25">
      <c r="A3" t="s">
        <v>69</v>
      </c>
      <c r="B3" s="48" t="s">
        <v>843</v>
      </c>
      <c r="C3" t="s">
        <v>68</v>
      </c>
      <c r="D3" s="38">
        <v>0</v>
      </c>
      <c r="E3" s="38">
        <v>0</v>
      </c>
      <c r="F3" t="s">
        <v>399</v>
      </c>
      <c r="G3">
        <v>0</v>
      </c>
      <c r="L3" s="38"/>
      <c r="M3" s="38"/>
    </row>
    <row r="4" spans="1:13" x14ac:dyDescent="0.25">
      <c r="A4" t="s">
        <v>215</v>
      </c>
      <c r="B4" s="48" t="s">
        <v>846</v>
      </c>
      <c r="C4" t="s">
        <v>214</v>
      </c>
      <c r="D4" s="38">
        <v>0</v>
      </c>
      <c r="E4" s="38">
        <v>0</v>
      </c>
      <c r="F4" t="s">
        <v>411</v>
      </c>
      <c r="G4">
        <v>0</v>
      </c>
      <c r="L4" s="38"/>
      <c r="M4" s="38"/>
    </row>
    <row r="5" spans="1:13" x14ac:dyDescent="0.25">
      <c r="A5" t="s">
        <v>82</v>
      </c>
      <c r="B5" s="48" t="s">
        <v>844</v>
      </c>
      <c r="C5" t="s">
        <v>81</v>
      </c>
      <c r="D5" s="38">
        <v>0</v>
      </c>
      <c r="E5" s="38">
        <v>0</v>
      </c>
      <c r="F5" t="s">
        <v>399</v>
      </c>
      <c r="G5">
        <v>0</v>
      </c>
      <c r="L5" s="38"/>
      <c r="M5" s="38"/>
    </row>
    <row r="6" spans="1:13" x14ac:dyDescent="0.25">
      <c r="A6" t="s">
        <v>110</v>
      </c>
      <c r="B6" s="48" t="s">
        <v>845</v>
      </c>
      <c r="C6" t="s">
        <v>115</v>
      </c>
      <c r="D6" s="38">
        <v>0</v>
      </c>
      <c r="E6" s="38">
        <v>0</v>
      </c>
      <c r="F6" t="s">
        <v>398</v>
      </c>
      <c r="G6">
        <v>0</v>
      </c>
      <c r="L6" s="38"/>
      <c r="M6" s="38"/>
    </row>
    <row r="7" spans="1:13" x14ac:dyDescent="0.25">
      <c r="A7" t="s">
        <v>118</v>
      </c>
      <c r="B7" s="48" t="s">
        <v>846</v>
      </c>
      <c r="C7" t="s">
        <v>117</v>
      </c>
      <c r="D7" s="38">
        <v>0</v>
      </c>
      <c r="E7" s="38">
        <v>0</v>
      </c>
      <c r="F7" t="s">
        <v>398</v>
      </c>
      <c r="G7">
        <v>0</v>
      </c>
      <c r="L7" s="38"/>
      <c r="M7" s="38"/>
    </row>
    <row r="8" spans="1:13" x14ac:dyDescent="0.25">
      <c r="A8" t="s">
        <v>121</v>
      </c>
      <c r="B8" s="48" t="s">
        <v>846</v>
      </c>
      <c r="C8" t="s">
        <v>120</v>
      </c>
      <c r="D8" s="38">
        <v>0</v>
      </c>
      <c r="E8" s="38">
        <v>0</v>
      </c>
      <c r="F8" t="s">
        <v>398</v>
      </c>
      <c r="G8">
        <v>0</v>
      </c>
      <c r="L8" s="38"/>
      <c r="M8" s="38"/>
    </row>
    <row r="9" spans="1:13" x14ac:dyDescent="0.25">
      <c r="A9" t="s">
        <v>4795</v>
      </c>
      <c r="B9" s="48" t="s">
        <v>844</v>
      </c>
      <c r="C9" t="s">
        <v>4796</v>
      </c>
      <c r="D9" s="38">
        <v>0</v>
      </c>
      <c r="E9" s="38">
        <v>0</v>
      </c>
      <c r="F9" t="s">
        <v>399</v>
      </c>
      <c r="G9">
        <v>0</v>
      </c>
      <c r="L9" s="38"/>
      <c r="M9" s="38"/>
    </row>
    <row r="10" spans="1:13" x14ac:dyDescent="0.25">
      <c r="A10" t="s">
        <v>290</v>
      </c>
      <c r="B10" s="48" t="s">
        <v>845</v>
      </c>
      <c r="C10" t="s">
        <v>289</v>
      </c>
      <c r="D10" s="38">
        <v>0</v>
      </c>
      <c r="E10" s="38">
        <v>0</v>
      </c>
      <c r="F10" t="s">
        <v>399</v>
      </c>
      <c r="G10">
        <v>0</v>
      </c>
      <c r="L10" s="38"/>
      <c r="M10" s="38"/>
    </row>
    <row r="11" spans="1:13" x14ac:dyDescent="0.25">
      <c r="A11" t="s">
        <v>218</v>
      </c>
      <c r="B11" s="48" t="s">
        <v>844</v>
      </c>
      <c r="C11" t="s">
        <v>217</v>
      </c>
      <c r="D11" s="38">
        <v>0</v>
      </c>
      <c r="E11" s="38">
        <v>0</v>
      </c>
      <c r="F11" t="s">
        <v>399</v>
      </c>
      <c r="G11">
        <v>0</v>
      </c>
      <c r="L11" s="38"/>
      <c r="M11" s="38"/>
    </row>
    <row r="12" spans="1:13" x14ac:dyDescent="0.25">
      <c r="A12" t="s">
        <v>4790</v>
      </c>
      <c r="B12" s="48" t="s">
        <v>844</v>
      </c>
      <c r="C12" t="s">
        <v>4791</v>
      </c>
      <c r="D12" s="38">
        <v>0</v>
      </c>
      <c r="E12" s="38">
        <v>0</v>
      </c>
      <c r="F12" t="s">
        <v>399</v>
      </c>
      <c r="G12">
        <v>0</v>
      </c>
      <c r="L12" s="38"/>
      <c r="M12" s="38"/>
    </row>
    <row r="13" spans="1:13" x14ac:dyDescent="0.25">
      <c r="A13" t="s">
        <v>222</v>
      </c>
      <c r="B13" s="48" t="s">
        <v>844</v>
      </c>
      <c r="C13" t="s">
        <v>221</v>
      </c>
      <c r="D13" s="38">
        <v>0</v>
      </c>
      <c r="E13" s="38">
        <v>0</v>
      </c>
      <c r="F13" t="s">
        <v>399</v>
      </c>
      <c r="G13">
        <v>0</v>
      </c>
      <c r="L13" s="38"/>
      <c r="M13" s="38"/>
    </row>
    <row r="14" spans="1:13" x14ac:dyDescent="0.25">
      <c r="A14" t="s">
        <v>225</v>
      </c>
      <c r="B14" s="48" t="s">
        <v>844</v>
      </c>
      <c r="C14" t="s">
        <v>224</v>
      </c>
      <c r="D14" s="38">
        <v>0</v>
      </c>
      <c r="E14" s="38">
        <v>0</v>
      </c>
      <c r="F14" t="s">
        <v>399</v>
      </c>
      <c r="G14">
        <v>0</v>
      </c>
      <c r="L14" s="38"/>
      <c r="M14" s="38"/>
    </row>
    <row r="15" spans="1:13" x14ac:dyDescent="0.25">
      <c r="A15" t="s">
        <v>228</v>
      </c>
      <c r="B15" s="48" t="s">
        <v>844</v>
      </c>
      <c r="C15" t="s">
        <v>227</v>
      </c>
      <c r="D15" s="38">
        <v>0</v>
      </c>
      <c r="E15" s="38">
        <v>0</v>
      </c>
      <c r="F15" t="s">
        <v>399</v>
      </c>
      <c r="G15">
        <v>0</v>
      </c>
      <c r="L15" s="38"/>
      <c r="M15" s="38"/>
    </row>
    <row r="16" spans="1:13" x14ac:dyDescent="0.25">
      <c r="A16" t="s">
        <v>272</v>
      </c>
      <c r="B16" s="48" t="s">
        <v>848</v>
      </c>
      <c r="C16" t="s">
        <v>4787</v>
      </c>
      <c r="D16" s="38">
        <v>0</v>
      </c>
      <c r="E16" s="38">
        <v>0</v>
      </c>
      <c r="F16" t="s">
        <v>399</v>
      </c>
      <c r="G16">
        <v>0</v>
      </c>
      <c r="L16" s="38"/>
      <c r="M16" s="38"/>
    </row>
    <row r="17" spans="1:13" x14ac:dyDescent="0.25">
      <c r="A17" t="s">
        <v>276</v>
      </c>
      <c r="B17" s="48" t="s">
        <v>844</v>
      </c>
      <c r="C17" t="s">
        <v>275</v>
      </c>
      <c r="D17" s="38">
        <v>0</v>
      </c>
      <c r="E17" s="38">
        <v>0</v>
      </c>
      <c r="F17" t="s">
        <v>399</v>
      </c>
      <c r="G17">
        <v>0</v>
      </c>
      <c r="L17" s="38"/>
      <c r="M17" s="38"/>
    </row>
    <row r="18" spans="1:13" x14ac:dyDescent="0.25">
      <c r="A18" t="s">
        <v>280</v>
      </c>
      <c r="B18" s="48" t="s">
        <v>844</v>
      </c>
      <c r="C18" t="s">
        <v>279</v>
      </c>
      <c r="D18" s="38">
        <v>0</v>
      </c>
      <c r="E18" s="38">
        <v>0</v>
      </c>
      <c r="F18" t="s">
        <v>399</v>
      </c>
      <c r="G18">
        <v>0</v>
      </c>
      <c r="L18" s="38"/>
      <c r="M18" s="38"/>
    </row>
    <row r="19" spans="1:13" x14ac:dyDescent="0.25">
      <c r="A19" t="s">
        <v>296</v>
      </c>
      <c r="B19" s="48" t="s">
        <v>846</v>
      </c>
      <c r="C19" t="s">
        <v>293</v>
      </c>
      <c r="D19" s="38">
        <v>0</v>
      </c>
      <c r="E19" s="38">
        <v>0</v>
      </c>
      <c r="F19" t="s">
        <v>399</v>
      </c>
      <c r="G19">
        <v>0</v>
      </c>
      <c r="L19" s="38"/>
      <c r="M19" s="38"/>
    </row>
    <row r="20" spans="1:13" x14ac:dyDescent="0.25">
      <c r="A20" t="s">
        <v>283</v>
      </c>
      <c r="B20" s="48" t="s">
        <v>846</v>
      </c>
      <c r="C20" t="s">
        <v>282</v>
      </c>
      <c r="D20" s="38">
        <v>0</v>
      </c>
      <c r="E20" s="38">
        <v>0</v>
      </c>
      <c r="F20" t="s">
        <v>399</v>
      </c>
      <c r="G20">
        <v>0</v>
      </c>
      <c r="L20" s="38"/>
      <c r="M20" s="38"/>
    </row>
    <row r="21" spans="1:13" x14ac:dyDescent="0.25">
      <c r="A21" t="s">
        <v>302</v>
      </c>
      <c r="B21" s="48" t="s">
        <v>847</v>
      </c>
      <c r="C21" t="s">
        <v>301</v>
      </c>
      <c r="D21" s="38">
        <v>0</v>
      </c>
      <c r="E21" s="38">
        <v>0</v>
      </c>
      <c r="F21" t="s">
        <v>399</v>
      </c>
      <c r="G21">
        <v>0</v>
      </c>
      <c r="L21" s="38"/>
      <c r="M21" s="38"/>
    </row>
    <row r="22" spans="1:13" x14ac:dyDescent="0.25">
      <c r="A22" t="s">
        <v>234</v>
      </c>
      <c r="B22" s="48" t="s">
        <v>845</v>
      </c>
      <c r="C22" t="s">
        <v>304</v>
      </c>
      <c r="D22" s="38">
        <v>0</v>
      </c>
      <c r="E22" s="38">
        <v>0</v>
      </c>
      <c r="F22" t="s">
        <v>399</v>
      </c>
      <c r="G22">
        <v>0</v>
      </c>
      <c r="L22" s="38"/>
      <c r="M22" s="38"/>
    </row>
    <row r="23" spans="1:13" x14ac:dyDescent="0.25">
      <c r="A23" t="s">
        <v>307</v>
      </c>
      <c r="B23" s="48" t="s">
        <v>849</v>
      </c>
      <c r="C23" t="s">
        <v>306</v>
      </c>
      <c r="D23" s="38">
        <v>0</v>
      </c>
      <c r="E23" s="38">
        <v>0</v>
      </c>
      <c r="F23" t="s">
        <v>399</v>
      </c>
      <c r="G23">
        <v>0</v>
      </c>
      <c r="L23" s="38"/>
      <c r="M23" s="38"/>
    </row>
    <row r="24" spans="1:13" x14ac:dyDescent="0.25">
      <c r="A24" t="s">
        <v>310</v>
      </c>
      <c r="B24" s="48" t="s">
        <v>847</v>
      </c>
      <c r="C24" t="s">
        <v>309</v>
      </c>
      <c r="D24" s="38">
        <v>0</v>
      </c>
      <c r="E24" s="38">
        <v>0</v>
      </c>
      <c r="F24" t="s">
        <v>399</v>
      </c>
      <c r="G24">
        <v>0</v>
      </c>
      <c r="L24" s="38"/>
      <c r="M24" s="38"/>
    </row>
    <row r="25" spans="1:13" x14ac:dyDescent="0.25">
      <c r="A25" t="s">
        <v>331</v>
      </c>
      <c r="B25" s="48" t="s">
        <v>846</v>
      </c>
      <c r="C25" t="s">
        <v>330</v>
      </c>
      <c r="D25" s="38">
        <v>0</v>
      </c>
      <c r="E25" s="38">
        <v>0</v>
      </c>
      <c r="F25" t="s">
        <v>399</v>
      </c>
      <c r="G25">
        <v>0</v>
      </c>
      <c r="L25" s="38"/>
      <c r="M25" s="38"/>
    </row>
    <row r="26" spans="1:13" x14ac:dyDescent="0.25">
      <c r="A26" t="s">
        <v>329</v>
      </c>
      <c r="B26" s="48" t="s">
        <v>849</v>
      </c>
      <c r="C26" t="s">
        <v>333</v>
      </c>
      <c r="D26" s="38">
        <v>0</v>
      </c>
      <c r="E26" s="38">
        <v>0</v>
      </c>
      <c r="F26" t="s">
        <v>400</v>
      </c>
      <c r="G26">
        <v>0</v>
      </c>
      <c r="L26" s="38"/>
      <c r="M26" s="38"/>
    </row>
    <row r="27" spans="1:13" x14ac:dyDescent="0.25">
      <c r="A27" t="s">
        <v>341</v>
      </c>
      <c r="B27" s="48" t="s">
        <v>845</v>
      </c>
      <c r="C27" t="s">
        <v>340</v>
      </c>
      <c r="D27" s="38">
        <v>0</v>
      </c>
      <c r="E27" s="38">
        <v>0</v>
      </c>
      <c r="F27" t="s">
        <v>400</v>
      </c>
      <c r="G27">
        <v>0</v>
      </c>
      <c r="L27" s="38"/>
      <c r="M27" s="38"/>
    </row>
    <row r="28" spans="1:13" x14ac:dyDescent="0.25">
      <c r="A28" t="s">
        <v>88</v>
      </c>
      <c r="B28" s="48" t="s">
        <v>845</v>
      </c>
      <c r="C28" t="s">
        <v>85</v>
      </c>
      <c r="D28" s="38">
        <v>0</v>
      </c>
      <c r="E28" s="38">
        <v>0</v>
      </c>
      <c r="F28" t="s">
        <v>400</v>
      </c>
      <c r="G28">
        <v>0</v>
      </c>
      <c r="L28" s="38"/>
      <c r="M28" s="38"/>
    </row>
    <row r="29" spans="1:13" x14ac:dyDescent="0.25">
      <c r="A29" t="s">
        <v>96</v>
      </c>
      <c r="B29" s="48" t="s">
        <v>845</v>
      </c>
      <c r="C29" t="s">
        <v>344</v>
      </c>
      <c r="D29" s="38">
        <v>0</v>
      </c>
      <c r="E29" s="38">
        <v>0</v>
      </c>
      <c r="F29" t="s">
        <v>400</v>
      </c>
      <c r="G29">
        <v>0</v>
      </c>
      <c r="L29" s="38"/>
      <c r="M29" s="38"/>
    </row>
    <row r="30" spans="1:13" x14ac:dyDescent="0.25">
      <c r="A30" t="s">
        <v>201</v>
      </c>
      <c r="B30" s="48" t="s">
        <v>844</v>
      </c>
      <c r="C30" t="s">
        <v>351</v>
      </c>
      <c r="D30" s="38">
        <v>0</v>
      </c>
      <c r="E30" s="38">
        <v>0</v>
      </c>
      <c r="F30" t="s">
        <v>400</v>
      </c>
      <c r="G30">
        <v>0</v>
      </c>
      <c r="L30" s="38"/>
      <c r="M30" s="38"/>
    </row>
    <row r="31" spans="1:13" x14ac:dyDescent="0.25">
      <c r="A31" t="s">
        <v>315</v>
      </c>
      <c r="B31" s="48" t="s">
        <v>846</v>
      </c>
      <c r="C31" t="s">
        <v>353</v>
      </c>
      <c r="D31" s="38">
        <v>0</v>
      </c>
      <c r="E31" s="38">
        <v>0</v>
      </c>
      <c r="F31" t="s">
        <v>398</v>
      </c>
      <c r="G31">
        <v>0</v>
      </c>
      <c r="L31" s="38"/>
      <c r="M31" s="38"/>
    </row>
    <row r="32" spans="1:13" x14ac:dyDescent="0.25">
      <c r="A32" t="s">
        <v>149</v>
      </c>
      <c r="B32" s="48" t="s">
        <v>845</v>
      </c>
      <c r="C32" t="s">
        <v>355</v>
      </c>
      <c r="D32" s="38">
        <v>0</v>
      </c>
      <c r="E32" s="38">
        <v>0</v>
      </c>
      <c r="F32" t="s">
        <v>398</v>
      </c>
      <c r="G32">
        <v>0</v>
      </c>
      <c r="L32" s="38"/>
      <c r="M32" s="38"/>
    </row>
    <row r="33" spans="1:13" x14ac:dyDescent="0.25">
      <c r="A33" t="s">
        <v>133</v>
      </c>
      <c r="B33" s="48" t="s">
        <v>845</v>
      </c>
      <c r="C33" t="s">
        <v>355</v>
      </c>
      <c r="D33" s="38">
        <v>0</v>
      </c>
      <c r="E33" s="38">
        <v>0</v>
      </c>
      <c r="F33" t="s">
        <v>398</v>
      </c>
      <c r="G33">
        <v>0</v>
      </c>
      <c r="L33" s="38"/>
      <c r="M33" s="38"/>
    </row>
    <row r="34" spans="1:13" x14ac:dyDescent="0.25">
      <c r="A34" t="s">
        <v>129</v>
      </c>
      <c r="B34" s="48" t="s">
        <v>845</v>
      </c>
      <c r="C34" t="s">
        <v>358</v>
      </c>
      <c r="D34" s="38">
        <v>0</v>
      </c>
      <c r="E34" s="38">
        <v>0</v>
      </c>
      <c r="F34" t="s">
        <v>398</v>
      </c>
      <c r="G34">
        <v>0</v>
      </c>
      <c r="L34" s="38"/>
      <c r="M34" s="38"/>
    </row>
    <row r="35" spans="1:13" x14ac:dyDescent="0.25">
      <c r="A35" t="s">
        <v>362</v>
      </c>
      <c r="B35" s="48" t="s">
        <v>844</v>
      </c>
      <c r="C35" t="s">
        <v>361</v>
      </c>
      <c r="D35" s="38">
        <v>0</v>
      </c>
      <c r="E35" s="38">
        <v>0</v>
      </c>
      <c r="F35" t="s">
        <v>399</v>
      </c>
      <c r="G35">
        <v>0</v>
      </c>
      <c r="L35" s="38"/>
      <c r="M35" s="38"/>
    </row>
    <row r="36" spans="1:13" x14ac:dyDescent="0.25">
      <c r="A36" t="s">
        <v>294</v>
      </c>
      <c r="B36" s="48" t="s">
        <v>849</v>
      </c>
      <c r="C36" t="s">
        <v>293</v>
      </c>
      <c r="D36" s="38">
        <v>0</v>
      </c>
      <c r="E36" s="38">
        <v>0</v>
      </c>
      <c r="F36" t="s">
        <v>399</v>
      </c>
      <c r="G36">
        <v>0</v>
      </c>
      <c r="L36" s="38"/>
      <c r="M36" s="38"/>
    </row>
    <row r="37" spans="1:13" x14ac:dyDescent="0.25">
      <c r="A37" t="s">
        <v>364</v>
      </c>
      <c r="B37" s="48" t="s">
        <v>846</v>
      </c>
      <c r="C37" t="s">
        <v>363</v>
      </c>
      <c r="D37" s="38">
        <v>0</v>
      </c>
      <c r="E37" s="38">
        <v>0</v>
      </c>
      <c r="F37" t="s">
        <v>399</v>
      </c>
      <c r="G37">
        <v>0</v>
      </c>
      <c r="L37" s="38"/>
      <c r="M37" s="38"/>
    </row>
    <row r="38" spans="1:13" x14ac:dyDescent="0.25">
      <c r="A38" t="s">
        <v>367</v>
      </c>
      <c r="B38" s="48" t="s">
        <v>845</v>
      </c>
      <c r="C38" t="s">
        <v>366</v>
      </c>
      <c r="D38" s="38">
        <v>0</v>
      </c>
      <c r="E38" s="38">
        <v>0</v>
      </c>
      <c r="F38" t="s">
        <v>400</v>
      </c>
      <c r="G38">
        <v>0</v>
      </c>
      <c r="L38" s="38"/>
      <c r="M38" s="38"/>
    </row>
    <row r="39" spans="1:13" x14ac:dyDescent="0.25">
      <c r="A39" t="s">
        <v>204</v>
      </c>
      <c r="B39" s="48" t="s">
        <v>844</v>
      </c>
      <c r="C39" t="s">
        <v>371</v>
      </c>
      <c r="D39" s="38">
        <v>0</v>
      </c>
      <c r="E39" s="38">
        <v>0</v>
      </c>
      <c r="F39" t="s">
        <v>400</v>
      </c>
      <c r="G39">
        <v>0</v>
      </c>
      <c r="L39" s="38"/>
      <c r="M39" s="38"/>
    </row>
    <row r="40" spans="1:13" x14ac:dyDescent="0.25">
      <c r="A40" t="s">
        <v>198</v>
      </c>
      <c r="B40" s="48" t="s">
        <v>845</v>
      </c>
      <c r="C40" t="s">
        <v>373</v>
      </c>
      <c r="D40" s="38">
        <v>0</v>
      </c>
      <c r="E40" s="38">
        <v>0</v>
      </c>
      <c r="F40" t="s">
        <v>400</v>
      </c>
      <c r="G40">
        <v>0</v>
      </c>
      <c r="L40" s="38"/>
      <c r="M40" s="38"/>
    </row>
    <row r="41" spans="1:13" x14ac:dyDescent="0.25">
      <c r="A41" t="s">
        <v>376</v>
      </c>
      <c r="B41" s="48" t="s">
        <v>846</v>
      </c>
      <c r="C41" t="s">
        <v>375</v>
      </c>
      <c r="D41" s="38">
        <v>0</v>
      </c>
      <c r="E41" s="38">
        <v>0</v>
      </c>
      <c r="F41" t="s">
        <v>398</v>
      </c>
      <c r="G41">
        <v>0</v>
      </c>
      <c r="L41" s="38"/>
      <c r="M41" s="38"/>
    </row>
    <row r="42" spans="1:13" x14ac:dyDescent="0.25">
      <c r="A42" t="s">
        <v>91</v>
      </c>
      <c r="B42" s="48" t="s">
        <v>845</v>
      </c>
      <c r="C42" t="s">
        <v>377</v>
      </c>
      <c r="D42" s="38">
        <v>0</v>
      </c>
      <c r="E42" s="38">
        <v>0</v>
      </c>
      <c r="F42" t="s">
        <v>400</v>
      </c>
      <c r="G42">
        <v>0</v>
      </c>
      <c r="L42" s="38"/>
      <c r="M42" s="38"/>
    </row>
    <row r="43" spans="1:13" x14ac:dyDescent="0.25">
      <c r="A43" t="s">
        <v>796</v>
      </c>
      <c r="B43" s="48" t="s">
        <v>845</v>
      </c>
      <c r="C43" t="s">
        <v>833</v>
      </c>
      <c r="D43" s="38">
        <v>0</v>
      </c>
      <c r="E43" s="38">
        <v>0</v>
      </c>
      <c r="F43" t="s">
        <v>400</v>
      </c>
      <c r="G43">
        <v>0</v>
      </c>
      <c r="L43" s="38"/>
      <c r="M43" s="38"/>
    </row>
    <row r="44" spans="1:13" x14ac:dyDescent="0.25">
      <c r="A44" t="s">
        <v>181</v>
      </c>
      <c r="B44" s="48" t="s">
        <v>844</v>
      </c>
      <c r="C44" t="s">
        <v>379</v>
      </c>
      <c r="D44" s="38">
        <v>0</v>
      </c>
      <c r="E44" s="38">
        <v>0</v>
      </c>
      <c r="F44" t="s">
        <v>400</v>
      </c>
      <c r="G44">
        <v>0</v>
      </c>
      <c r="L44" s="38"/>
      <c r="M44" s="38"/>
    </row>
    <row r="45" spans="1:13" x14ac:dyDescent="0.25">
      <c r="A45" t="s">
        <v>209</v>
      </c>
      <c r="B45" s="48" t="s">
        <v>849</v>
      </c>
      <c r="C45" t="s">
        <v>207</v>
      </c>
      <c r="D45" s="38">
        <v>0</v>
      </c>
      <c r="E45" s="38">
        <v>0</v>
      </c>
      <c r="F45" t="s">
        <v>400</v>
      </c>
      <c r="G45">
        <v>0</v>
      </c>
      <c r="L45" s="38"/>
      <c r="M45" s="38"/>
    </row>
    <row r="46" spans="1:13" x14ac:dyDescent="0.25">
      <c r="A46" t="s">
        <v>385</v>
      </c>
      <c r="B46" s="48" t="s">
        <v>844</v>
      </c>
      <c r="C46" t="s">
        <v>384</v>
      </c>
      <c r="D46" s="38">
        <v>0</v>
      </c>
      <c r="E46" s="38">
        <v>0</v>
      </c>
      <c r="F46" t="s">
        <v>399</v>
      </c>
      <c r="G46">
        <v>0</v>
      </c>
      <c r="L46" s="38"/>
      <c r="M46" s="38"/>
    </row>
    <row r="47" spans="1:13" x14ac:dyDescent="0.25">
      <c r="A47" t="s">
        <v>159</v>
      </c>
      <c r="B47" s="48" t="s">
        <v>845</v>
      </c>
      <c r="C47" t="s">
        <v>387</v>
      </c>
      <c r="D47" s="38">
        <v>0</v>
      </c>
      <c r="E47" s="38">
        <v>0</v>
      </c>
      <c r="F47" t="s">
        <v>398</v>
      </c>
      <c r="G47">
        <v>0</v>
      </c>
      <c r="L47" s="38"/>
      <c r="M47" s="38"/>
    </row>
    <row r="48" spans="1:13" x14ac:dyDescent="0.25">
      <c r="A48" t="s">
        <v>101</v>
      </c>
      <c r="B48" s="48" t="s">
        <v>845</v>
      </c>
      <c r="C48" t="s">
        <v>99</v>
      </c>
      <c r="D48" s="38">
        <v>0</v>
      </c>
      <c r="E48" s="38">
        <v>0</v>
      </c>
      <c r="F48" t="s">
        <v>400</v>
      </c>
      <c r="G48">
        <v>0</v>
      </c>
      <c r="L48" s="38"/>
      <c r="M48" s="38"/>
    </row>
    <row r="49" spans="4:13" x14ac:dyDescent="0.25">
      <c r="D49" s="38"/>
      <c r="E49" s="38"/>
      <c r="L49" s="38"/>
      <c r="M49" s="38"/>
    </row>
    <row r="50" spans="4:13" x14ac:dyDescent="0.25">
      <c r="D50" s="38"/>
      <c r="E50" s="38"/>
      <c r="L50" s="38"/>
      <c r="M50" s="38"/>
    </row>
    <row r="51" spans="4:13" x14ac:dyDescent="0.25">
      <c r="D51" s="38"/>
      <c r="E51" s="38"/>
      <c r="L51" s="38"/>
      <c r="M51" s="38"/>
    </row>
    <row r="52" spans="4:13" x14ac:dyDescent="0.25">
      <c r="D52" s="38"/>
      <c r="E52" s="38"/>
      <c r="L52" s="38"/>
      <c r="M52" s="38"/>
    </row>
    <row r="53" spans="4:13" x14ac:dyDescent="0.25">
      <c r="D53" s="38"/>
      <c r="E53" s="38"/>
      <c r="L53" s="38"/>
      <c r="M53" s="38"/>
    </row>
    <row r="54" spans="4:13" x14ac:dyDescent="0.25">
      <c r="D54" s="38"/>
      <c r="E54" s="38"/>
      <c r="L54" s="38"/>
      <c r="M54" s="38"/>
    </row>
    <row r="55" spans="4:13" x14ac:dyDescent="0.25">
      <c r="D55" s="38"/>
      <c r="E55" s="38"/>
      <c r="L55" s="38"/>
      <c r="M55" s="38"/>
    </row>
    <row r="56" spans="4:13" x14ac:dyDescent="0.25">
      <c r="D56" s="38"/>
      <c r="E56" s="38"/>
      <c r="L56" s="38"/>
      <c r="M56" s="38"/>
    </row>
    <row r="57" spans="4:13" x14ac:dyDescent="0.25">
      <c r="D57" s="38"/>
      <c r="E57" s="38"/>
      <c r="L57" s="38"/>
      <c r="M57" s="38"/>
    </row>
    <row r="58" spans="4:13" x14ac:dyDescent="0.25">
      <c r="D58" s="38"/>
      <c r="E58" s="38"/>
      <c r="L58" s="38"/>
      <c r="M58" s="38"/>
    </row>
    <row r="59" spans="4:13" x14ac:dyDescent="0.25">
      <c r="D59" s="38"/>
      <c r="E59" s="38"/>
      <c r="L59" s="38"/>
      <c r="M59" s="38"/>
    </row>
    <row r="60" spans="4:13" x14ac:dyDescent="0.25">
      <c r="D60" s="38"/>
      <c r="E60" s="38"/>
      <c r="L60" s="38"/>
      <c r="M60" s="38"/>
    </row>
    <row r="61" spans="4:13" x14ac:dyDescent="0.25">
      <c r="D61" s="38"/>
      <c r="E61" s="38"/>
      <c r="L61" s="38"/>
      <c r="M61" s="38"/>
    </row>
    <row r="62" spans="4:13" x14ac:dyDescent="0.25">
      <c r="D62" s="38"/>
      <c r="E62" s="38"/>
      <c r="L62" s="38"/>
      <c r="M62" s="38"/>
    </row>
    <row r="63" spans="4:13" x14ac:dyDescent="0.25">
      <c r="D63" s="38"/>
      <c r="E63" s="38"/>
      <c r="L63" s="38"/>
      <c r="M63" s="38"/>
    </row>
    <row r="64" spans="4:13" x14ac:dyDescent="0.25">
      <c r="D64" s="38"/>
      <c r="E64" s="38"/>
      <c r="L64" s="38"/>
      <c r="M64" s="38"/>
    </row>
    <row r="65" spans="4:13" x14ac:dyDescent="0.25">
      <c r="D65" s="38"/>
      <c r="E65" s="38"/>
      <c r="L65" s="38"/>
      <c r="M65" s="38"/>
    </row>
    <row r="66" spans="4:13" x14ac:dyDescent="0.25">
      <c r="D66" s="38"/>
      <c r="E66" s="38"/>
      <c r="L66" s="38"/>
      <c r="M66" s="38"/>
    </row>
    <row r="67" spans="4:13" x14ac:dyDescent="0.25">
      <c r="D67" s="38"/>
      <c r="E67" s="38"/>
      <c r="L67" s="38"/>
      <c r="M67" s="38"/>
    </row>
    <row r="68" spans="4:13" x14ac:dyDescent="0.25">
      <c r="D68" s="38"/>
      <c r="E68" s="38"/>
      <c r="L68" s="38"/>
      <c r="M68" s="38"/>
    </row>
    <row r="69" spans="4:13" x14ac:dyDescent="0.25">
      <c r="D69" s="38"/>
      <c r="E69" s="38"/>
      <c r="L69" s="38"/>
      <c r="M69" s="38"/>
    </row>
    <row r="70" spans="4:13" x14ac:dyDescent="0.25">
      <c r="D70" s="38"/>
      <c r="E70" s="38"/>
      <c r="L70" s="38"/>
      <c r="M70" s="38"/>
    </row>
    <row r="71" spans="4:13" x14ac:dyDescent="0.25">
      <c r="D71" s="38"/>
      <c r="E71" s="38"/>
      <c r="L71" s="38"/>
      <c r="M71" s="38"/>
    </row>
    <row r="72" spans="4:13" x14ac:dyDescent="0.25">
      <c r="D72" s="38"/>
      <c r="E72" s="38"/>
      <c r="L72" s="38"/>
      <c r="M72" s="38"/>
    </row>
    <row r="73" spans="4:13" x14ac:dyDescent="0.25">
      <c r="D73" s="38"/>
      <c r="E73" s="38"/>
      <c r="L73" s="38"/>
      <c r="M73" s="38"/>
    </row>
    <row r="74" spans="4:13" x14ac:dyDescent="0.25">
      <c r="D74" s="38"/>
      <c r="E74" s="38"/>
      <c r="L74" s="38"/>
      <c r="M74" s="38"/>
    </row>
    <row r="75" spans="4:13" x14ac:dyDescent="0.25">
      <c r="D75" s="38"/>
      <c r="E75" s="38"/>
      <c r="L75" s="38"/>
      <c r="M75" s="38"/>
    </row>
    <row r="76" spans="4:13" x14ac:dyDescent="0.25">
      <c r="D76" s="38"/>
      <c r="E76" s="38"/>
      <c r="L76" s="38"/>
      <c r="M76" s="38"/>
    </row>
    <row r="77" spans="4:13" x14ac:dyDescent="0.25">
      <c r="D77" s="38"/>
      <c r="E77" s="38"/>
      <c r="L77" s="38"/>
      <c r="M77" s="38"/>
    </row>
    <row r="78" spans="4:13" x14ac:dyDescent="0.25">
      <c r="D78" s="38"/>
      <c r="E78" s="38"/>
      <c r="L78" s="38"/>
      <c r="M78" s="38"/>
    </row>
    <row r="79" spans="4:13" x14ac:dyDescent="0.25">
      <c r="D79" s="38"/>
      <c r="E79" s="38"/>
      <c r="L79" s="38"/>
      <c r="M79" s="38"/>
    </row>
    <row r="80" spans="4:13" x14ac:dyDescent="0.25">
      <c r="D80" s="38"/>
      <c r="E80" s="38"/>
      <c r="L80" s="38"/>
      <c r="M80" s="38"/>
    </row>
    <row r="81" spans="4:13" x14ac:dyDescent="0.25">
      <c r="D81" s="38"/>
      <c r="E81" s="38"/>
      <c r="L81" s="38"/>
      <c r="M81" s="38"/>
    </row>
    <row r="82" spans="4:13" x14ac:dyDescent="0.25">
      <c r="D82" s="38"/>
      <c r="E82" s="38"/>
      <c r="L82" s="38"/>
      <c r="M82" s="38"/>
    </row>
    <row r="83" spans="4:13" x14ac:dyDescent="0.25">
      <c r="D83" s="38"/>
      <c r="E83" s="38"/>
      <c r="L83" s="38"/>
      <c r="M83" s="38"/>
    </row>
    <row r="84" spans="4:13" x14ac:dyDescent="0.25">
      <c r="D84" s="38"/>
      <c r="E84" s="38"/>
      <c r="L84" s="38"/>
      <c r="M84" s="38"/>
    </row>
    <row r="85" spans="4:13" x14ac:dyDescent="0.25">
      <c r="D85" s="38"/>
      <c r="E85" s="38"/>
      <c r="L85" s="38"/>
      <c r="M85" s="38"/>
    </row>
    <row r="86" spans="4:13" x14ac:dyDescent="0.25">
      <c r="D86" s="38"/>
      <c r="E86" s="38"/>
      <c r="L86" s="38"/>
      <c r="M86" s="38"/>
    </row>
    <row r="87" spans="4:13" x14ac:dyDescent="0.25">
      <c r="D87" s="38"/>
      <c r="E87" s="38"/>
      <c r="L87" s="38"/>
      <c r="M87" s="38"/>
    </row>
    <row r="88" spans="4:13" x14ac:dyDescent="0.25">
      <c r="D88" s="38"/>
      <c r="E88" s="38"/>
      <c r="L88" s="38"/>
      <c r="M88" s="38"/>
    </row>
    <row r="89" spans="4:13" x14ac:dyDescent="0.25">
      <c r="D89" s="38"/>
      <c r="E89" s="38"/>
      <c r="L89" s="38"/>
      <c r="M89" s="38"/>
    </row>
    <row r="90" spans="4:13" x14ac:dyDescent="0.25">
      <c r="D90" s="38"/>
      <c r="E90" s="38"/>
      <c r="L90" s="38"/>
      <c r="M90" s="38"/>
    </row>
    <row r="91" spans="4:13" x14ac:dyDescent="0.25">
      <c r="D91" s="38"/>
      <c r="E91" s="38"/>
      <c r="L91" s="38"/>
      <c r="M91" s="38"/>
    </row>
    <row r="92" spans="4:13" x14ac:dyDescent="0.25">
      <c r="D92" s="38"/>
      <c r="E92" s="38"/>
      <c r="L92" s="38"/>
      <c r="M92" s="38"/>
    </row>
    <row r="93" spans="4:13" x14ac:dyDescent="0.25">
      <c r="D93" s="38"/>
      <c r="E93" s="38"/>
      <c r="L93" s="38"/>
      <c r="M93" s="38"/>
    </row>
    <row r="94" spans="4:13" x14ac:dyDescent="0.25">
      <c r="D94" s="38"/>
      <c r="E94" s="38"/>
      <c r="L94" s="38"/>
      <c r="M94" s="38"/>
    </row>
    <row r="95" spans="4:13" x14ac:dyDescent="0.25">
      <c r="D95" s="38"/>
      <c r="E95" s="38"/>
      <c r="L95" s="38"/>
      <c r="M95" s="38"/>
    </row>
    <row r="96" spans="4:13" x14ac:dyDescent="0.25">
      <c r="D96" s="38"/>
      <c r="E96" s="38"/>
      <c r="L96" s="38"/>
      <c r="M96" s="38"/>
    </row>
    <row r="97" spans="4:13" x14ac:dyDescent="0.25">
      <c r="D97" s="38"/>
      <c r="E97" s="38"/>
      <c r="L97" s="38"/>
      <c r="M97" s="38"/>
    </row>
    <row r="98" spans="4:13" x14ac:dyDescent="0.25">
      <c r="D98" s="38"/>
      <c r="E98" s="38"/>
      <c r="L98" s="38"/>
      <c r="M98" s="38"/>
    </row>
    <row r="99" spans="4:13" x14ac:dyDescent="0.25">
      <c r="D99" s="38"/>
      <c r="E99" s="38"/>
      <c r="L99" s="38"/>
      <c r="M99" s="38"/>
    </row>
    <row r="100" spans="4:13" x14ac:dyDescent="0.25">
      <c r="D100" s="38"/>
      <c r="E100" s="38"/>
      <c r="L100" s="38"/>
      <c r="M100" s="38"/>
    </row>
    <row r="101" spans="4:13" x14ac:dyDescent="0.25">
      <c r="L101" s="38"/>
      <c r="M101" s="38"/>
    </row>
    <row r="102" spans="4:13" x14ac:dyDescent="0.25">
      <c r="L102" s="38"/>
      <c r="M102" s="38"/>
    </row>
    <row r="103" spans="4:13" x14ac:dyDescent="0.25">
      <c r="L103" s="38"/>
      <c r="M103" s="38"/>
    </row>
    <row r="104" spans="4:13" x14ac:dyDescent="0.25">
      <c r="L104" s="38"/>
      <c r="M104" s="38"/>
    </row>
    <row r="105" spans="4:13" x14ac:dyDescent="0.25">
      <c r="L105" s="38"/>
      <c r="M105" s="38"/>
    </row>
    <row r="106" spans="4:13" x14ac:dyDescent="0.25">
      <c r="L106" s="38"/>
      <c r="M106" s="38"/>
    </row>
    <row r="107" spans="4:13" x14ac:dyDescent="0.25">
      <c r="L107" s="38"/>
      <c r="M107" s="38"/>
    </row>
    <row r="108" spans="4:13" x14ac:dyDescent="0.25">
      <c r="L108" s="38"/>
      <c r="M108" s="38"/>
    </row>
    <row r="109" spans="4:13" x14ac:dyDescent="0.25">
      <c r="L109" s="38"/>
      <c r="M109" s="38"/>
    </row>
    <row r="110" spans="4:13" x14ac:dyDescent="0.25">
      <c r="L110" s="38"/>
      <c r="M110" s="38"/>
    </row>
    <row r="111" spans="4:13" x14ac:dyDescent="0.25">
      <c r="L111" s="38"/>
      <c r="M111" s="38"/>
    </row>
    <row r="112" spans="4:13" x14ac:dyDescent="0.25">
      <c r="L112" s="38"/>
      <c r="M112" s="38"/>
    </row>
    <row r="113" spans="12:13" x14ac:dyDescent="0.25">
      <c r="L113" s="38"/>
      <c r="M113" s="38"/>
    </row>
    <row r="114" spans="12:13" x14ac:dyDescent="0.25">
      <c r="L114" s="38"/>
      <c r="M114" s="38"/>
    </row>
    <row r="115" spans="12:13" x14ac:dyDescent="0.25">
      <c r="L115" s="38"/>
      <c r="M115" s="38"/>
    </row>
    <row r="116" spans="12:13" x14ac:dyDescent="0.25">
      <c r="L116" s="38"/>
      <c r="M116" s="38"/>
    </row>
    <row r="117" spans="12:13" x14ac:dyDescent="0.25">
      <c r="L117" s="38"/>
      <c r="M117" s="38"/>
    </row>
    <row r="118" spans="12:13" x14ac:dyDescent="0.25">
      <c r="L118" s="38"/>
      <c r="M118" s="38"/>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pageSetUpPr fitToPage="1"/>
  </sheetPr>
  <dimension ref="A2:AD69"/>
  <sheetViews>
    <sheetView zoomScale="80" zoomScaleNormal="80" zoomScaleSheetLayoutView="50" workbookViewId="0">
      <selection sqref="A1:AQ70"/>
    </sheetView>
  </sheetViews>
  <sheetFormatPr defaultRowHeight="15.75" x14ac:dyDescent="0.25"/>
  <cols>
    <col min="3" max="3" width="9" customWidth="1"/>
    <col min="15" max="15" width="2.75" customWidth="1"/>
    <col min="29" max="29" width="3.125" customWidth="1"/>
  </cols>
  <sheetData>
    <row r="2" spans="1:30" ht="21" x14ac:dyDescent="0.35">
      <c r="B2" s="24" t="s">
        <v>636</v>
      </c>
      <c r="P2" s="24" t="s">
        <v>637</v>
      </c>
      <c r="AD2" t="s">
        <v>638</v>
      </c>
    </row>
    <row r="3" spans="1:30" ht="15.75" customHeight="1" x14ac:dyDescent="0.25">
      <c r="A3" s="121" t="s">
        <v>641</v>
      </c>
    </row>
    <row r="4" spans="1:30" x14ac:dyDescent="0.25">
      <c r="A4" s="121"/>
    </row>
    <row r="5" spans="1:30" x14ac:dyDescent="0.25">
      <c r="A5" s="121"/>
    </row>
    <row r="6" spans="1:30" x14ac:dyDescent="0.25">
      <c r="A6" s="121"/>
    </row>
    <row r="7" spans="1:30" x14ac:dyDescent="0.25">
      <c r="A7" s="121"/>
    </row>
    <row r="8" spans="1:30" x14ac:dyDescent="0.25">
      <c r="A8" s="121"/>
    </row>
    <row r="9" spans="1:30" x14ac:dyDescent="0.25">
      <c r="A9" s="121"/>
    </row>
    <row r="10" spans="1:30" x14ac:dyDescent="0.25">
      <c r="A10" s="121"/>
    </row>
    <row r="11" spans="1:30" x14ac:dyDescent="0.25">
      <c r="A11" s="121"/>
    </row>
    <row r="12" spans="1:30" x14ac:dyDescent="0.25">
      <c r="A12" s="121"/>
    </row>
    <row r="13" spans="1:30" x14ac:dyDescent="0.25">
      <c r="A13" s="121"/>
    </row>
    <row r="14" spans="1:30" x14ac:dyDescent="0.25">
      <c r="A14" s="121"/>
    </row>
    <row r="15" spans="1:30" x14ac:dyDescent="0.25">
      <c r="A15" s="121"/>
    </row>
    <row r="16" spans="1:30" x14ac:dyDescent="0.25">
      <c r="A16" s="121"/>
    </row>
    <row r="17" spans="1:1" x14ac:dyDescent="0.25">
      <c r="A17" s="121"/>
    </row>
    <row r="18" spans="1:1" x14ac:dyDescent="0.25">
      <c r="A18" s="121"/>
    </row>
    <row r="19" spans="1:1" x14ac:dyDescent="0.25">
      <c r="A19" s="121"/>
    </row>
    <row r="20" spans="1:1" x14ac:dyDescent="0.25">
      <c r="A20" s="121"/>
    </row>
    <row r="21" spans="1:1" x14ac:dyDescent="0.25">
      <c r="A21" s="121"/>
    </row>
    <row r="22" spans="1:1" x14ac:dyDescent="0.25">
      <c r="A22" s="121"/>
    </row>
    <row r="23" spans="1:1" x14ac:dyDescent="0.25">
      <c r="A23" s="121"/>
    </row>
    <row r="24" spans="1:1" x14ac:dyDescent="0.25">
      <c r="A24" s="121"/>
    </row>
    <row r="25" spans="1:1" x14ac:dyDescent="0.25">
      <c r="A25" s="121"/>
    </row>
    <row r="26" spans="1:1" x14ac:dyDescent="0.25">
      <c r="A26" s="121"/>
    </row>
    <row r="27" spans="1:1" x14ac:dyDescent="0.25">
      <c r="A27" s="121"/>
    </row>
    <row r="28" spans="1:1" x14ac:dyDescent="0.25">
      <c r="A28" s="121"/>
    </row>
    <row r="29" spans="1:1" x14ac:dyDescent="0.25">
      <c r="A29" s="121"/>
    </row>
    <row r="30" spans="1:1" x14ac:dyDescent="0.25">
      <c r="A30" s="121"/>
    </row>
    <row r="31" spans="1:1" x14ac:dyDescent="0.25">
      <c r="A31" s="121"/>
    </row>
    <row r="32" spans="1:1" x14ac:dyDescent="0.25">
      <c r="A32" s="121"/>
    </row>
    <row r="33" spans="1:1" x14ac:dyDescent="0.25">
      <c r="A33" s="121"/>
    </row>
    <row r="34" spans="1:1" x14ac:dyDescent="0.25">
      <c r="A34" s="121"/>
    </row>
    <row r="35" spans="1:1" x14ac:dyDescent="0.25">
      <c r="A35" s="121"/>
    </row>
    <row r="38" spans="1:1" x14ac:dyDescent="0.25">
      <c r="A38" s="121" t="s">
        <v>639</v>
      </c>
    </row>
    <row r="39" spans="1:1" x14ac:dyDescent="0.25">
      <c r="A39" s="121"/>
    </row>
    <row r="40" spans="1:1" x14ac:dyDescent="0.25">
      <c r="A40" s="121"/>
    </row>
    <row r="41" spans="1:1" x14ac:dyDescent="0.25">
      <c r="A41" s="121"/>
    </row>
    <row r="42" spans="1:1" x14ac:dyDescent="0.25">
      <c r="A42" s="121"/>
    </row>
    <row r="43" spans="1:1" x14ac:dyDescent="0.25">
      <c r="A43" s="121"/>
    </row>
    <row r="44" spans="1:1" x14ac:dyDescent="0.25">
      <c r="A44" s="121"/>
    </row>
    <row r="45" spans="1:1" x14ac:dyDescent="0.25">
      <c r="A45" s="121"/>
    </row>
    <row r="46" spans="1:1" x14ac:dyDescent="0.25">
      <c r="A46" s="121"/>
    </row>
    <row r="47" spans="1:1" x14ac:dyDescent="0.25">
      <c r="A47" s="121"/>
    </row>
    <row r="48" spans="1:1" x14ac:dyDescent="0.25">
      <c r="A48" s="121"/>
    </row>
    <row r="49" spans="1:1" x14ac:dyDescent="0.25">
      <c r="A49" s="121"/>
    </row>
    <row r="50" spans="1:1" x14ac:dyDescent="0.25">
      <c r="A50" s="121"/>
    </row>
    <row r="51" spans="1:1" x14ac:dyDescent="0.25">
      <c r="A51" s="121"/>
    </row>
    <row r="52" spans="1:1" x14ac:dyDescent="0.25">
      <c r="A52" s="121"/>
    </row>
    <row r="55" spans="1:1" x14ac:dyDescent="0.25">
      <c r="A55" s="121" t="s">
        <v>640</v>
      </c>
    </row>
    <row r="56" spans="1:1" x14ac:dyDescent="0.25">
      <c r="A56" s="121"/>
    </row>
    <row r="57" spans="1:1" x14ac:dyDescent="0.25">
      <c r="A57" s="121"/>
    </row>
    <row r="58" spans="1:1" x14ac:dyDescent="0.25">
      <c r="A58" s="121"/>
    </row>
    <row r="59" spans="1:1" x14ac:dyDescent="0.25">
      <c r="A59" s="121"/>
    </row>
    <row r="60" spans="1:1" x14ac:dyDescent="0.25">
      <c r="A60" s="121"/>
    </row>
    <row r="61" spans="1:1" x14ac:dyDescent="0.25">
      <c r="A61" s="121"/>
    </row>
    <row r="62" spans="1:1" x14ac:dyDescent="0.25">
      <c r="A62" s="121"/>
    </row>
    <row r="63" spans="1:1" x14ac:dyDescent="0.25">
      <c r="A63" s="121"/>
    </row>
    <row r="64" spans="1:1" x14ac:dyDescent="0.25">
      <c r="A64" s="121"/>
    </row>
    <row r="65" spans="1:1" x14ac:dyDescent="0.25">
      <c r="A65" s="121"/>
    </row>
    <row r="66" spans="1:1" x14ac:dyDescent="0.25">
      <c r="A66" s="121"/>
    </row>
    <row r="67" spans="1:1" x14ac:dyDescent="0.25">
      <c r="A67" s="121"/>
    </row>
    <row r="68" spans="1:1" x14ac:dyDescent="0.25">
      <c r="A68" s="121"/>
    </row>
    <row r="69" spans="1:1" x14ac:dyDescent="0.25">
      <c r="A69" s="121"/>
    </row>
  </sheetData>
  <mergeCells count="3">
    <mergeCell ref="A55:A69"/>
    <mergeCell ref="A38:A52"/>
    <mergeCell ref="A3:A35"/>
  </mergeCells>
  <pageMargins left="0.7" right="0.7" top="0.75" bottom="0.75" header="0.3" footer="0.3"/>
  <pageSetup paperSize="9" scale="32" fitToHeight="0" orientation="landscape"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9"/>
  </sheetPr>
  <dimension ref="A2:G58"/>
  <sheetViews>
    <sheetView topLeftCell="D3" zoomScale="90" zoomScaleNormal="90" zoomScalePageLayoutView="90" workbookViewId="0">
      <selection activeCell="G8" sqref="G8"/>
    </sheetView>
  </sheetViews>
  <sheetFormatPr defaultColWidth="11" defaultRowHeight="15.75" x14ac:dyDescent="0.25"/>
  <cols>
    <col min="1" max="1" width="16.625" hidden="1" customWidth="1"/>
    <col min="2" max="2" width="39.375" hidden="1" customWidth="1"/>
    <col min="3" max="3" width="13.625" hidden="1" customWidth="1"/>
    <col min="4" max="4" width="70.125" customWidth="1"/>
    <col min="5" max="5" width="14.5" customWidth="1"/>
    <col min="6" max="6" width="17.625" customWidth="1"/>
    <col min="7" max="7" width="8.25" customWidth="1"/>
  </cols>
  <sheetData>
    <row r="2" spans="1:7" x14ac:dyDescent="0.25">
      <c r="E2" s="38">
        <f>SUM(E4:E58)</f>
        <v>0</v>
      </c>
      <c r="F2" s="38">
        <f>SUM(F4:F58)</f>
        <v>0</v>
      </c>
      <c r="G2" s="39">
        <f>IF(ISBLANK(F2),0,IF(F2=0,0,E2/F2))</f>
        <v>0</v>
      </c>
    </row>
    <row r="3" spans="1:7" ht="42" x14ac:dyDescent="0.35">
      <c r="D3" s="1" t="s">
        <v>0</v>
      </c>
      <c r="E3" s="2" t="s">
        <v>2</v>
      </c>
      <c r="F3" s="2" t="s">
        <v>1</v>
      </c>
    </row>
    <row r="4" spans="1:7" ht="42" customHeight="1" x14ac:dyDescent="0.25">
      <c r="A4" s="12" t="s">
        <v>215</v>
      </c>
      <c r="B4" s="12" t="s">
        <v>214</v>
      </c>
      <c r="C4" s="12" t="s">
        <v>411</v>
      </c>
      <c r="D4" s="13" t="str">
        <f t="shared" ref="D4:D50" si="0">CONCATENATE(IF(LEN(CONCATENATE("[",A4,"] ",B4))&lt;=60,CONCATENATE("[",A4,"] ",B4),CONCATENATE("[",A4,"] ",LEFT(B4,30)," … ",RIGHT(B4,30))), " / ", C4)</f>
        <v>[COMPCORP-114] Internationalization of the ap … he data provided by the system / ART</v>
      </c>
      <c r="E4" s="10">
        <v>0</v>
      </c>
      <c r="F4" s="10">
        <v>0</v>
      </c>
      <c r="G4" s="39">
        <f t="shared" ref="G4:G58" si="1">IF(ISBLANK(F4),0,IF(F4=0,0,E4/F4))</f>
        <v>0</v>
      </c>
    </row>
    <row r="5" spans="1:7" ht="42" customHeight="1" x14ac:dyDescent="0.25">
      <c r="A5" s="12" t="s">
        <v>110</v>
      </c>
      <c r="B5" s="12" t="s">
        <v>115</v>
      </c>
      <c r="C5" s="12" t="s">
        <v>398</v>
      </c>
      <c r="D5" s="13" t="str">
        <f t="shared" si="0"/>
        <v>[PROCESS-44] Filter processes based on user …  on user portfolio assignments / Busy Bees</v>
      </c>
      <c r="E5" s="10">
        <v>0</v>
      </c>
      <c r="F5" s="10">
        <v>0</v>
      </c>
      <c r="G5" s="39">
        <f t="shared" si="1"/>
        <v>0</v>
      </c>
    </row>
    <row r="6" spans="1:7" x14ac:dyDescent="0.25">
      <c r="A6" s="12" t="s">
        <v>118</v>
      </c>
      <c r="B6" s="12" t="s">
        <v>117</v>
      </c>
      <c r="C6" s="12" t="s">
        <v>398</v>
      </c>
      <c r="D6" s="13" t="str">
        <f t="shared" si="0"/>
        <v>[PROCESS-92] Improve search performance (elastic search) / Busy Bees</v>
      </c>
      <c r="E6" s="10">
        <v>0</v>
      </c>
      <c r="F6" s="10">
        <v>0</v>
      </c>
      <c r="G6" s="39">
        <f t="shared" si="1"/>
        <v>0</v>
      </c>
    </row>
    <row r="7" spans="1:7" x14ac:dyDescent="0.25">
      <c r="A7" s="12" t="s">
        <v>121</v>
      </c>
      <c r="B7" s="12" t="s">
        <v>120</v>
      </c>
      <c r="C7" s="12" t="s">
        <v>398</v>
      </c>
      <c r="D7" s="13" t="str">
        <f t="shared" si="0"/>
        <v>[PROCESS-75] Support specific attributes based on taxonomy / Busy Bees</v>
      </c>
      <c r="E7" s="10">
        <v>0</v>
      </c>
      <c r="F7" s="10">
        <v>0</v>
      </c>
      <c r="G7" s="39">
        <f t="shared" si="1"/>
        <v>0</v>
      </c>
    </row>
    <row r="8" spans="1:7" x14ac:dyDescent="0.25">
      <c r="A8" s="12" t="s">
        <v>315</v>
      </c>
      <c r="B8" s="12" t="s">
        <v>353</v>
      </c>
      <c r="C8" s="12" t="s">
        <v>398</v>
      </c>
      <c r="D8" s="13" t="str">
        <f t="shared" si="0"/>
        <v>[PROCESS-98] Filter process by "my" active tasks / Busy Bees</v>
      </c>
      <c r="E8" s="10">
        <v>0</v>
      </c>
      <c r="F8" s="10">
        <v>0</v>
      </c>
      <c r="G8" s="39">
        <f t="shared" si="1"/>
        <v>0</v>
      </c>
    </row>
    <row r="9" spans="1:7" x14ac:dyDescent="0.25">
      <c r="A9" s="12" t="s">
        <v>149</v>
      </c>
      <c r="B9" s="12" t="s">
        <v>355</v>
      </c>
      <c r="C9" s="12" t="s">
        <v>398</v>
      </c>
      <c r="D9" s="13" t="str">
        <f t="shared" si="0"/>
        <v>[PFM-125] Foundation stabilization / Busy Bees</v>
      </c>
      <c r="E9" s="10">
        <v>0</v>
      </c>
      <c r="F9" s="10">
        <v>0</v>
      </c>
      <c r="G9" s="39">
        <f t="shared" si="1"/>
        <v>0</v>
      </c>
    </row>
    <row r="10" spans="1:7" x14ac:dyDescent="0.25">
      <c r="A10" s="12" t="s">
        <v>133</v>
      </c>
      <c r="B10" s="12" t="s">
        <v>355</v>
      </c>
      <c r="C10" s="12" t="s">
        <v>398</v>
      </c>
      <c r="D10" s="13" t="str">
        <f t="shared" si="0"/>
        <v>[PROCESS-95] Foundation stabilization / Busy Bees</v>
      </c>
      <c r="E10" s="10">
        <v>0</v>
      </c>
      <c r="F10" s="10">
        <v>0</v>
      </c>
      <c r="G10" s="39">
        <f t="shared" si="1"/>
        <v>0</v>
      </c>
    </row>
    <row r="11" spans="1:7" x14ac:dyDescent="0.25">
      <c r="A11" s="12" t="s">
        <v>129</v>
      </c>
      <c r="B11" s="12" t="s">
        <v>358</v>
      </c>
      <c r="C11" s="12" t="s">
        <v>398</v>
      </c>
      <c r="D11" s="13" t="str">
        <f t="shared" si="0"/>
        <v>[PROCESS-33] Harmonization of User Experience / Busy Bees</v>
      </c>
      <c r="E11" s="10">
        <v>0</v>
      </c>
      <c r="F11" s="10">
        <v>0</v>
      </c>
      <c r="G11" s="39">
        <f t="shared" si="1"/>
        <v>0</v>
      </c>
    </row>
    <row r="12" spans="1:7" x14ac:dyDescent="0.25">
      <c r="A12" s="12" t="s">
        <v>376</v>
      </c>
      <c r="B12" s="12" t="s">
        <v>375</v>
      </c>
      <c r="C12" s="12" t="s">
        <v>398</v>
      </c>
      <c r="D12" s="13" t="str">
        <f t="shared" si="0"/>
        <v>[PROCESS-125] Secure Process Centre by filte … esses according to logged user / Busy Bees</v>
      </c>
      <c r="E12" s="10">
        <v>0</v>
      </c>
      <c r="F12" s="10">
        <v>0</v>
      </c>
      <c r="G12" s="39">
        <f t="shared" si="1"/>
        <v>0</v>
      </c>
    </row>
    <row r="13" spans="1:7" x14ac:dyDescent="0.25">
      <c r="A13" s="12" t="s">
        <v>159</v>
      </c>
      <c r="B13" s="12" t="s">
        <v>387</v>
      </c>
      <c r="C13" s="12" t="s">
        <v>398</v>
      </c>
      <c r="D13" s="13" t="str">
        <f t="shared" si="0"/>
        <v>[PFM-131] UX harmonisation / Busy Bees</v>
      </c>
      <c r="E13" s="10">
        <v>0</v>
      </c>
      <c r="F13" s="10">
        <v>0</v>
      </c>
      <c r="G13" s="39">
        <f t="shared" si="1"/>
        <v>0</v>
      </c>
    </row>
    <row r="14" spans="1:7" x14ac:dyDescent="0.25">
      <c r="A14" s="12" t="s">
        <v>329</v>
      </c>
      <c r="B14" s="12" t="s">
        <v>333</v>
      </c>
      <c r="C14" s="12" t="s">
        <v>400</v>
      </c>
      <c r="D14" s="13" t="str">
        <f t="shared" si="0"/>
        <v>[INTERCOM-55] Answer Consultation / Pink Panthers</v>
      </c>
      <c r="E14" s="10">
        <v>0</v>
      </c>
      <c r="F14" s="10">
        <v>0</v>
      </c>
      <c r="G14" s="39">
        <f t="shared" si="1"/>
        <v>0</v>
      </c>
    </row>
    <row r="15" spans="1:7" x14ac:dyDescent="0.25">
      <c r="A15" s="12" t="s">
        <v>341</v>
      </c>
      <c r="B15" s="12" t="s">
        <v>340</v>
      </c>
      <c r="C15" s="12" t="s">
        <v>400</v>
      </c>
      <c r="D15" s="13" t="str">
        <f t="shared" si="0"/>
        <v>[WAVECC-42] Claim/unclaim Wave tasks from Compass Corporate / Pink Panthers</v>
      </c>
      <c r="E15" s="10">
        <v>0</v>
      </c>
      <c r="F15" s="10">
        <v>0</v>
      </c>
      <c r="G15" s="39">
        <f t="shared" si="1"/>
        <v>0</v>
      </c>
    </row>
    <row r="16" spans="1:7" x14ac:dyDescent="0.25">
      <c r="A16" s="12" t="s">
        <v>88</v>
      </c>
      <c r="B16" s="12" t="s">
        <v>85</v>
      </c>
      <c r="C16" s="12" t="s">
        <v>400</v>
      </c>
      <c r="D16" s="13" t="str">
        <f t="shared" si="0"/>
        <v>[CCADMIN-42] Configuration library adoption support / Pink Panthers</v>
      </c>
      <c r="E16" s="10">
        <v>0</v>
      </c>
      <c r="F16" s="10">
        <v>0</v>
      </c>
      <c r="G16" s="39">
        <f t="shared" si="1"/>
        <v>0</v>
      </c>
    </row>
    <row r="17" spans="1:7" x14ac:dyDescent="0.25">
      <c r="A17" s="12" t="s">
        <v>96</v>
      </c>
      <c r="B17" s="12" t="s">
        <v>344</v>
      </c>
      <c r="C17" s="12" t="s">
        <v>400</v>
      </c>
      <c r="D17" s="13" t="str">
        <f t="shared" si="0"/>
        <v>[INTERCOM-54] Create Consultations / Pink Panthers</v>
      </c>
      <c r="E17" s="10">
        <v>0</v>
      </c>
      <c r="F17" s="10">
        <v>0</v>
      </c>
      <c r="G17" s="39">
        <f t="shared" si="1"/>
        <v>0</v>
      </c>
    </row>
    <row r="18" spans="1:7" x14ac:dyDescent="0.25">
      <c r="A18" s="12" t="s">
        <v>201</v>
      </c>
      <c r="B18" s="12" t="s">
        <v>351</v>
      </c>
      <c r="C18" s="12" t="s">
        <v>400</v>
      </c>
      <c r="D18" s="13" t="str">
        <f t="shared" si="0"/>
        <v>[INTERCOM-71] Externalize configuration / Pink Panthers</v>
      </c>
      <c r="E18" s="10">
        <v>0</v>
      </c>
      <c r="F18" s="10">
        <v>0</v>
      </c>
      <c r="G18" s="39">
        <f t="shared" si="1"/>
        <v>0</v>
      </c>
    </row>
    <row r="19" spans="1:7" x14ac:dyDescent="0.25">
      <c r="A19" s="12" t="s">
        <v>367</v>
      </c>
      <c r="B19" s="12" t="s">
        <v>366</v>
      </c>
      <c r="C19" s="12" t="s">
        <v>400</v>
      </c>
      <c r="D19" s="13" t="str">
        <f t="shared" si="0"/>
        <v>[WAVECC-34] Open Wave tasks / Pink Panthers</v>
      </c>
      <c r="E19" s="10">
        <v>0</v>
      </c>
      <c r="F19" s="10">
        <v>0</v>
      </c>
      <c r="G19" s="39">
        <f t="shared" si="1"/>
        <v>0</v>
      </c>
    </row>
    <row r="20" spans="1:7" x14ac:dyDescent="0.25">
      <c r="A20" s="12" t="s">
        <v>204</v>
      </c>
      <c r="B20" s="12" t="s">
        <v>371</v>
      </c>
      <c r="C20" s="12" t="s">
        <v>400</v>
      </c>
      <c r="D20" s="13" t="str">
        <f t="shared" si="0"/>
        <v>[INTERCOM-75] Read only mode for Consultations / Pink Panthers</v>
      </c>
      <c r="E20" s="10">
        <v>0</v>
      </c>
      <c r="F20" s="10">
        <v>0</v>
      </c>
      <c r="G20" s="39">
        <f t="shared" si="1"/>
        <v>0</v>
      </c>
    </row>
    <row r="21" spans="1:7" x14ac:dyDescent="0.25">
      <c r="A21" s="12" t="s">
        <v>198</v>
      </c>
      <c r="B21" s="12" t="s">
        <v>373</v>
      </c>
      <c r="C21" s="12" t="s">
        <v>400</v>
      </c>
      <c r="D21" s="13" t="str">
        <f t="shared" si="0"/>
        <v>[CCADMIN-55] Secure Admin Tool / Pink Panthers</v>
      </c>
      <c r="E21" s="10">
        <v>0</v>
      </c>
      <c r="F21" s="10">
        <v>0</v>
      </c>
      <c r="G21" s="39">
        <f t="shared" si="1"/>
        <v>0</v>
      </c>
    </row>
    <row r="22" spans="1:7" x14ac:dyDescent="0.25">
      <c r="A22" s="12" t="s">
        <v>91</v>
      </c>
      <c r="B22" s="12" t="s">
        <v>377</v>
      </c>
      <c r="C22" s="12" t="s">
        <v>400</v>
      </c>
      <c r="D22" s="13" t="str">
        <f t="shared" si="0"/>
        <v>[CCADMIN-44] Service catalog / Pink Panthers</v>
      </c>
      <c r="E22" s="10">
        <v>0</v>
      </c>
      <c r="F22" s="10">
        <v>0</v>
      </c>
      <c r="G22" s="39">
        <f t="shared" si="1"/>
        <v>0</v>
      </c>
    </row>
    <row r="23" spans="1:7" x14ac:dyDescent="0.25">
      <c r="A23" s="12" t="s">
        <v>796</v>
      </c>
      <c r="B23" s="12" t="s">
        <v>833</v>
      </c>
      <c r="C23" s="12" t="s">
        <v>400</v>
      </c>
      <c r="D23" s="13" t="str">
        <f t="shared" si="0"/>
        <v>[INTERCOM-76] Services interoperability / Pink Panthers</v>
      </c>
      <c r="E23" s="10">
        <v>0</v>
      </c>
      <c r="F23" s="10">
        <v>0</v>
      </c>
      <c r="G23" s="39">
        <f t="shared" si="1"/>
        <v>0</v>
      </c>
    </row>
    <row r="24" spans="1:7" x14ac:dyDescent="0.25">
      <c r="A24" s="12" t="s">
        <v>181</v>
      </c>
      <c r="B24" s="12" t="s">
        <v>379</v>
      </c>
      <c r="C24" s="12" t="s">
        <v>400</v>
      </c>
      <c r="D24" s="13" t="str">
        <f t="shared" si="0"/>
        <v>[INTERCOM-59] Show full user name / Pink Panthers</v>
      </c>
      <c r="E24" s="10">
        <v>0</v>
      </c>
      <c r="F24" s="10">
        <v>0</v>
      </c>
      <c r="G24" s="39">
        <f t="shared" si="1"/>
        <v>0</v>
      </c>
    </row>
    <row r="25" spans="1:7" x14ac:dyDescent="0.25">
      <c r="A25" s="12" t="s">
        <v>209</v>
      </c>
      <c r="B25" s="12" t="s">
        <v>207</v>
      </c>
      <c r="C25" s="12" t="s">
        <v>400</v>
      </c>
      <c r="D25" s="13" t="str">
        <f t="shared" si="0"/>
        <v>[INTERCOM-72] Support for parallel tasks / Pink Panthers</v>
      </c>
      <c r="E25" s="10">
        <v>0</v>
      </c>
      <c r="F25" s="10">
        <v>0</v>
      </c>
      <c r="G25" s="39">
        <f t="shared" si="1"/>
        <v>0</v>
      </c>
    </row>
    <row r="26" spans="1:7" x14ac:dyDescent="0.25">
      <c r="A26" s="12" t="s">
        <v>101</v>
      </c>
      <c r="B26" s="12" t="s">
        <v>99</v>
      </c>
      <c r="C26" s="12" t="s">
        <v>400</v>
      </c>
      <c r="D26" s="13" t="str">
        <f t="shared" si="0"/>
        <v>[INTERCOM-52] Update the maven archetype for microservices / Pink Panthers</v>
      </c>
      <c r="E26" s="10">
        <v>0</v>
      </c>
      <c r="F26" s="10">
        <v>0</v>
      </c>
      <c r="G26" s="39">
        <f t="shared" si="1"/>
        <v>0</v>
      </c>
    </row>
    <row r="27" spans="1:7" x14ac:dyDescent="0.25">
      <c r="A27" s="12" t="s">
        <v>69</v>
      </c>
      <c r="B27" s="12" t="s">
        <v>68</v>
      </c>
      <c r="C27" s="12" t="s">
        <v>399</v>
      </c>
      <c r="D27" s="13" t="str">
        <f t="shared" si="0"/>
        <v>[TSKACTION-217] Action: Session Management / RTD</v>
      </c>
      <c r="E27" s="10">
        <v>0</v>
      </c>
      <c r="F27" s="10">
        <v>0</v>
      </c>
      <c r="G27" s="39">
        <f t="shared" si="1"/>
        <v>0</v>
      </c>
    </row>
    <row r="28" spans="1:7" x14ac:dyDescent="0.25">
      <c r="A28" s="12" t="s">
        <v>82</v>
      </c>
      <c r="B28" s="12" t="s">
        <v>81</v>
      </c>
      <c r="C28" s="12" t="s">
        <v>399</v>
      </c>
      <c r="D28" s="13" t="str">
        <f t="shared" si="0"/>
        <v>[CCDOCLIST-165] Provide pre/post operation cal … peration callbacks to business / RTD</v>
      </c>
      <c r="E28" s="10">
        <v>0</v>
      </c>
      <c r="F28" s="10">
        <v>0</v>
      </c>
      <c r="G28" s="39">
        <f t="shared" si="1"/>
        <v>0</v>
      </c>
    </row>
    <row r="29" spans="1:7" x14ac:dyDescent="0.25">
      <c r="A29" s="12" t="s">
        <v>4795</v>
      </c>
      <c r="B29" s="12" t="s">
        <v>4796</v>
      </c>
      <c r="C29" s="12" t="s">
        <v>399</v>
      </c>
      <c r="D29" s="13" t="str">
        <f t="shared" si="0"/>
        <v>[TSKACTION-278] Action: Deep Link-simple / RTD</v>
      </c>
      <c r="E29" s="10">
        <v>0</v>
      </c>
      <c r="F29" s="10">
        <v>0</v>
      </c>
      <c r="G29" s="39">
        <f t="shared" si="1"/>
        <v>0</v>
      </c>
    </row>
    <row r="30" spans="1:7" x14ac:dyDescent="0.25">
      <c r="A30" s="12" t="s">
        <v>290</v>
      </c>
      <c r="B30" s="12" t="s">
        <v>289</v>
      </c>
      <c r="C30" s="12" t="s">
        <v>399</v>
      </c>
      <c r="D30" s="13" t="str">
        <f t="shared" si="0"/>
        <v>[TSKACTION-245] Action: Parallel Actors / Support task / RTD</v>
      </c>
      <c r="E30" s="10">
        <v>0</v>
      </c>
      <c r="F30" s="10">
        <v>0</v>
      </c>
      <c r="G30" s="39">
        <f t="shared" si="1"/>
        <v>0</v>
      </c>
    </row>
    <row r="31" spans="1:7" x14ac:dyDescent="0.25">
      <c r="A31" s="12" t="s">
        <v>218</v>
      </c>
      <c r="B31" s="12" t="s">
        <v>217</v>
      </c>
      <c r="C31" s="12" t="s">
        <v>399</v>
      </c>
      <c r="D31" s="13" t="str">
        <f t="shared" si="0"/>
        <v>[CCTASK-533] Adoption of OpenID security model / RTD</v>
      </c>
      <c r="E31" s="10">
        <v>0</v>
      </c>
      <c r="F31" s="10">
        <v>0</v>
      </c>
      <c r="G31" s="39">
        <f t="shared" si="1"/>
        <v>0</v>
      </c>
    </row>
    <row r="32" spans="1:7" x14ac:dyDescent="0.25">
      <c r="A32" s="12" t="s">
        <v>4790</v>
      </c>
      <c r="B32" s="12" t="s">
        <v>4791</v>
      </c>
      <c r="C32" s="12" t="s">
        <v>399</v>
      </c>
      <c r="D32" s="13" t="str">
        <f t="shared" si="0"/>
        <v>[TSKACTION-76] Config Management / RTD</v>
      </c>
      <c r="E32" s="10">
        <v>0</v>
      </c>
      <c r="F32" s="10">
        <v>0</v>
      </c>
      <c r="G32" s="39">
        <f t="shared" si="1"/>
        <v>0</v>
      </c>
    </row>
    <row r="33" spans="1:7" x14ac:dyDescent="0.25">
      <c r="A33" s="12" t="s">
        <v>222</v>
      </c>
      <c r="B33" s="12" t="s">
        <v>221</v>
      </c>
      <c r="C33" s="12" t="s">
        <v>399</v>
      </c>
      <c r="D33" s="13" t="str">
        <f t="shared" si="0"/>
        <v>[CCDOCLIST-156] Configuration of presentation - compact view / RTD</v>
      </c>
      <c r="E33" s="10">
        <v>0</v>
      </c>
      <c r="F33" s="10">
        <v>0</v>
      </c>
      <c r="G33" s="39">
        <f t="shared" si="1"/>
        <v>0</v>
      </c>
    </row>
    <row r="34" spans="1:7" x14ac:dyDescent="0.25">
      <c r="A34" s="12" t="s">
        <v>225</v>
      </c>
      <c r="B34" s="12" t="s">
        <v>224</v>
      </c>
      <c r="C34" s="12" t="s">
        <v>399</v>
      </c>
      <c r="D34" s="13" t="str">
        <f t="shared" si="0"/>
        <v>[CCDOCLIST-19] Document list read-only mode / RTD</v>
      </c>
      <c r="E34" s="10">
        <v>0</v>
      </c>
      <c r="F34" s="10">
        <v>0</v>
      </c>
      <c r="G34" s="39">
        <f t="shared" si="1"/>
        <v>0</v>
      </c>
    </row>
    <row r="35" spans="1:7" x14ac:dyDescent="0.25">
      <c r="A35" s="12" t="s">
        <v>228</v>
      </c>
      <c r="B35" s="12" t="s">
        <v>227</v>
      </c>
      <c r="C35" s="12" t="s">
        <v>399</v>
      </c>
      <c r="D35" s="13" t="str">
        <f t="shared" si="0"/>
        <v>[CCDOCLIST-157] Filter the Document List at ru … ment List at runtime (backend) / RTD</v>
      </c>
      <c r="E35" s="10">
        <v>0</v>
      </c>
      <c r="F35" s="10">
        <v>0</v>
      </c>
      <c r="G35" s="39">
        <f t="shared" si="1"/>
        <v>0</v>
      </c>
    </row>
    <row r="36" spans="1:7" x14ac:dyDescent="0.25">
      <c r="A36" s="12" t="s">
        <v>272</v>
      </c>
      <c r="B36" s="12" t="s">
        <v>4787</v>
      </c>
      <c r="C36" s="12" t="s">
        <v>399</v>
      </c>
      <c r="D36" s="13" t="str">
        <f t="shared" si="0"/>
        <v>[CCTASK-534] Readiness for Translation Service / RTD</v>
      </c>
      <c r="E36" s="10">
        <v>0</v>
      </c>
      <c r="F36" s="10">
        <v>0</v>
      </c>
      <c r="G36" s="39">
        <f t="shared" si="1"/>
        <v>0</v>
      </c>
    </row>
    <row r="37" spans="1:7" x14ac:dyDescent="0.25">
      <c r="A37" s="12" t="s">
        <v>276</v>
      </c>
      <c r="B37" s="12" t="s">
        <v>275</v>
      </c>
      <c r="C37" s="12" t="s">
        <v>399</v>
      </c>
      <c r="D37" s="13" t="str">
        <f t="shared" si="0"/>
        <v>[CCDOCLIST-17] Configuration management / RTD</v>
      </c>
      <c r="E37" s="10">
        <v>0</v>
      </c>
      <c r="F37" s="10">
        <v>0</v>
      </c>
      <c r="G37" s="39">
        <f t="shared" si="1"/>
        <v>0</v>
      </c>
    </row>
    <row r="38" spans="1:7" x14ac:dyDescent="0.25">
      <c r="A38" s="12" t="s">
        <v>280</v>
      </c>
      <c r="B38" s="12" t="s">
        <v>279</v>
      </c>
      <c r="C38" s="12" t="s">
        <v>399</v>
      </c>
      <c r="D38" s="13" t="str">
        <f t="shared" si="0"/>
        <v>[CCDOCLIST-27] Configuration override / RTD</v>
      </c>
      <c r="E38" s="10">
        <v>0</v>
      </c>
      <c r="F38" s="10">
        <v>0</v>
      </c>
      <c r="G38" s="39">
        <f t="shared" si="1"/>
        <v>0</v>
      </c>
    </row>
    <row r="39" spans="1:7" x14ac:dyDescent="0.25">
      <c r="A39" s="12" t="s">
        <v>296</v>
      </c>
      <c r="B39" s="12" t="s">
        <v>293</v>
      </c>
      <c r="C39" s="12" t="s">
        <v>399</v>
      </c>
      <c r="D39" s="13" t="str">
        <f t="shared" si="0"/>
        <v>[CCTASK-579] Integration with Config Admin / RTD</v>
      </c>
      <c r="E39" s="10">
        <v>0</v>
      </c>
      <c r="F39" s="10">
        <v>0</v>
      </c>
      <c r="G39" s="39">
        <f t="shared" si="1"/>
        <v>0</v>
      </c>
    </row>
    <row r="40" spans="1:7" x14ac:dyDescent="0.25">
      <c r="A40" s="12" t="s">
        <v>283</v>
      </c>
      <c r="B40" s="12" t="s">
        <v>282</v>
      </c>
      <c r="C40" s="12" t="s">
        <v>399</v>
      </c>
      <c r="D40" s="13" t="str">
        <f t="shared" si="0"/>
        <v>[CCDOCLIST-25] Manage document encryption / RTD</v>
      </c>
      <c r="E40" s="10">
        <v>0</v>
      </c>
      <c r="F40" s="10">
        <v>0</v>
      </c>
      <c r="G40" s="39">
        <f t="shared" si="1"/>
        <v>0</v>
      </c>
    </row>
    <row r="41" spans="1:7" x14ac:dyDescent="0.25">
      <c r="A41" s="12" t="s">
        <v>302</v>
      </c>
      <c r="B41" s="12" t="s">
        <v>301</v>
      </c>
      <c r="C41" s="12" t="s">
        <v>399</v>
      </c>
      <c r="D41" s="13" t="str">
        <f t="shared" si="0"/>
        <v>[CCTASK-272] Signature on Outcome / RTD</v>
      </c>
      <c r="E41" s="10">
        <v>0</v>
      </c>
      <c r="F41" s="10">
        <v>0</v>
      </c>
      <c r="G41" s="39">
        <f t="shared" si="1"/>
        <v>0</v>
      </c>
    </row>
    <row r="42" spans="1:7" x14ac:dyDescent="0.25">
      <c r="A42" s="12" t="s">
        <v>234</v>
      </c>
      <c r="B42" s="9" t="s">
        <v>304</v>
      </c>
      <c r="C42" s="9" t="s">
        <v>399</v>
      </c>
      <c r="D42" s="13" t="str">
        <f t="shared" si="0"/>
        <v>[CCTASK-519] Taxonomy multiple references a … and events (for ProcessCentre) / RTD</v>
      </c>
      <c r="E42" s="10">
        <v>0</v>
      </c>
      <c r="F42" s="10">
        <v>0</v>
      </c>
      <c r="G42" s="39">
        <f t="shared" si="1"/>
        <v>0</v>
      </c>
    </row>
    <row r="43" spans="1:7" x14ac:dyDescent="0.25">
      <c r="A43" s="12" t="s">
        <v>307</v>
      </c>
      <c r="B43" s="12" t="s">
        <v>306</v>
      </c>
      <c r="C43" s="12" t="s">
        <v>399</v>
      </c>
      <c r="D43" s="13" t="str">
        <f t="shared" si="0"/>
        <v>[CCDOCLIST-174] The client should be able to r … en a business variable changes / RTD</v>
      </c>
      <c r="E43" s="10">
        <v>0</v>
      </c>
      <c r="F43" s="10">
        <v>0</v>
      </c>
      <c r="G43" s="39">
        <f t="shared" si="1"/>
        <v>0</v>
      </c>
    </row>
    <row r="44" spans="1:7" x14ac:dyDescent="0.25">
      <c r="A44" s="12" t="s">
        <v>310</v>
      </c>
      <c r="B44" s="12" t="s">
        <v>309</v>
      </c>
      <c r="C44" s="12" t="s">
        <v>399</v>
      </c>
      <c r="D44" s="13" t="str">
        <f t="shared" si="0"/>
        <v>[CCTASK-476] UX - Post Checks (error handli … ror handling on task complete) / RTD</v>
      </c>
      <c r="E44" s="10">
        <v>0</v>
      </c>
      <c r="F44" s="10">
        <v>0</v>
      </c>
      <c r="G44" s="39">
        <f t="shared" si="1"/>
        <v>0</v>
      </c>
    </row>
    <row r="45" spans="1:7" x14ac:dyDescent="0.25">
      <c r="A45" s="12" t="s">
        <v>331</v>
      </c>
      <c r="B45" s="12" t="s">
        <v>330</v>
      </c>
      <c r="C45" s="12" t="s">
        <v>399</v>
      </c>
      <c r="D45" s="13" t="str">
        <f t="shared" si="0"/>
        <v>[TSKACTION-56] Action: Document review/download link / RTD</v>
      </c>
      <c r="E45" s="10">
        <v>0</v>
      </c>
      <c r="F45" s="10">
        <v>0</v>
      </c>
      <c r="G45" s="39">
        <f t="shared" si="1"/>
        <v>0</v>
      </c>
    </row>
    <row r="46" spans="1:7" x14ac:dyDescent="0.25">
      <c r="A46" s="12" t="s">
        <v>362</v>
      </c>
      <c r="B46" s="12" t="s">
        <v>361</v>
      </c>
      <c r="C46" s="12" t="s">
        <v>399</v>
      </c>
      <c r="D46" s="13" t="str">
        <f t="shared" si="0"/>
        <v>[CCTASK-532] Impersonation / RTD</v>
      </c>
      <c r="E46" s="10">
        <v>0</v>
      </c>
      <c r="F46" s="10">
        <v>0</v>
      </c>
      <c r="G46" s="39">
        <f t="shared" si="1"/>
        <v>0</v>
      </c>
    </row>
    <row r="47" spans="1:7" x14ac:dyDescent="0.25">
      <c r="A47" s="12" t="s">
        <v>294</v>
      </c>
      <c r="B47" s="12" t="s">
        <v>293</v>
      </c>
      <c r="C47" s="12" t="s">
        <v>399</v>
      </c>
      <c r="D47" s="13" t="str">
        <f t="shared" si="0"/>
        <v>[CCDOCLIST-181] Integration with Config Admin / RTD</v>
      </c>
      <c r="E47" s="10">
        <v>0</v>
      </c>
      <c r="F47" s="10">
        <v>0</v>
      </c>
      <c r="G47" s="39">
        <f t="shared" si="1"/>
        <v>0</v>
      </c>
    </row>
    <row r="48" spans="1:7" x14ac:dyDescent="0.25">
      <c r="A48" s="12" t="s">
        <v>364</v>
      </c>
      <c r="B48" s="12" t="s">
        <v>363</v>
      </c>
      <c r="C48" s="12" t="s">
        <v>399</v>
      </c>
      <c r="D48" s="13" t="str">
        <f t="shared" si="0"/>
        <v>[CCDOCLIST-116] Mandatory documents / RTD</v>
      </c>
      <c r="E48" s="10">
        <v>0</v>
      </c>
      <c r="F48" s="10">
        <v>0</v>
      </c>
      <c r="G48" s="39">
        <f t="shared" si="1"/>
        <v>0</v>
      </c>
    </row>
    <row r="49" spans="1:7" x14ac:dyDescent="0.25">
      <c r="A49" s="12" t="s">
        <v>385</v>
      </c>
      <c r="B49" s="12" t="s">
        <v>384</v>
      </c>
      <c r="C49" s="12" t="s">
        <v>399</v>
      </c>
      <c r="D49" s="13" t="str">
        <f t="shared" si="0"/>
        <v>[CCTASK-518] Taxonomy link to CCM2 / RTD</v>
      </c>
      <c r="E49" s="10">
        <v>0</v>
      </c>
      <c r="F49" s="10">
        <v>0</v>
      </c>
      <c r="G49" s="39">
        <f t="shared" si="1"/>
        <v>0</v>
      </c>
    </row>
    <row r="50" spans="1:7" x14ac:dyDescent="0.25">
      <c r="A50" s="12"/>
      <c r="B50" s="9"/>
      <c r="C50" s="9"/>
      <c r="D50" s="13" t="str">
        <f t="shared" si="0"/>
        <v xml:space="preserve">[]  / </v>
      </c>
      <c r="E50" s="10"/>
      <c r="F50" s="10"/>
      <c r="G50" s="39">
        <f t="shared" si="1"/>
        <v>0</v>
      </c>
    </row>
    <row r="51" spans="1:7" x14ac:dyDescent="0.25">
      <c r="A51" s="12"/>
      <c r="B51" s="9"/>
      <c r="C51" s="9"/>
      <c r="D51" s="13" t="str">
        <f t="shared" ref="D51:D58" si="2">CONCATENATE(IF(LEN(CONCATENATE("[",A51,"] ",B51))&lt;=60,CONCATENATE("[",A51,"] ",B51),CONCATENATE("[",A51,"] ",LEFT(B51,30)," … ",RIGHT(B51,30))), " / ", C51)</f>
        <v xml:space="preserve">[]  / </v>
      </c>
      <c r="E51" s="10"/>
      <c r="F51" s="10"/>
      <c r="G51" s="39">
        <f t="shared" si="1"/>
        <v>0</v>
      </c>
    </row>
    <row r="52" spans="1:7" x14ac:dyDescent="0.25">
      <c r="A52" s="12"/>
      <c r="B52" s="9"/>
      <c r="C52" s="9"/>
      <c r="D52" s="13" t="str">
        <f t="shared" si="2"/>
        <v xml:space="preserve">[]  / </v>
      </c>
      <c r="E52" s="10"/>
      <c r="F52" s="10"/>
      <c r="G52" s="39">
        <f t="shared" si="1"/>
        <v>0</v>
      </c>
    </row>
    <row r="53" spans="1:7" x14ac:dyDescent="0.25">
      <c r="A53" s="12"/>
      <c r="B53" s="9"/>
      <c r="C53" s="9"/>
      <c r="D53" s="13" t="str">
        <f t="shared" si="2"/>
        <v xml:space="preserve">[]  / </v>
      </c>
      <c r="E53" s="10"/>
      <c r="F53" s="10"/>
      <c r="G53" s="39">
        <f t="shared" si="1"/>
        <v>0</v>
      </c>
    </row>
    <row r="54" spans="1:7" x14ac:dyDescent="0.25">
      <c r="A54" s="12"/>
      <c r="B54" s="9"/>
      <c r="C54" s="9"/>
      <c r="D54" s="13" t="str">
        <f t="shared" si="2"/>
        <v xml:space="preserve">[]  / </v>
      </c>
      <c r="E54" s="10"/>
      <c r="F54" s="10"/>
      <c r="G54" s="39">
        <f t="shared" si="1"/>
        <v>0</v>
      </c>
    </row>
    <row r="55" spans="1:7" x14ac:dyDescent="0.25">
      <c r="A55" s="12"/>
      <c r="B55" s="9"/>
      <c r="C55" s="9"/>
      <c r="D55" s="13" t="str">
        <f t="shared" si="2"/>
        <v xml:space="preserve">[]  / </v>
      </c>
      <c r="E55" s="10"/>
      <c r="F55" s="10"/>
      <c r="G55" s="39">
        <f t="shared" si="1"/>
        <v>0</v>
      </c>
    </row>
    <row r="56" spans="1:7" x14ac:dyDescent="0.25">
      <c r="A56" s="12"/>
      <c r="B56" s="9"/>
      <c r="C56" s="9"/>
      <c r="D56" s="13" t="str">
        <f t="shared" si="2"/>
        <v xml:space="preserve">[]  / </v>
      </c>
      <c r="E56" s="10"/>
      <c r="F56" s="10"/>
      <c r="G56" s="39">
        <f t="shared" si="1"/>
        <v>0</v>
      </c>
    </row>
    <row r="57" spans="1:7" x14ac:dyDescent="0.25">
      <c r="A57" s="12"/>
      <c r="B57" s="9"/>
      <c r="C57" s="9"/>
      <c r="D57" s="13" t="str">
        <f t="shared" si="2"/>
        <v xml:space="preserve">[]  / </v>
      </c>
      <c r="E57" s="10"/>
      <c r="F57" s="10"/>
      <c r="G57" s="39">
        <f t="shared" si="1"/>
        <v>0</v>
      </c>
    </row>
    <row r="58" spans="1:7" x14ac:dyDescent="0.25">
      <c r="A58" s="12"/>
      <c r="B58" s="9"/>
      <c r="C58" s="9"/>
      <c r="D58" s="13" t="str">
        <f t="shared" si="2"/>
        <v xml:space="preserve">[]  / </v>
      </c>
      <c r="E58" s="10"/>
      <c r="F58" s="10"/>
      <c r="G58" s="39">
        <f t="shared" si="1"/>
        <v>0</v>
      </c>
    </row>
  </sheetData>
  <sortState ref="A4:F50">
    <sortCondition ref="C4"/>
  </sortState>
  <conditionalFormatting sqref="D14">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sheetPr>
  <dimension ref="A2:G58"/>
  <sheetViews>
    <sheetView topLeftCell="A3" zoomScale="80" zoomScaleNormal="80" zoomScalePageLayoutView="90" workbookViewId="0">
      <selection activeCell="D9" sqref="D9"/>
    </sheetView>
  </sheetViews>
  <sheetFormatPr defaultColWidth="11" defaultRowHeight="15.75" x14ac:dyDescent="0.25"/>
  <cols>
    <col min="2" max="2" width="64.125" customWidth="1"/>
    <col min="3" max="3" width="47.125" customWidth="1"/>
    <col min="4" max="4" width="64.125" customWidth="1"/>
    <col min="5" max="5" width="14.5" customWidth="1"/>
    <col min="6" max="6" width="17.625" customWidth="1"/>
    <col min="7" max="7" width="8.25" customWidth="1"/>
  </cols>
  <sheetData>
    <row r="2" spans="1:7" x14ac:dyDescent="0.25">
      <c r="E2" s="38">
        <f>SUM(E4:E58)</f>
        <v>0</v>
      </c>
      <c r="F2" s="38">
        <f>SUM(F4:F58)</f>
        <v>77</v>
      </c>
      <c r="G2" s="39">
        <f>IF(ISBLANK(F2),0,IF(F2=0,0,E2/F2))</f>
        <v>0</v>
      </c>
    </row>
    <row r="3" spans="1:7" ht="42" x14ac:dyDescent="0.35">
      <c r="A3" s="1" t="s">
        <v>27</v>
      </c>
      <c r="B3" s="1" t="s">
        <v>0</v>
      </c>
      <c r="C3" s="1" t="s">
        <v>28</v>
      </c>
      <c r="D3" s="1" t="s">
        <v>0</v>
      </c>
      <c r="E3" s="2" t="s">
        <v>2</v>
      </c>
      <c r="F3" s="2" t="s">
        <v>1</v>
      </c>
    </row>
    <row r="4" spans="1:7" ht="42" customHeight="1" x14ac:dyDescent="0.25">
      <c r="A4" s="9" t="s">
        <v>336</v>
      </c>
      <c r="B4" s="9" t="s">
        <v>335</v>
      </c>
      <c r="C4" s="9" t="s">
        <v>403</v>
      </c>
      <c r="D4" s="9" t="str">
        <f t="shared" ref="D4:D10" si="0">CONCATENATE(IF(LEN(CONCATENATE("[",A4,"] ",B4))&lt;=60,CONCATENATE("[",A4,"] ",B4),CONCATENATE("[",A4,"] ",LEFT(B4,30)," … ",RIGHT(B4,30))), " / ", C4)</f>
        <v>[CCPMO-129] Automated Program Metrics Update / Minions</v>
      </c>
      <c r="E4" s="10">
        <v>0</v>
      </c>
      <c r="F4" s="10">
        <v>13</v>
      </c>
      <c r="G4" s="39">
        <f t="shared" ref="G4:G58" si="1">IF(ISBLANK(F4),0,IF(F4=0,0,E4/F4))</f>
        <v>0</v>
      </c>
    </row>
    <row r="5" spans="1:7" x14ac:dyDescent="0.25">
      <c r="A5" s="9" t="s">
        <v>250</v>
      </c>
      <c r="B5" s="9" t="s">
        <v>337</v>
      </c>
      <c r="C5" s="9" t="s">
        <v>403</v>
      </c>
      <c r="D5" s="9" t="str">
        <f t="shared" si="0"/>
        <v>[CCPMO-77] Cheat Sheet (Program) / Minions</v>
      </c>
      <c r="E5" s="10">
        <v>0</v>
      </c>
      <c r="F5" s="10">
        <v>8</v>
      </c>
      <c r="G5" s="39">
        <f t="shared" si="1"/>
        <v>0</v>
      </c>
    </row>
    <row r="6" spans="1:7" x14ac:dyDescent="0.25">
      <c r="A6" s="9" t="s">
        <v>339</v>
      </c>
      <c r="B6" s="9" t="s">
        <v>338</v>
      </c>
      <c r="C6" s="9" t="s">
        <v>403</v>
      </c>
      <c r="D6" s="9" t="str">
        <f t="shared" si="0"/>
        <v>[CCPMO-63] Cheat Sheets (Team) / Minions</v>
      </c>
      <c r="E6" s="10">
        <v>0</v>
      </c>
      <c r="F6" s="10">
        <v>8</v>
      </c>
      <c r="G6" s="39">
        <f t="shared" si="1"/>
        <v>0</v>
      </c>
    </row>
    <row r="7" spans="1:7" x14ac:dyDescent="0.25">
      <c r="A7" s="9" t="s">
        <v>76</v>
      </c>
      <c r="B7" s="9" t="s">
        <v>369</v>
      </c>
      <c r="C7" s="9" t="s">
        <v>403</v>
      </c>
      <c r="D7" s="9" t="str">
        <f t="shared" si="0"/>
        <v>[CCPMO-76] Program Monitoring Dashboard / Minions</v>
      </c>
      <c r="E7" s="10">
        <v>0</v>
      </c>
      <c r="F7" s="10">
        <v>30</v>
      </c>
      <c r="G7" s="39">
        <f t="shared" si="1"/>
        <v>0</v>
      </c>
    </row>
    <row r="8" spans="1:7" x14ac:dyDescent="0.25">
      <c r="A8" s="9" t="s">
        <v>299</v>
      </c>
      <c r="B8" s="9" t="s">
        <v>298</v>
      </c>
      <c r="C8" s="9" t="s">
        <v>399</v>
      </c>
      <c r="D8" s="9" t="str">
        <f t="shared" si="0"/>
        <v>[CCTASK-527] SSE Bridge / RTD</v>
      </c>
      <c r="E8" s="10">
        <v>0</v>
      </c>
      <c r="F8" s="10">
        <v>18</v>
      </c>
      <c r="G8" s="39">
        <f t="shared" si="1"/>
        <v>0</v>
      </c>
    </row>
    <row r="9" spans="1:7" x14ac:dyDescent="0.25">
      <c r="A9" s="9" t="s">
        <v>211</v>
      </c>
      <c r="B9" s="9" t="s">
        <v>210</v>
      </c>
      <c r="C9" s="9" t="s">
        <v>402</v>
      </c>
      <c r="D9" s="9" t="str">
        <f t="shared" si="0"/>
        <v>[CCARCHITEC-37] Internationalization / Scape Goats</v>
      </c>
      <c r="E9" s="10">
        <v>0</v>
      </c>
      <c r="F9" s="10">
        <v>0</v>
      </c>
      <c r="G9" s="39">
        <f t="shared" si="1"/>
        <v>0</v>
      </c>
    </row>
    <row r="10" spans="1:7" x14ac:dyDescent="0.25">
      <c r="A10" s="9" t="s">
        <v>286</v>
      </c>
      <c r="B10" s="9" t="s">
        <v>285</v>
      </c>
      <c r="C10" s="9" t="s">
        <v>402</v>
      </c>
      <c r="D10" s="9" t="str">
        <f t="shared" si="0"/>
        <v>[CCARCHITEC-49] Translation Service / Scape Goats</v>
      </c>
      <c r="E10" s="10">
        <v>0</v>
      </c>
      <c r="F10" s="10">
        <v>0</v>
      </c>
      <c r="G10" s="39">
        <f t="shared" si="1"/>
        <v>0</v>
      </c>
    </row>
    <row r="11" spans="1:7" x14ac:dyDescent="0.25">
      <c r="A11" s="9"/>
      <c r="B11" s="9"/>
      <c r="C11" s="9"/>
      <c r="D11" s="9" t="str">
        <f t="shared" ref="D11:D58" si="2">CONCATENATE(IF(LEN(CONCATENATE("[",A11,"] ",B11))&lt;=60,CONCATENATE("[",A11,"] ",B11),CONCATENATE("[",A11,"] ",LEFT(B11,30)," … ",RIGHT(B11,30))), " / ", C11)</f>
        <v xml:space="preserve">[]  / </v>
      </c>
      <c r="E11" s="10"/>
      <c r="F11" s="10"/>
      <c r="G11" s="39">
        <f t="shared" si="1"/>
        <v>0</v>
      </c>
    </row>
    <row r="12" spans="1:7" x14ac:dyDescent="0.25">
      <c r="A12" s="9"/>
      <c r="B12" s="9"/>
      <c r="C12" s="9"/>
      <c r="D12" s="9" t="str">
        <f t="shared" si="2"/>
        <v xml:space="preserve">[]  / </v>
      </c>
      <c r="E12" s="10"/>
      <c r="F12" s="10"/>
      <c r="G12" s="39">
        <f t="shared" si="1"/>
        <v>0</v>
      </c>
    </row>
    <row r="13" spans="1:7" x14ac:dyDescent="0.25">
      <c r="A13" s="9"/>
      <c r="B13" s="9"/>
      <c r="C13" s="9"/>
      <c r="D13" s="9" t="str">
        <f t="shared" si="2"/>
        <v xml:space="preserve">[]  / </v>
      </c>
      <c r="E13" s="10"/>
      <c r="F13" s="10"/>
      <c r="G13" s="39">
        <f t="shared" si="1"/>
        <v>0</v>
      </c>
    </row>
    <row r="14" spans="1:7" x14ac:dyDescent="0.25">
      <c r="A14" s="9"/>
      <c r="B14" s="9"/>
      <c r="C14" s="9"/>
      <c r="D14" s="9" t="str">
        <f t="shared" si="2"/>
        <v xml:space="preserve">[]  / </v>
      </c>
      <c r="E14" s="10"/>
      <c r="F14" s="10"/>
      <c r="G14" s="39">
        <f t="shared" si="1"/>
        <v>0</v>
      </c>
    </row>
    <row r="15" spans="1:7" x14ac:dyDescent="0.25">
      <c r="A15" s="9"/>
      <c r="B15" s="9"/>
      <c r="C15" s="9"/>
      <c r="D15" s="9" t="str">
        <f t="shared" si="2"/>
        <v xml:space="preserve">[]  / </v>
      </c>
      <c r="E15" s="10"/>
      <c r="F15" s="10"/>
      <c r="G15" s="39">
        <f t="shared" si="1"/>
        <v>0</v>
      </c>
    </row>
    <row r="16" spans="1:7" x14ac:dyDescent="0.25">
      <c r="A16" s="9"/>
      <c r="B16" s="9"/>
      <c r="C16" s="9"/>
      <c r="D16" s="9" t="str">
        <f t="shared" si="2"/>
        <v xml:space="preserve">[]  / </v>
      </c>
      <c r="E16" s="10"/>
      <c r="F16" s="10"/>
      <c r="G16" s="39">
        <f t="shared" si="1"/>
        <v>0</v>
      </c>
    </row>
    <row r="17" spans="1:7" x14ac:dyDescent="0.25">
      <c r="A17" s="9"/>
      <c r="B17" s="9"/>
      <c r="C17" s="9"/>
      <c r="D17" s="9" t="str">
        <f t="shared" si="2"/>
        <v xml:space="preserve">[]  / </v>
      </c>
      <c r="E17" s="10"/>
      <c r="F17" s="10"/>
      <c r="G17" s="39">
        <f t="shared" si="1"/>
        <v>0</v>
      </c>
    </row>
    <row r="18" spans="1:7" x14ac:dyDescent="0.25">
      <c r="A18" s="9"/>
      <c r="B18" s="9"/>
      <c r="C18" s="9"/>
      <c r="D18" s="9" t="str">
        <f t="shared" si="2"/>
        <v xml:space="preserve">[]  / </v>
      </c>
      <c r="E18" s="10"/>
      <c r="F18" s="10"/>
      <c r="G18" s="39">
        <f t="shared" si="1"/>
        <v>0</v>
      </c>
    </row>
    <row r="19" spans="1:7" x14ac:dyDescent="0.25">
      <c r="A19" s="9"/>
      <c r="B19" s="9"/>
      <c r="C19" s="9"/>
      <c r="D19" s="9" t="str">
        <f t="shared" si="2"/>
        <v xml:space="preserve">[]  / </v>
      </c>
      <c r="E19" s="10"/>
      <c r="F19" s="10"/>
      <c r="G19" s="39">
        <f t="shared" si="1"/>
        <v>0</v>
      </c>
    </row>
    <row r="20" spans="1:7" x14ac:dyDescent="0.25">
      <c r="A20" s="9"/>
      <c r="B20" s="9"/>
      <c r="C20" s="9"/>
      <c r="D20" s="9" t="str">
        <f t="shared" si="2"/>
        <v xml:space="preserve">[]  / </v>
      </c>
      <c r="E20" s="10"/>
      <c r="F20" s="10"/>
      <c r="G20" s="39">
        <f t="shared" si="1"/>
        <v>0</v>
      </c>
    </row>
    <row r="21" spans="1:7" x14ac:dyDescent="0.25">
      <c r="A21" s="9"/>
      <c r="B21" s="9"/>
      <c r="C21" s="9"/>
      <c r="D21" s="9" t="str">
        <f t="shared" si="2"/>
        <v xml:space="preserve">[]  / </v>
      </c>
      <c r="E21" s="10"/>
      <c r="F21" s="10"/>
      <c r="G21" s="39">
        <f t="shared" si="1"/>
        <v>0</v>
      </c>
    </row>
    <row r="22" spans="1:7" x14ac:dyDescent="0.25">
      <c r="A22" s="9"/>
      <c r="B22" s="9"/>
      <c r="C22" s="9"/>
      <c r="D22" s="9" t="str">
        <f t="shared" si="2"/>
        <v xml:space="preserve">[]  / </v>
      </c>
      <c r="E22" s="10"/>
      <c r="F22" s="10"/>
      <c r="G22" s="39">
        <f t="shared" si="1"/>
        <v>0</v>
      </c>
    </row>
    <row r="23" spans="1:7" x14ac:dyDescent="0.25">
      <c r="A23" s="9"/>
      <c r="B23" s="9"/>
      <c r="C23" s="9"/>
      <c r="D23" s="9" t="str">
        <f t="shared" si="2"/>
        <v xml:space="preserve">[]  / </v>
      </c>
      <c r="E23" s="10"/>
      <c r="F23" s="10"/>
      <c r="G23" s="39">
        <f t="shared" si="1"/>
        <v>0</v>
      </c>
    </row>
    <row r="24" spans="1:7" x14ac:dyDescent="0.25">
      <c r="A24" s="9"/>
      <c r="B24" s="9"/>
      <c r="C24" s="9"/>
      <c r="D24" s="9" t="str">
        <f t="shared" si="2"/>
        <v xml:space="preserve">[]  / </v>
      </c>
      <c r="E24" s="10"/>
      <c r="F24" s="10"/>
      <c r="G24" s="39">
        <f t="shared" si="1"/>
        <v>0</v>
      </c>
    </row>
    <row r="25" spans="1:7" x14ac:dyDescent="0.25">
      <c r="A25" s="9"/>
      <c r="B25" s="9"/>
      <c r="C25" s="9"/>
      <c r="D25" s="9" t="str">
        <f t="shared" si="2"/>
        <v xml:space="preserve">[]  / </v>
      </c>
      <c r="E25" s="10"/>
      <c r="F25" s="10"/>
      <c r="G25" s="39">
        <f t="shared" si="1"/>
        <v>0</v>
      </c>
    </row>
    <row r="26" spans="1:7" x14ac:dyDescent="0.25">
      <c r="A26" s="9"/>
      <c r="B26" s="9"/>
      <c r="C26" s="9"/>
      <c r="D26" s="9" t="str">
        <f t="shared" si="2"/>
        <v xml:space="preserve">[]  / </v>
      </c>
      <c r="E26" s="10"/>
      <c r="F26" s="10"/>
      <c r="G26" s="39">
        <f t="shared" si="1"/>
        <v>0</v>
      </c>
    </row>
    <row r="27" spans="1:7" x14ac:dyDescent="0.25">
      <c r="A27" s="9"/>
      <c r="B27" s="9"/>
      <c r="C27" s="9"/>
      <c r="D27" s="9" t="str">
        <f t="shared" si="2"/>
        <v xml:space="preserve">[]  / </v>
      </c>
      <c r="E27" s="10"/>
      <c r="F27" s="10"/>
      <c r="G27" s="39">
        <f t="shared" si="1"/>
        <v>0</v>
      </c>
    </row>
    <row r="28" spans="1:7" x14ac:dyDescent="0.25">
      <c r="A28" s="9"/>
      <c r="B28" s="9"/>
      <c r="C28" s="9"/>
      <c r="D28" s="9" t="str">
        <f t="shared" si="2"/>
        <v xml:space="preserve">[]  / </v>
      </c>
      <c r="E28" s="10"/>
      <c r="F28" s="10"/>
      <c r="G28" s="39">
        <f t="shared" si="1"/>
        <v>0</v>
      </c>
    </row>
    <row r="29" spans="1:7" x14ac:dyDescent="0.25">
      <c r="A29" s="9"/>
      <c r="B29" s="9"/>
      <c r="C29" s="9"/>
      <c r="D29" s="9" t="str">
        <f t="shared" si="2"/>
        <v xml:space="preserve">[]  / </v>
      </c>
      <c r="E29" s="10"/>
      <c r="F29" s="10"/>
      <c r="G29" s="39">
        <f t="shared" si="1"/>
        <v>0</v>
      </c>
    </row>
    <row r="30" spans="1:7" x14ac:dyDescent="0.25">
      <c r="A30" s="9"/>
      <c r="B30" s="9"/>
      <c r="C30" s="9"/>
      <c r="D30" s="9" t="str">
        <f t="shared" si="2"/>
        <v xml:space="preserve">[]  / </v>
      </c>
      <c r="E30" s="10"/>
      <c r="F30" s="10"/>
      <c r="G30" s="39">
        <f t="shared" si="1"/>
        <v>0</v>
      </c>
    </row>
    <row r="31" spans="1:7" x14ac:dyDescent="0.25">
      <c r="A31" s="9"/>
      <c r="B31" s="9"/>
      <c r="C31" s="9"/>
      <c r="D31" s="9" t="str">
        <f t="shared" si="2"/>
        <v xml:space="preserve">[]  / </v>
      </c>
      <c r="E31" s="10"/>
      <c r="F31" s="10"/>
      <c r="G31" s="39">
        <f t="shared" si="1"/>
        <v>0</v>
      </c>
    </row>
    <row r="32" spans="1:7" x14ac:dyDescent="0.25">
      <c r="A32" s="9"/>
      <c r="B32" s="9"/>
      <c r="C32" s="9"/>
      <c r="D32" s="9" t="str">
        <f t="shared" si="2"/>
        <v xml:space="preserve">[]  / </v>
      </c>
      <c r="E32" s="10"/>
      <c r="F32" s="10"/>
      <c r="G32" s="39">
        <f t="shared" si="1"/>
        <v>0</v>
      </c>
    </row>
    <row r="33" spans="1:7" x14ac:dyDescent="0.25">
      <c r="A33" s="9"/>
      <c r="B33" s="9"/>
      <c r="C33" s="9"/>
      <c r="D33" s="9" t="str">
        <f t="shared" si="2"/>
        <v xml:space="preserve">[]  / </v>
      </c>
      <c r="E33" s="10"/>
      <c r="F33" s="10"/>
      <c r="G33" s="39">
        <f t="shared" si="1"/>
        <v>0</v>
      </c>
    </row>
    <row r="34" spans="1:7" x14ac:dyDescent="0.25">
      <c r="A34" s="9"/>
      <c r="B34" s="9"/>
      <c r="C34" s="9"/>
      <c r="D34" s="9" t="str">
        <f t="shared" si="2"/>
        <v xml:space="preserve">[]  / </v>
      </c>
      <c r="E34" s="10"/>
      <c r="F34" s="10"/>
      <c r="G34" s="39">
        <f t="shared" si="1"/>
        <v>0</v>
      </c>
    </row>
    <row r="35" spans="1:7" x14ac:dyDescent="0.25">
      <c r="A35" s="9"/>
      <c r="B35" s="9"/>
      <c r="C35" s="9"/>
      <c r="D35" s="9" t="str">
        <f t="shared" si="2"/>
        <v xml:space="preserve">[]  / </v>
      </c>
      <c r="E35" s="10"/>
      <c r="F35" s="10"/>
      <c r="G35" s="39">
        <f t="shared" si="1"/>
        <v>0</v>
      </c>
    </row>
    <row r="36" spans="1:7" x14ac:dyDescent="0.25">
      <c r="A36" s="9"/>
      <c r="B36" s="9"/>
      <c r="C36" s="9"/>
      <c r="D36" s="9" t="str">
        <f t="shared" si="2"/>
        <v xml:space="preserve">[]  / </v>
      </c>
      <c r="E36" s="10"/>
      <c r="F36" s="10"/>
      <c r="G36" s="39">
        <f t="shared" si="1"/>
        <v>0</v>
      </c>
    </row>
    <row r="37" spans="1:7" x14ac:dyDescent="0.25">
      <c r="A37" s="9"/>
      <c r="B37" s="9"/>
      <c r="C37" s="9"/>
      <c r="D37" s="9" t="str">
        <f t="shared" si="2"/>
        <v xml:space="preserve">[]  / </v>
      </c>
      <c r="E37" s="10"/>
      <c r="F37" s="10"/>
      <c r="G37" s="39">
        <f t="shared" si="1"/>
        <v>0</v>
      </c>
    </row>
    <row r="38" spans="1:7" x14ac:dyDescent="0.25">
      <c r="A38" s="9"/>
      <c r="B38" s="9"/>
      <c r="C38" s="9"/>
      <c r="D38" s="9" t="str">
        <f t="shared" si="2"/>
        <v xml:space="preserve">[]  / </v>
      </c>
      <c r="E38" s="10"/>
      <c r="F38" s="10"/>
      <c r="G38" s="39">
        <f t="shared" si="1"/>
        <v>0</v>
      </c>
    </row>
    <row r="39" spans="1:7" x14ac:dyDescent="0.25">
      <c r="A39" s="9"/>
      <c r="B39" s="9"/>
      <c r="C39" s="9"/>
      <c r="D39" s="9" t="str">
        <f t="shared" si="2"/>
        <v xml:space="preserve">[]  / </v>
      </c>
      <c r="E39" s="10"/>
      <c r="F39" s="10"/>
      <c r="G39" s="39">
        <f t="shared" si="1"/>
        <v>0</v>
      </c>
    </row>
    <row r="40" spans="1:7" x14ac:dyDescent="0.25">
      <c r="A40" s="9"/>
      <c r="B40" s="9"/>
      <c r="C40" s="9"/>
      <c r="D40" s="9" t="str">
        <f t="shared" si="2"/>
        <v xml:space="preserve">[]  / </v>
      </c>
      <c r="E40" s="10"/>
      <c r="F40" s="10"/>
      <c r="G40" s="39">
        <f t="shared" si="1"/>
        <v>0</v>
      </c>
    </row>
    <row r="41" spans="1:7" x14ac:dyDescent="0.25">
      <c r="A41" s="9"/>
      <c r="B41" s="9"/>
      <c r="C41" s="9"/>
      <c r="D41" s="9" t="str">
        <f t="shared" si="2"/>
        <v xml:space="preserve">[]  / </v>
      </c>
      <c r="E41" s="10"/>
      <c r="F41" s="10"/>
      <c r="G41" s="39">
        <f t="shared" si="1"/>
        <v>0</v>
      </c>
    </row>
    <row r="42" spans="1:7" x14ac:dyDescent="0.25">
      <c r="A42" s="9"/>
      <c r="B42" s="9"/>
      <c r="C42" s="9"/>
      <c r="D42" s="9" t="str">
        <f t="shared" si="2"/>
        <v xml:space="preserve">[]  / </v>
      </c>
      <c r="E42" s="10"/>
      <c r="F42" s="10"/>
      <c r="G42" s="39">
        <f t="shared" si="1"/>
        <v>0</v>
      </c>
    </row>
    <row r="43" spans="1:7" x14ac:dyDescent="0.25">
      <c r="A43" s="9"/>
      <c r="B43" s="9"/>
      <c r="C43" s="9"/>
      <c r="D43" s="9" t="str">
        <f t="shared" si="2"/>
        <v xml:space="preserve">[]  / </v>
      </c>
      <c r="E43" s="10"/>
      <c r="F43" s="10"/>
      <c r="G43" s="39">
        <f t="shared" si="1"/>
        <v>0</v>
      </c>
    </row>
    <row r="44" spans="1:7" x14ac:dyDescent="0.25">
      <c r="A44" s="9"/>
      <c r="B44" s="9"/>
      <c r="C44" s="9"/>
      <c r="D44" s="9" t="str">
        <f t="shared" si="2"/>
        <v xml:space="preserve">[]  / </v>
      </c>
      <c r="E44" s="10"/>
      <c r="F44" s="10"/>
      <c r="G44" s="39">
        <f t="shared" si="1"/>
        <v>0</v>
      </c>
    </row>
    <row r="45" spans="1:7" x14ac:dyDescent="0.25">
      <c r="A45" s="9"/>
      <c r="B45" s="9"/>
      <c r="C45" s="9"/>
      <c r="D45" s="9" t="str">
        <f t="shared" si="2"/>
        <v xml:space="preserve">[]  / </v>
      </c>
      <c r="E45" s="10"/>
      <c r="F45" s="10"/>
      <c r="G45" s="39">
        <f t="shared" si="1"/>
        <v>0</v>
      </c>
    </row>
    <row r="46" spans="1:7" x14ac:dyDescent="0.25">
      <c r="A46" s="9"/>
      <c r="B46" s="9"/>
      <c r="C46" s="9"/>
      <c r="D46" s="9" t="str">
        <f t="shared" si="2"/>
        <v xml:space="preserve">[]  / </v>
      </c>
      <c r="E46" s="10"/>
      <c r="F46" s="10"/>
      <c r="G46" s="39">
        <f t="shared" si="1"/>
        <v>0</v>
      </c>
    </row>
    <row r="47" spans="1:7" x14ac:dyDescent="0.25">
      <c r="A47" s="9"/>
      <c r="B47" s="9"/>
      <c r="C47" s="9"/>
      <c r="D47" s="9" t="str">
        <f t="shared" si="2"/>
        <v xml:space="preserve">[]  / </v>
      </c>
      <c r="E47" s="10"/>
      <c r="F47" s="10"/>
      <c r="G47" s="39">
        <f t="shared" si="1"/>
        <v>0</v>
      </c>
    </row>
    <row r="48" spans="1:7" x14ac:dyDescent="0.25">
      <c r="A48" s="9"/>
      <c r="B48" s="9"/>
      <c r="C48" s="9"/>
      <c r="D48" s="9" t="str">
        <f t="shared" si="2"/>
        <v xml:space="preserve">[]  / </v>
      </c>
      <c r="E48" s="10"/>
      <c r="F48" s="10"/>
      <c r="G48" s="39">
        <f t="shared" si="1"/>
        <v>0</v>
      </c>
    </row>
    <row r="49" spans="1:7" x14ac:dyDescent="0.25">
      <c r="A49" s="9"/>
      <c r="B49" s="9"/>
      <c r="C49" s="9"/>
      <c r="D49" s="9" t="str">
        <f t="shared" si="2"/>
        <v xml:space="preserve">[]  / </v>
      </c>
      <c r="E49" s="10"/>
      <c r="F49" s="10"/>
      <c r="G49" s="39">
        <f t="shared" si="1"/>
        <v>0</v>
      </c>
    </row>
    <row r="50" spans="1:7" x14ac:dyDescent="0.25">
      <c r="A50" s="9"/>
      <c r="B50" s="9"/>
      <c r="C50" s="9"/>
      <c r="D50" s="9" t="str">
        <f t="shared" si="2"/>
        <v xml:space="preserve">[]  / </v>
      </c>
      <c r="E50" s="10"/>
      <c r="F50" s="10"/>
      <c r="G50" s="39">
        <f t="shared" si="1"/>
        <v>0</v>
      </c>
    </row>
    <row r="51" spans="1:7" x14ac:dyDescent="0.25">
      <c r="A51" s="9"/>
      <c r="B51" s="9"/>
      <c r="C51" s="9"/>
      <c r="D51" s="9" t="str">
        <f t="shared" si="2"/>
        <v xml:space="preserve">[]  / </v>
      </c>
      <c r="E51" s="10"/>
      <c r="F51" s="10"/>
      <c r="G51" s="39">
        <f t="shared" si="1"/>
        <v>0</v>
      </c>
    </row>
    <row r="52" spans="1:7" x14ac:dyDescent="0.25">
      <c r="A52" s="9"/>
      <c r="B52" s="9"/>
      <c r="C52" s="9"/>
      <c r="D52" s="9" t="str">
        <f t="shared" si="2"/>
        <v xml:space="preserve">[]  / </v>
      </c>
      <c r="E52" s="10"/>
      <c r="F52" s="10"/>
      <c r="G52" s="39">
        <f t="shared" si="1"/>
        <v>0</v>
      </c>
    </row>
    <row r="53" spans="1:7" x14ac:dyDescent="0.25">
      <c r="A53" s="9"/>
      <c r="B53" s="9"/>
      <c r="C53" s="9"/>
      <c r="D53" s="9" t="str">
        <f t="shared" si="2"/>
        <v xml:space="preserve">[]  / </v>
      </c>
      <c r="E53" s="10"/>
      <c r="F53" s="10"/>
      <c r="G53" s="39">
        <f t="shared" si="1"/>
        <v>0</v>
      </c>
    </row>
    <row r="54" spans="1:7" x14ac:dyDescent="0.25">
      <c r="A54" s="9"/>
      <c r="B54" s="9"/>
      <c r="C54" s="9"/>
      <c r="D54" s="9" t="str">
        <f t="shared" si="2"/>
        <v xml:space="preserve">[]  / </v>
      </c>
      <c r="E54" s="10"/>
      <c r="F54" s="10"/>
      <c r="G54" s="39">
        <f t="shared" si="1"/>
        <v>0</v>
      </c>
    </row>
    <row r="55" spans="1:7" x14ac:dyDescent="0.25">
      <c r="A55" s="9"/>
      <c r="B55" s="9"/>
      <c r="C55" s="9"/>
      <c r="D55" s="9" t="str">
        <f t="shared" si="2"/>
        <v xml:space="preserve">[]  / </v>
      </c>
      <c r="E55" s="10"/>
      <c r="F55" s="10"/>
      <c r="G55" s="39">
        <f t="shared" si="1"/>
        <v>0</v>
      </c>
    </row>
    <row r="56" spans="1:7" x14ac:dyDescent="0.25">
      <c r="A56" s="9"/>
      <c r="B56" s="9"/>
      <c r="C56" s="9"/>
      <c r="D56" s="9" t="str">
        <f t="shared" si="2"/>
        <v xml:space="preserve">[]  / </v>
      </c>
      <c r="E56" s="10"/>
      <c r="F56" s="10"/>
      <c r="G56" s="39">
        <f t="shared" si="1"/>
        <v>0</v>
      </c>
    </row>
    <row r="57" spans="1:7" x14ac:dyDescent="0.25">
      <c r="A57" s="9"/>
      <c r="B57" s="9"/>
      <c r="C57" s="9"/>
      <c r="D57" s="9" t="str">
        <f t="shared" si="2"/>
        <v xml:space="preserve">[]  / </v>
      </c>
      <c r="E57" s="10"/>
      <c r="F57" s="10"/>
      <c r="G57" s="39">
        <f t="shared" si="1"/>
        <v>0</v>
      </c>
    </row>
    <row r="58" spans="1:7" x14ac:dyDescent="0.25">
      <c r="A58" s="9"/>
      <c r="B58" s="9"/>
      <c r="C58" s="9"/>
      <c r="D58" s="9" t="str">
        <f t="shared" si="2"/>
        <v xml:space="preserve">[]  / </v>
      </c>
      <c r="E58" s="10"/>
      <c r="F58" s="10"/>
      <c r="G58" s="39">
        <f t="shared" si="1"/>
        <v>0</v>
      </c>
    </row>
  </sheetData>
  <sortState ref="A4:F10">
    <sortCondition ref="C4"/>
  </sortState>
  <pageMargins left="0.7" right="0.7" top="0.75" bottom="0.75" header="0.3" footer="0.3"/>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sheetPr>
  <dimension ref="A1:K51"/>
  <sheetViews>
    <sheetView topLeftCell="A30" workbookViewId="0">
      <selection activeCell="D41" sqref="D41"/>
    </sheetView>
  </sheetViews>
  <sheetFormatPr defaultColWidth="8.875" defaultRowHeight="15" x14ac:dyDescent="0.25"/>
  <cols>
    <col min="1" max="1" width="8.875" style="3"/>
    <col min="2" max="2" width="6.25" style="3" customWidth="1"/>
    <col min="3" max="3" width="12.125" style="3" customWidth="1"/>
    <col min="4" max="11" width="3" style="3" customWidth="1"/>
    <col min="12" max="16384" width="8.875" style="3"/>
  </cols>
  <sheetData>
    <row r="1" spans="1:11" ht="134.25" thickBot="1" x14ac:dyDescent="0.35">
      <c r="A1" s="4" t="s">
        <v>414</v>
      </c>
      <c r="B1" s="4"/>
      <c r="C1" s="4" t="s">
        <v>3</v>
      </c>
      <c r="D1" s="14" t="s">
        <v>415</v>
      </c>
      <c r="E1" s="14" t="s">
        <v>416</v>
      </c>
      <c r="F1" s="14" t="s">
        <v>417</v>
      </c>
      <c r="G1" s="14" t="s">
        <v>19</v>
      </c>
      <c r="H1" s="14" t="s">
        <v>418</v>
      </c>
      <c r="I1" s="14" t="s">
        <v>419</v>
      </c>
      <c r="J1" s="14" t="s">
        <v>420</v>
      </c>
      <c r="K1" s="14" t="s">
        <v>15</v>
      </c>
    </row>
    <row r="2" spans="1:11" ht="15.75" thickTop="1" x14ac:dyDescent="0.25">
      <c r="A2" s="3">
        <v>1</v>
      </c>
      <c r="B2" s="15" t="s">
        <v>421</v>
      </c>
      <c r="C2" s="16">
        <v>43388</v>
      </c>
      <c r="D2" s="22">
        <v>0</v>
      </c>
      <c r="E2" s="22">
        <v>0</v>
      </c>
      <c r="F2" s="22">
        <v>0</v>
      </c>
      <c r="G2" s="22">
        <v>0</v>
      </c>
      <c r="H2" s="22">
        <v>0</v>
      </c>
      <c r="I2" s="22">
        <v>0</v>
      </c>
      <c r="J2" s="22">
        <v>0</v>
      </c>
      <c r="K2" s="22">
        <v>0</v>
      </c>
    </row>
    <row r="3" spans="1:11" x14ac:dyDescent="0.25">
      <c r="A3" s="3">
        <f>A2+1</f>
        <v>2</v>
      </c>
      <c r="B3" s="15" t="s">
        <v>422</v>
      </c>
      <c r="C3" s="16">
        <f>C2+1</f>
        <v>43389</v>
      </c>
      <c r="D3" s="22">
        <v>0</v>
      </c>
      <c r="E3" s="22">
        <v>0</v>
      </c>
      <c r="F3" s="22">
        <v>0</v>
      </c>
      <c r="G3" s="22">
        <v>0</v>
      </c>
      <c r="H3" s="22">
        <v>0</v>
      </c>
      <c r="I3" s="22">
        <v>0</v>
      </c>
      <c r="J3" s="22">
        <v>0</v>
      </c>
      <c r="K3" s="22">
        <v>0</v>
      </c>
    </row>
    <row r="4" spans="1:11" x14ac:dyDescent="0.25">
      <c r="A4" s="3">
        <f t="shared" ref="A4:A51" si="0">A3+1</f>
        <v>3</v>
      </c>
      <c r="B4" s="15" t="s">
        <v>423</v>
      </c>
      <c r="C4" s="16">
        <f t="shared" ref="C4:C51" si="1">C3+1</f>
        <v>43390</v>
      </c>
      <c r="D4" s="22">
        <v>0</v>
      </c>
      <c r="E4" s="22">
        <v>0</v>
      </c>
      <c r="F4" s="22">
        <v>0</v>
      </c>
      <c r="G4" s="22">
        <v>0</v>
      </c>
      <c r="H4" s="22">
        <v>0</v>
      </c>
      <c r="I4" s="22">
        <v>0</v>
      </c>
      <c r="J4" s="22">
        <v>0</v>
      </c>
      <c r="K4" s="22">
        <v>0</v>
      </c>
    </row>
    <row r="5" spans="1:11" x14ac:dyDescent="0.25">
      <c r="A5" s="3">
        <f t="shared" si="0"/>
        <v>4</v>
      </c>
      <c r="B5" s="15" t="s">
        <v>424</v>
      </c>
      <c r="C5" s="16">
        <f t="shared" si="1"/>
        <v>43391</v>
      </c>
      <c r="D5" s="22">
        <v>0</v>
      </c>
      <c r="E5" s="22">
        <v>0</v>
      </c>
      <c r="F5" s="22">
        <v>0</v>
      </c>
      <c r="G5" s="22">
        <v>0</v>
      </c>
      <c r="H5" s="22">
        <v>0</v>
      </c>
      <c r="I5" s="22">
        <v>0</v>
      </c>
      <c r="J5" s="22">
        <v>0</v>
      </c>
      <c r="K5" s="22">
        <v>0</v>
      </c>
    </row>
    <row r="6" spans="1:11" x14ac:dyDescent="0.25">
      <c r="A6" s="3">
        <f t="shared" si="0"/>
        <v>5</v>
      </c>
      <c r="B6" s="15" t="s">
        <v>425</v>
      </c>
      <c r="C6" s="16">
        <f t="shared" si="1"/>
        <v>43392</v>
      </c>
      <c r="D6" s="22">
        <v>0</v>
      </c>
      <c r="E6" s="22">
        <v>0</v>
      </c>
      <c r="F6" s="22">
        <v>0</v>
      </c>
      <c r="G6" s="22">
        <v>0</v>
      </c>
      <c r="H6" s="22">
        <v>0</v>
      </c>
      <c r="I6" s="22">
        <v>0</v>
      </c>
      <c r="J6" s="22">
        <v>0</v>
      </c>
      <c r="K6" s="22">
        <v>0</v>
      </c>
    </row>
    <row r="7" spans="1:11" x14ac:dyDescent="0.25">
      <c r="A7" s="3">
        <f t="shared" si="0"/>
        <v>6</v>
      </c>
      <c r="B7" s="15" t="s">
        <v>421</v>
      </c>
      <c r="C7" s="16">
        <f>C2+7</f>
        <v>43395</v>
      </c>
      <c r="D7" s="22">
        <v>0</v>
      </c>
      <c r="E7" s="22">
        <v>0</v>
      </c>
      <c r="F7" s="22">
        <v>0</v>
      </c>
      <c r="G7" s="22">
        <v>0</v>
      </c>
      <c r="H7" s="22">
        <v>0</v>
      </c>
      <c r="I7" s="22">
        <v>0</v>
      </c>
      <c r="J7" s="22">
        <v>0</v>
      </c>
      <c r="K7" s="22">
        <v>0</v>
      </c>
    </row>
    <row r="8" spans="1:11" x14ac:dyDescent="0.25">
      <c r="A8" s="3">
        <f t="shared" si="0"/>
        <v>7</v>
      </c>
      <c r="B8" s="15" t="s">
        <v>422</v>
      </c>
      <c r="C8" s="16">
        <f t="shared" si="1"/>
        <v>43396</v>
      </c>
      <c r="D8" s="22">
        <v>0</v>
      </c>
      <c r="E8" s="22">
        <v>0</v>
      </c>
      <c r="F8" s="22">
        <v>0</v>
      </c>
      <c r="G8" s="22">
        <v>0</v>
      </c>
      <c r="H8" s="22">
        <v>0</v>
      </c>
      <c r="I8" s="22">
        <v>0</v>
      </c>
      <c r="J8" s="22">
        <v>0</v>
      </c>
      <c r="K8" s="22">
        <v>0</v>
      </c>
    </row>
    <row r="9" spans="1:11" x14ac:dyDescent="0.25">
      <c r="A9" s="3">
        <f t="shared" si="0"/>
        <v>8</v>
      </c>
      <c r="B9" s="15" t="s">
        <v>423</v>
      </c>
      <c r="C9" s="16">
        <f t="shared" si="1"/>
        <v>43397</v>
      </c>
      <c r="D9" s="22">
        <v>0</v>
      </c>
      <c r="E9" s="22">
        <v>0</v>
      </c>
      <c r="F9" s="22">
        <v>0</v>
      </c>
      <c r="G9" s="22">
        <v>0</v>
      </c>
      <c r="H9" s="22">
        <v>0</v>
      </c>
      <c r="I9" s="22">
        <v>0</v>
      </c>
      <c r="J9" s="22">
        <v>0</v>
      </c>
      <c r="K9" s="22">
        <v>0</v>
      </c>
    </row>
    <row r="10" spans="1:11" x14ac:dyDescent="0.25">
      <c r="A10" s="3">
        <f t="shared" si="0"/>
        <v>9</v>
      </c>
      <c r="B10" s="15" t="s">
        <v>424</v>
      </c>
      <c r="C10" s="16">
        <f t="shared" si="1"/>
        <v>43398</v>
      </c>
      <c r="D10" s="22">
        <v>0</v>
      </c>
      <c r="E10" s="22">
        <v>0</v>
      </c>
      <c r="F10" s="22">
        <v>0</v>
      </c>
      <c r="G10" s="22">
        <v>0</v>
      </c>
      <c r="H10" s="22">
        <v>0</v>
      </c>
      <c r="I10" s="22">
        <v>0</v>
      </c>
      <c r="J10" s="22">
        <v>0</v>
      </c>
      <c r="K10" s="22">
        <v>0</v>
      </c>
    </row>
    <row r="11" spans="1:11" x14ac:dyDescent="0.25">
      <c r="A11" s="3">
        <f t="shared" si="0"/>
        <v>10</v>
      </c>
      <c r="B11" s="15" t="s">
        <v>425</v>
      </c>
      <c r="C11" s="16">
        <f t="shared" si="1"/>
        <v>43399</v>
      </c>
      <c r="D11" s="22">
        <v>0</v>
      </c>
      <c r="E11" s="22">
        <v>0</v>
      </c>
      <c r="F11" s="22">
        <v>0</v>
      </c>
      <c r="G11" s="22">
        <v>0</v>
      </c>
      <c r="H11" s="22">
        <v>0</v>
      </c>
      <c r="I11" s="22">
        <v>0</v>
      </c>
      <c r="J11" s="22">
        <v>0</v>
      </c>
      <c r="K11" s="22">
        <v>0</v>
      </c>
    </row>
    <row r="12" spans="1:11" x14ac:dyDescent="0.25">
      <c r="A12" s="3">
        <f t="shared" si="0"/>
        <v>11</v>
      </c>
      <c r="B12" s="15" t="s">
        <v>421</v>
      </c>
      <c r="C12" s="16">
        <f>C7+7</f>
        <v>43402</v>
      </c>
      <c r="D12" s="22">
        <v>0</v>
      </c>
      <c r="E12" s="22">
        <v>0</v>
      </c>
      <c r="F12" s="22">
        <v>0</v>
      </c>
      <c r="G12" s="22">
        <v>0</v>
      </c>
      <c r="H12" s="22">
        <v>0</v>
      </c>
      <c r="I12" s="22">
        <v>0</v>
      </c>
      <c r="J12" s="22">
        <v>0</v>
      </c>
      <c r="K12" s="22">
        <v>0</v>
      </c>
    </row>
    <row r="13" spans="1:11" x14ac:dyDescent="0.25">
      <c r="A13" s="3">
        <f t="shared" si="0"/>
        <v>12</v>
      </c>
      <c r="B13" s="15" t="s">
        <v>422</v>
      </c>
      <c r="C13" s="16">
        <f t="shared" si="1"/>
        <v>43403</v>
      </c>
      <c r="D13" s="22">
        <v>0</v>
      </c>
      <c r="E13" s="22">
        <v>0</v>
      </c>
      <c r="F13" s="22">
        <v>0</v>
      </c>
      <c r="G13" s="22">
        <v>0</v>
      </c>
      <c r="H13" s="22">
        <v>0</v>
      </c>
      <c r="I13" s="22">
        <v>0</v>
      </c>
      <c r="J13" s="22">
        <v>0</v>
      </c>
      <c r="K13" s="22">
        <v>0</v>
      </c>
    </row>
    <row r="14" spans="1:11" x14ac:dyDescent="0.25">
      <c r="A14" s="3">
        <f t="shared" si="0"/>
        <v>13</v>
      </c>
      <c r="B14" s="15" t="s">
        <v>423</v>
      </c>
      <c r="C14" s="16">
        <f t="shared" si="1"/>
        <v>43404</v>
      </c>
      <c r="D14" s="22">
        <v>0</v>
      </c>
      <c r="E14" s="22">
        <v>0</v>
      </c>
      <c r="F14" s="22">
        <v>0</v>
      </c>
      <c r="G14" s="22">
        <v>0</v>
      </c>
      <c r="H14" s="22">
        <v>0</v>
      </c>
      <c r="I14" s="22">
        <v>0</v>
      </c>
      <c r="J14" s="22">
        <v>0</v>
      </c>
      <c r="K14" s="22">
        <v>0</v>
      </c>
    </row>
    <row r="15" spans="1:11" x14ac:dyDescent="0.25">
      <c r="A15" s="3">
        <f t="shared" si="0"/>
        <v>14</v>
      </c>
      <c r="B15" s="15" t="s">
        <v>424</v>
      </c>
      <c r="C15" s="16">
        <f t="shared" si="1"/>
        <v>43405</v>
      </c>
      <c r="D15" s="22">
        <v>0</v>
      </c>
      <c r="E15" s="22">
        <v>0</v>
      </c>
      <c r="F15" s="22">
        <v>0</v>
      </c>
      <c r="G15" s="22">
        <v>0</v>
      </c>
      <c r="H15" s="22">
        <v>0</v>
      </c>
      <c r="I15" s="22">
        <v>0</v>
      </c>
      <c r="J15" s="22">
        <v>0</v>
      </c>
      <c r="K15" s="22">
        <v>0</v>
      </c>
    </row>
    <row r="16" spans="1:11" x14ac:dyDescent="0.25">
      <c r="A16" s="3">
        <f t="shared" si="0"/>
        <v>15</v>
      </c>
      <c r="B16" s="15" t="s">
        <v>425</v>
      </c>
      <c r="C16" s="16">
        <f t="shared" si="1"/>
        <v>43406</v>
      </c>
      <c r="D16" s="22">
        <v>0</v>
      </c>
      <c r="E16" s="22">
        <v>0</v>
      </c>
      <c r="F16" s="22">
        <v>0</v>
      </c>
      <c r="G16" s="22">
        <v>0</v>
      </c>
      <c r="H16" s="22">
        <v>0</v>
      </c>
      <c r="I16" s="22">
        <v>0</v>
      </c>
      <c r="J16" s="22">
        <v>0</v>
      </c>
      <c r="K16" s="22">
        <v>0</v>
      </c>
    </row>
    <row r="17" spans="1:11" x14ac:dyDescent="0.25">
      <c r="A17" s="3">
        <f t="shared" si="0"/>
        <v>16</v>
      </c>
      <c r="B17" s="15" t="s">
        <v>421</v>
      </c>
      <c r="C17" s="16">
        <f>C12+7</f>
        <v>43409</v>
      </c>
      <c r="D17" s="22">
        <v>0</v>
      </c>
      <c r="E17" s="22">
        <v>0</v>
      </c>
      <c r="F17" s="22">
        <v>0</v>
      </c>
      <c r="G17" s="22">
        <v>0</v>
      </c>
      <c r="H17" s="22">
        <v>0</v>
      </c>
      <c r="I17" s="22">
        <v>0</v>
      </c>
      <c r="J17" s="22">
        <v>0</v>
      </c>
      <c r="K17" s="22">
        <v>0</v>
      </c>
    </row>
    <row r="18" spans="1:11" x14ac:dyDescent="0.25">
      <c r="A18" s="3">
        <f t="shared" si="0"/>
        <v>17</v>
      </c>
      <c r="B18" s="15" t="s">
        <v>422</v>
      </c>
      <c r="C18" s="16">
        <f t="shared" si="1"/>
        <v>43410</v>
      </c>
      <c r="D18" s="22">
        <v>0</v>
      </c>
      <c r="E18" s="22">
        <v>0</v>
      </c>
      <c r="F18" s="22">
        <v>0</v>
      </c>
      <c r="G18" s="22">
        <v>0</v>
      </c>
      <c r="H18" s="22">
        <v>0</v>
      </c>
      <c r="I18" s="22">
        <v>0</v>
      </c>
      <c r="J18" s="22">
        <v>0</v>
      </c>
      <c r="K18" s="22">
        <v>0</v>
      </c>
    </row>
    <row r="19" spans="1:11" x14ac:dyDescent="0.25">
      <c r="A19" s="3">
        <f t="shared" si="0"/>
        <v>18</v>
      </c>
      <c r="B19" s="15" t="s">
        <v>423</v>
      </c>
      <c r="C19" s="16">
        <f t="shared" si="1"/>
        <v>43411</v>
      </c>
      <c r="D19" s="22">
        <v>0</v>
      </c>
      <c r="E19" s="22">
        <v>0</v>
      </c>
      <c r="F19" s="22">
        <v>0</v>
      </c>
      <c r="G19" s="22">
        <v>0</v>
      </c>
      <c r="H19" s="22">
        <v>0</v>
      </c>
      <c r="I19" s="22">
        <v>0</v>
      </c>
      <c r="J19" s="22">
        <v>0</v>
      </c>
      <c r="K19" s="22">
        <v>0</v>
      </c>
    </row>
    <row r="20" spans="1:11" x14ac:dyDescent="0.25">
      <c r="A20" s="3">
        <f t="shared" si="0"/>
        <v>19</v>
      </c>
      <c r="B20" s="15" t="s">
        <v>424</v>
      </c>
      <c r="C20" s="16">
        <f t="shared" si="1"/>
        <v>43412</v>
      </c>
      <c r="D20" s="22">
        <v>0</v>
      </c>
      <c r="E20" s="22">
        <v>0</v>
      </c>
      <c r="F20" s="22">
        <v>0</v>
      </c>
      <c r="G20" s="22">
        <v>0</v>
      </c>
      <c r="H20" s="22">
        <v>0</v>
      </c>
      <c r="I20" s="22">
        <v>0</v>
      </c>
      <c r="J20" s="22">
        <v>0</v>
      </c>
      <c r="K20" s="22">
        <v>0</v>
      </c>
    </row>
    <row r="21" spans="1:11" x14ac:dyDescent="0.25">
      <c r="A21" s="3">
        <f t="shared" si="0"/>
        <v>20</v>
      </c>
      <c r="B21" s="15" t="s">
        <v>425</v>
      </c>
      <c r="C21" s="16">
        <f t="shared" si="1"/>
        <v>43413</v>
      </c>
      <c r="D21" s="22">
        <v>0</v>
      </c>
      <c r="E21" s="22">
        <v>0</v>
      </c>
      <c r="F21" s="22">
        <v>0</v>
      </c>
      <c r="G21" s="22">
        <v>0</v>
      </c>
      <c r="H21" s="22">
        <v>0</v>
      </c>
      <c r="I21" s="22">
        <v>0</v>
      </c>
      <c r="J21" s="22">
        <v>0</v>
      </c>
      <c r="K21" s="22">
        <v>0</v>
      </c>
    </row>
    <row r="22" spans="1:11" x14ac:dyDescent="0.25">
      <c r="A22" s="3">
        <f t="shared" si="0"/>
        <v>21</v>
      </c>
      <c r="B22" s="15" t="s">
        <v>421</v>
      </c>
      <c r="C22" s="16">
        <f>C17+7</f>
        <v>43416</v>
      </c>
      <c r="D22" s="22">
        <v>0</v>
      </c>
      <c r="E22" s="22">
        <v>0</v>
      </c>
      <c r="F22" s="22">
        <v>0</v>
      </c>
      <c r="G22" s="22">
        <v>0</v>
      </c>
      <c r="H22" s="22">
        <v>0</v>
      </c>
      <c r="I22" s="22">
        <v>0</v>
      </c>
      <c r="J22" s="22">
        <v>0</v>
      </c>
      <c r="K22" s="22">
        <v>0</v>
      </c>
    </row>
    <row r="23" spans="1:11" x14ac:dyDescent="0.25">
      <c r="A23" s="3">
        <f t="shared" si="0"/>
        <v>22</v>
      </c>
      <c r="B23" s="15" t="s">
        <v>422</v>
      </c>
      <c r="C23" s="16">
        <f t="shared" si="1"/>
        <v>43417</v>
      </c>
      <c r="D23" s="22">
        <v>0</v>
      </c>
      <c r="E23" s="22">
        <v>0</v>
      </c>
      <c r="F23" s="22">
        <v>0</v>
      </c>
      <c r="G23" s="22">
        <v>0</v>
      </c>
      <c r="H23" s="22">
        <v>0</v>
      </c>
      <c r="I23" s="22">
        <v>0</v>
      </c>
      <c r="J23" s="22">
        <v>0</v>
      </c>
      <c r="K23" s="22">
        <v>0</v>
      </c>
    </row>
    <row r="24" spans="1:11" x14ac:dyDescent="0.25">
      <c r="A24" s="3">
        <f t="shared" si="0"/>
        <v>23</v>
      </c>
      <c r="B24" s="15" t="s">
        <v>423</v>
      </c>
      <c r="C24" s="16">
        <f t="shared" si="1"/>
        <v>43418</v>
      </c>
      <c r="D24" s="22">
        <v>0</v>
      </c>
      <c r="E24" s="22">
        <v>0</v>
      </c>
      <c r="F24" s="22">
        <v>0</v>
      </c>
      <c r="G24" s="22">
        <v>0</v>
      </c>
      <c r="H24" s="22">
        <v>0</v>
      </c>
      <c r="I24" s="22">
        <v>0</v>
      </c>
      <c r="J24" s="22">
        <v>0</v>
      </c>
      <c r="K24" s="22">
        <v>0</v>
      </c>
    </row>
    <row r="25" spans="1:11" x14ac:dyDescent="0.25">
      <c r="A25" s="3">
        <f t="shared" si="0"/>
        <v>24</v>
      </c>
      <c r="B25" s="15" t="s">
        <v>424</v>
      </c>
      <c r="C25" s="16">
        <f t="shared" si="1"/>
        <v>43419</v>
      </c>
      <c r="D25" s="22">
        <v>0</v>
      </c>
      <c r="E25" s="22">
        <v>0</v>
      </c>
      <c r="F25" s="22">
        <v>0</v>
      </c>
      <c r="G25" s="22">
        <v>0</v>
      </c>
      <c r="H25" s="22">
        <v>0</v>
      </c>
      <c r="I25" s="22">
        <v>0</v>
      </c>
      <c r="J25" s="22">
        <v>0</v>
      </c>
      <c r="K25" s="22">
        <v>0</v>
      </c>
    </row>
    <row r="26" spans="1:11" x14ac:dyDescent="0.25">
      <c r="A26" s="3">
        <f t="shared" si="0"/>
        <v>25</v>
      </c>
      <c r="B26" s="15" t="s">
        <v>425</v>
      </c>
      <c r="C26" s="16">
        <f t="shared" si="1"/>
        <v>43420</v>
      </c>
      <c r="D26" s="22">
        <v>0</v>
      </c>
      <c r="E26" s="22">
        <v>0</v>
      </c>
      <c r="F26" s="22">
        <v>0</v>
      </c>
      <c r="G26" s="22">
        <v>0</v>
      </c>
      <c r="H26" s="22">
        <v>0</v>
      </c>
      <c r="I26" s="22">
        <v>0</v>
      </c>
      <c r="J26" s="22">
        <v>0</v>
      </c>
      <c r="K26" s="22">
        <v>0</v>
      </c>
    </row>
    <row r="27" spans="1:11" x14ac:dyDescent="0.25">
      <c r="A27" s="3">
        <f t="shared" si="0"/>
        <v>26</v>
      </c>
      <c r="B27" s="15" t="s">
        <v>421</v>
      </c>
      <c r="C27" s="16">
        <f>C22+7</f>
        <v>43423</v>
      </c>
      <c r="D27" s="22">
        <v>0</v>
      </c>
      <c r="E27" s="22">
        <v>0</v>
      </c>
      <c r="F27" s="22">
        <v>0</v>
      </c>
      <c r="G27" s="22">
        <v>0</v>
      </c>
      <c r="H27" s="22">
        <v>0</v>
      </c>
      <c r="I27" s="22">
        <v>0</v>
      </c>
      <c r="J27" s="22">
        <v>0</v>
      </c>
      <c r="K27" s="22">
        <v>0</v>
      </c>
    </row>
    <row r="28" spans="1:11" x14ac:dyDescent="0.25">
      <c r="A28" s="3">
        <f t="shared" si="0"/>
        <v>27</v>
      </c>
      <c r="B28" s="15" t="s">
        <v>422</v>
      </c>
      <c r="C28" s="16">
        <f t="shared" si="1"/>
        <v>43424</v>
      </c>
      <c r="D28" s="22">
        <v>0</v>
      </c>
      <c r="E28" s="22">
        <v>0</v>
      </c>
      <c r="F28" s="22">
        <v>0</v>
      </c>
      <c r="G28" s="22">
        <v>0</v>
      </c>
      <c r="H28" s="22">
        <v>0</v>
      </c>
      <c r="I28" s="22">
        <v>0</v>
      </c>
      <c r="J28" s="22">
        <v>0</v>
      </c>
      <c r="K28" s="22">
        <v>0</v>
      </c>
    </row>
    <row r="29" spans="1:11" x14ac:dyDescent="0.25">
      <c r="A29" s="3">
        <f t="shared" si="0"/>
        <v>28</v>
      </c>
      <c r="B29" s="15" t="s">
        <v>423</v>
      </c>
      <c r="C29" s="16">
        <f t="shared" si="1"/>
        <v>43425</v>
      </c>
      <c r="D29" s="22">
        <v>0</v>
      </c>
      <c r="E29" s="22">
        <v>0</v>
      </c>
      <c r="F29" s="22">
        <v>0</v>
      </c>
      <c r="G29" s="22">
        <v>0</v>
      </c>
      <c r="H29" s="22">
        <v>0</v>
      </c>
      <c r="I29" s="22">
        <v>0</v>
      </c>
      <c r="J29" s="22">
        <v>0</v>
      </c>
      <c r="K29" s="22">
        <v>0</v>
      </c>
    </row>
    <row r="30" spans="1:11" x14ac:dyDescent="0.25">
      <c r="A30" s="3">
        <f t="shared" si="0"/>
        <v>29</v>
      </c>
      <c r="B30" s="15" t="s">
        <v>424</v>
      </c>
      <c r="C30" s="16">
        <f t="shared" si="1"/>
        <v>43426</v>
      </c>
      <c r="D30" s="22">
        <v>0</v>
      </c>
      <c r="E30" s="22">
        <v>0</v>
      </c>
      <c r="F30" s="22">
        <v>0</v>
      </c>
      <c r="G30" s="22">
        <v>0</v>
      </c>
      <c r="H30" s="22">
        <v>0</v>
      </c>
      <c r="I30" s="22">
        <v>0</v>
      </c>
      <c r="J30" s="22">
        <v>0</v>
      </c>
      <c r="K30" s="22">
        <v>0</v>
      </c>
    </row>
    <row r="31" spans="1:11" x14ac:dyDescent="0.25">
      <c r="A31" s="3">
        <f t="shared" si="0"/>
        <v>30</v>
      </c>
      <c r="B31" s="15" t="s">
        <v>425</v>
      </c>
      <c r="C31" s="16">
        <f t="shared" si="1"/>
        <v>43427</v>
      </c>
      <c r="D31" s="22">
        <v>0</v>
      </c>
      <c r="E31" s="22">
        <v>0</v>
      </c>
      <c r="F31" s="22">
        <v>0</v>
      </c>
      <c r="G31" s="22">
        <v>0</v>
      </c>
      <c r="H31" s="22">
        <v>0</v>
      </c>
      <c r="I31" s="22">
        <v>0</v>
      </c>
      <c r="J31" s="22">
        <v>0</v>
      </c>
      <c r="K31" s="22">
        <v>0</v>
      </c>
    </row>
    <row r="32" spans="1:11" x14ac:dyDescent="0.25">
      <c r="A32" s="3">
        <f t="shared" si="0"/>
        <v>31</v>
      </c>
      <c r="B32" s="15" t="s">
        <v>421</v>
      </c>
      <c r="C32" s="16">
        <f>C27+7</f>
        <v>43430</v>
      </c>
      <c r="D32" s="22">
        <v>0</v>
      </c>
      <c r="E32" s="22">
        <v>0</v>
      </c>
      <c r="F32" s="22">
        <v>0</v>
      </c>
      <c r="G32" s="22">
        <v>0</v>
      </c>
      <c r="H32" s="22">
        <v>0</v>
      </c>
      <c r="I32" s="22">
        <v>0</v>
      </c>
      <c r="J32" s="22">
        <v>0</v>
      </c>
      <c r="K32" s="22">
        <v>0</v>
      </c>
    </row>
    <row r="33" spans="1:11" x14ac:dyDescent="0.25">
      <c r="A33" s="3">
        <f t="shared" si="0"/>
        <v>32</v>
      </c>
      <c r="B33" s="15" t="s">
        <v>422</v>
      </c>
      <c r="C33" s="16">
        <f t="shared" si="1"/>
        <v>43431</v>
      </c>
      <c r="D33" s="22">
        <v>0</v>
      </c>
      <c r="E33" s="22">
        <v>0</v>
      </c>
      <c r="F33" s="22">
        <v>0</v>
      </c>
      <c r="G33" s="22">
        <v>0</v>
      </c>
      <c r="H33" s="22">
        <v>0</v>
      </c>
      <c r="I33" s="22">
        <v>0</v>
      </c>
      <c r="J33" s="22">
        <v>0</v>
      </c>
      <c r="K33" s="22">
        <v>0</v>
      </c>
    </row>
    <row r="34" spans="1:11" x14ac:dyDescent="0.25">
      <c r="A34" s="3">
        <f t="shared" si="0"/>
        <v>33</v>
      </c>
      <c r="B34" s="15" t="s">
        <v>423</v>
      </c>
      <c r="C34" s="16">
        <f t="shared" si="1"/>
        <v>43432</v>
      </c>
      <c r="D34" s="22">
        <v>0</v>
      </c>
      <c r="E34" s="22">
        <v>0</v>
      </c>
      <c r="F34" s="22">
        <v>0</v>
      </c>
      <c r="G34" s="22">
        <v>0</v>
      </c>
      <c r="H34" s="22">
        <v>0</v>
      </c>
      <c r="I34" s="22">
        <v>0</v>
      </c>
      <c r="J34" s="22">
        <v>0</v>
      </c>
      <c r="K34" s="22">
        <v>0</v>
      </c>
    </row>
    <row r="35" spans="1:11" x14ac:dyDescent="0.25">
      <c r="A35" s="3">
        <f t="shared" si="0"/>
        <v>34</v>
      </c>
      <c r="B35" s="15" t="s">
        <v>424</v>
      </c>
      <c r="C35" s="16">
        <f t="shared" si="1"/>
        <v>43433</v>
      </c>
      <c r="D35" s="22">
        <v>0</v>
      </c>
      <c r="E35" s="22">
        <v>0</v>
      </c>
      <c r="F35" s="22">
        <v>0</v>
      </c>
      <c r="G35" s="22">
        <v>0</v>
      </c>
      <c r="H35" s="22">
        <v>0</v>
      </c>
      <c r="I35" s="22">
        <v>0</v>
      </c>
      <c r="J35" s="22">
        <v>0</v>
      </c>
      <c r="K35" s="22">
        <v>0</v>
      </c>
    </row>
    <row r="36" spans="1:11" x14ac:dyDescent="0.25">
      <c r="A36" s="3">
        <f t="shared" si="0"/>
        <v>35</v>
      </c>
      <c r="B36" s="15" t="s">
        <v>425</v>
      </c>
      <c r="C36" s="16">
        <f t="shared" si="1"/>
        <v>43434</v>
      </c>
      <c r="D36" s="22">
        <v>0</v>
      </c>
      <c r="E36" s="22">
        <v>0</v>
      </c>
      <c r="F36" s="22">
        <v>0</v>
      </c>
      <c r="G36" s="22">
        <v>0</v>
      </c>
      <c r="H36" s="22">
        <v>0</v>
      </c>
      <c r="I36" s="22">
        <v>0</v>
      </c>
      <c r="J36" s="22">
        <v>0</v>
      </c>
      <c r="K36" s="22">
        <v>0</v>
      </c>
    </row>
    <row r="37" spans="1:11" x14ac:dyDescent="0.25">
      <c r="A37" s="3">
        <f t="shared" si="0"/>
        <v>36</v>
      </c>
      <c r="B37" s="15" t="s">
        <v>421</v>
      </c>
      <c r="C37" s="16">
        <f>C32+7</f>
        <v>43437</v>
      </c>
      <c r="D37" s="22">
        <v>0</v>
      </c>
      <c r="E37" s="22">
        <v>0</v>
      </c>
      <c r="F37" s="22">
        <v>0</v>
      </c>
      <c r="G37" s="22">
        <v>0</v>
      </c>
      <c r="H37" s="22">
        <v>0</v>
      </c>
      <c r="I37" s="22">
        <v>0</v>
      </c>
      <c r="J37" s="22">
        <v>0</v>
      </c>
      <c r="K37" s="22">
        <v>0</v>
      </c>
    </row>
    <row r="38" spans="1:11" x14ac:dyDescent="0.25">
      <c r="A38" s="3">
        <f t="shared" si="0"/>
        <v>37</v>
      </c>
      <c r="B38" s="15" t="s">
        <v>422</v>
      </c>
      <c r="C38" s="16">
        <f t="shared" si="1"/>
        <v>43438</v>
      </c>
      <c r="D38" s="22">
        <v>4</v>
      </c>
      <c r="E38" s="22">
        <v>2</v>
      </c>
      <c r="F38" s="22">
        <v>9</v>
      </c>
      <c r="G38" s="22">
        <v>19</v>
      </c>
      <c r="H38" s="22">
        <v>1</v>
      </c>
      <c r="I38" s="22">
        <v>0</v>
      </c>
      <c r="J38" s="22">
        <v>0</v>
      </c>
      <c r="K38" s="22">
        <v>9</v>
      </c>
    </row>
    <row r="39" spans="1:11" x14ac:dyDescent="0.25">
      <c r="A39" s="3">
        <f t="shared" si="0"/>
        <v>38</v>
      </c>
      <c r="B39" s="15" t="s">
        <v>423</v>
      </c>
      <c r="C39" s="16">
        <f t="shared" si="1"/>
        <v>43439</v>
      </c>
      <c r="D39" s="22">
        <v>4</v>
      </c>
      <c r="E39" s="22">
        <v>2</v>
      </c>
      <c r="F39" s="22">
        <v>9</v>
      </c>
      <c r="G39" s="22">
        <v>19</v>
      </c>
      <c r="H39" s="22">
        <v>1</v>
      </c>
      <c r="I39" s="22">
        <v>0</v>
      </c>
      <c r="J39" s="22">
        <v>0</v>
      </c>
      <c r="K39" s="22">
        <v>9</v>
      </c>
    </row>
    <row r="40" spans="1:11" x14ac:dyDescent="0.25">
      <c r="A40" s="3">
        <f t="shared" si="0"/>
        <v>39</v>
      </c>
      <c r="B40" s="15" t="s">
        <v>424</v>
      </c>
      <c r="C40" s="16">
        <f t="shared" si="1"/>
        <v>43440</v>
      </c>
      <c r="D40" s="22">
        <v>4</v>
      </c>
      <c r="E40" s="22">
        <v>2</v>
      </c>
      <c r="F40" s="22">
        <v>9</v>
      </c>
      <c r="G40" s="22">
        <v>19</v>
      </c>
      <c r="H40" s="22">
        <v>1</v>
      </c>
      <c r="I40" s="22">
        <v>0</v>
      </c>
      <c r="J40" s="22">
        <v>0</v>
      </c>
      <c r="K40" s="22">
        <v>9</v>
      </c>
    </row>
    <row r="41" spans="1:11" x14ac:dyDescent="0.25">
      <c r="A41" s="3">
        <f t="shared" si="0"/>
        <v>40</v>
      </c>
      <c r="B41" s="15" t="s">
        <v>425</v>
      </c>
      <c r="C41" s="16">
        <f t="shared" si="1"/>
        <v>43441</v>
      </c>
      <c r="D41" s="22">
        <v>4</v>
      </c>
      <c r="E41" s="22">
        <v>2</v>
      </c>
      <c r="F41" s="22">
        <v>9</v>
      </c>
      <c r="G41" s="22">
        <v>19</v>
      </c>
      <c r="H41" s="22">
        <v>1</v>
      </c>
      <c r="I41" s="22">
        <v>0</v>
      </c>
      <c r="J41" s="22">
        <v>0</v>
      </c>
      <c r="K41" s="22">
        <v>10</v>
      </c>
    </row>
    <row r="42" spans="1:11" x14ac:dyDescent="0.25">
      <c r="A42" s="3">
        <f t="shared" si="0"/>
        <v>41</v>
      </c>
      <c r="B42" s="15" t="s">
        <v>421</v>
      </c>
      <c r="C42" s="16">
        <f>C37+7</f>
        <v>43444</v>
      </c>
      <c r="D42" s="22">
        <v>4</v>
      </c>
      <c r="E42" s="22">
        <v>2</v>
      </c>
      <c r="F42" s="22">
        <v>9</v>
      </c>
      <c r="G42" s="22">
        <v>19</v>
      </c>
      <c r="H42" s="22">
        <v>1</v>
      </c>
      <c r="I42" s="22">
        <v>0</v>
      </c>
      <c r="J42" s="22">
        <v>0</v>
      </c>
      <c r="K42" s="22">
        <v>10</v>
      </c>
    </row>
    <row r="43" spans="1:11" x14ac:dyDescent="0.25">
      <c r="A43" s="3">
        <f t="shared" si="0"/>
        <v>42</v>
      </c>
      <c r="B43" s="15" t="s">
        <v>422</v>
      </c>
      <c r="C43" s="16">
        <f t="shared" si="1"/>
        <v>43445</v>
      </c>
      <c r="D43" s="22">
        <v>4</v>
      </c>
      <c r="E43" s="22">
        <v>2</v>
      </c>
      <c r="F43" s="22">
        <v>9</v>
      </c>
      <c r="G43" s="22">
        <v>19</v>
      </c>
      <c r="H43" s="22">
        <v>1</v>
      </c>
      <c r="I43" s="22">
        <v>0</v>
      </c>
      <c r="J43" s="22">
        <v>0</v>
      </c>
      <c r="K43" s="22">
        <v>10</v>
      </c>
    </row>
    <row r="44" spans="1:11" x14ac:dyDescent="0.25">
      <c r="A44" s="3">
        <f t="shared" si="0"/>
        <v>43</v>
      </c>
      <c r="B44" s="15" t="s">
        <v>423</v>
      </c>
      <c r="C44" s="16">
        <f t="shared" si="1"/>
        <v>43446</v>
      </c>
      <c r="D44" s="22">
        <v>4</v>
      </c>
      <c r="E44" s="22">
        <v>1</v>
      </c>
      <c r="F44" s="22">
        <v>9</v>
      </c>
      <c r="G44" s="22">
        <v>15</v>
      </c>
      <c r="H44" s="22">
        <v>2</v>
      </c>
      <c r="I44" s="22">
        <v>0</v>
      </c>
      <c r="J44" s="22">
        <v>0</v>
      </c>
      <c r="K44" s="22">
        <v>14</v>
      </c>
    </row>
    <row r="45" spans="1:11" x14ac:dyDescent="0.25">
      <c r="A45" s="3">
        <f t="shared" si="0"/>
        <v>44</v>
      </c>
      <c r="B45" s="15" t="s">
        <v>424</v>
      </c>
      <c r="C45" s="16">
        <f t="shared" si="1"/>
        <v>43447</v>
      </c>
      <c r="D45" s="22">
        <v>4</v>
      </c>
      <c r="E45" s="22">
        <v>1</v>
      </c>
      <c r="F45" s="22">
        <v>9</v>
      </c>
      <c r="G45" s="22">
        <v>15</v>
      </c>
      <c r="H45" s="22">
        <v>2</v>
      </c>
      <c r="I45" s="22">
        <v>0</v>
      </c>
      <c r="J45" s="22">
        <v>0</v>
      </c>
      <c r="K45" s="22">
        <v>14</v>
      </c>
    </row>
    <row r="46" spans="1:11" x14ac:dyDescent="0.25">
      <c r="A46" s="3">
        <f t="shared" si="0"/>
        <v>45</v>
      </c>
      <c r="B46" s="15" t="s">
        <v>425</v>
      </c>
      <c r="C46" s="16">
        <f t="shared" si="1"/>
        <v>43448</v>
      </c>
      <c r="D46" s="22">
        <v>4</v>
      </c>
      <c r="E46" s="22">
        <v>1</v>
      </c>
      <c r="F46" s="22">
        <v>9</v>
      </c>
      <c r="G46" s="22">
        <v>15</v>
      </c>
      <c r="H46" s="22">
        <v>2</v>
      </c>
      <c r="I46" s="22">
        <v>0</v>
      </c>
      <c r="J46" s="22">
        <v>0</v>
      </c>
      <c r="K46" s="22">
        <v>14</v>
      </c>
    </row>
    <row r="47" spans="1:11" x14ac:dyDescent="0.25">
      <c r="A47" s="3">
        <f t="shared" si="0"/>
        <v>46</v>
      </c>
      <c r="B47" s="15" t="s">
        <v>421</v>
      </c>
      <c r="C47" s="16">
        <f>C42+7</f>
        <v>43451</v>
      </c>
      <c r="D47" s="22">
        <v>4</v>
      </c>
      <c r="E47" s="22">
        <v>1</v>
      </c>
      <c r="F47" s="22">
        <v>9</v>
      </c>
      <c r="G47" s="22">
        <v>15</v>
      </c>
      <c r="H47" s="22">
        <v>2</v>
      </c>
      <c r="I47" s="22">
        <v>0</v>
      </c>
      <c r="J47" s="22">
        <v>0</v>
      </c>
      <c r="K47" s="22">
        <v>14</v>
      </c>
    </row>
    <row r="48" spans="1:11" x14ac:dyDescent="0.25">
      <c r="A48" s="3">
        <f t="shared" si="0"/>
        <v>47</v>
      </c>
      <c r="B48" s="15" t="s">
        <v>422</v>
      </c>
      <c r="C48" s="16">
        <f t="shared" si="1"/>
        <v>43452</v>
      </c>
      <c r="D48" s="22">
        <v>4</v>
      </c>
      <c r="E48" s="22">
        <v>1</v>
      </c>
      <c r="F48" s="22">
        <v>9</v>
      </c>
      <c r="G48" s="22">
        <v>15</v>
      </c>
      <c r="H48" s="22">
        <v>2</v>
      </c>
      <c r="I48" s="22">
        <v>0</v>
      </c>
      <c r="J48" s="22">
        <v>0</v>
      </c>
      <c r="K48" s="22">
        <v>14</v>
      </c>
    </row>
    <row r="49" spans="1:11" x14ac:dyDescent="0.25">
      <c r="A49" s="3">
        <f t="shared" si="0"/>
        <v>48</v>
      </c>
      <c r="B49" s="15" t="s">
        <v>423</v>
      </c>
      <c r="C49" s="16">
        <f t="shared" si="1"/>
        <v>43453</v>
      </c>
      <c r="D49" s="22">
        <v>4</v>
      </c>
      <c r="E49" s="22">
        <v>1</v>
      </c>
      <c r="F49" s="22">
        <v>9</v>
      </c>
      <c r="G49" s="22">
        <v>15</v>
      </c>
      <c r="H49" s="22">
        <v>2</v>
      </c>
      <c r="I49" s="22">
        <v>0</v>
      </c>
      <c r="J49" s="22">
        <v>0</v>
      </c>
      <c r="K49" s="22">
        <v>14</v>
      </c>
    </row>
    <row r="50" spans="1:11" x14ac:dyDescent="0.25">
      <c r="A50" s="3">
        <f t="shared" si="0"/>
        <v>49</v>
      </c>
      <c r="B50" s="15" t="s">
        <v>424</v>
      </c>
      <c r="C50" s="16">
        <f t="shared" si="1"/>
        <v>43454</v>
      </c>
      <c r="D50" s="22">
        <v>4</v>
      </c>
      <c r="E50" s="22">
        <v>1</v>
      </c>
      <c r="F50" s="22">
        <v>9</v>
      </c>
      <c r="G50" s="22">
        <v>15</v>
      </c>
      <c r="H50" s="22">
        <v>2</v>
      </c>
      <c r="I50" s="22">
        <v>0</v>
      </c>
      <c r="J50" s="22">
        <v>0</v>
      </c>
      <c r="K50" s="22">
        <v>14</v>
      </c>
    </row>
    <row r="51" spans="1:11" x14ac:dyDescent="0.25">
      <c r="A51" s="3">
        <f t="shared" si="0"/>
        <v>50</v>
      </c>
      <c r="B51" s="15" t="s">
        <v>425</v>
      </c>
      <c r="C51" s="16">
        <f t="shared" si="1"/>
        <v>43455</v>
      </c>
      <c r="D51" s="22">
        <v>4</v>
      </c>
      <c r="E51" s="22">
        <v>1</v>
      </c>
      <c r="F51" s="22">
        <v>9</v>
      </c>
      <c r="G51" s="22">
        <v>15</v>
      </c>
      <c r="H51" s="22">
        <v>2</v>
      </c>
      <c r="I51" s="22">
        <v>0</v>
      </c>
      <c r="J51" s="22">
        <v>0</v>
      </c>
      <c r="K51" s="22">
        <v>14</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9"/>
  </sheetPr>
  <dimension ref="A1:K51"/>
  <sheetViews>
    <sheetView topLeftCell="A34" workbookViewId="0">
      <selection activeCell="D37" sqref="D37"/>
    </sheetView>
  </sheetViews>
  <sheetFormatPr defaultColWidth="8.875" defaultRowHeight="15" x14ac:dyDescent="0.25"/>
  <cols>
    <col min="1" max="1" width="8.875" style="3"/>
    <col min="2" max="2" width="6.25" style="3" customWidth="1"/>
    <col min="3" max="3" width="12.125" style="3" customWidth="1"/>
    <col min="4" max="11" width="3" style="3" customWidth="1"/>
    <col min="12" max="16384" width="8.875" style="3"/>
  </cols>
  <sheetData>
    <row r="1" spans="1:11" ht="134.25" thickBot="1" x14ac:dyDescent="0.35">
      <c r="A1" s="4" t="s">
        <v>414</v>
      </c>
      <c r="B1" s="4"/>
      <c r="C1" s="4" t="s">
        <v>3</v>
      </c>
      <c r="D1" s="14" t="s">
        <v>415</v>
      </c>
      <c r="E1" s="14" t="s">
        <v>416</v>
      </c>
      <c r="F1" s="14" t="s">
        <v>417</v>
      </c>
      <c r="G1" s="14" t="s">
        <v>19</v>
      </c>
      <c r="H1" s="14" t="s">
        <v>418</v>
      </c>
      <c r="I1" s="14" t="s">
        <v>419</v>
      </c>
      <c r="J1" s="14" t="s">
        <v>420</v>
      </c>
      <c r="K1" s="14" t="s">
        <v>15</v>
      </c>
    </row>
    <row r="2" spans="1:11" ht="15.75" thickTop="1" x14ac:dyDescent="0.25">
      <c r="A2" s="3">
        <v>1</v>
      </c>
      <c r="B2" s="15" t="s">
        <v>421</v>
      </c>
      <c r="C2" s="16">
        <v>43388</v>
      </c>
      <c r="D2" s="22">
        <v>0</v>
      </c>
      <c r="E2" s="22">
        <v>0</v>
      </c>
      <c r="F2" s="22">
        <v>0</v>
      </c>
      <c r="G2" s="22">
        <v>0</v>
      </c>
      <c r="H2" s="22">
        <v>0</v>
      </c>
      <c r="I2" s="22">
        <v>0</v>
      </c>
      <c r="J2" s="22">
        <v>0</v>
      </c>
      <c r="K2" s="22">
        <v>0</v>
      </c>
    </row>
    <row r="3" spans="1:11" x14ac:dyDescent="0.25">
      <c r="A3" s="3">
        <f>A2+1</f>
        <v>2</v>
      </c>
      <c r="B3" s="15" t="s">
        <v>422</v>
      </c>
      <c r="C3" s="16">
        <f>C2+1</f>
        <v>43389</v>
      </c>
      <c r="D3" s="22">
        <v>0</v>
      </c>
      <c r="E3" s="22">
        <v>0</v>
      </c>
      <c r="F3" s="22">
        <v>0</v>
      </c>
      <c r="G3" s="22">
        <v>0</v>
      </c>
      <c r="H3" s="22">
        <v>0</v>
      </c>
      <c r="I3" s="22">
        <v>0</v>
      </c>
      <c r="J3" s="22">
        <v>0</v>
      </c>
      <c r="K3" s="22">
        <v>0</v>
      </c>
    </row>
    <row r="4" spans="1:11" x14ac:dyDescent="0.25">
      <c r="A4" s="3">
        <f t="shared" ref="A4:A51" si="0">A3+1</f>
        <v>3</v>
      </c>
      <c r="B4" s="15" t="s">
        <v>423</v>
      </c>
      <c r="C4" s="16">
        <f t="shared" ref="C4:C51" si="1">C3+1</f>
        <v>43390</v>
      </c>
      <c r="D4" s="22">
        <v>0</v>
      </c>
      <c r="E4" s="22">
        <v>0</v>
      </c>
      <c r="F4" s="22">
        <v>0</v>
      </c>
      <c r="G4" s="22">
        <v>0</v>
      </c>
      <c r="H4" s="22">
        <v>0</v>
      </c>
      <c r="I4" s="22">
        <v>0</v>
      </c>
      <c r="J4" s="22">
        <v>0</v>
      </c>
      <c r="K4" s="22">
        <v>0</v>
      </c>
    </row>
    <row r="5" spans="1:11" x14ac:dyDescent="0.25">
      <c r="A5" s="3">
        <f t="shared" si="0"/>
        <v>4</v>
      </c>
      <c r="B5" s="15" t="s">
        <v>424</v>
      </c>
      <c r="C5" s="16">
        <f t="shared" si="1"/>
        <v>43391</v>
      </c>
      <c r="D5" s="22">
        <v>0</v>
      </c>
      <c r="E5" s="22">
        <v>0</v>
      </c>
      <c r="F5" s="22">
        <v>0</v>
      </c>
      <c r="G5" s="22">
        <v>0</v>
      </c>
      <c r="H5" s="22">
        <v>0</v>
      </c>
      <c r="I5" s="22">
        <v>0</v>
      </c>
      <c r="J5" s="22">
        <v>0</v>
      </c>
      <c r="K5" s="22">
        <v>0</v>
      </c>
    </row>
    <row r="6" spans="1:11" x14ac:dyDescent="0.25">
      <c r="A6" s="3">
        <f t="shared" si="0"/>
        <v>5</v>
      </c>
      <c r="B6" s="15" t="s">
        <v>425</v>
      </c>
      <c r="C6" s="16">
        <f t="shared" si="1"/>
        <v>43392</v>
      </c>
      <c r="D6" s="22">
        <v>0</v>
      </c>
      <c r="E6" s="22">
        <v>0</v>
      </c>
      <c r="F6" s="22">
        <v>0</v>
      </c>
      <c r="G6" s="22">
        <v>0</v>
      </c>
      <c r="H6" s="22">
        <v>0</v>
      </c>
      <c r="I6" s="22">
        <v>0</v>
      </c>
      <c r="J6" s="22">
        <v>0</v>
      </c>
      <c r="K6" s="22">
        <v>0</v>
      </c>
    </row>
    <row r="7" spans="1:11" x14ac:dyDescent="0.25">
      <c r="A7" s="3">
        <f t="shared" si="0"/>
        <v>6</v>
      </c>
      <c r="B7" s="15" t="s">
        <v>421</v>
      </c>
      <c r="C7" s="16">
        <f>C2+7</f>
        <v>43395</v>
      </c>
      <c r="D7" s="22">
        <v>0</v>
      </c>
      <c r="E7" s="22">
        <v>0</v>
      </c>
      <c r="F7" s="22">
        <v>0</v>
      </c>
      <c r="G7" s="22">
        <v>0</v>
      </c>
      <c r="H7" s="22">
        <v>0</v>
      </c>
      <c r="I7" s="22">
        <v>0</v>
      </c>
      <c r="J7" s="22">
        <v>0</v>
      </c>
      <c r="K7" s="22">
        <v>0</v>
      </c>
    </row>
    <row r="8" spans="1:11" x14ac:dyDescent="0.25">
      <c r="A8" s="3">
        <f t="shared" si="0"/>
        <v>7</v>
      </c>
      <c r="B8" s="15" t="s">
        <v>422</v>
      </c>
      <c r="C8" s="16">
        <f t="shared" si="1"/>
        <v>43396</v>
      </c>
      <c r="D8" s="22">
        <v>0</v>
      </c>
      <c r="E8" s="22">
        <v>0</v>
      </c>
      <c r="F8" s="22">
        <v>0</v>
      </c>
      <c r="G8" s="22">
        <v>0</v>
      </c>
      <c r="H8" s="22">
        <v>0</v>
      </c>
      <c r="I8" s="22">
        <v>0</v>
      </c>
      <c r="J8" s="22">
        <v>0</v>
      </c>
      <c r="K8" s="22">
        <v>0</v>
      </c>
    </row>
    <row r="9" spans="1:11" x14ac:dyDescent="0.25">
      <c r="A9" s="3">
        <f t="shared" si="0"/>
        <v>8</v>
      </c>
      <c r="B9" s="15" t="s">
        <v>423</v>
      </c>
      <c r="C9" s="16">
        <f t="shared" si="1"/>
        <v>43397</v>
      </c>
      <c r="D9" s="22">
        <v>0</v>
      </c>
      <c r="E9" s="22">
        <v>0</v>
      </c>
      <c r="F9" s="22">
        <v>0</v>
      </c>
      <c r="G9" s="22">
        <v>0</v>
      </c>
      <c r="H9" s="22">
        <v>0</v>
      </c>
      <c r="I9" s="22">
        <v>0</v>
      </c>
      <c r="J9" s="22">
        <v>0</v>
      </c>
      <c r="K9" s="22">
        <v>0</v>
      </c>
    </row>
    <row r="10" spans="1:11" x14ac:dyDescent="0.25">
      <c r="A10" s="3">
        <f t="shared" si="0"/>
        <v>9</v>
      </c>
      <c r="B10" s="15" t="s">
        <v>424</v>
      </c>
      <c r="C10" s="16">
        <f t="shared" si="1"/>
        <v>43398</v>
      </c>
      <c r="D10" s="22">
        <v>0</v>
      </c>
      <c r="E10" s="22">
        <v>0</v>
      </c>
      <c r="F10" s="22">
        <v>0</v>
      </c>
      <c r="G10" s="22">
        <v>0</v>
      </c>
      <c r="H10" s="22">
        <v>0</v>
      </c>
      <c r="I10" s="22">
        <v>0</v>
      </c>
      <c r="J10" s="22">
        <v>0</v>
      </c>
      <c r="K10" s="22">
        <v>0</v>
      </c>
    </row>
    <row r="11" spans="1:11" x14ac:dyDescent="0.25">
      <c r="A11" s="3">
        <f t="shared" si="0"/>
        <v>10</v>
      </c>
      <c r="B11" s="15" t="s">
        <v>425</v>
      </c>
      <c r="C11" s="16">
        <f t="shared" si="1"/>
        <v>43399</v>
      </c>
      <c r="D11" s="22">
        <v>0</v>
      </c>
      <c r="E11" s="22">
        <v>0</v>
      </c>
      <c r="F11" s="22">
        <v>0</v>
      </c>
      <c r="G11" s="22">
        <v>0</v>
      </c>
      <c r="H11" s="22">
        <v>0</v>
      </c>
      <c r="I11" s="22">
        <v>0</v>
      </c>
      <c r="J11" s="22">
        <v>0</v>
      </c>
      <c r="K11" s="22">
        <v>0</v>
      </c>
    </row>
    <row r="12" spans="1:11" x14ac:dyDescent="0.25">
      <c r="A12" s="3">
        <f t="shared" si="0"/>
        <v>11</v>
      </c>
      <c r="B12" s="15" t="s">
        <v>421</v>
      </c>
      <c r="C12" s="16">
        <f>C7+7</f>
        <v>43402</v>
      </c>
      <c r="D12" s="22">
        <v>0</v>
      </c>
      <c r="E12" s="22">
        <v>0</v>
      </c>
      <c r="F12" s="22">
        <v>0</v>
      </c>
      <c r="G12" s="22">
        <v>0</v>
      </c>
      <c r="H12" s="22">
        <v>0</v>
      </c>
      <c r="I12" s="22">
        <v>0</v>
      </c>
      <c r="J12" s="22">
        <v>0</v>
      </c>
      <c r="K12" s="22">
        <v>0</v>
      </c>
    </row>
    <row r="13" spans="1:11" x14ac:dyDescent="0.25">
      <c r="A13" s="3">
        <f t="shared" si="0"/>
        <v>12</v>
      </c>
      <c r="B13" s="15" t="s">
        <v>422</v>
      </c>
      <c r="C13" s="16">
        <f t="shared" si="1"/>
        <v>43403</v>
      </c>
      <c r="D13" s="22">
        <v>0</v>
      </c>
      <c r="E13" s="22">
        <v>0</v>
      </c>
      <c r="F13" s="22">
        <v>0</v>
      </c>
      <c r="G13" s="22">
        <v>0</v>
      </c>
      <c r="H13" s="22">
        <v>0</v>
      </c>
      <c r="I13" s="22">
        <v>0</v>
      </c>
      <c r="J13" s="22">
        <v>0</v>
      </c>
      <c r="K13" s="22">
        <v>0</v>
      </c>
    </row>
    <row r="14" spans="1:11" x14ac:dyDescent="0.25">
      <c r="A14" s="3">
        <f t="shared" si="0"/>
        <v>13</v>
      </c>
      <c r="B14" s="15" t="s">
        <v>423</v>
      </c>
      <c r="C14" s="16">
        <f t="shared" si="1"/>
        <v>43404</v>
      </c>
      <c r="D14" s="22">
        <v>0</v>
      </c>
      <c r="E14" s="22">
        <v>0</v>
      </c>
      <c r="F14" s="22">
        <v>0</v>
      </c>
      <c r="G14" s="22">
        <v>0</v>
      </c>
      <c r="H14" s="22">
        <v>0</v>
      </c>
      <c r="I14" s="22">
        <v>0</v>
      </c>
      <c r="J14" s="22">
        <v>0</v>
      </c>
      <c r="K14" s="22">
        <v>0</v>
      </c>
    </row>
    <row r="15" spans="1:11" x14ac:dyDescent="0.25">
      <c r="A15" s="3">
        <f t="shared" si="0"/>
        <v>14</v>
      </c>
      <c r="B15" s="15" t="s">
        <v>424</v>
      </c>
      <c r="C15" s="16">
        <f t="shared" si="1"/>
        <v>43405</v>
      </c>
      <c r="D15" s="22">
        <v>0</v>
      </c>
      <c r="E15" s="22">
        <v>0</v>
      </c>
      <c r="F15" s="22">
        <v>0</v>
      </c>
      <c r="G15" s="22">
        <v>0</v>
      </c>
      <c r="H15" s="22">
        <v>0</v>
      </c>
      <c r="I15" s="22">
        <v>0</v>
      </c>
      <c r="J15" s="22">
        <v>0</v>
      </c>
      <c r="K15" s="22">
        <v>0</v>
      </c>
    </row>
    <row r="16" spans="1:11" x14ac:dyDescent="0.25">
      <c r="A16" s="3">
        <f t="shared" si="0"/>
        <v>15</v>
      </c>
      <c r="B16" s="15" t="s">
        <v>425</v>
      </c>
      <c r="C16" s="16">
        <f t="shared" si="1"/>
        <v>43406</v>
      </c>
      <c r="D16" s="22">
        <v>0</v>
      </c>
      <c r="E16" s="22">
        <v>0</v>
      </c>
      <c r="F16" s="22">
        <v>0</v>
      </c>
      <c r="G16" s="22">
        <v>0</v>
      </c>
      <c r="H16" s="22">
        <v>0</v>
      </c>
      <c r="I16" s="22">
        <v>0</v>
      </c>
      <c r="J16" s="22">
        <v>0</v>
      </c>
      <c r="K16" s="22">
        <v>0</v>
      </c>
    </row>
    <row r="17" spans="1:11" x14ac:dyDescent="0.25">
      <c r="A17" s="3">
        <f t="shared" si="0"/>
        <v>16</v>
      </c>
      <c r="B17" s="15" t="s">
        <v>421</v>
      </c>
      <c r="C17" s="16">
        <f>C12+7</f>
        <v>43409</v>
      </c>
      <c r="D17" s="22">
        <v>0</v>
      </c>
      <c r="E17" s="22">
        <v>0</v>
      </c>
      <c r="F17" s="22">
        <v>0</v>
      </c>
      <c r="G17" s="22">
        <v>0</v>
      </c>
      <c r="H17" s="22">
        <v>0</v>
      </c>
      <c r="I17" s="22">
        <v>0</v>
      </c>
      <c r="J17" s="22">
        <v>0</v>
      </c>
      <c r="K17" s="22">
        <v>0</v>
      </c>
    </row>
    <row r="18" spans="1:11" x14ac:dyDescent="0.25">
      <c r="A18" s="3">
        <f t="shared" si="0"/>
        <v>17</v>
      </c>
      <c r="B18" s="15" t="s">
        <v>422</v>
      </c>
      <c r="C18" s="16">
        <f t="shared" si="1"/>
        <v>43410</v>
      </c>
      <c r="D18" s="22">
        <v>0</v>
      </c>
      <c r="E18" s="22">
        <v>0</v>
      </c>
      <c r="F18" s="22">
        <v>0</v>
      </c>
      <c r="G18" s="22">
        <v>0</v>
      </c>
      <c r="H18" s="22">
        <v>0</v>
      </c>
      <c r="I18" s="22">
        <v>0</v>
      </c>
      <c r="J18" s="22">
        <v>0</v>
      </c>
      <c r="K18" s="22">
        <v>0</v>
      </c>
    </row>
    <row r="19" spans="1:11" x14ac:dyDescent="0.25">
      <c r="A19" s="3">
        <f t="shared" si="0"/>
        <v>18</v>
      </c>
      <c r="B19" s="15" t="s">
        <v>423</v>
      </c>
      <c r="C19" s="16">
        <f t="shared" si="1"/>
        <v>43411</v>
      </c>
      <c r="D19" s="22">
        <v>0</v>
      </c>
      <c r="E19" s="22">
        <v>0</v>
      </c>
      <c r="F19" s="22">
        <v>0</v>
      </c>
      <c r="G19" s="22">
        <v>0</v>
      </c>
      <c r="H19" s="22">
        <v>0</v>
      </c>
      <c r="I19" s="22">
        <v>0</v>
      </c>
      <c r="J19" s="22">
        <v>0</v>
      </c>
      <c r="K19" s="22">
        <v>0</v>
      </c>
    </row>
    <row r="20" spans="1:11" x14ac:dyDescent="0.25">
      <c r="A20" s="3">
        <f t="shared" si="0"/>
        <v>19</v>
      </c>
      <c r="B20" s="15" t="s">
        <v>424</v>
      </c>
      <c r="C20" s="16">
        <f t="shared" si="1"/>
        <v>43412</v>
      </c>
      <c r="D20" s="22">
        <v>0</v>
      </c>
      <c r="E20" s="22">
        <v>0</v>
      </c>
      <c r="F20" s="22">
        <v>0</v>
      </c>
      <c r="G20" s="22">
        <v>0</v>
      </c>
      <c r="H20" s="22">
        <v>0</v>
      </c>
      <c r="I20" s="22">
        <v>0</v>
      </c>
      <c r="J20" s="22">
        <v>0</v>
      </c>
      <c r="K20" s="22">
        <v>0</v>
      </c>
    </row>
    <row r="21" spans="1:11" x14ac:dyDescent="0.25">
      <c r="A21" s="3">
        <f t="shared" si="0"/>
        <v>20</v>
      </c>
      <c r="B21" s="15" t="s">
        <v>425</v>
      </c>
      <c r="C21" s="16">
        <f t="shared" si="1"/>
        <v>43413</v>
      </c>
      <c r="D21" s="22">
        <v>0</v>
      </c>
      <c r="E21" s="22">
        <v>0</v>
      </c>
      <c r="F21" s="22">
        <v>0</v>
      </c>
      <c r="G21" s="22">
        <v>0</v>
      </c>
      <c r="H21" s="22">
        <v>0</v>
      </c>
      <c r="I21" s="22">
        <v>0</v>
      </c>
      <c r="J21" s="22">
        <v>0</v>
      </c>
      <c r="K21" s="22">
        <v>0</v>
      </c>
    </row>
    <row r="22" spans="1:11" x14ac:dyDescent="0.25">
      <c r="A22" s="3">
        <f t="shared" si="0"/>
        <v>21</v>
      </c>
      <c r="B22" s="15" t="s">
        <v>421</v>
      </c>
      <c r="C22" s="16">
        <f>C17+7</f>
        <v>43416</v>
      </c>
      <c r="D22" s="22">
        <v>0</v>
      </c>
      <c r="E22" s="22">
        <v>0</v>
      </c>
      <c r="F22" s="22">
        <v>0</v>
      </c>
      <c r="G22" s="22">
        <v>0</v>
      </c>
      <c r="H22" s="22">
        <v>0</v>
      </c>
      <c r="I22" s="22">
        <v>0</v>
      </c>
      <c r="J22" s="22">
        <v>0</v>
      </c>
      <c r="K22" s="22">
        <v>0</v>
      </c>
    </row>
    <row r="23" spans="1:11" x14ac:dyDescent="0.25">
      <c r="A23" s="3">
        <f t="shared" si="0"/>
        <v>22</v>
      </c>
      <c r="B23" s="15" t="s">
        <v>422</v>
      </c>
      <c r="C23" s="16">
        <f t="shared" si="1"/>
        <v>43417</v>
      </c>
      <c r="D23" s="22">
        <v>0</v>
      </c>
      <c r="E23" s="22">
        <v>0</v>
      </c>
      <c r="F23" s="22">
        <v>0</v>
      </c>
      <c r="G23" s="22">
        <v>0</v>
      </c>
      <c r="H23" s="22">
        <v>0</v>
      </c>
      <c r="I23" s="22">
        <v>0</v>
      </c>
      <c r="J23" s="22">
        <v>0</v>
      </c>
      <c r="K23" s="22">
        <v>0</v>
      </c>
    </row>
    <row r="24" spans="1:11" x14ac:dyDescent="0.25">
      <c r="A24" s="3">
        <f t="shared" si="0"/>
        <v>23</v>
      </c>
      <c r="B24" s="15" t="s">
        <v>423</v>
      </c>
      <c r="C24" s="16">
        <f t="shared" si="1"/>
        <v>43418</v>
      </c>
      <c r="D24" s="22">
        <v>0</v>
      </c>
      <c r="E24" s="22">
        <v>0</v>
      </c>
      <c r="F24" s="22">
        <v>0</v>
      </c>
      <c r="G24" s="22">
        <v>0</v>
      </c>
      <c r="H24" s="22">
        <v>0</v>
      </c>
      <c r="I24" s="22">
        <v>0</v>
      </c>
      <c r="J24" s="22">
        <v>0</v>
      </c>
      <c r="K24" s="22">
        <v>0</v>
      </c>
    </row>
    <row r="25" spans="1:11" x14ac:dyDescent="0.25">
      <c r="A25" s="3">
        <f t="shared" si="0"/>
        <v>24</v>
      </c>
      <c r="B25" s="15" t="s">
        <v>424</v>
      </c>
      <c r="C25" s="16">
        <f t="shared" si="1"/>
        <v>43419</v>
      </c>
      <c r="D25" s="22">
        <v>0</v>
      </c>
      <c r="E25" s="22">
        <v>0</v>
      </c>
      <c r="F25" s="22">
        <v>0</v>
      </c>
      <c r="G25" s="22">
        <v>0</v>
      </c>
      <c r="H25" s="22">
        <v>0</v>
      </c>
      <c r="I25" s="22">
        <v>0</v>
      </c>
      <c r="J25" s="22">
        <v>0</v>
      </c>
      <c r="K25" s="22">
        <v>0</v>
      </c>
    </row>
    <row r="26" spans="1:11" x14ac:dyDescent="0.25">
      <c r="A26" s="3">
        <f t="shared" si="0"/>
        <v>25</v>
      </c>
      <c r="B26" s="15" t="s">
        <v>425</v>
      </c>
      <c r="C26" s="16">
        <f t="shared" si="1"/>
        <v>43420</v>
      </c>
      <c r="D26" s="22">
        <v>0</v>
      </c>
      <c r="E26" s="22">
        <v>0</v>
      </c>
      <c r="F26" s="22">
        <v>0</v>
      </c>
      <c r="G26" s="22">
        <v>0</v>
      </c>
      <c r="H26" s="22">
        <v>0</v>
      </c>
      <c r="I26" s="22">
        <v>0</v>
      </c>
      <c r="J26" s="22">
        <v>0</v>
      </c>
      <c r="K26" s="22">
        <v>0</v>
      </c>
    </row>
    <row r="27" spans="1:11" x14ac:dyDescent="0.25">
      <c r="A27" s="3">
        <f t="shared" si="0"/>
        <v>26</v>
      </c>
      <c r="B27" s="15" t="s">
        <v>421</v>
      </c>
      <c r="C27" s="16">
        <f>C22+7</f>
        <v>43423</v>
      </c>
      <c r="D27" s="22">
        <v>0</v>
      </c>
      <c r="E27" s="22">
        <v>0</v>
      </c>
      <c r="F27" s="22">
        <v>0</v>
      </c>
      <c r="G27" s="22">
        <v>0</v>
      </c>
      <c r="H27" s="22">
        <v>0</v>
      </c>
      <c r="I27" s="22">
        <v>0</v>
      </c>
      <c r="J27" s="22">
        <v>0</v>
      </c>
      <c r="K27" s="22">
        <v>0</v>
      </c>
    </row>
    <row r="28" spans="1:11" x14ac:dyDescent="0.25">
      <c r="A28" s="3">
        <f t="shared" si="0"/>
        <v>27</v>
      </c>
      <c r="B28" s="15" t="s">
        <v>422</v>
      </c>
      <c r="C28" s="16">
        <f t="shared" si="1"/>
        <v>43424</v>
      </c>
      <c r="D28" s="22">
        <v>0</v>
      </c>
      <c r="E28" s="22">
        <v>0</v>
      </c>
      <c r="F28" s="22">
        <v>0</v>
      </c>
      <c r="G28" s="22">
        <v>0</v>
      </c>
      <c r="H28" s="22">
        <v>0</v>
      </c>
      <c r="I28" s="22">
        <v>0</v>
      </c>
      <c r="J28" s="22">
        <v>0</v>
      </c>
      <c r="K28" s="22">
        <v>0</v>
      </c>
    </row>
    <row r="29" spans="1:11" x14ac:dyDescent="0.25">
      <c r="A29" s="3">
        <f t="shared" si="0"/>
        <v>28</v>
      </c>
      <c r="B29" s="15" t="s">
        <v>423</v>
      </c>
      <c r="C29" s="16">
        <f t="shared" si="1"/>
        <v>43425</v>
      </c>
      <c r="D29" s="22">
        <v>0</v>
      </c>
      <c r="E29" s="22">
        <v>0</v>
      </c>
      <c r="F29" s="22">
        <v>0</v>
      </c>
      <c r="G29" s="22">
        <v>0</v>
      </c>
      <c r="H29" s="22">
        <v>0</v>
      </c>
      <c r="I29" s="22">
        <v>0</v>
      </c>
      <c r="J29" s="22">
        <v>0</v>
      </c>
      <c r="K29" s="22">
        <v>0</v>
      </c>
    </row>
    <row r="30" spans="1:11" x14ac:dyDescent="0.25">
      <c r="A30" s="3">
        <f t="shared" si="0"/>
        <v>29</v>
      </c>
      <c r="B30" s="15" t="s">
        <v>424</v>
      </c>
      <c r="C30" s="16">
        <f t="shared" si="1"/>
        <v>43426</v>
      </c>
      <c r="D30" s="22">
        <v>0</v>
      </c>
      <c r="E30" s="22">
        <v>0</v>
      </c>
      <c r="F30" s="22">
        <v>0</v>
      </c>
      <c r="G30" s="22">
        <v>0</v>
      </c>
      <c r="H30" s="22">
        <v>0</v>
      </c>
      <c r="I30" s="22">
        <v>0</v>
      </c>
      <c r="J30" s="22">
        <v>0</v>
      </c>
      <c r="K30" s="22">
        <v>0</v>
      </c>
    </row>
    <row r="31" spans="1:11" x14ac:dyDescent="0.25">
      <c r="A31" s="3">
        <f t="shared" si="0"/>
        <v>30</v>
      </c>
      <c r="B31" s="15" t="s">
        <v>425</v>
      </c>
      <c r="C31" s="16">
        <f t="shared" si="1"/>
        <v>43427</v>
      </c>
      <c r="D31" s="22">
        <v>0</v>
      </c>
      <c r="E31" s="22">
        <v>0</v>
      </c>
      <c r="F31" s="22">
        <v>0</v>
      </c>
      <c r="G31" s="22">
        <v>0</v>
      </c>
      <c r="H31" s="22">
        <v>0</v>
      </c>
      <c r="I31" s="22">
        <v>0</v>
      </c>
      <c r="J31" s="22">
        <v>0</v>
      </c>
      <c r="K31" s="22">
        <v>0</v>
      </c>
    </row>
    <row r="32" spans="1:11" x14ac:dyDescent="0.25">
      <c r="A32" s="3">
        <f t="shared" si="0"/>
        <v>31</v>
      </c>
      <c r="B32" s="15" t="s">
        <v>421</v>
      </c>
      <c r="C32" s="16">
        <f>C27+7</f>
        <v>43430</v>
      </c>
      <c r="D32" s="22">
        <v>0</v>
      </c>
      <c r="E32" s="22">
        <v>0</v>
      </c>
      <c r="F32" s="22">
        <v>0</v>
      </c>
      <c r="G32" s="22">
        <v>0</v>
      </c>
      <c r="H32" s="22">
        <v>0</v>
      </c>
      <c r="I32" s="22">
        <v>0</v>
      </c>
      <c r="J32" s="22">
        <v>0</v>
      </c>
      <c r="K32" s="22">
        <v>0</v>
      </c>
    </row>
    <row r="33" spans="1:11" x14ac:dyDescent="0.25">
      <c r="A33" s="3">
        <f t="shared" si="0"/>
        <v>32</v>
      </c>
      <c r="B33" s="15" t="s">
        <v>422</v>
      </c>
      <c r="C33" s="16">
        <f t="shared" si="1"/>
        <v>43431</v>
      </c>
      <c r="D33" s="22">
        <v>0</v>
      </c>
      <c r="E33" s="22">
        <v>0</v>
      </c>
      <c r="F33" s="22">
        <v>0</v>
      </c>
      <c r="G33" s="22">
        <v>0</v>
      </c>
      <c r="H33" s="22">
        <v>0</v>
      </c>
      <c r="I33" s="22">
        <v>0</v>
      </c>
      <c r="J33" s="22">
        <v>0</v>
      </c>
      <c r="K33" s="22">
        <v>0</v>
      </c>
    </row>
    <row r="34" spans="1:11" x14ac:dyDescent="0.25">
      <c r="A34" s="3">
        <f t="shared" si="0"/>
        <v>33</v>
      </c>
      <c r="B34" s="15" t="s">
        <v>423</v>
      </c>
      <c r="C34" s="16">
        <f t="shared" si="1"/>
        <v>43432</v>
      </c>
      <c r="D34" s="22">
        <v>0</v>
      </c>
      <c r="E34" s="22">
        <v>0</v>
      </c>
      <c r="F34" s="22">
        <v>0</v>
      </c>
      <c r="G34" s="22">
        <v>0</v>
      </c>
      <c r="H34" s="22">
        <v>0</v>
      </c>
      <c r="I34" s="22">
        <v>0</v>
      </c>
      <c r="J34" s="22">
        <v>0</v>
      </c>
      <c r="K34" s="22">
        <v>0</v>
      </c>
    </row>
    <row r="35" spans="1:11" x14ac:dyDescent="0.25">
      <c r="A35" s="3">
        <f t="shared" si="0"/>
        <v>34</v>
      </c>
      <c r="B35" s="15" t="s">
        <v>424</v>
      </c>
      <c r="C35" s="16">
        <f t="shared" si="1"/>
        <v>43433</v>
      </c>
      <c r="D35" s="22">
        <v>0</v>
      </c>
      <c r="E35" s="22">
        <v>0</v>
      </c>
      <c r="F35" s="22">
        <v>0</v>
      </c>
      <c r="G35" s="22">
        <v>0</v>
      </c>
      <c r="H35" s="22">
        <v>0</v>
      </c>
      <c r="I35" s="22">
        <v>0</v>
      </c>
      <c r="J35" s="22">
        <v>0</v>
      </c>
      <c r="K35" s="22">
        <v>0</v>
      </c>
    </row>
    <row r="36" spans="1:11" x14ac:dyDescent="0.25">
      <c r="A36" s="3">
        <f t="shared" si="0"/>
        <v>35</v>
      </c>
      <c r="B36" s="15" t="s">
        <v>425</v>
      </c>
      <c r="C36" s="16">
        <f t="shared" si="1"/>
        <v>43434</v>
      </c>
      <c r="D36" s="22">
        <v>0</v>
      </c>
      <c r="E36" s="22">
        <v>0</v>
      </c>
      <c r="F36" s="22">
        <v>0</v>
      </c>
      <c r="G36" s="22">
        <v>0</v>
      </c>
      <c r="H36" s="22">
        <v>0</v>
      </c>
      <c r="I36" s="22">
        <v>0</v>
      </c>
      <c r="J36" s="22">
        <v>0</v>
      </c>
      <c r="K36" s="22">
        <v>0</v>
      </c>
    </row>
    <row r="37" spans="1:11" x14ac:dyDescent="0.25">
      <c r="A37" s="3">
        <f t="shared" si="0"/>
        <v>36</v>
      </c>
      <c r="B37" s="15" t="s">
        <v>421</v>
      </c>
      <c r="C37" s="16">
        <f>C32+7</f>
        <v>43437</v>
      </c>
      <c r="D37" s="22">
        <v>0</v>
      </c>
      <c r="E37" s="22">
        <v>0</v>
      </c>
      <c r="F37" s="22">
        <v>2</v>
      </c>
      <c r="G37" s="22">
        <v>4</v>
      </c>
      <c r="H37" s="22">
        <v>0</v>
      </c>
      <c r="I37" s="22">
        <v>0</v>
      </c>
      <c r="J37" s="22">
        <v>0</v>
      </c>
      <c r="K37" s="22">
        <v>0</v>
      </c>
    </row>
    <row r="38" spans="1:11" x14ac:dyDescent="0.25">
      <c r="A38" s="3">
        <f t="shared" si="0"/>
        <v>37</v>
      </c>
      <c r="B38" s="15" t="s">
        <v>422</v>
      </c>
      <c r="C38" s="16">
        <f t="shared" si="1"/>
        <v>43438</v>
      </c>
      <c r="D38" s="22">
        <v>0</v>
      </c>
      <c r="E38" s="22">
        <v>0</v>
      </c>
      <c r="F38" s="22">
        <v>2</v>
      </c>
      <c r="G38" s="22">
        <v>4</v>
      </c>
      <c r="H38" s="22">
        <v>0</v>
      </c>
      <c r="I38" s="22">
        <v>0</v>
      </c>
      <c r="J38" s="22">
        <v>0</v>
      </c>
      <c r="K38" s="22">
        <v>0</v>
      </c>
    </row>
    <row r="39" spans="1:11" x14ac:dyDescent="0.25">
      <c r="A39" s="3">
        <f t="shared" si="0"/>
        <v>38</v>
      </c>
      <c r="B39" s="15" t="s">
        <v>423</v>
      </c>
      <c r="C39" s="16">
        <f t="shared" si="1"/>
        <v>43439</v>
      </c>
      <c r="D39" s="22">
        <v>0</v>
      </c>
      <c r="E39" s="22">
        <v>0</v>
      </c>
      <c r="F39" s="22">
        <v>2</v>
      </c>
      <c r="G39" s="22">
        <v>4</v>
      </c>
      <c r="H39" s="22">
        <v>0</v>
      </c>
      <c r="I39" s="22">
        <v>0</v>
      </c>
      <c r="J39" s="22">
        <v>0</v>
      </c>
      <c r="K39" s="22">
        <v>0</v>
      </c>
    </row>
    <row r="40" spans="1:11" x14ac:dyDescent="0.25">
      <c r="A40" s="3">
        <f t="shared" si="0"/>
        <v>39</v>
      </c>
      <c r="B40" s="15" t="s">
        <v>424</v>
      </c>
      <c r="C40" s="16">
        <f t="shared" si="1"/>
        <v>43440</v>
      </c>
      <c r="D40" s="22">
        <v>0</v>
      </c>
      <c r="E40" s="22">
        <v>0</v>
      </c>
      <c r="F40" s="22">
        <v>2</v>
      </c>
      <c r="G40" s="22">
        <v>4</v>
      </c>
      <c r="H40" s="22">
        <v>0</v>
      </c>
      <c r="I40" s="22">
        <v>0</v>
      </c>
      <c r="J40" s="22">
        <v>0</v>
      </c>
      <c r="K40" s="22">
        <v>0</v>
      </c>
    </row>
    <row r="41" spans="1:11" x14ac:dyDescent="0.25">
      <c r="A41" s="3">
        <f t="shared" si="0"/>
        <v>40</v>
      </c>
      <c r="B41" s="15" t="s">
        <v>425</v>
      </c>
      <c r="C41" s="16">
        <f t="shared" si="1"/>
        <v>43441</v>
      </c>
      <c r="D41" s="22">
        <v>0</v>
      </c>
      <c r="E41" s="22">
        <v>0</v>
      </c>
      <c r="F41" s="22">
        <v>2</v>
      </c>
      <c r="G41" s="22">
        <v>3</v>
      </c>
      <c r="H41" s="22">
        <v>0</v>
      </c>
      <c r="I41" s="22">
        <v>0</v>
      </c>
      <c r="J41" s="22">
        <v>0</v>
      </c>
      <c r="K41" s="22">
        <v>0</v>
      </c>
    </row>
    <row r="42" spans="1:11" x14ac:dyDescent="0.25">
      <c r="A42" s="3">
        <f t="shared" si="0"/>
        <v>41</v>
      </c>
      <c r="B42" s="15" t="s">
        <v>421</v>
      </c>
      <c r="C42" s="16">
        <f>C37+7</f>
        <v>43444</v>
      </c>
      <c r="D42" s="22">
        <v>0</v>
      </c>
      <c r="E42" s="22">
        <v>0</v>
      </c>
      <c r="F42" s="22">
        <v>2</v>
      </c>
      <c r="G42" s="22">
        <v>3</v>
      </c>
      <c r="H42" s="22">
        <v>0</v>
      </c>
      <c r="I42" s="22">
        <v>0</v>
      </c>
      <c r="J42" s="22">
        <v>0</v>
      </c>
      <c r="K42" s="22">
        <v>0</v>
      </c>
    </row>
    <row r="43" spans="1:11" x14ac:dyDescent="0.25">
      <c r="A43" s="3">
        <f t="shared" si="0"/>
        <v>42</v>
      </c>
      <c r="B43" s="15" t="s">
        <v>422</v>
      </c>
      <c r="C43" s="16">
        <f t="shared" si="1"/>
        <v>43445</v>
      </c>
      <c r="D43" s="22">
        <v>0</v>
      </c>
      <c r="E43" s="22">
        <v>0</v>
      </c>
      <c r="F43" s="22">
        <v>2</v>
      </c>
      <c r="G43" s="22">
        <v>3</v>
      </c>
      <c r="H43" s="22">
        <v>0</v>
      </c>
      <c r="I43" s="22">
        <v>0</v>
      </c>
      <c r="J43" s="22">
        <v>0</v>
      </c>
      <c r="K43" s="22">
        <v>0</v>
      </c>
    </row>
    <row r="44" spans="1:11" x14ac:dyDescent="0.25">
      <c r="A44" s="3">
        <f t="shared" si="0"/>
        <v>43</v>
      </c>
      <c r="B44" s="15" t="s">
        <v>423</v>
      </c>
      <c r="C44" s="16">
        <f t="shared" si="1"/>
        <v>43446</v>
      </c>
      <c r="D44" s="22">
        <v>0</v>
      </c>
      <c r="E44" s="22">
        <v>0</v>
      </c>
      <c r="F44" s="22">
        <v>2</v>
      </c>
      <c r="G44" s="22">
        <v>3</v>
      </c>
      <c r="H44" s="22">
        <v>0</v>
      </c>
      <c r="I44" s="22">
        <v>0</v>
      </c>
      <c r="J44" s="22">
        <v>0</v>
      </c>
      <c r="K44" s="22">
        <v>0</v>
      </c>
    </row>
    <row r="45" spans="1:11" x14ac:dyDescent="0.25">
      <c r="A45" s="3">
        <f t="shared" si="0"/>
        <v>44</v>
      </c>
      <c r="B45" s="15" t="s">
        <v>424</v>
      </c>
      <c r="C45" s="16">
        <f t="shared" si="1"/>
        <v>43447</v>
      </c>
      <c r="D45" s="22">
        <v>0</v>
      </c>
      <c r="E45" s="22">
        <v>0</v>
      </c>
      <c r="F45" s="22">
        <v>2</v>
      </c>
      <c r="G45" s="22">
        <v>3</v>
      </c>
      <c r="H45" s="22">
        <v>0</v>
      </c>
      <c r="I45" s="22">
        <v>0</v>
      </c>
      <c r="J45" s="22">
        <v>0</v>
      </c>
      <c r="K45" s="22">
        <v>0</v>
      </c>
    </row>
    <row r="46" spans="1:11" x14ac:dyDescent="0.25">
      <c r="A46" s="3">
        <f t="shared" si="0"/>
        <v>45</v>
      </c>
      <c r="B46" s="15" t="s">
        <v>425</v>
      </c>
      <c r="C46" s="16">
        <f t="shared" si="1"/>
        <v>43448</v>
      </c>
      <c r="D46" s="22">
        <v>0</v>
      </c>
      <c r="E46" s="22">
        <v>0</v>
      </c>
      <c r="F46" s="22">
        <v>2</v>
      </c>
      <c r="G46" s="22">
        <v>3</v>
      </c>
      <c r="H46" s="22">
        <v>0</v>
      </c>
      <c r="I46" s="22">
        <v>0</v>
      </c>
      <c r="J46" s="22">
        <v>0</v>
      </c>
      <c r="K46" s="22">
        <v>0</v>
      </c>
    </row>
    <row r="47" spans="1:11" x14ac:dyDescent="0.25">
      <c r="A47" s="3">
        <f t="shared" si="0"/>
        <v>46</v>
      </c>
      <c r="B47" s="15" t="s">
        <v>421</v>
      </c>
      <c r="C47" s="16">
        <f>C42+7</f>
        <v>43451</v>
      </c>
      <c r="D47" s="22">
        <v>0</v>
      </c>
      <c r="E47" s="22">
        <v>0</v>
      </c>
      <c r="F47" s="22">
        <v>2</v>
      </c>
      <c r="G47" s="22">
        <v>3</v>
      </c>
      <c r="H47" s="22">
        <v>0</v>
      </c>
      <c r="I47" s="22">
        <v>0</v>
      </c>
      <c r="J47" s="22">
        <v>0</v>
      </c>
      <c r="K47" s="22">
        <v>0</v>
      </c>
    </row>
    <row r="48" spans="1:11" x14ac:dyDescent="0.25">
      <c r="A48" s="3">
        <f t="shared" si="0"/>
        <v>47</v>
      </c>
      <c r="B48" s="15" t="s">
        <v>422</v>
      </c>
      <c r="C48" s="16">
        <f t="shared" si="1"/>
        <v>43452</v>
      </c>
      <c r="D48" s="22">
        <v>0</v>
      </c>
      <c r="E48" s="22">
        <v>0</v>
      </c>
      <c r="F48" s="22">
        <v>2</v>
      </c>
      <c r="G48" s="22">
        <v>3</v>
      </c>
      <c r="H48" s="22">
        <v>0</v>
      </c>
      <c r="I48" s="22">
        <v>0</v>
      </c>
      <c r="J48" s="22">
        <v>0</v>
      </c>
      <c r="K48" s="22">
        <v>0</v>
      </c>
    </row>
    <row r="49" spans="1:11" x14ac:dyDescent="0.25">
      <c r="A49" s="3">
        <f t="shared" si="0"/>
        <v>48</v>
      </c>
      <c r="B49" s="15" t="s">
        <v>423</v>
      </c>
      <c r="C49" s="16">
        <f t="shared" si="1"/>
        <v>43453</v>
      </c>
      <c r="D49" s="22">
        <v>0</v>
      </c>
      <c r="E49" s="22">
        <v>0</v>
      </c>
      <c r="F49" s="22">
        <v>2</v>
      </c>
      <c r="G49" s="22">
        <v>3</v>
      </c>
      <c r="H49" s="22">
        <v>0</v>
      </c>
      <c r="I49" s="22">
        <v>0</v>
      </c>
      <c r="J49" s="22">
        <v>0</v>
      </c>
      <c r="K49" s="22">
        <v>0</v>
      </c>
    </row>
    <row r="50" spans="1:11" x14ac:dyDescent="0.25">
      <c r="A50" s="3">
        <f t="shared" si="0"/>
        <v>49</v>
      </c>
      <c r="B50" s="15" t="s">
        <v>424</v>
      </c>
      <c r="C50" s="16">
        <f t="shared" si="1"/>
        <v>43454</v>
      </c>
      <c r="D50" s="22">
        <v>0</v>
      </c>
      <c r="E50" s="22">
        <v>0</v>
      </c>
      <c r="F50" s="22">
        <v>2</v>
      </c>
      <c r="G50" s="22">
        <v>3</v>
      </c>
      <c r="H50" s="22">
        <v>0</v>
      </c>
      <c r="I50" s="22">
        <v>0</v>
      </c>
      <c r="J50" s="22">
        <v>0</v>
      </c>
      <c r="K50" s="22">
        <v>0</v>
      </c>
    </row>
    <row r="51" spans="1:11" x14ac:dyDescent="0.25">
      <c r="A51" s="3">
        <f t="shared" si="0"/>
        <v>50</v>
      </c>
      <c r="B51" s="15" t="s">
        <v>425</v>
      </c>
      <c r="C51" s="16">
        <f t="shared" si="1"/>
        <v>43455</v>
      </c>
      <c r="D51" s="22">
        <v>0</v>
      </c>
      <c r="E51" s="22">
        <v>0</v>
      </c>
      <c r="F51" s="22">
        <v>2</v>
      </c>
      <c r="G51" s="22">
        <v>3</v>
      </c>
      <c r="H51" s="22">
        <v>0</v>
      </c>
      <c r="I51" s="22">
        <v>0</v>
      </c>
      <c r="J51" s="22">
        <v>0</v>
      </c>
      <c r="K51" s="22">
        <v>0</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sheetPr>
  <dimension ref="A1:H51"/>
  <sheetViews>
    <sheetView topLeftCell="A25" workbookViewId="0">
      <selection activeCell="Y41" sqref="Y41"/>
    </sheetView>
  </sheetViews>
  <sheetFormatPr defaultColWidth="8.875" defaultRowHeight="15" x14ac:dyDescent="0.25"/>
  <cols>
    <col min="1" max="1" width="8.875" style="3"/>
    <col min="2" max="2" width="6.25" style="3" customWidth="1"/>
    <col min="3" max="3" width="12.125" style="3" customWidth="1"/>
    <col min="4" max="8" width="3" style="3" customWidth="1"/>
    <col min="9" max="16384" width="8.875" style="3"/>
  </cols>
  <sheetData>
    <row r="1" spans="1:8" ht="67.5" thickBot="1" x14ac:dyDescent="0.35">
      <c r="A1" s="4" t="s">
        <v>414</v>
      </c>
      <c r="B1" s="4"/>
      <c r="C1" s="4" t="s">
        <v>3</v>
      </c>
      <c r="D1" s="14" t="s">
        <v>13</v>
      </c>
      <c r="E1" s="14" t="s">
        <v>14</v>
      </c>
      <c r="F1" s="14" t="s">
        <v>16</v>
      </c>
      <c r="G1" s="14" t="s">
        <v>635</v>
      </c>
      <c r="H1" s="14" t="s">
        <v>15</v>
      </c>
    </row>
    <row r="2" spans="1:8" ht="15.75" thickTop="1" x14ac:dyDescent="0.25">
      <c r="A2" s="3">
        <v>1</v>
      </c>
      <c r="B2" s="15" t="s">
        <v>421</v>
      </c>
      <c r="C2" s="16">
        <v>43388</v>
      </c>
      <c r="D2" s="22">
        <v>0</v>
      </c>
      <c r="E2" s="22">
        <v>0</v>
      </c>
      <c r="F2" s="22">
        <v>0</v>
      </c>
      <c r="G2" s="22">
        <v>0</v>
      </c>
      <c r="H2" s="22">
        <v>0</v>
      </c>
    </row>
    <row r="3" spans="1:8" x14ac:dyDescent="0.25">
      <c r="A3" s="3">
        <f>A2+1</f>
        <v>2</v>
      </c>
      <c r="B3" s="15" t="s">
        <v>422</v>
      </c>
      <c r="C3" s="16">
        <f>C2+1</f>
        <v>43389</v>
      </c>
      <c r="D3" s="22">
        <v>0</v>
      </c>
      <c r="E3" s="22">
        <v>0</v>
      </c>
      <c r="F3" s="22">
        <v>0</v>
      </c>
      <c r="G3" s="22">
        <v>0</v>
      </c>
      <c r="H3" s="22">
        <v>0</v>
      </c>
    </row>
    <row r="4" spans="1:8" x14ac:dyDescent="0.25">
      <c r="A4" s="3">
        <f t="shared" ref="A4:A51" si="0">A3+1</f>
        <v>3</v>
      </c>
      <c r="B4" s="15" t="s">
        <v>423</v>
      </c>
      <c r="C4" s="16">
        <f t="shared" ref="C4:C51" si="1">C3+1</f>
        <v>43390</v>
      </c>
      <c r="D4" s="22">
        <v>0</v>
      </c>
      <c r="E4" s="22">
        <v>0</v>
      </c>
      <c r="F4" s="22">
        <v>0</v>
      </c>
      <c r="G4" s="22">
        <v>0</v>
      </c>
      <c r="H4" s="22">
        <v>0</v>
      </c>
    </row>
    <row r="5" spans="1:8" x14ac:dyDescent="0.25">
      <c r="A5" s="3">
        <f t="shared" si="0"/>
        <v>4</v>
      </c>
      <c r="B5" s="15" t="s">
        <v>424</v>
      </c>
      <c r="C5" s="16">
        <f t="shared" si="1"/>
        <v>43391</v>
      </c>
      <c r="D5" s="22">
        <v>0</v>
      </c>
      <c r="E5" s="22">
        <v>0</v>
      </c>
      <c r="F5" s="22">
        <v>0</v>
      </c>
      <c r="G5" s="22">
        <v>0</v>
      </c>
      <c r="H5" s="22">
        <v>0</v>
      </c>
    </row>
    <row r="6" spans="1:8" x14ac:dyDescent="0.25">
      <c r="A6" s="3">
        <f t="shared" si="0"/>
        <v>5</v>
      </c>
      <c r="B6" s="15" t="s">
        <v>425</v>
      </c>
      <c r="C6" s="16">
        <f t="shared" si="1"/>
        <v>43392</v>
      </c>
      <c r="D6" s="22">
        <v>0</v>
      </c>
      <c r="E6" s="22">
        <v>0</v>
      </c>
      <c r="F6" s="22">
        <v>0</v>
      </c>
      <c r="G6" s="22">
        <v>0</v>
      </c>
      <c r="H6" s="22">
        <v>0</v>
      </c>
    </row>
    <row r="7" spans="1:8" x14ac:dyDescent="0.25">
      <c r="A7" s="3">
        <f t="shared" si="0"/>
        <v>6</v>
      </c>
      <c r="B7" s="15" t="s">
        <v>421</v>
      </c>
      <c r="C7" s="16">
        <f>C2+7</f>
        <v>43395</v>
      </c>
      <c r="D7" s="22">
        <v>0</v>
      </c>
      <c r="E7" s="22">
        <v>0</v>
      </c>
      <c r="F7" s="22">
        <v>0</v>
      </c>
      <c r="G7" s="22">
        <v>0</v>
      </c>
      <c r="H7" s="22">
        <v>0</v>
      </c>
    </row>
    <row r="8" spans="1:8" x14ac:dyDescent="0.25">
      <c r="A8" s="3">
        <f t="shared" si="0"/>
        <v>7</v>
      </c>
      <c r="B8" s="15" t="s">
        <v>422</v>
      </c>
      <c r="C8" s="16">
        <f t="shared" si="1"/>
        <v>43396</v>
      </c>
      <c r="D8" s="22">
        <v>0</v>
      </c>
      <c r="E8" s="22">
        <v>0</v>
      </c>
      <c r="F8" s="22">
        <v>0</v>
      </c>
      <c r="G8" s="22">
        <v>0</v>
      </c>
      <c r="H8" s="22">
        <v>0</v>
      </c>
    </row>
    <row r="9" spans="1:8" x14ac:dyDescent="0.25">
      <c r="A9" s="3">
        <f t="shared" si="0"/>
        <v>8</v>
      </c>
      <c r="B9" s="15" t="s">
        <v>423</v>
      </c>
      <c r="C9" s="16">
        <f t="shared" si="1"/>
        <v>43397</v>
      </c>
      <c r="D9" s="22">
        <v>0</v>
      </c>
      <c r="E9" s="22">
        <v>0</v>
      </c>
      <c r="F9" s="22">
        <v>0</v>
      </c>
      <c r="G9" s="22">
        <v>0</v>
      </c>
      <c r="H9" s="22">
        <v>0</v>
      </c>
    </row>
    <row r="10" spans="1:8" x14ac:dyDescent="0.25">
      <c r="A10" s="3">
        <f t="shared" si="0"/>
        <v>9</v>
      </c>
      <c r="B10" s="15" t="s">
        <v>424</v>
      </c>
      <c r="C10" s="16">
        <f t="shared" si="1"/>
        <v>43398</v>
      </c>
      <c r="D10" s="22">
        <v>0</v>
      </c>
      <c r="E10" s="22">
        <v>0</v>
      </c>
      <c r="F10" s="22">
        <v>0</v>
      </c>
      <c r="G10" s="22">
        <v>0</v>
      </c>
      <c r="H10" s="22">
        <v>0</v>
      </c>
    </row>
    <row r="11" spans="1:8" x14ac:dyDescent="0.25">
      <c r="A11" s="3">
        <f t="shared" si="0"/>
        <v>10</v>
      </c>
      <c r="B11" s="15" t="s">
        <v>425</v>
      </c>
      <c r="C11" s="16">
        <f t="shared" si="1"/>
        <v>43399</v>
      </c>
      <c r="D11" s="22">
        <v>0</v>
      </c>
      <c r="E11" s="22">
        <v>0</v>
      </c>
      <c r="F11" s="22">
        <v>0</v>
      </c>
      <c r="G11" s="22">
        <v>0</v>
      </c>
      <c r="H11" s="22">
        <v>0</v>
      </c>
    </row>
    <row r="12" spans="1:8" x14ac:dyDescent="0.25">
      <c r="A12" s="3">
        <f t="shared" si="0"/>
        <v>11</v>
      </c>
      <c r="B12" s="15" t="s">
        <v>421</v>
      </c>
      <c r="C12" s="16">
        <f>C7+7</f>
        <v>43402</v>
      </c>
      <c r="D12" s="22">
        <v>0</v>
      </c>
      <c r="E12" s="22">
        <v>0</v>
      </c>
      <c r="F12" s="22">
        <v>0</v>
      </c>
      <c r="G12" s="22">
        <v>0</v>
      </c>
      <c r="H12" s="22">
        <v>0</v>
      </c>
    </row>
    <row r="13" spans="1:8" x14ac:dyDescent="0.25">
      <c r="A13" s="3">
        <f t="shared" si="0"/>
        <v>12</v>
      </c>
      <c r="B13" s="15" t="s">
        <v>422</v>
      </c>
      <c r="C13" s="16">
        <f t="shared" si="1"/>
        <v>43403</v>
      </c>
      <c r="D13" s="22">
        <v>0</v>
      </c>
      <c r="E13" s="22">
        <v>0</v>
      </c>
      <c r="F13" s="22">
        <v>0</v>
      </c>
      <c r="G13" s="22">
        <v>0</v>
      </c>
      <c r="H13" s="22">
        <v>0</v>
      </c>
    </row>
    <row r="14" spans="1:8" x14ac:dyDescent="0.25">
      <c r="A14" s="3">
        <f t="shared" si="0"/>
        <v>13</v>
      </c>
      <c r="B14" s="15" t="s">
        <v>423</v>
      </c>
      <c r="C14" s="16">
        <f t="shared" si="1"/>
        <v>43404</v>
      </c>
      <c r="D14" s="22">
        <v>0</v>
      </c>
      <c r="E14" s="22">
        <v>0</v>
      </c>
      <c r="F14" s="22">
        <v>0</v>
      </c>
      <c r="G14" s="22">
        <v>0</v>
      </c>
      <c r="H14" s="22">
        <v>0</v>
      </c>
    </row>
    <row r="15" spans="1:8" x14ac:dyDescent="0.25">
      <c r="A15" s="3">
        <f t="shared" si="0"/>
        <v>14</v>
      </c>
      <c r="B15" s="15" t="s">
        <v>424</v>
      </c>
      <c r="C15" s="16">
        <f t="shared" si="1"/>
        <v>43405</v>
      </c>
      <c r="D15" s="22">
        <v>0</v>
      </c>
      <c r="E15" s="22">
        <v>0</v>
      </c>
      <c r="F15" s="22">
        <v>0</v>
      </c>
      <c r="G15" s="22">
        <v>0</v>
      </c>
      <c r="H15" s="22">
        <v>0</v>
      </c>
    </row>
    <row r="16" spans="1:8" x14ac:dyDescent="0.25">
      <c r="A16" s="3">
        <f t="shared" si="0"/>
        <v>15</v>
      </c>
      <c r="B16" s="15" t="s">
        <v>425</v>
      </c>
      <c r="C16" s="16">
        <f t="shared" si="1"/>
        <v>43406</v>
      </c>
      <c r="D16" s="22">
        <v>0</v>
      </c>
      <c r="E16" s="22">
        <v>0</v>
      </c>
      <c r="F16" s="22">
        <v>0</v>
      </c>
      <c r="G16" s="22">
        <v>0</v>
      </c>
      <c r="H16" s="22">
        <v>0</v>
      </c>
    </row>
    <row r="17" spans="1:8" x14ac:dyDescent="0.25">
      <c r="A17" s="3">
        <f t="shared" si="0"/>
        <v>16</v>
      </c>
      <c r="B17" s="15" t="s">
        <v>421</v>
      </c>
      <c r="C17" s="16">
        <f>C12+7</f>
        <v>43409</v>
      </c>
      <c r="D17" s="22">
        <v>0</v>
      </c>
      <c r="E17" s="22">
        <v>0</v>
      </c>
      <c r="F17" s="22">
        <v>0</v>
      </c>
      <c r="G17" s="22">
        <v>0</v>
      </c>
      <c r="H17" s="22">
        <v>0</v>
      </c>
    </row>
    <row r="18" spans="1:8" x14ac:dyDescent="0.25">
      <c r="A18" s="3">
        <f t="shared" si="0"/>
        <v>17</v>
      </c>
      <c r="B18" s="15" t="s">
        <v>422</v>
      </c>
      <c r="C18" s="16">
        <f t="shared" si="1"/>
        <v>43410</v>
      </c>
      <c r="D18" s="22">
        <v>0</v>
      </c>
      <c r="E18" s="22">
        <v>0</v>
      </c>
      <c r="F18" s="22">
        <v>0</v>
      </c>
      <c r="G18" s="22">
        <v>0</v>
      </c>
      <c r="H18" s="22">
        <v>0</v>
      </c>
    </row>
    <row r="19" spans="1:8" x14ac:dyDescent="0.25">
      <c r="A19" s="3">
        <f t="shared" si="0"/>
        <v>18</v>
      </c>
      <c r="B19" s="15" t="s">
        <v>423</v>
      </c>
      <c r="C19" s="16">
        <f t="shared" si="1"/>
        <v>43411</v>
      </c>
      <c r="D19" s="22">
        <v>0</v>
      </c>
      <c r="E19" s="22">
        <v>0</v>
      </c>
      <c r="F19" s="22">
        <v>0</v>
      </c>
      <c r="G19" s="22">
        <v>0</v>
      </c>
      <c r="H19" s="22">
        <v>0</v>
      </c>
    </row>
    <row r="20" spans="1:8" x14ac:dyDescent="0.25">
      <c r="A20" s="3">
        <f t="shared" si="0"/>
        <v>19</v>
      </c>
      <c r="B20" s="15" t="s">
        <v>424</v>
      </c>
      <c r="C20" s="16">
        <f t="shared" si="1"/>
        <v>43412</v>
      </c>
      <c r="D20" s="22">
        <v>0</v>
      </c>
      <c r="E20" s="22">
        <v>0</v>
      </c>
      <c r="F20" s="22">
        <v>0</v>
      </c>
      <c r="G20" s="22">
        <v>0</v>
      </c>
      <c r="H20" s="22">
        <v>0</v>
      </c>
    </row>
    <row r="21" spans="1:8" x14ac:dyDescent="0.25">
      <c r="A21" s="3">
        <f t="shared" si="0"/>
        <v>20</v>
      </c>
      <c r="B21" s="15" t="s">
        <v>425</v>
      </c>
      <c r="C21" s="16">
        <f t="shared" si="1"/>
        <v>43413</v>
      </c>
      <c r="D21" s="22">
        <v>0</v>
      </c>
      <c r="E21" s="22">
        <v>0</v>
      </c>
      <c r="F21" s="22">
        <v>0</v>
      </c>
      <c r="G21" s="22">
        <v>0</v>
      </c>
      <c r="H21" s="22">
        <v>0</v>
      </c>
    </row>
    <row r="22" spans="1:8" x14ac:dyDescent="0.25">
      <c r="A22" s="3">
        <f t="shared" si="0"/>
        <v>21</v>
      </c>
      <c r="B22" s="15" t="s">
        <v>421</v>
      </c>
      <c r="C22" s="16">
        <f>C17+7</f>
        <v>43416</v>
      </c>
      <c r="D22" s="22">
        <v>0</v>
      </c>
      <c r="E22" s="22">
        <v>0</v>
      </c>
      <c r="F22" s="22">
        <v>0</v>
      </c>
      <c r="G22" s="22">
        <v>0</v>
      </c>
      <c r="H22" s="22">
        <v>0</v>
      </c>
    </row>
    <row r="23" spans="1:8" x14ac:dyDescent="0.25">
      <c r="A23" s="3">
        <f t="shared" si="0"/>
        <v>22</v>
      </c>
      <c r="B23" s="15" t="s">
        <v>422</v>
      </c>
      <c r="C23" s="16">
        <f t="shared" si="1"/>
        <v>43417</v>
      </c>
      <c r="D23" s="22">
        <v>0</v>
      </c>
      <c r="E23" s="22">
        <v>0</v>
      </c>
      <c r="F23" s="22">
        <v>0</v>
      </c>
      <c r="G23" s="22">
        <v>0</v>
      </c>
      <c r="H23" s="22">
        <v>0</v>
      </c>
    </row>
    <row r="24" spans="1:8" x14ac:dyDescent="0.25">
      <c r="A24" s="3">
        <f t="shared" si="0"/>
        <v>23</v>
      </c>
      <c r="B24" s="15" t="s">
        <v>423</v>
      </c>
      <c r="C24" s="16">
        <f t="shared" si="1"/>
        <v>43418</v>
      </c>
      <c r="D24" s="22">
        <v>0</v>
      </c>
      <c r="E24" s="22">
        <v>0</v>
      </c>
      <c r="F24" s="22">
        <v>0</v>
      </c>
      <c r="G24" s="22">
        <v>0</v>
      </c>
      <c r="H24" s="22">
        <v>0</v>
      </c>
    </row>
    <row r="25" spans="1:8" x14ac:dyDescent="0.25">
      <c r="A25" s="3">
        <f t="shared" si="0"/>
        <v>24</v>
      </c>
      <c r="B25" s="15" t="s">
        <v>424</v>
      </c>
      <c r="C25" s="16">
        <f t="shared" si="1"/>
        <v>43419</v>
      </c>
      <c r="D25" s="22">
        <v>0</v>
      </c>
      <c r="E25" s="22">
        <v>0</v>
      </c>
      <c r="F25" s="22">
        <v>0</v>
      </c>
      <c r="G25" s="22">
        <v>0</v>
      </c>
      <c r="H25" s="22">
        <v>0</v>
      </c>
    </row>
    <row r="26" spans="1:8" x14ac:dyDescent="0.25">
      <c r="A26" s="3">
        <f t="shared" si="0"/>
        <v>25</v>
      </c>
      <c r="B26" s="15" t="s">
        <v>425</v>
      </c>
      <c r="C26" s="16">
        <f t="shared" si="1"/>
        <v>43420</v>
      </c>
      <c r="D26" s="22">
        <v>0</v>
      </c>
      <c r="E26" s="22">
        <v>0</v>
      </c>
      <c r="F26" s="22">
        <v>0</v>
      </c>
      <c r="G26" s="22">
        <v>0</v>
      </c>
      <c r="H26" s="22">
        <v>0</v>
      </c>
    </row>
    <row r="27" spans="1:8" x14ac:dyDescent="0.25">
      <c r="A27" s="3">
        <f t="shared" si="0"/>
        <v>26</v>
      </c>
      <c r="B27" s="15" t="s">
        <v>421</v>
      </c>
      <c r="C27" s="16">
        <f>C22+7</f>
        <v>43423</v>
      </c>
      <c r="D27" s="22">
        <v>0</v>
      </c>
      <c r="E27" s="22">
        <v>0</v>
      </c>
      <c r="F27" s="22">
        <v>0</v>
      </c>
      <c r="G27" s="22">
        <v>0</v>
      </c>
      <c r="H27" s="22">
        <v>0</v>
      </c>
    </row>
    <row r="28" spans="1:8" x14ac:dyDescent="0.25">
      <c r="A28" s="3">
        <f t="shared" si="0"/>
        <v>27</v>
      </c>
      <c r="B28" s="15" t="s">
        <v>422</v>
      </c>
      <c r="C28" s="16">
        <f t="shared" si="1"/>
        <v>43424</v>
      </c>
      <c r="D28" s="22">
        <v>0</v>
      </c>
      <c r="E28" s="22">
        <v>0</v>
      </c>
      <c r="F28" s="22">
        <v>0</v>
      </c>
      <c r="G28" s="22">
        <v>0</v>
      </c>
      <c r="H28" s="22">
        <v>0</v>
      </c>
    </row>
    <row r="29" spans="1:8" x14ac:dyDescent="0.25">
      <c r="A29" s="3">
        <f t="shared" si="0"/>
        <v>28</v>
      </c>
      <c r="B29" s="15" t="s">
        <v>423</v>
      </c>
      <c r="C29" s="16">
        <f t="shared" si="1"/>
        <v>43425</v>
      </c>
      <c r="D29" s="22">
        <v>0</v>
      </c>
      <c r="E29" s="22">
        <v>0</v>
      </c>
      <c r="F29" s="22">
        <v>0</v>
      </c>
      <c r="G29" s="22">
        <v>0</v>
      </c>
      <c r="H29" s="22">
        <v>0</v>
      </c>
    </row>
    <row r="30" spans="1:8" x14ac:dyDescent="0.25">
      <c r="A30" s="3">
        <f t="shared" si="0"/>
        <v>29</v>
      </c>
      <c r="B30" s="15" t="s">
        <v>424</v>
      </c>
      <c r="C30" s="16">
        <f t="shared" si="1"/>
        <v>43426</v>
      </c>
      <c r="D30" s="22">
        <v>0</v>
      </c>
      <c r="E30" s="22">
        <v>0</v>
      </c>
      <c r="F30" s="22">
        <v>0</v>
      </c>
      <c r="G30" s="22">
        <v>0</v>
      </c>
      <c r="H30" s="22">
        <v>0</v>
      </c>
    </row>
    <row r="31" spans="1:8" x14ac:dyDescent="0.25">
      <c r="A31" s="3">
        <f t="shared" si="0"/>
        <v>30</v>
      </c>
      <c r="B31" s="15" t="s">
        <v>425</v>
      </c>
      <c r="C31" s="16">
        <f t="shared" si="1"/>
        <v>43427</v>
      </c>
      <c r="D31" s="22">
        <v>0</v>
      </c>
      <c r="E31" s="22">
        <v>0</v>
      </c>
      <c r="F31" s="22">
        <v>0</v>
      </c>
      <c r="G31" s="22">
        <v>0</v>
      </c>
      <c r="H31" s="22">
        <v>0</v>
      </c>
    </row>
    <row r="32" spans="1:8" x14ac:dyDescent="0.25">
      <c r="A32" s="3">
        <f t="shared" si="0"/>
        <v>31</v>
      </c>
      <c r="B32" s="15" t="s">
        <v>421</v>
      </c>
      <c r="C32" s="16">
        <f>C27+7</f>
        <v>43430</v>
      </c>
      <c r="D32" s="22">
        <v>0</v>
      </c>
      <c r="E32" s="22">
        <v>0</v>
      </c>
      <c r="F32" s="22">
        <v>0</v>
      </c>
      <c r="G32" s="22">
        <v>0</v>
      </c>
      <c r="H32" s="22">
        <v>0</v>
      </c>
    </row>
    <row r="33" spans="1:8" x14ac:dyDescent="0.25">
      <c r="A33" s="3">
        <f t="shared" si="0"/>
        <v>32</v>
      </c>
      <c r="B33" s="15" t="s">
        <v>422</v>
      </c>
      <c r="C33" s="16">
        <f t="shared" si="1"/>
        <v>43431</v>
      </c>
      <c r="D33" s="22">
        <v>0</v>
      </c>
      <c r="E33" s="22">
        <v>0</v>
      </c>
      <c r="F33" s="22">
        <v>0</v>
      </c>
      <c r="G33" s="22">
        <v>0</v>
      </c>
      <c r="H33" s="22">
        <v>0</v>
      </c>
    </row>
    <row r="34" spans="1:8" x14ac:dyDescent="0.25">
      <c r="A34" s="3">
        <f t="shared" si="0"/>
        <v>33</v>
      </c>
      <c r="B34" s="15" t="s">
        <v>423</v>
      </c>
      <c r="C34" s="16">
        <f t="shared" si="1"/>
        <v>43432</v>
      </c>
      <c r="D34" s="22">
        <v>0</v>
      </c>
      <c r="E34" s="22">
        <v>0</v>
      </c>
      <c r="F34" s="22">
        <v>0</v>
      </c>
      <c r="G34" s="22">
        <v>0</v>
      </c>
      <c r="H34" s="22">
        <v>0</v>
      </c>
    </row>
    <row r="35" spans="1:8" x14ac:dyDescent="0.25">
      <c r="A35" s="3">
        <f t="shared" si="0"/>
        <v>34</v>
      </c>
      <c r="B35" s="15" t="s">
        <v>424</v>
      </c>
      <c r="C35" s="16">
        <f t="shared" si="1"/>
        <v>43433</v>
      </c>
      <c r="D35" s="22">
        <v>0</v>
      </c>
      <c r="E35" s="22">
        <v>0</v>
      </c>
      <c r="F35" s="22">
        <v>0</v>
      </c>
      <c r="G35" s="22">
        <v>0</v>
      </c>
      <c r="H35" s="22">
        <v>0</v>
      </c>
    </row>
    <row r="36" spans="1:8" x14ac:dyDescent="0.25">
      <c r="A36" s="3">
        <f t="shared" si="0"/>
        <v>35</v>
      </c>
      <c r="B36" s="15" t="s">
        <v>425</v>
      </c>
      <c r="C36" s="16">
        <f t="shared" si="1"/>
        <v>43434</v>
      </c>
      <c r="D36" s="22">
        <v>0</v>
      </c>
      <c r="E36" s="22">
        <v>0</v>
      </c>
      <c r="F36" s="22">
        <v>0</v>
      </c>
      <c r="G36" s="22">
        <v>0</v>
      </c>
      <c r="H36" s="22">
        <v>0</v>
      </c>
    </row>
    <row r="37" spans="1:8" x14ac:dyDescent="0.25">
      <c r="A37" s="3">
        <f t="shared" si="0"/>
        <v>36</v>
      </c>
      <c r="B37" s="15" t="s">
        <v>421</v>
      </c>
      <c r="C37" s="16">
        <f>C32+7</f>
        <v>43437</v>
      </c>
      <c r="D37" s="22">
        <v>3</v>
      </c>
      <c r="E37" s="22">
        <v>7</v>
      </c>
      <c r="F37" s="22">
        <v>4</v>
      </c>
      <c r="G37" s="22">
        <v>26</v>
      </c>
      <c r="H37" s="22">
        <v>79</v>
      </c>
    </row>
    <row r="38" spans="1:8" x14ac:dyDescent="0.25">
      <c r="A38" s="3">
        <f t="shared" si="0"/>
        <v>37</v>
      </c>
      <c r="B38" s="15" t="s">
        <v>422</v>
      </c>
      <c r="C38" s="16">
        <f t="shared" si="1"/>
        <v>43438</v>
      </c>
      <c r="D38" s="22">
        <v>47</v>
      </c>
      <c r="E38" s="22">
        <v>20</v>
      </c>
      <c r="F38" s="22">
        <v>8</v>
      </c>
      <c r="G38" s="22">
        <v>27</v>
      </c>
      <c r="H38" s="22">
        <v>82</v>
      </c>
    </row>
    <row r="39" spans="1:8" x14ac:dyDescent="0.25">
      <c r="A39" s="3">
        <f t="shared" si="0"/>
        <v>38</v>
      </c>
      <c r="B39" s="15" t="s">
        <v>423</v>
      </c>
      <c r="C39" s="16">
        <f t="shared" si="1"/>
        <v>43439</v>
      </c>
      <c r="D39" s="22">
        <v>47</v>
      </c>
      <c r="E39" s="22">
        <v>20</v>
      </c>
      <c r="F39" s="22">
        <v>8</v>
      </c>
      <c r="G39" s="22">
        <v>27</v>
      </c>
      <c r="H39" s="22">
        <v>82</v>
      </c>
    </row>
    <row r="40" spans="1:8" x14ac:dyDescent="0.25">
      <c r="A40" s="3">
        <f t="shared" si="0"/>
        <v>39</v>
      </c>
      <c r="B40" s="15" t="s">
        <v>424</v>
      </c>
      <c r="C40" s="16">
        <f t="shared" si="1"/>
        <v>43440</v>
      </c>
      <c r="D40" s="22">
        <v>47</v>
      </c>
      <c r="E40" s="22">
        <v>20</v>
      </c>
      <c r="F40" s="22">
        <v>8</v>
      </c>
      <c r="G40" s="22">
        <v>27</v>
      </c>
      <c r="H40" s="22">
        <v>82</v>
      </c>
    </row>
    <row r="41" spans="1:8" x14ac:dyDescent="0.25">
      <c r="A41" s="3">
        <f t="shared" si="0"/>
        <v>40</v>
      </c>
      <c r="B41" s="15" t="s">
        <v>425</v>
      </c>
      <c r="C41" s="16">
        <f t="shared" si="1"/>
        <v>43441</v>
      </c>
      <c r="D41" s="22">
        <v>42</v>
      </c>
      <c r="E41" s="22">
        <v>20</v>
      </c>
      <c r="F41" s="22">
        <v>9</v>
      </c>
      <c r="G41" s="22">
        <v>30</v>
      </c>
      <c r="H41" s="22">
        <v>82</v>
      </c>
    </row>
    <row r="42" spans="1:8" x14ac:dyDescent="0.25">
      <c r="A42" s="3">
        <f t="shared" si="0"/>
        <v>41</v>
      </c>
      <c r="B42" s="15" t="s">
        <v>421</v>
      </c>
      <c r="C42" s="16">
        <f>C37+7</f>
        <v>43444</v>
      </c>
      <c r="D42" s="22">
        <v>42</v>
      </c>
      <c r="E42" s="22">
        <v>20</v>
      </c>
      <c r="F42" s="22">
        <v>9</v>
      </c>
      <c r="G42" s="22">
        <v>30</v>
      </c>
      <c r="H42" s="22">
        <v>82</v>
      </c>
    </row>
    <row r="43" spans="1:8" x14ac:dyDescent="0.25">
      <c r="A43" s="3">
        <f t="shared" si="0"/>
        <v>42</v>
      </c>
      <c r="B43" s="15" t="s">
        <v>422</v>
      </c>
      <c r="C43" s="16">
        <f t="shared" si="1"/>
        <v>43445</v>
      </c>
      <c r="D43" s="22">
        <v>42</v>
      </c>
      <c r="E43" s="22">
        <v>20</v>
      </c>
      <c r="F43" s="22">
        <v>9</v>
      </c>
      <c r="G43" s="22">
        <v>30</v>
      </c>
      <c r="H43" s="22">
        <v>82</v>
      </c>
    </row>
    <row r="44" spans="1:8" x14ac:dyDescent="0.25">
      <c r="A44" s="3">
        <f t="shared" si="0"/>
        <v>43</v>
      </c>
      <c r="B44" s="15" t="s">
        <v>423</v>
      </c>
      <c r="C44" s="16">
        <f t="shared" si="1"/>
        <v>43446</v>
      </c>
      <c r="D44" s="22">
        <v>42</v>
      </c>
      <c r="E44" s="22">
        <v>20</v>
      </c>
      <c r="F44" s="22">
        <v>9</v>
      </c>
      <c r="G44" s="22">
        <v>30</v>
      </c>
      <c r="H44" s="22">
        <v>82</v>
      </c>
    </row>
    <row r="45" spans="1:8" x14ac:dyDescent="0.25">
      <c r="A45" s="3">
        <f t="shared" si="0"/>
        <v>44</v>
      </c>
      <c r="B45" s="15" t="s">
        <v>424</v>
      </c>
      <c r="C45" s="16">
        <f t="shared" si="1"/>
        <v>43447</v>
      </c>
      <c r="D45" s="22">
        <v>42</v>
      </c>
      <c r="E45" s="22">
        <v>20</v>
      </c>
      <c r="F45" s="22">
        <v>9</v>
      </c>
      <c r="G45" s="22">
        <v>30</v>
      </c>
      <c r="H45" s="22">
        <v>82</v>
      </c>
    </row>
    <row r="46" spans="1:8" x14ac:dyDescent="0.25">
      <c r="A46" s="3">
        <f t="shared" si="0"/>
        <v>45</v>
      </c>
      <c r="B46" s="15" t="s">
        <v>425</v>
      </c>
      <c r="C46" s="16">
        <f t="shared" si="1"/>
        <v>43448</v>
      </c>
      <c r="D46" s="22">
        <v>42</v>
      </c>
      <c r="E46" s="22">
        <v>20</v>
      </c>
      <c r="F46" s="22">
        <v>9</v>
      </c>
      <c r="G46" s="22">
        <v>30</v>
      </c>
      <c r="H46" s="22">
        <v>82</v>
      </c>
    </row>
    <row r="47" spans="1:8" x14ac:dyDescent="0.25">
      <c r="A47" s="3">
        <f t="shared" si="0"/>
        <v>46</v>
      </c>
      <c r="B47" s="15" t="s">
        <v>421</v>
      </c>
      <c r="C47" s="16">
        <f>C42+7</f>
        <v>43451</v>
      </c>
      <c r="D47" s="22">
        <v>42</v>
      </c>
      <c r="E47" s="22">
        <v>20</v>
      </c>
      <c r="F47" s="22">
        <v>9</v>
      </c>
      <c r="G47" s="22">
        <v>30</v>
      </c>
      <c r="H47" s="22">
        <v>82</v>
      </c>
    </row>
    <row r="48" spans="1:8" x14ac:dyDescent="0.25">
      <c r="A48" s="3">
        <f t="shared" si="0"/>
        <v>47</v>
      </c>
      <c r="B48" s="15" t="s">
        <v>422</v>
      </c>
      <c r="C48" s="16">
        <f t="shared" si="1"/>
        <v>43452</v>
      </c>
      <c r="D48" s="22">
        <v>42</v>
      </c>
      <c r="E48" s="22">
        <v>20</v>
      </c>
      <c r="F48" s="22">
        <v>9</v>
      </c>
      <c r="G48" s="22">
        <v>30</v>
      </c>
      <c r="H48" s="22">
        <v>82</v>
      </c>
    </row>
    <row r="49" spans="1:8" x14ac:dyDescent="0.25">
      <c r="A49" s="3">
        <f t="shared" si="0"/>
        <v>48</v>
      </c>
      <c r="B49" s="15" t="s">
        <v>423</v>
      </c>
      <c r="C49" s="16">
        <f t="shared" si="1"/>
        <v>43453</v>
      </c>
      <c r="D49" s="22">
        <v>42</v>
      </c>
      <c r="E49" s="22">
        <v>20</v>
      </c>
      <c r="F49" s="22">
        <v>9</v>
      </c>
      <c r="G49" s="22">
        <v>30</v>
      </c>
      <c r="H49" s="22">
        <v>82</v>
      </c>
    </row>
    <row r="50" spans="1:8" x14ac:dyDescent="0.25">
      <c r="A50" s="3">
        <f t="shared" si="0"/>
        <v>49</v>
      </c>
      <c r="B50" s="15" t="s">
        <v>424</v>
      </c>
      <c r="C50" s="16">
        <f t="shared" si="1"/>
        <v>43454</v>
      </c>
      <c r="D50" s="22">
        <v>42</v>
      </c>
      <c r="E50" s="22">
        <v>20</v>
      </c>
      <c r="F50" s="22">
        <v>9</v>
      </c>
      <c r="G50" s="22">
        <v>30</v>
      </c>
      <c r="H50" s="22">
        <v>82</v>
      </c>
    </row>
    <row r="51" spans="1:8" x14ac:dyDescent="0.25">
      <c r="A51" s="3">
        <f t="shared" si="0"/>
        <v>50</v>
      </c>
      <c r="B51" s="15" t="s">
        <v>425</v>
      </c>
      <c r="C51" s="16">
        <f t="shared" si="1"/>
        <v>43455</v>
      </c>
      <c r="D51" s="22">
        <v>42</v>
      </c>
      <c r="E51" s="22">
        <v>20</v>
      </c>
      <c r="F51" s="22">
        <v>9</v>
      </c>
      <c r="G51" s="22">
        <v>30</v>
      </c>
      <c r="H51" s="22">
        <v>82</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9"/>
  </sheetPr>
  <dimension ref="A1:K51"/>
  <sheetViews>
    <sheetView topLeftCell="A19" workbookViewId="0">
      <selection activeCell="L10" sqref="L10"/>
    </sheetView>
  </sheetViews>
  <sheetFormatPr defaultColWidth="8.875" defaultRowHeight="15" x14ac:dyDescent="0.25"/>
  <cols>
    <col min="1" max="1" width="8.875" style="3"/>
    <col min="2" max="2" width="6.25" style="3" customWidth="1"/>
    <col min="3" max="3" width="12.125" style="3" customWidth="1"/>
    <col min="4" max="11" width="3" style="3" customWidth="1"/>
    <col min="12" max="16384" width="8.875" style="3"/>
  </cols>
  <sheetData>
    <row r="1" spans="1:11" ht="134.25" thickBot="1" x14ac:dyDescent="0.35">
      <c r="A1" s="4" t="s">
        <v>414</v>
      </c>
      <c r="B1" s="4"/>
      <c r="C1" s="4" t="s">
        <v>3</v>
      </c>
      <c r="D1" s="14" t="s">
        <v>415</v>
      </c>
      <c r="E1" s="14" t="s">
        <v>416</v>
      </c>
      <c r="F1" s="14" t="s">
        <v>417</v>
      </c>
      <c r="G1" s="14" t="s">
        <v>19</v>
      </c>
      <c r="H1" s="14" t="s">
        <v>418</v>
      </c>
      <c r="I1" s="14" t="s">
        <v>419</v>
      </c>
      <c r="J1" s="14" t="s">
        <v>420</v>
      </c>
      <c r="K1" s="14" t="s">
        <v>15</v>
      </c>
    </row>
    <row r="2" spans="1:11" ht="15.75" thickTop="1" x14ac:dyDescent="0.25">
      <c r="A2" s="3">
        <v>1</v>
      </c>
      <c r="B2" s="15" t="s">
        <v>421</v>
      </c>
      <c r="C2" s="16">
        <v>43388</v>
      </c>
      <c r="D2" s="22">
        <v>0</v>
      </c>
      <c r="E2" s="22">
        <v>0</v>
      </c>
      <c r="F2" s="22">
        <v>0</v>
      </c>
      <c r="G2" s="22">
        <v>0</v>
      </c>
      <c r="H2" s="22">
        <v>0</v>
      </c>
      <c r="I2" s="22">
        <v>0</v>
      </c>
      <c r="J2" s="22">
        <v>0</v>
      </c>
      <c r="K2" s="22">
        <v>0</v>
      </c>
    </row>
    <row r="3" spans="1:11" x14ac:dyDescent="0.25">
      <c r="A3" s="3">
        <f>A2+1</f>
        <v>2</v>
      </c>
      <c r="B3" s="15" t="s">
        <v>422</v>
      </c>
      <c r="C3" s="16">
        <f>C2+1</f>
        <v>43389</v>
      </c>
      <c r="D3" s="22">
        <v>0</v>
      </c>
      <c r="E3" s="22">
        <v>0</v>
      </c>
      <c r="F3" s="22">
        <v>0</v>
      </c>
      <c r="G3" s="22">
        <v>0</v>
      </c>
      <c r="H3" s="22">
        <v>0</v>
      </c>
      <c r="I3" s="22">
        <v>0</v>
      </c>
      <c r="J3" s="22">
        <v>0</v>
      </c>
      <c r="K3" s="22">
        <v>0</v>
      </c>
    </row>
    <row r="4" spans="1:11" x14ac:dyDescent="0.25">
      <c r="A4" s="3">
        <f t="shared" ref="A4:A51" si="0">A3+1</f>
        <v>3</v>
      </c>
      <c r="B4" s="15" t="s">
        <v>423</v>
      </c>
      <c r="C4" s="16">
        <f t="shared" ref="C4:C51" si="1">C3+1</f>
        <v>43390</v>
      </c>
      <c r="D4" s="22">
        <v>0</v>
      </c>
      <c r="E4" s="22">
        <v>0</v>
      </c>
      <c r="F4" s="22">
        <v>0</v>
      </c>
      <c r="G4" s="22">
        <v>0</v>
      </c>
      <c r="H4" s="22">
        <v>0</v>
      </c>
      <c r="I4" s="22">
        <v>0</v>
      </c>
      <c r="J4" s="22">
        <v>0</v>
      </c>
      <c r="K4" s="22">
        <v>0</v>
      </c>
    </row>
    <row r="5" spans="1:11" x14ac:dyDescent="0.25">
      <c r="A5" s="3">
        <f t="shared" si="0"/>
        <v>4</v>
      </c>
      <c r="B5" s="15" t="s">
        <v>424</v>
      </c>
      <c r="C5" s="16">
        <f t="shared" si="1"/>
        <v>43391</v>
      </c>
      <c r="D5" s="22">
        <v>0</v>
      </c>
      <c r="E5" s="22">
        <v>0</v>
      </c>
      <c r="F5" s="22">
        <v>0</v>
      </c>
      <c r="G5" s="22">
        <v>0</v>
      </c>
      <c r="H5" s="22">
        <v>0</v>
      </c>
      <c r="I5" s="22">
        <v>0</v>
      </c>
      <c r="J5" s="22">
        <v>0</v>
      </c>
      <c r="K5" s="22">
        <v>0</v>
      </c>
    </row>
    <row r="6" spans="1:11" x14ac:dyDescent="0.25">
      <c r="A6" s="3">
        <f t="shared" si="0"/>
        <v>5</v>
      </c>
      <c r="B6" s="15" t="s">
        <v>425</v>
      </c>
      <c r="C6" s="16">
        <f t="shared" si="1"/>
        <v>43392</v>
      </c>
      <c r="D6" s="22">
        <v>0</v>
      </c>
      <c r="E6" s="22">
        <v>0</v>
      </c>
      <c r="F6" s="22">
        <v>0</v>
      </c>
      <c r="G6" s="22">
        <v>0</v>
      </c>
      <c r="H6" s="22">
        <v>0</v>
      </c>
      <c r="I6" s="22">
        <v>0</v>
      </c>
      <c r="J6" s="22">
        <v>0</v>
      </c>
      <c r="K6" s="22">
        <v>0</v>
      </c>
    </row>
    <row r="7" spans="1:11" x14ac:dyDescent="0.25">
      <c r="A7" s="3">
        <f t="shared" si="0"/>
        <v>6</v>
      </c>
      <c r="B7" s="15" t="s">
        <v>421</v>
      </c>
      <c r="C7" s="16">
        <f>C2+7</f>
        <v>43395</v>
      </c>
      <c r="D7" s="22">
        <v>0</v>
      </c>
      <c r="E7" s="22">
        <v>0</v>
      </c>
      <c r="F7" s="22">
        <v>0</v>
      </c>
      <c r="G7" s="22">
        <v>0</v>
      </c>
      <c r="H7" s="22">
        <v>0</v>
      </c>
      <c r="I7" s="22">
        <v>0</v>
      </c>
      <c r="J7" s="22">
        <v>0</v>
      </c>
      <c r="K7" s="22">
        <v>0</v>
      </c>
    </row>
    <row r="8" spans="1:11" x14ac:dyDescent="0.25">
      <c r="A8" s="3">
        <f t="shared" si="0"/>
        <v>7</v>
      </c>
      <c r="B8" s="15" t="s">
        <v>422</v>
      </c>
      <c r="C8" s="16">
        <f t="shared" si="1"/>
        <v>43396</v>
      </c>
      <c r="D8" s="22">
        <v>0</v>
      </c>
      <c r="E8" s="22">
        <v>0</v>
      </c>
      <c r="F8" s="22">
        <v>0</v>
      </c>
      <c r="G8" s="22">
        <v>0</v>
      </c>
      <c r="H8" s="22">
        <v>0</v>
      </c>
      <c r="I8" s="22">
        <v>0</v>
      </c>
      <c r="J8" s="22">
        <v>0</v>
      </c>
      <c r="K8" s="22">
        <v>0</v>
      </c>
    </row>
    <row r="9" spans="1:11" x14ac:dyDescent="0.25">
      <c r="A9" s="3">
        <f t="shared" si="0"/>
        <v>8</v>
      </c>
      <c r="B9" s="15" t="s">
        <v>423</v>
      </c>
      <c r="C9" s="16">
        <f t="shared" si="1"/>
        <v>43397</v>
      </c>
      <c r="D9" s="22">
        <v>0</v>
      </c>
      <c r="E9" s="22">
        <v>0</v>
      </c>
      <c r="F9" s="22">
        <v>0</v>
      </c>
      <c r="G9" s="22">
        <v>0</v>
      </c>
      <c r="H9" s="22">
        <v>0</v>
      </c>
      <c r="I9" s="22">
        <v>0</v>
      </c>
      <c r="J9" s="22">
        <v>0</v>
      </c>
      <c r="K9" s="22">
        <v>0</v>
      </c>
    </row>
    <row r="10" spans="1:11" x14ac:dyDescent="0.25">
      <c r="A10" s="3">
        <f t="shared" si="0"/>
        <v>9</v>
      </c>
      <c r="B10" s="15" t="s">
        <v>424</v>
      </c>
      <c r="C10" s="16">
        <f t="shared" si="1"/>
        <v>43398</v>
      </c>
      <c r="D10" s="22">
        <v>0</v>
      </c>
      <c r="E10" s="22">
        <v>0</v>
      </c>
      <c r="F10" s="22">
        <v>0</v>
      </c>
      <c r="G10" s="22">
        <v>0</v>
      </c>
      <c r="H10" s="22">
        <v>0</v>
      </c>
      <c r="I10" s="22">
        <v>0</v>
      </c>
      <c r="J10" s="22">
        <v>0</v>
      </c>
      <c r="K10" s="22">
        <v>0</v>
      </c>
    </row>
    <row r="11" spans="1:11" x14ac:dyDescent="0.25">
      <c r="A11" s="3">
        <f t="shared" si="0"/>
        <v>10</v>
      </c>
      <c r="B11" s="15" t="s">
        <v>425</v>
      </c>
      <c r="C11" s="16">
        <f t="shared" si="1"/>
        <v>43399</v>
      </c>
      <c r="D11" s="22">
        <v>0</v>
      </c>
      <c r="E11" s="22">
        <v>0</v>
      </c>
      <c r="F11" s="22">
        <v>0</v>
      </c>
      <c r="G11" s="22">
        <v>0</v>
      </c>
      <c r="H11" s="22">
        <v>0</v>
      </c>
      <c r="I11" s="22">
        <v>0</v>
      </c>
      <c r="J11" s="22">
        <v>0</v>
      </c>
      <c r="K11" s="22">
        <v>0</v>
      </c>
    </row>
    <row r="12" spans="1:11" x14ac:dyDescent="0.25">
      <c r="A12" s="3">
        <f t="shared" si="0"/>
        <v>11</v>
      </c>
      <c r="B12" s="15" t="s">
        <v>421</v>
      </c>
      <c r="C12" s="16">
        <f>C7+7</f>
        <v>43402</v>
      </c>
      <c r="D12" s="22">
        <v>0</v>
      </c>
      <c r="E12" s="22">
        <v>0</v>
      </c>
      <c r="F12" s="22">
        <v>0</v>
      </c>
      <c r="G12" s="22">
        <v>0</v>
      </c>
      <c r="H12" s="22">
        <v>0</v>
      </c>
      <c r="I12" s="22">
        <v>0</v>
      </c>
      <c r="J12" s="22">
        <v>0</v>
      </c>
      <c r="K12" s="22">
        <v>0</v>
      </c>
    </row>
    <row r="13" spans="1:11" x14ac:dyDescent="0.25">
      <c r="A13" s="3">
        <f t="shared" si="0"/>
        <v>12</v>
      </c>
      <c r="B13" s="15" t="s">
        <v>422</v>
      </c>
      <c r="C13" s="16">
        <f t="shared" si="1"/>
        <v>43403</v>
      </c>
      <c r="D13" s="22">
        <v>0</v>
      </c>
      <c r="E13" s="22">
        <v>0</v>
      </c>
      <c r="F13" s="22">
        <v>0</v>
      </c>
      <c r="G13" s="22">
        <v>0</v>
      </c>
      <c r="H13" s="22">
        <v>0</v>
      </c>
      <c r="I13" s="22">
        <v>0</v>
      </c>
      <c r="J13" s="22">
        <v>0</v>
      </c>
      <c r="K13" s="22">
        <v>0</v>
      </c>
    </row>
    <row r="14" spans="1:11" x14ac:dyDescent="0.25">
      <c r="A14" s="3">
        <f t="shared" si="0"/>
        <v>13</v>
      </c>
      <c r="B14" s="15" t="s">
        <v>423</v>
      </c>
      <c r="C14" s="16">
        <f t="shared" si="1"/>
        <v>43404</v>
      </c>
      <c r="D14" s="22">
        <v>0</v>
      </c>
      <c r="E14" s="22">
        <v>0</v>
      </c>
      <c r="F14" s="22">
        <v>0</v>
      </c>
      <c r="G14" s="22">
        <v>0</v>
      </c>
      <c r="H14" s="22">
        <v>0</v>
      </c>
      <c r="I14" s="22">
        <v>0</v>
      </c>
      <c r="J14" s="22">
        <v>0</v>
      </c>
      <c r="K14" s="22">
        <v>0</v>
      </c>
    </row>
    <row r="15" spans="1:11" x14ac:dyDescent="0.25">
      <c r="A15" s="3">
        <f t="shared" si="0"/>
        <v>14</v>
      </c>
      <c r="B15" s="15" t="s">
        <v>424</v>
      </c>
      <c r="C15" s="16">
        <f t="shared" si="1"/>
        <v>43405</v>
      </c>
      <c r="D15" s="22">
        <v>0</v>
      </c>
      <c r="E15" s="22">
        <v>0</v>
      </c>
      <c r="F15" s="22">
        <v>0</v>
      </c>
      <c r="G15" s="22">
        <v>0</v>
      </c>
      <c r="H15" s="22">
        <v>0</v>
      </c>
      <c r="I15" s="22">
        <v>0</v>
      </c>
      <c r="J15" s="22">
        <v>0</v>
      </c>
      <c r="K15" s="22">
        <v>0</v>
      </c>
    </row>
    <row r="16" spans="1:11" x14ac:dyDescent="0.25">
      <c r="A16" s="3">
        <f t="shared" si="0"/>
        <v>15</v>
      </c>
      <c r="B16" s="15" t="s">
        <v>425</v>
      </c>
      <c r="C16" s="16">
        <f t="shared" si="1"/>
        <v>43406</v>
      </c>
      <c r="D16" s="22">
        <v>0</v>
      </c>
      <c r="E16" s="22">
        <v>0</v>
      </c>
      <c r="F16" s="22">
        <v>0</v>
      </c>
      <c r="G16" s="22">
        <v>0</v>
      </c>
      <c r="H16" s="22">
        <v>0</v>
      </c>
      <c r="I16" s="22">
        <v>0</v>
      </c>
      <c r="J16" s="22">
        <v>0</v>
      </c>
      <c r="K16" s="22">
        <v>0</v>
      </c>
    </row>
    <row r="17" spans="1:11" x14ac:dyDescent="0.25">
      <c r="A17" s="3">
        <f t="shared" si="0"/>
        <v>16</v>
      </c>
      <c r="B17" s="15" t="s">
        <v>421</v>
      </c>
      <c r="C17" s="16">
        <f>C12+7</f>
        <v>43409</v>
      </c>
      <c r="D17" s="22">
        <v>0</v>
      </c>
      <c r="E17" s="22">
        <v>0</v>
      </c>
      <c r="F17" s="22">
        <v>0</v>
      </c>
      <c r="G17" s="22">
        <v>0</v>
      </c>
      <c r="H17" s="22">
        <v>0</v>
      </c>
      <c r="I17" s="22">
        <v>0</v>
      </c>
      <c r="J17" s="22">
        <v>0</v>
      </c>
      <c r="K17" s="22">
        <v>0</v>
      </c>
    </row>
    <row r="18" spans="1:11" x14ac:dyDescent="0.25">
      <c r="A18" s="3">
        <f t="shared" si="0"/>
        <v>17</v>
      </c>
      <c r="B18" s="15" t="s">
        <v>422</v>
      </c>
      <c r="C18" s="16">
        <f t="shared" si="1"/>
        <v>43410</v>
      </c>
      <c r="D18" s="22">
        <v>0</v>
      </c>
      <c r="E18" s="22">
        <v>0</v>
      </c>
      <c r="F18" s="22">
        <v>0</v>
      </c>
      <c r="G18" s="22">
        <v>0</v>
      </c>
      <c r="H18" s="22">
        <v>0</v>
      </c>
      <c r="I18" s="22">
        <v>0</v>
      </c>
      <c r="J18" s="22">
        <v>0</v>
      </c>
      <c r="K18" s="22">
        <v>0</v>
      </c>
    </row>
    <row r="19" spans="1:11" x14ac:dyDescent="0.25">
      <c r="A19" s="3">
        <f t="shared" si="0"/>
        <v>18</v>
      </c>
      <c r="B19" s="15" t="s">
        <v>423</v>
      </c>
      <c r="C19" s="16">
        <f t="shared" si="1"/>
        <v>43411</v>
      </c>
      <c r="D19" s="22">
        <v>0</v>
      </c>
      <c r="E19" s="22">
        <v>0</v>
      </c>
      <c r="F19" s="22">
        <v>0</v>
      </c>
      <c r="G19" s="22">
        <v>0</v>
      </c>
      <c r="H19" s="22">
        <v>0</v>
      </c>
      <c r="I19" s="22">
        <v>0</v>
      </c>
      <c r="J19" s="22">
        <v>0</v>
      </c>
      <c r="K19" s="22">
        <v>0</v>
      </c>
    </row>
    <row r="20" spans="1:11" x14ac:dyDescent="0.25">
      <c r="A20" s="3">
        <f t="shared" si="0"/>
        <v>19</v>
      </c>
      <c r="B20" s="15" t="s">
        <v>424</v>
      </c>
      <c r="C20" s="16">
        <f t="shared" si="1"/>
        <v>43412</v>
      </c>
      <c r="D20" s="22">
        <v>0</v>
      </c>
      <c r="E20" s="22">
        <v>0</v>
      </c>
      <c r="F20" s="22">
        <v>0</v>
      </c>
      <c r="G20" s="22">
        <v>0</v>
      </c>
      <c r="H20" s="22">
        <v>0</v>
      </c>
      <c r="I20" s="22">
        <v>0</v>
      </c>
      <c r="J20" s="22">
        <v>0</v>
      </c>
      <c r="K20" s="22">
        <v>0</v>
      </c>
    </row>
    <row r="21" spans="1:11" x14ac:dyDescent="0.25">
      <c r="A21" s="3">
        <f t="shared" si="0"/>
        <v>20</v>
      </c>
      <c r="B21" s="15" t="s">
        <v>425</v>
      </c>
      <c r="C21" s="16">
        <f t="shared" si="1"/>
        <v>43413</v>
      </c>
      <c r="D21" s="22">
        <v>0</v>
      </c>
      <c r="E21" s="22">
        <v>0</v>
      </c>
      <c r="F21" s="22">
        <v>0</v>
      </c>
      <c r="G21" s="22">
        <v>0</v>
      </c>
      <c r="H21" s="22">
        <v>0</v>
      </c>
      <c r="I21" s="22">
        <v>0</v>
      </c>
      <c r="J21" s="22">
        <v>0</v>
      </c>
      <c r="K21" s="22">
        <v>0</v>
      </c>
    </row>
    <row r="22" spans="1:11" x14ac:dyDescent="0.25">
      <c r="A22" s="3">
        <f t="shared" si="0"/>
        <v>21</v>
      </c>
      <c r="B22" s="15" t="s">
        <v>421</v>
      </c>
      <c r="C22" s="16">
        <f>C17+7</f>
        <v>43416</v>
      </c>
      <c r="D22" s="22">
        <v>0</v>
      </c>
      <c r="E22" s="22">
        <v>0</v>
      </c>
      <c r="F22" s="22">
        <v>0</v>
      </c>
      <c r="G22" s="22">
        <v>0</v>
      </c>
      <c r="H22" s="22">
        <v>0</v>
      </c>
      <c r="I22" s="22">
        <v>0</v>
      </c>
      <c r="J22" s="22">
        <v>0</v>
      </c>
      <c r="K22" s="22">
        <v>0</v>
      </c>
    </row>
    <row r="23" spans="1:11" x14ac:dyDescent="0.25">
      <c r="A23" s="3">
        <f t="shared" si="0"/>
        <v>22</v>
      </c>
      <c r="B23" s="15" t="s">
        <v>422</v>
      </c>
      <c r="C23" s="16">
        <f t="shared" si="1"/>
        <v>43417</v>
      </c>
      <c r="D23" s="22">
        <v>0</v>
      </c>
      <c r="E23" s="22">
        <v>0</v>
      </c>
      <c r="F23" s="22">
        <v>0</v>
      </c>
      <c r="G23" s="22">
        <v>0</v>
      </c>
      <c r="H23" s="22">
        <v>0</v>
      </c>
      <c r="I23" s="22">
        <v>0</v>
      </c>
      <c r="J23" s="22">
        <v>0</v>
      </c>
      <c r="K23" s="22">
        <v>0</v>
      </c>
    </row>
    <row r="24" spans="1:11" x14ac:dyDescent="0.25">
      <c r="A24" s="3">
        <f t="shared" si="0"/>
        <v>23</v>
      </c>
      <c r="B24" s="15" t="s">
        <v>423</v>
      </c>
      <c r="C24" s="16">
        <f t="shared" si="1"/>
        <v>43418</v>
      </c>
      <c r="D24" s="22">
        <v>0</v>
      </c>
      <c r="E24" s="22">
        <v>0</v>
      </c>
      <c r="F24" s="22">
        <v>0</v>
      </c>
      <c r="G24" s="22">
        <v>0</v>
      </c>
      <c r="H24" s="22">
        <v>0</v>
      </c>
      <c r="I24" s="22">
        <v>0</v>
      </c>
      <c r="J24" s="22">
        <v>0</v>
      </c>
      <c r="K24" s="22">
        <v>0</v>
      </c>
    </row>
    <row r="25" spans="1:11" x14ac:dyDescent="0.25">
      <c r="A25" s="3">
        <f t="shared" si="0"/>
        <v>24</v>
      </c>
      <c r="B25" s="15" t="s">
        <v>424</v>
      </c>
      <c r="C25" s="16">
        <f t="shared" si="1"/>
        <v>43419</v>
      </c>
      <c r="D25" s="22">
        <v>0</v>
      </c>
      <c r="E25" s="22">
        <v>0</v>
      </c>
      <c r="F25" s="22">
        <v>0</v>
      </c>
      <c r="G25" s="22">
        <v>0</v>
      </c>
      <c r="H25" s="22">
        <v>0</v>
      </c>
      <c r="I25" s="22">
        <v>0</v>
      </c>
      <c r="J25" s="22">
        <v>0</v>
      </c>
      <c r="K25" s="22">
        <v>0</v>
      </c>
    </row>
    <row r="26" spans="1:11" x14ac:dyDescent="0.25">
      <c r="A26" s="3">
        <f t="shared" si="0"/>
        <v>25</v>
      </c>
      <c r="B26" s="15" t="s">
        <v>425</v>
      </c>
      <c r="C26" s="16">
        <f t="shared" si="1"/>
        <v>43420</v>
      </c>
      <c r="D26" s="22">
        <v>0</v>
      </c>
      <c r="E26" s="22">
        <v>0</v>
      </c>
      <c r="F26" s="22">
        <v>0</v>
      </c>
      <c r="G26" s="22">
        <v>0</v>
      </c>
      <c r="H26" s="22">
        <v>0</v>
      </c>
      <c r="I26" s="22">
        <v>0</v>
      </c>
      <c r="J26" s="22">
        <v>0</v>
      </c>
      <c r="K26" s="22">
        <v>0</v>
      </c>
    </row>
    <row r="27" spans="1:11" x14ac:dyDescent="0.25">
      <c r="A27" s="3">
        <f t="shared" si="0"/>
        <v>26</v>
      </c>
      <c r="B27" s="15" t="s">
        <v>421</v>
      </c>
      <c r="C27" s="16">
        <f>C22+7</f>
        <v>43423</v>
      </c>
      <c r="D27" s="22">
        <v>0</v>
      </c>
      <c r="E27" s="22">
        <v>0</v>
      </c>
      <c r="F27" s="22">
        <v>0</v>
      </c>
      <c r="G27" s="22">
        <v>0</v>
      </c>
      <c r="H27" s="22">
        <v>0</v>
      </c>
      <c r="I27" s="22">
        <v>0</v>
      </c>
      <c r="J27" s="22">
        <v>0</v>
      </c>
      <c r="K27" s="22">
        <v>0</v>
      </c>
    </row>
    <row r="28" spans="1:11" x14ac:dyDescent="0.25">
      <c r="A28" s="3">
        <f t="shared" si="0"/>
        <v>27</v>
      </c>
      <c r="B28" s="15" t="s">
        <v>422</v>
      </c>
      <c r="C28" s="16">
        <f t="shared" si="1"/>
        <v>43424</v>
      </c>
      <c r="D28" s="22">
        <v>0</v>
      </c>
      <c r="E28" s="22">
        <v>0</v>
      </c>
      <c r="F28" s="22">
        <v>0</v>
      </c>
      <c r="G28" s="22">
        <v>0</v>
      </c>
      <c r="H28" s="22">
        <v>0</v>
      </c>
      <c r="I28" s="22">
        <v>0</v>
      </c>
      <c r="J28" s="22">
        <v>0</v>
      </c>
      <c r="K28" s="22">
        <v>0</v>
      </c>
    </row>
    <row r="29" spans="1:11" x14ac:dyDescent="0.25">
      <c r="A29" s="3">
        <f t="shared" si="0"/>
        <v>28</v>
      </c>
      <c r="B29" s="15" t="s">
        <v>423</v>
      </c>
      <c r="C29" s="16">
        <f t="shared" si="1"/>
        <v>43425</v>
      </c>
      <c r="D29" s="22">
        <v>0</v>
      </c>
      <c r="E29" s="22">
        <v>0</v>
      </c>
      <c r="F29" s="22">
        <v>0</v>
      </c>
      <c r="G29" s="22">
        <v>0</v>
      </c>
      <c r="H29" s="22">
        <v>0</v>
      </c>
      <c r="I29" s="22">
        <v>0</v>
      </c>
      <c r="J29" s="22">
        <v>0</v>
      </c>
      <c r="K29" s="22">
        <v>0</v>
      </c>
    </row>
    <row r="30" spans="1:11" x14ac:dyDescent="0.25">
      <c r="A30" s="3">
        <f t="shared" si="0"/>
        <v>29</v>
      </c>
      <c r="B30" s="15" t="s">
        <v>424</v>
      </c>
      <c r="C30" s="16">
        <f t="shared" si="1"/>
        <v>43426</v>
      </c>
      <c r="D30" s="22">
        <v>0</v>
      </c>
      <c r="E30" s="22">
        <v>0</v>
      </c>
      <c r="F30" s="22">
        <v>0</v>
      </c>
      <c r="G30" s="22">
        <v>0</v>
      </c>
      <c r="H30" s="22">
        <v>0</v>
      </c>
      <c r="I30" s="22">
        <v>0</v>
      </c>
      <c r="J30" s="22">
        <v>0</v>
      </c>
      <c r="K30" s="22">
        <v>0</v>
      </c>
    </row>
    <row r="31" spans="1:11" x14ac:dyDescent="0.25">
      <c r="A31" s="3">
        <f t="shared" si="0"/>
        <v>30</v>
      </c>
      <c r="B31" s="15" t="s">
        <v>425</v>
      </c>
      <c r="C31" s="16">
        <f t="shared" si="1"/>
        <v>43427</v>
      </c>
      <c r="D31" s="22">
        <v>0</v>
      </c>
      <c r="E31" s="22">
        <v>0</v>
      </c>
      <c r="F31" s="22">
        <v>0</v>
      </c>
      <c r="G31" s="22">
        <v>0</v>
      </c>
      <c r="H31" s="22">
        <v>0</v>
      </c>
      <c r="I31" s="22">
        <v>0</v>
      </c>
      <c r="J31" s="22">
        <v>0</v>
      </c>
      <c r="K31" s="22">
        <v>0</v>
      </c>
    </row>
    <row r="32" spans="1:11" x14ac:dyDescent="0.25">
      <c r="A32" s="3">
        <f t="shared" si="0"/>
        <v>31</v>
      </c>
      <c r="B32" s="15" t="s">
        <v>421</v>
      </c>
      <c r="C32" s="16">
        <f>C27+7</f>
        <v>43430</v>
      </c>
      <c r="D32" s="22">
        <v>0</v>
      </c>
      <c r="E32" s="22">
        <v>0</v>
      </c>
      <c r="F32" s="22">
        <v>0</v>
      </c>
      <c r="G32" s="22">
        <v>0</v>
      </c>
      <c r="H32" s="22">
        <v>0</v>
      </c>
      <c r="I32" s="22">
        <v>0</v>
      </c>
      <c r="J32" s="22">
        <v>0</v>
      </c>
      <c r="K32" s="22">
        <v>0</v>
      </c>
    </row>
    <row r="33" spans="1:11" x14ac:dyDescent="0.25">
      <c r="A33" s="3">
        <f t="shared" si="0"/>
        <v>32</v>
      </c>
      <c r="B33" s="15" t="s">
        <v>422</v>
      </c>
      <c r="C33" s="16">
        <f t="shared" si="1"/>
        <v>43431</v>
      </c>
      <c r="D33" s="22">
        <v>0</v>
      </c>
      <c r="E33" s="22">
        <v>0</v>
      </c>
      <c r="F33" s="22">
        <v>0</v>
      </c>
      <c r="G33" s="22">
        <v>0</v>
      </c>
      <c r="H33" s="22">
        <v>0</v>
      </c>
      <c r="I33" s="22">
        <v>0</v>
      </c>
      <c r="J33" s="22">
        <v>0</v>
      </c>
      <c r="K33" s="22">
        <v>0</v>
      </c>
    </row>
    <row r="34" spans="1:11" x14ac:dyDescent="0.25">
      <c r="A34" s="3">
        <f t="shared" si="0"/>
        <v>33</v>
      </c>
      <c r="B34" s="15" t="s">
        <v>423</v>
      </c>
      <c r="C34" s="16">
        <f t="shared" si="1"/>
        <v>43432</v>
      </c>
      <c r="D34" s="22">
        <v>0</v>
      </c>
      <c r="E34" s="22">
        <v>0</v>
      </c>
      <c r="F34" s="22">
        <v>0</v>
      </c>
      <c r="G34" s="22">
        <v>0</v>
      </c>
      <c r="H34" s="22">
        <v>0</v>
      </c>
      <c r="I34" s="22">
        <v>0</v>
      </c>
      <c r="J34" s="22">
        <v>0</v>
      </c>
      <c r="K34" s="22">
        <v>0</v>
      </c>
    </row>
    <row r="35" spans="1:11" x14ac:dyDescent="0.25">
      <c r="A35" s="3">
        <f t="shared" si="0"/>
        <v>34</v>
      </c>
      <c r="B35" s="15" t="s">
        <v>424</v>
      </c>
      <c r="C35" s="16">
        <f t="shared" si="1"/>
        <v>43433</v>
      </c>
      <c r="D35" s="22">
        <v>4</v>
      </c>
      <c r="E35" s="22">
        <v>2</v>
      </c>
      <c r="F35" s="22">
        <v>9</v>
      </c>
      <c r="G35" s="22">
        <v>18</v>
      </c>
      <c r="H35" s="22">
        <v>1</v>
      </c>
      <c r="I35" s="22">
        <v>0</v>
      </c>
      <c r="J35" s="22">
        <v>0</v>
      </c>
      <c r="K35" s="22">
        <v>10</v>
      </c>
    </row>
    <row r="36" spans="1:11" x14ac:dyDescent="0.25">
      <c r="A36" s="3">
        <f t="shared" si="0"/>
        <v>35</v>
      </c>
      <c r="B36" s="15" t="s">
        <v>425</v>
      </c>
      <c r="C36" s="16">
        <f t="shared" si="1"/>
        <v>43434</v>
      </c>
      <c r="D36" s="22">
        <v>4</v>
      </c>
      <c r="E36" s="22">
        <v>2</v>
      </c>
      <c r="F36" s="22">
        <v>9</v>
      </c>
      <c r="G36" s="22">
        <v>18</v>
      </c>
      <c r="H36" s="22">
        <v>1</v>
      </c>
      <c r="I36" s="22">
        <v>0</v>
      </c>
      <c r="J36" s="22">
        <v>0</v>
      </c>
      <c r="K36" s="22">
        <v>10</v>
      </c>
    </row>
    <row r="37" spans="1:11" x14ac:dyDescent="0.25">
      <c r="A37" s="3">
        <f t="shared" si="0"/>
        <v>36</v>
      </c>
      <c r="B37" s="15" t="s">
        <v>421</v>
      </c>
      <c r="C37" s="16">
        <f>C32+7</f>
        <v>43437</v>
      </c>
      <c r="D37" s="22">
        <v>2</v>
      </c>
      <c r="E37" s="22">
        <v>2</v>
      </c>
      <c r="F37" s="22">
        <v>0</v>
      </c>
      <c r="G37" s="22">
        <v>29</v>
      </c>
      <c r="H37" s="22">
        <v>1</v>
      </c>
      <c r="I37" s="22">
        <v>0</v>
      </c>
      <c r="J37" s="22">
        <v>0</v>
      </c>
      <c r="K37" s="22">
        <v>5</v>
      </c>
    </row>
    <row r="38" spans="1:11" x14ac:dyDescent="0.25">
      <c r="A38" s="3">
        <f t="shared" si="0"/>
        <v>37</v>
      </c>
      <c r="B38" s="15" t="s">
        <v>422</v>
      </c>
      <c r="C38" s="16">
        <f t="shared" si="1"/>
        <v>43438</v>
      </c>
      <c r="D38" s="22">
        <v>5</v>
      </c>
      <c r="E38" s="22">
        <v>3</v>
      </c>
      <c r="F38" s="22">
        <v>12</v>
      </c>
      <c r="G38" s="22">
        <v>49</v>
      </c>
      <c r="H38" s="22">
        <v>2</v>
      </c>
      <c r="I38" s="22">
        <v>0</v>
      </c>
      <c r="J38" s="22">
        <v>0</v>
      </c>
      <c r="K38" s="22">
        <v>11</v>
      </c>
    </row>
    <row r="39" spans="1:11" x14ac:dyDescent="0.25">
      <c r="A39" s="3">
        <f t="shared" si="0"/>
        <v>38</v>
      </c>
      <c r="B39" s="15" t="s">
        <v>423</v>
      </c>
      <c r="C39" s="16">
        <f t="shared" si="1"/>
        <v>43439</v>
      </c>
      <c r="D39" s="22">
        <v>5</v>
      </c>
      <c r="E39" s="22">
        <v>3</v>
      </c>
      <c r="F39" s="22">
        <v>12</v>
      </c>
      <c r="G39" s="22">
        <v>49</v>
      </c>
      <c r="H39" s="22">
        <v>2</v>
      </c>
      <c r="I39" s="22">
        <v>0</v>
      </c>
      <c r="J39" s="22">
        <v>0</v>
      </c>
      <c r="K39" s="22">
        <v>11</v>
      </c>
    </row>
    <row r="40" spans="1:11" x14ac:dyDescent="0.25">
      <c r="A40" s="3">
        <f t="shared" si="0"/>
        <v>39</v>
      </c>
      <c r="B40" s="15" t="s">
        <v>424</v>
      </c>
      <c r="C40" s="16">
        <f t="shared" si="1"/>
        <v>43440</v>
      </c>
      <c r="D40" s="22">
        <v>5</v>
      </c>
      <c r="E40" s="22">
        <v>3</v>
      </c>
      <c r="F40" s="22">
        <v>12</v>
      </c>
      <c r="G40" s="22">
        <v>49</v>
      </c>
      <c r="H40" s="22">
        <v>2</v>
      </c>
      <c r="I40" s="22">
        <v>0</v>
      </c>
      <c r="J40" s="22">
        <v>0</v>
      </c>
      <c r="K40" s="22">
        <v>11</v>
      </c>
    </row>
    <row r="41" spans="1:11" x14ac:dyDescent="0.25">
      <c r="A41" s="3">
        <f t="shared" si="0"/>
        <v>40</v>
      </c>
      <c r="B41" s="15" t="s">
        <v>425</v>
      </c>
      <c r="C41" s="16">
        <f t="shared" si="1"/>
        <v>43441</v>
      </c>
      <c r="D41" s="22">
        <v>5</v>
      </c>
      <c r="E41" s="22">
        <v>3</v>
      </c>
      <c r="F41" s="22">
        <v>12</v>
      </c>
      <c r="G41" s="22">
        <v>50</v>
      </c>
      <c r="H41" s="22">
        <v>2</v>
      </c>
      <c r="I41" s="22">
        <v>0</v>
      </c>
      <c r="J41" s="22">
        <v>0</v>
      </c>
      <c r="K41" s="22">
        <v>12</v>
      </c>
    </row>
    <row r="42" spans="1:11" x14ac:dyDescent="0.25">
      <c r="A42" s="3">
        <f t="shared" si="0"/>
        <v>41</v>
      </c>
      <c r="B42" s="15" t="s">
        <v>421</v>
      </c>
      <c r="C42" s="16">
        <f>C37+7</f>
        <v>43444</v>
      </c>
      <c r="D42" s="22">
        <v>5</v>
      </c>
      <c r="E42" s="22">
        <v>3</v>
      </c>
      <c r="F42" s="22">
        <v>12</v>
      </c>
      <c r="G42" s="22">
        <v>50</v>
      </c>
      <c r="H42" s="22">
        <v>2</v>
      </c>
      <c r="I42" s="22">
        <v>0</v>
      </c>
      <c r="J42" s="22">
        <v>0</v>
      </c>
      <c r="K42" s="22">
        <v>12</v>
      </c>
    </row>
    <row r="43" spans="1:11" x14ac:dyDescent="0.25">
      <c r="A43" s="3">
        <f t="shared" si="0"/>
        <v>42</v>
      </c>
      <c r="B43" s="15" t="s">
        <v>422</v>
      </c>
      <c r="C43" s="16">
        <f t="shared" si="1"/>
        <v>43445</v>
      </c>
      <c r="D43" s="22">
        <v>5</v>
      </c>
      <c r="E43" s="22">
        <v>3</v>
      </c>
      <c r="F43" s="22">
        <v>12</v>
      </c>
      <c r="G43" s="22">
        <v>50</v>
      </c>
      <c r="H43" s="22">
        <v>2</v>
      </c>
      <c r="I43" s="22">
        <v>0</v>
      </c>
      <c r="J43" s="22">
        <v>0</v>
      </c>
      <c r="K43" s="22">
        <v>12</v>
      </c>
    </row>
    <row r="44" spans="1:11" x14ac:dyDescent="0.25">
      <c r="A44" s="3">
        <f t="shared" si="0"/>
        <v>43</v>
      </c>
      <c r="B44" s="15" t="s">
        <v>423</v>
      </c>
      <c r="C44" s="16">
        <f t="shared" si="1"/>
        <v>43446</v>
      </c>
      <c r="D44" s="22">
        <v>0</v>
      </c>
      <c r="E44" s="22">
        <v>0</v>
      </c>
      <c r="F44" s="22">
        <v>0</v>
      </c>
      <c r="G44" s="22">
        <v>0</v>
      </c>
      <c r="H44" s="22">
        <v>0</v>
      </c>
      <c r="I44" s="22">
        <v>0</v>
      </c>
      <c r="J44" s="22">
        <v>0</v>
      </c>
      <c r="K44" s="22">
        <v>0</v>
      </c>
    </row>
    <row r="45" spans="1:11" x14ac:dyDescent="0.25">
      <c r="A45" s="3">
        <f t="shared" si="0"/>
        <v>44</v>
      </c>
      <c r="B45" s="15" t="s">
        <v>424</v>
      </c>
      <c r="C45" s="16">
        <f t="shared" si="1"/>
        <v>43447</v>
      </c>
      <c r="D45" s="22">
        <v>0</v>
      </c>
      <c r="E45" s="22">
        <v>0</v>
      </c>
      <c r="F45" s="22">
        <v>0</v>
      </c>
      <c r="G45" s="22">
        <v>0</v>
      </c>
      <c r="H45" s="22">
        <v>0</v>
      </c>
      <c r="I45" s="22">
        <v>0</v>
      </c>
      <c r="J45" s="22">
        <v>0</v>
      </c>
      <c r="K45" s="22">
        <v>0</v>
      </c>
    </row>
    <row r="46" spans="1:11" x14ac:dyDescent="0.25">
      <c r="A46" s="3">
        <f t="shared" si="0"/>
        <v>45</v>
      </c>
      <c r="B46" s="15" t="s">
        <v>425</v>
      </c>
      <c r="C46" s="16">
        <f t="shared" si="1"/>
        <v>43448</v>
      </c>
      <c r="D46" s="22">
        <v>0</v>
      </c>
      <c r="E46" s="22">
        <v>0</v>
      </c>
      <c r="F46" s="22">
        <v>0</v>
      </c>
      <c r="G46" s="22">
        <v>0</v>
      </c>
      <c r="H46" s="22">
        <v>0</v>
      </c>
      <c r="I46" s="22">
        <v>0</v>
      </c>
      <c r="J46" s="22">
        <v>0</v>
      </c>
      <c r="K46" s="22">
        <v>0</v>
      </c>
    </row>
    <row r="47" spans="1:11" x14ac:dyDescent="0.25">
      <c r="A47" s="3">
        <f t="shared" si="0"/>
        <v>46</v>
      </c>
      <c r="B47" s="15" t="s">
        <v>421</v>
      </c>
      <c r="C47" s="16">
        <f>C42+7</f>
        <v>43451</v>
      </c>
      <c r="D47" s="22">
        <v>0</v>
      </c>
      <c r="E47" s="22">
        <v>0</v>
      </c>
      <c r="F47" s="22">
        <v>0</v>
      </c>
      <c r="G47" s="22">
        <v>0</v>
      </c>
      <c r="H47" s="22">
        <v>0</v>
      </c>
      <c r="I47" s="22">
        <v>0</v>
      </c>
      <c r="J47" s="22">
        <v>0</v>
      </c>
      <c r="K47" s="22">
        <v>0</v>
      </c>
    </row>
    <row r="48" spans="1:11" x14ac:dyDescent="0.25">
      <c r="A48" s="3">
        <f t="shared" si="0"/>
        <v>47</v>
      </c>
      <c r="B48" s="15" t="s">
        <v>422</v>
      </c>
      <c r="C48" s="16">
        <f t="shared" si="1"/>
        <v>43452</v>
      </c>
      <c r="D48" s="22">
        <v>0</v>
      </c>
      <c r="E48" s="22">
        <v>0</v>
      </c>
      <c r="F48" s="22">
        <v>0</v>
      </c>
      <c r="G48" s="22">
        <v>0</v>
      </c>
      <c r="H48" s="22">
        <v>0</v>
      </c>
      <c r="I48" s="22">
        <v>0</v>
      </c>
      <c r="J48" s="22">
        <v>0</v>
      </c>
      <c r="K48" s="22">
        <v>0</v>
      </c>
    </row>
    <row r="49" spans="1:11" x14ac:dyDescent="0.25">
      <c r="A49" s="3">
        <f t="shared" si="0"/>
        <v>48</v>
      </c>
      <c r="B49" s="15" t="s">
        <v>423</v>
      </c>
      <c r="C49" s="16">
        <f t="shared" si="1"/>
        <v>43453</v>
      </c>
      <c r="D49" s="22">
        <v>0</v>
      </c>
      <c r="E49" s="22">
        <v>0</v>
      </c>
      <c r="F49" s="22">
        <v>0</v>
      </c>
      <c r="G49" s="22">
        <v>0</v>
      </c>
      <c r="H49" s="22">
        <v>0</v>
      </c>
      <c r="I49" s="22">
        <v>0</v>
      </c>
      <c r="J49" s="22">
        <v>0</v>
      </c>
      <c r="K49" s="22">
        <v>0</v>
      </c>
    </row>
    <row r="50" spans="1:11" x14ac:dyDescent="0.25">
      <c r="A50" s="3">
        <f t="shared" si="0"/>
        <v>49</v>
      </c>
      <c r="B50" s="15" t="s">
        <v>424</v>
      </c>
      <c r="C50" s="16">
        <f t="shared" si="1"/>
        <v>43454</v>
      </c>
      <c r="D50" s="22">
        <v>0</v>
      </c>
      <c r="E50" s="22">
        <v>0</v>
      </c>
      <c r="F50" s="22">
        <v>0</v>
      </c>
      <c r="G50" s="22">
        <v>0</v>
      </c>
      <c r="H50" s="22">
        <v>0</v>
      </c>
      <c r="I50" s="22">
        <v>0</v>
      </c>
      <c r="J50" s="22">
        <v>0</v>
      </c>
      <c r="K50" s="22">
        <v>0</v>
      </c>
    </row>
    <row r="51" spans="1:11" x14ac:dyDescent="0.25">
      <c r="A51" s="3">
        <f t="shared" si="0"/>
        <v>50</v>
      </c>
      <c r="B51" s="15" t="s">
        <v>425</v>
      </c>
      <c r="C51" s="16">
        <f t="shared" si="1"/>
        <v>43455</v>
      </c>
      <c r="D51" s="22">
        <v>0</v>
      </c>
      <c r="E51" s="22">
        <v>0</v>
      </c>
      <c r="F51" s="22">
        <v>0</v>
      </c>
      <c r="G51" s="22">
        <v>0</v>
      </c>
      <c r="H51" s="22">
        <v>0</v>
      </c>
      <c r="I51" s="22">
        <v>0</v>
      </c>
      <c r="J51" s="22">
        <v>0</v>
      </c>
      <c r="K51" s="22">
        <v>0</v>
      </c>
    </row>
  </sheetData>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sheetPr>
  <dimension ref="A1:K51"/>
  <sheetViews>
    <sheetView topLeftCell="A7" workbookViewId="0">
      <selection activeCell="Y41" sqref="Y41"/>
    </sheetView>
  </sheetViews>
  <sheetFormatPr defaultColWidth="8.875" defaultRowHeight="15" x14ac:dyDescent="0.25"/>
  <cols>
    <col min="1" max="1" width="8.875" style="3"/>
    <col min="2" max="2" width="6.25" style="3" customWidth="1"/>
    <col min="3" max="3" width="12.125" style="3" customWidth="1"/>
    <col min="4" max="11" width="3" style="3" customWidth="1"/>
    <col min="12" max="16384" width="8.875" style="3"/>
  </cols>
  <sheetData>
    <row r="1" spans="1:11" ht="134.25" thickBot="1" x14ac:dyDescent="0.35">
      <c r="A1" s="4" t="s">
        <v>414</v>
      </c>
      <c r="B1" s="4"/>
      <c r="C1" s="4" t="s">
        <v>3</v>
      </c>
      <c r="D1" s="14" t="s">
        <v>415</v>
      </c>
      <c r="E1" s="14" t="s">
        <v>416</v>
      </c>
      <c r="F1" s="14" t="s">
        <v>417</v>
      </c>
      <c r="G1" s="14" t="s">
        <v>19</v>
      </c>
      <c r="H1" s="14" t="s">
        <v>418</v>
      </c>
      <c r="I1" s="14" t="s">
        <v>419</v>
      </c>
      <c r="J1" s="14" t="s">
        <v>420</v>
      </c>
      <c r="K1" s="14" t="s">
        <v>15</v>
      </c>
    </row>
    <row r="2" spans="1:11" ht="15.75" thickTop="1" x14ac:dyDescent="0.25">
      <c r="A2" s="3">
        <v>1</v>
      </c>
      <c r="B2" s="15" t="s">
        <v>421</v>
      </c>
      <c r="C2" s="16">
        <v>43388</v>
      </c>
      <c r="D2" s="22">
        <v>0</v>
      </c>
      <c r="E2" s="22">
        <v>0</v>
      </c>
      <c r="F2" s="22">
        <v>0</v>
      </c>
      <c r="G2" s="22">
        <v>0</v>
      </c>
      <c r="H2" s="22">
        <v>0</v>
      </c>
      <c r="I2" s="22">
        <v>0</v>
      </c>
      <c r="J2" s="22">
        <v>0</v>
      </c>
      <c r="K2" s="22">
        <v>0</v>
      </c>
    </row>
    <row r="3" spans="1:11" x14ac:dyDescent="0.25">
      <c r="A3" s="3">
        <f>A2+1</f>
        <v>2</v>
      </c>
      <c r="B3" s="15" t="s">
        <v>422</v>
      </c>
      <c r="C3" s="16">
        <f>C2+1</f>
        <v>43389</v>
      </c>
      <c r="D3" s="22">
        <v>0</v>
      </c>
      <c r="E3" s="22">
        <v>0</v>
      </c>
      <c r="F3" s="22">
        <v>0</v>
      </c>
      <c r="G3" s="22">
        <v>0</v>
      </c>
      <c r="H3" s="22">
        <v>0</v>
      </c>
      <c r="I3" s="22">
        <v>0</v>
      </c>
      <c r="J3" s="22">
        <v>0</v>
      </c>
      <c r="K3" s="22">
        <v>0</v>
      </c>
    </row>
    <row r="4" spans="1:11" x14ac:dyDescent="0.25">
      <c r="A4" s="3">
        <f t="shared" ref="A4:A51" si="0">A3+1</f>
        <v>3</v>
      </c>
      <c r="B4" s="15" t="s">
        <v>423</v>
      </c>
      <c r="C4" s="16">
        <f t="shared" ref="C4:C51" si="1">C3+1</f>
        <v>43390</v>
      </c>
      <c r="D4" s="22">
        <v>0</v>
      </c>
      <c r="E4" s="22">
        <v>0</v>
      </c>
      <c r="F4" s="22">
        <v>0</v>
      </c>
      <c r="G4" s="22">
        <v>0</v>
      </c>
      <c r="H4" s="22">
        <v>0</v>
      </c>
      <c r="I4" s="22">
        <v>0</v>
      </c>
      <c r="J4" s="22">
        <v>0</v>
      </c>
      <c r="K4" s="22">
        <v>0</v>
      </c>
    </row>
    <row r="5" spans="1:11" x14ac:dyDescent="0.25">
      <c r="A5" s="3">
        <f t="shared" si="0"/>
        <v>4</v>
      </c>
      <c r="B5" s="15" t="s">
        <v>424</v>
      </c>
      <c r="C5" s="16">
        <f t="shared" si="1"/>
        <v>43391</v>
      </c>
      <c r="D5" s="22">
        <v>0</v>
      </c>
      <c r="E5" s="22">
        <v>0</v>
      </c>
      <c r="F5" s="22">
        <v>0</v>
      </c>
      <c r="G5" s="22">
        <v>0</v>
      </c>
      <c r="H5" s="22">
        <v>0</v>
      </c>
      <c r="I5" s="22">
        <v>0</v>
      </c>
      <c r="J5" s="22">
        <v>0</v>
      </c>
      <c r="K5" s="22">
        <v>0</v>
      </c>
    </row>
    <row r="6" spans="1:11" x14ac:dyDescent="0.25">
      <c r="A6" s="3">
        <f t="shared" si="0"/>
        <v>5</v>
      </c>
      <c r="B6" s="15" t="s">
        <v>425</v>
      </c>
      <c r="C6" s="16">
        <f t="shared" si="1"/>
        <v>43392</v>
      </c>
      <c r="D6" s="22">
        <v>0</v>
      </c>
      <c r="E6" s="22">
        <v>0</v>
      </c>
      <c r="F6" s="22">
        <v>0</v>
      </c>
      <c r="G6" s="22">
        <v>0</v>
      </c>
      <c r="H6" s="22">
        <v>0</v>
      </c>
      <c r="I6" s="22">
        <v>0</v>
      </c>
      <c r="J6" s="22">
        <v>0</v>
      </c>
      <c r="K6" s="22">
        <v>0</v>
      </c>
    </row>
    <row r="7" spans="1:11" x14ac:dyDescent="0.25">
      <c r="A7" s="3">
        <f t="shared" si="0"/>
        <v>6</v>
      </c>
      <c r="B7" s="15" t="s">
        <v>421</v>
      </c>
      <c r="C7" s="16">
        <f>C2+7</f>
        <v>43395</v>
      </c>
      <c r="D7" s="22">
        <v>0</v>
      </c>
      <c r="E7" s="22">
        <v>0</v>
      </c>
      <c r="F7" s="22">
        <v>0</v>
      </c>
      <c r="G7" s="22">
        <v>0</v>
      </c>
      <c r="H7" s="22">
        <v>0</v>
      </c>
      <c r="I7" s="22">
        <v>0</v>
      </c>
      <c r="J7" s="22">
        <v>0</v>
      </c>
      <c r="K7" s="22">
        <v>0</v>
      </c>
    </row>
    <row r="8" spans="1:11" x14ac:dyDescent="0.25">
      <c r="A8" s="3">
        <f t="shared" si="0"/>
        <v>7</v>
      </c>
      <c r="B8" s="15" t="s">
        <v>422</v>
      </c>
      <c r="C8" s="16">
        <f t="shared" si="1"/>
        <v>43396</v>
      </c>
      <c r="D8" s="22">
        <v>0</v>
      </c>
      <c r="E8" s="22">
        <v>0</v>
      </c>
      <c r="F8" s="22">
        <v>0</v>
      </c>
      <c r="G8" s="22">
        <v>0</v>
      </c>
      <c r="H8" s="22">
        <v>0</v>
      </c>
      <c r="I8" s="22">
        <v>0</v>
      </c>
      <c r="J8" s="22">
        <v>0</v>
      </c>
      <c r="K8" s="22">
        <v>0</v>
      </c>
    </row>
    <row r="9" spans="1:11" x14ac:dyDescent="0.25">
      <c r="A9" s="3">
        <f t="shared" si="0"/>
        <v>8</v>
      </c>
      <c r="B9" s="15" t="s">
        <v>423</v>
      </c>
      <c r="C9" s="16">
        <f t="shared" si="1"/>
        <v>43397</v>
      </c>
      <c r="D9" s="22">
        <v>0</v>
      </c>
      <c r="E9" s="22">
        <v>0</v>
      </c>
      <c r="F9" s="22">
        <v>0</v>
      </c>
      <c r="G9" s="22">
        <v>0</v>
      </c>
      <c r="H9" s="22">
        <v>0</v>
      </c>
      <c r="I9" s="22">
        <v>0</v>
      </c>
      <c r="J9" s="22">
        <v>0</v>
      </c>
      <c r="K9" s="22">
        <v>0</v>
      </c>
    </row>
    <row r="10" spans="1:11" x14ac:dyDescent="0.25">
      <c r="A10" s="3">
        <f t="shared" si="0"/>
        <v>9</v>
      </c>
      <c r="B10" s="15" t="s">
        <v>424</v>
      </c>
      <c r="C10" s="16">
        <f t="shared" si="1"/>
        <v>43398</v>
      </c>
      <c r="D10" s="22">
        <v>0</v>
      </c>
      <c r="E10" s="22">
        <v>0</v>
      </c>
      <c r="F10" s="22">
        <v>0</v>
      </c>
      <c r="G10" s="22">
        <v>0</v>
      </c>
      <c r="H10" s="22">
        <v>0</v>
      </c>
      <c r="I10" s="22">
        <v>0</v>
      </c>
      <c r="J10" s="22">
        <v>0</v>
      </c>
      <c r="K10" s="22">
        <v>0</v>
      </c>
    </row>
    <row r="11" spans="1:11" x14ac:dyDescent="0.25">
      <c r="A11" s="3">
        <f t="shared" si="0"/>
        <v>10</v>
      </c>
      <c r="B11" s="15" t="s">
        <v>425</v>
      </c>
      <c r="C11" s="16">
        <f t="shared" si="1"/>
        <v>43399</v>
      </c>
      <c r="D11" s="22">
        <v>0</v>
      </c>
      <c r="E11" s="22">
        <v>0</v>
      </c>
      <c r="F11" s="22">
        <v>0</v>
      </c>
      <c r="G11" s="22">
        <v>0</v>
      </c>
      <c r="H11" s="22">
        <v>0</v>
      </c>
      <c r="I11" s="22">
        <v>0</v>
      </c>
      <c r="J11" s="22">
        <v>0</v>
      </c>
      <c r="K11" s="22">
        <v>0</v>
      </c>
    </row>
    <row r="12" spans="1:11" x14ac:dyDescent="0.25">
      <c r="A12" s="3">
        <f t="shared" si="0"/>
        <v>11</v>
      </c>
      <c r="B12" s="15" t="s">
        <v>421</v>
      </c>
      <c r="C12" s="16">
        <f>C7+7</f>
        <v>43402</v>
      </c>
      <c r="D12" s="22">
        <v>0</v>
      </c>
      <c r="E12" s="22">
        <v>0</v>
      </c>
      <c r="F12" s="22">
        <v>0</v>
      </c>
      <c r="G12" s="22">
        <v>0</v>
      </c>
      <c r="H12" s="22">
        <v>0</v>
      </c>
      <c r="I12" s="22">
        <v>0</v>
      </c>
      <c r="J12" s="22">
        <v>0</v>
      </c>
      <c r="K12" s="22">
        <v>0</v>
      </c>
    </row>
    <row r="13" spans="1:11" x14ac:dyDescent="0.25">
      <c r="A13" s="3">
        <f t="shared" si="0"/>
        <v>12</v>
      </c>
      <c r="B13" s="15" t="s">
        <v>422</v>
      </c>
      <c r="C13" s="16">
        <f t="shared" si="1"/>
        <v>43403</v>
      </c>
      <c r="D13" s="22">
        <v>0</v>
      </c>
      <c r="E13" s="22">
        <v>0</v>
      </c>
      <c r="F13" s="22">
        <v>0</v>
      </c>
      <c r="G13" s="22">
        <v>0</v>
      </c>
      <c r="H13" s="22">
        <v>0</v>
      </c>
      <c r="I13" s="22">
        <v>0</v>
      </c>
      <c r="J13" s="22">
        <v>0</v>
      </c>
      <c r="K13" s="22">
        <v>0</v>
      </c>
    </row>
    <row r="14" spans="1:11" x14ac:dyDescent="0.25">
      <c r="A14" s="3">
        <f t="shared" si="0"/>
        <v>13</v>
      </c>
      <c r="B14" s="15" t="s">
        <v>423</v>
      </c>
      <c r="C14" s="16">
        <f t="shared" si="1"/>
        <v>43404</v>
      </c>
      <c r="D14" s="22">
        <v>0</v>
      </c>
      <c r="E14" s="22">
        <v>0</v>
      </c>
      <c r="F14" s="22">
        <v>0</v>
      </c>
      <c r="G14" s="22">
        <v>0</v>
      </c>
      <c r="H14" s="22">
        <v>0</v>
      </c>
      <c r="I14" s="22">
        <v>0</v>
      </c>
      <c r="J14" s="22">
        <v>0</v>
      </c>
      <c r="K14" s="22">
        <v>0</v>
      </c>
    </row>
    <row r="15" spans="1:11" x14ac:dyDescent="0.25">
      <c r="A15" s="3">
        <f t="shared" si="0"/>
        <v>14</v>
      </c>
      <c r="B15" s="15" t="s">
        <v>424</v>
      </c>
      <c r="C15" s="16">
        <f t="shared" si="1"/>
        <v>43405</v>
      </c>
      <c r="D15" s="22">
        <v>0</v>
      </c>
      <c r="E15" s="22">
        <v>0</v>
      </c>
      <c r="F15" s="22">
        <v>0</v>
      </c>
      <c r="G15" s="22">
        <v>0</v>
      </c>
      <c r="H15" s="22">
        <v>0</v>
      </c>
      <c r="I15" s="22">
        <v>0</v>
      </c>
      <c r="J15" s="22">
        <v>0</v>
      </c>
      <c r="K15" s="22">
        <v>0</v>
      </c>
    </row>
    <row r="16" spans="1:11" x14ac:dyDescent="0.25">
      <c r="A16" s="3">
        <f t="shared" si="0"/>
        <v>15</v>
      </c>
      <c r="B16" s="15" t="s">
        <v>425</v>
      </c>
      <c r="C16" s="16">
        <f t="shared" si="1"/>
        <v>43406</v>
      </c>
      <c r="D16" s="22">
        <v>0</v>
      </c>
      <c r="E16" s="22">
        <v>0</v>
      </c>
      <c r="F16" s="22">
        <v>0</v>
      </c>
      <c r="G16" s="22">
        <v>0</v>
      </c>
      <c r="H16" s="22">
        <v>0</v>
      </c>
      <c r="I16" s="22">
        <v>0</v>
      </c>
      <c r="J16" s="22">
        <v>0</v>
      </c>
      <c r="K16" s="22">
        <v>0</v>
      </c>
    </row>
    <row r="17" spans="1:11" x14ac:dyDescent="0.25">
      <c r="A17" s="3">
        <f t="shared" si="0"/>
        <v>16</v>
      </c>
      <c r="B17" s="15" t="s">
        <v>421</v>
      </c>
      <c r="C17" s="16">
        <f>C12+7</f>
        <v>43409</v>
      </c>
      <c r="D17" s="22">
        <v>0</v>
      </c>
      <c r="E17" s="22">
        <v>0</v>
      </c>
      <c r="F17" s="22">
        <v>0</v>
      </c>
      <c r="G17" s="22">
        <v>0</v>
      </c>
      <c r="H17" s="22">
        <v>0</v>
      </c>
      <c r="I17" s="22">
        <v>0</v>
      </c>
      <c r="J17" s="22">
        <v>0</v>
      </c>
      <c r="K17" s="22">
        <v>0</v>
      </c>
    </row>
    <row r="18" spans="1:11" x14ac:dyDescent="0.25">
      <c r="A18" s="3">
        <f t="shared" si="0"/>
        <v>17</v>
      </c>
      <c r="B18" s="15" t="s">
        <v>422</v>
      </c>
      <c r="C18" s="16">
        <f t="shared" si="1"/>
        <v>43410</v>
      </c>
      <c r="D18" s="22">
        <v>0</v>
      </c>
      <c r="E18" s="22">
        <v>0</v>
      </c>
      <c r="F18" s="22">
        <v>0</v>
      </c>
      <c r="G18" s="22">
        <v>0</v>
      </c>
      <c r="H18" s="22">
        <v>0</v>
      </c>
      <c r="I18" s="22">
        <v>0</v>
      </c>
      <c r="J18" s="22">
        <v>0</v>
      </c>
      <c r="K18" s="22">
        <v>0</v>
      </c>
    </row>
    <row r="19" spans="1:11" x14ac:dyDescent="0.25">
      <c r="A19" s="3">
        <f t="shared" si="0"/>
        <v>18</v>
      </c>
      <c r="B19" s="15" t="s">
        <v>423</v>
      </c>
      <c r="C19" s="16">
        <f t="shared" si="1"/>
        <v>43411</v>
      </c>
      <c r="D19" s="22">
        <v>0</v>
      </c>
      <c r="E19" s="22">
        <v>0</v>
      </c>
      <c r="F19" s="22">
        <v>0</v>
      </c>
      <c r="G19" s="22">
        <v>0</v>
      </c>
      <c r="H19" s="22">
        <v>0</v>
      </c>
      <c r="I19" s="22">
        <v>0</v>
      </c>
      <c r="J19" s="22">
        <v>0</v>
      </c>
      <c r="K19" s="22">
        <v>0</v>
      </c>
    </row>
    <row r="20" spans="1:11" x14ac:dyDescent="0.25">
      <c r="A20" s="3">
        <f t="shared" si="0"/>
        <v>19</v>
      </c>
      <c r="B20" s="15" t="s">
        <v>424</v>
      </c>
      <c r="C20" s="16">
        <f t="shared" si="1"/>
        <v>43412</v>
      </c>
      <c r="D20" s="22">
        <v>0</v>
      </c>
      <c r="E20" s="22">
        <v>0</v>
      </c>
      <c r="F20" s="22">
        <v>0</v>
      </c>
      <c r="G20" s="22">
        <v>0</v>
      </c>
      <c r="H20" s="22">
        <v>0</v>
      </c>
      <c r="I20" s="22">
        <v>0</v>
      </c>
      <c r="J20" s="22">
        <v>0</v>
      </c>
      <c r="K20" s="22">
        <v>0</v>
      </c>
    </row>
    <row r="21" spans="1:11" x14ac:dyDescent="0.25">
      <c r="A21" s="3">
        <f t="shared" si="0"/>
        <v>20</v>
      </c>
      <c r="B21" s="15" t="s">
        <v>425</v>
      </c>
      <c r="C21" s="16">
        <f t="shared" si="1"/>
        <v>43413</v>
      </c>
      <c r="D21" s="22">
        <v>0</v>
      </c>
      <c r="E21" s="22">
        <v>0</v>
      </c>
      <c r="F21" s="22">
        <v>0</v>
      </c>
      <c r="G21" s="22">
        <v>0</v>
      </c>
      <c r="H21" s="22">
        <v>0</v>
      </c>
      <c r="I21" s="22">
        <v>0</v>
      </c>
      <c r="J21" s="22">
        <v>0</v>
      </c>
      <c r="K21" s="22">
        <v>0</v>
      </c>
    </row>
    <row r="22" spans="1:11" x14ac:dyDescent="0.25">
      <c r="A22" s="3">
        <f t="shared" si="0"/>
        <v>21</v>
      </c>
      <c r="B22" s="15" t="s">
        <v>421</v>
      </c>
      <c r="C22" s="16">
        <f>C17+7</f>
        <v>43416</v>
      </c>
      <c r="D22" s="22">
        <v>0</v>
      </c>
      <c r="E22" s="22">
        <v>0</v>
      </c>
      <c r="F22" s="22">
        <v>0</v>
      </c>
      <c r="G22" s="22">
        <v>0</v>
      </c>
      <c r="H22" s="22">
        <v>0</v>
      </c>
      <c r="I22" s="22">
        <v>0</v>
      </c>
      <c r="J22" s="22">
        <v>0</v>
      </c>
      <c r="K22" s="22">
        <v>0</v>
      </c>
    </row>
    <row r="23" spans="1:11" x14ac:dyDescent="0.25">
      <c r="A23" s="3">
        <f t="shared" si="0"/>
        <v>22</v>
      </c>
      <c r="B23" s="15" t="s">
        <v>422</v>
      </c>
      <c r="C23" s="16">
        <f t="shared" si="1"/>
        <v>43417</v>
      </c>
      <c r="D23" s="22">
        <v>0</v>
      </c>
      <c r="E23" s="22">
        <v>0</v>
      </c>
      <c r="F23" s="22">
        <v>0</v>
      </c>
      <c r="G23" s="22">
        <v>0</v>
      </c>
      <c r="H23" s="22">
        <v>0</v>
      </c>
      <c r="I23" s="22">
        <v>0</v>
      </c>
      <c r="J23" s="22">
        <v>0</v>
      </c>
      <c r="K23" s="22">
        <v>0</v>
      </c>
    </row>
    <row r="24" spans="1:11" x14ac:dyDescent="0.25">
      <c r="A24" s="3">
        <f t="shared" si="0"/>
        <v>23</v>
      </c>
      <c r="B24" s="15" t="s">
        <v>423</v>
      </c>
      <c r="C24" s="16">
        <f t="shared" si="1"/>
        <v>43418</v>
      </c>
      <c r="D24" s="22">
        <v>0</v>
      </c>
      <c r="E24" s="22">
        <v>0</v>
      </c>
      <c r="F24" s="22">
        <v>0</v>
      </c>
      <c r="G24" s="22">
        <v>0</v>
      </c>
      <c r="H24" s="22">
        <v>0</v>
      </c>
      <c r="I24" s="22">
        <v>0</v>
      </c>
      <c r="J24" s="22">
        <v>0</v>
      </c>
      <c r="K24" s="22">
        <v>0</v>
      </c>
    </row>
    <row r="25" spans="1:11" x14ac:dyDescent="0.25">
      <c r="A25" s="3">
        <f t="shared" si="0"/>
        <v>24</v>
      </c>
      <c r="B25" s="15" t="s">
        <v>424</v>
      </c>
      <c r="C25" s="16">
        <f t="shared" si="1"/>
        <v>43419</v>
      </c>
      <c r="D25" s="22">
        <v>0</v>
      </c>
      <c r="E25" s="22">
        <v>0</v>
      </c>
      <c r="F25" s="22">
        <v>0</v>
      </c>
      <c r="G25" s="22">
        <v>0</v>
      </c>
      <c r="H25" s="22">
        <v>0</v>
      </c>
      <c r="I25" s="22">
        <v>0</v>
      </c>
      <c r="J25" s="22">
        <v>0</v>
      </c>
      <c r="K25" s="22">
        <v>0</v>
      </c>
    </row>
    <row r="26" spans="1:11" x14ac:dyDescent="0.25">
      <c r="A26" s="3">
        <f t="shared" si="0"/>
        <v>25</v>
      </c>
      <c r="B26" s="15" t="s">
        <v>425</v>
      </c>
      <c r="C26" s="16">
        <f t="shared" si="1"/>
        <v>43420</v>
      </c>
      <c r="D26" s="22">
        <v>0</v>
      </c>
      <c r="E26" s="22">
        <v>0</v>
      </c>
      <c r="F26" s="22">
        <v>0</v>
      </c>
      <c r="G26" s="22">
        <v>0</v>
      </c>
      <c r="H26" s="22">
        <v>0</v>
      </c>
      <c r="I26" s="22">
        <v>0</v>
      </c>
      <c r="J26" s="22">
        <v>0</v>
      </c>
      <c r="K26" s="22">
        <v>0</v>
      </c>
    </row>
    <row r="27" spans="1:11" x14ac:dyDescent="0.25">
      <c r="A27" s="3">
        <f t="shared" si="0"/>
        <v>26</v>
      </c>
      <c r="B27" s="15" t="s">
        <v>421</v>
      </c>
      <c r="C27" s="16">
        <f>C22+7</f>
        <v>43423</v>
      </c>
      <c r="D27" s="22">
        <v>0</v>
      </c>
      <c r="E27" s="22">
        <v>0</v>
      </c>
      <c r="F27" s="22">
        <v>0</v>
      </c>
      <c r="G27" s="22">
        <v>0</v>
      </c>
      <c r="H27" s="22">
        <v>0</v>
      </c>
      <c r="I27" s="22">
        <v>0</v>
      </c>
      <c r="J27" s="22">
        <v>0</v>
      </c>
      <c r="K27" s="22">
        <v>0</v>
      </c>
    </row>
    <row r="28" spans="1:11" x14ac:dyDescent="0.25">
      <c r="A28" s="3">
        <f t="shared" si="0"/>
        <v>27</v>
      </c>
      <c r="B28" s="15" t="s">
        <v>422</v>
      </c>
      <c r="C28" s="16">
        <f t="shared" si="1"/>
        <v>43424</v>
      </c>
      <c r="D28" s="22">
        <v>0</v>
      </c>
      <c r="E28" s="22">
        <v>0</v>
      </c>
      <c r="F28" s="22">
        <v>0</v>
      </c>
      <c r="G28" s="22">
        <v>0</v>
      </c>
      <c r="H28" s="22">
        <v>0</v>
      </c>
      <c r="I28" s="22">
        <v>0</v>
      </c>
      <c r="J28" s="22">
        <v>0</v>
      </c>
      <c r="K28" s="22">
        <v>0</v>
      </c>
    </row>
    <row r="29" spans="1:11" x14ac:dyDescent="0.25">
      <c r="A29" s="3">
        <f t="shared" si="0"/>
        <v>28</v>
      </c>
      <c r="B29" s="15" t="s">
        <v>423</v>
      </c>
      <c r="C29" s="16">
        <f t="shared" si="1"/>
        <v>43425</v>
      </c>
      <c r="D29" s="22">
        <v>0</v>
      </c>
      <c r="E29" s="22">
        <v>0</v>
      </c>
      <c r="F29" s="22">
        <v>0</v>
      </c>
      <c r="G29" s="22">
        <v>0</v>
      </c>
      <c r="H29" s="22">
        <v>0</v>
      </c>
      <c r="I29" s="22">
        <v>0</v>
      </c>
      <c r="J29" s="22">
        <v>0</v>
      </c>
      <c r="K29" s="22">
        <v>0</v>
      </c>
    </row>
    <row r="30" spans="1:11" x14ac:dyDescent="0.25">
      <c r="A30" s="3">
        <f t="shared" si="0"/>
        <v>29</v>
      </c>
      <c r="B30" s="15" t="s">
        <v>424</v>
      </c>
      <c r="C30" s="16">
        <f t="shared" si="1"/>
        <v>43426</v>
      </c>
      <c r="D30" s="22">
        <v>0</v>
      </c>
      <c r="E30" s="22">
        <v>0</v>
      </c>
      <c r="F30" s="22">
        <v>0</v>
      </c>
      <c r="G30" s="22">
        <v>0</v>
      </c>
      <c r="H30" s="22">
        <v>0</v>
      </c>
      <c r="I30" s="22">
        <v>0</v>
      </c>
      <c r="J30" s="22">
        <v>0</v>
      </c>
      <c r="K30" s="22">
        <v>0</v>
      </c>
    </row>
    <row r="31" spans="1:11" x14ac:dyDescent="0.25">
      <c r="A31" s="3">
        <f t="shared" si="0"/>
        <v>30</v>
      </c>
      <c r="B31" s="15" t="s">
        <v>425</v>
      </c>
      <c r="C31" s="16">
        <f t="shared" si="1"/>
        <v>43427</v>
      </c>
      <c r="D31" s="22">
        <v>0</v>
      </c>
      <c r="E31" s="22">
        <v>0</v>
      </c>
      <c r="F31" s="22">
        <v>0</v>
      </c>
      <c r="G31" s="22">
        <v>0</v>
      </c>
      <c r="H31" s="22">
        <v>0</v>
      </c>
      <c r="I31" s="22">
        <v>0</v>
      </c>
      <c r="J31" s="22">
        <v>0</v>
      </c>
      <c r="K31" s="22">
        <v>0</v>
      </c>
    </row>
    <row r="32" spans="1:11" x14ac:dyDescent="0.25">
      <c r="A32" s="3">
        <f t="shared" si="0"/>
        <v>31</v>
      </c>
      <c r="B32" s="15" t="s">
        <v>421</v>
      </c>
      <c r="C32" s="16">
        <f>C27+7</f>
        <v>43430</v>
      </c>
      <c r="D32" s="22">
        <v>0</v>
      </c>
      <c r="E32" s="22">
        <v>0</v>
      </c>
      <c r="F32" s="22">
        <v>0</v>
      </c>
      <c r="G32" s="22">
        <v>0</v>
      </c>
      <c r="H32" s="22">
        <v>0</v>
      </c>
      <c r="I32" s="22">
        <v>0</v>
      </c>
      <c r="J32" s="22">
        <v>0</v>
      </c>
      <c r="K32" s="22">
        <v>0</v>
      </c>
    </row>
    <row r="33" spans="1:11" x14ac:dyDescent="0.25">
      <c r="A33" s="3">
        <f t="shared" si="0"/>
        <v>32</v>
      </c>
      <c r="B33" s="15" t="s">
        <v>422</v>
      </c>
      <c r="C33" s="16">
        <f t="shared" si="1"/>
        <v>43431</v>
      </c>
      <c r="D33" s="22">
        <v>0</v>
      </c>
      <c r="E33" s="22">
        <v>0</v>
      </c>
      <c r="F33" s="22">
        <v>0</v>
      </c>
      <c r="G33" s="22">
        <v>0</v>
      </c>
      <c r="H33" s="22">
        <v>0</v>
      </c>
      <c r="I33" s="22">
        <v>0</v>
      </c>
      <c r="J33" s="22">
        <v>0</v>
      </c>
      <c r="K33" s="22">
        <v>0</v>
      </c>
    </row>
    <row r="34" spans="1:11" x14ac:dyDescent="0.25">
      <c r="A34" s="3">
        <f t="shared" si="0"/>
        <v>33</v>
      </c>
      <c r="B34" s="15" t="s">
        <v>423</v>
      </c>
      <c r="C34" s="16">
        <f t="shared" si="1"/>
        <v>43432</v>
      </c>
      <c r="D34" s="22">
        <v>0</v>
      </c>
      <c r="E34" s="22">
        <v>0</v>
      </c>
      <c r="F34" s="22">
        <v>0</v>
      </c>
      <c r="G34" s="22">
        <v>0</v>
      </c>
      <c r="H34" s="22">
        <v>0</v>
      </c>
      <c r="I34" s="22">
        <v>0</v>
      </c>
      <c r="J34" s="22">
        <v>0</v>
      </c>
      <c r="K34" s="22">
        <v>0</v>
      </c>
    </row>
    <row r="35" spans="1:11" x14ac:dyDescent="0.25">
      <c r="A35" s="3">
        <f t="shared" si="0"/>
        <v>34</v>
      </c>
      <c r="B35" s="15" t="s">
        <v>424</v>
      </c>
      <c r="C35" s="16">
        <f t="shared" si="1"/>
        <v>43433</v>
      </c>
      <c r="D35" s="22">
        <v>4</v>
      </c>
      <c r="E35" s="22">
        <v>2</v>
      </c>
      <c r="F35" s="22">
        <v>9</v>
      </c>
      <c r="G35" s="22">
        <v>18</v>
      </c>
      <c r="H35" s="22">
        <v>1</v>
      </c>
      <c r="I35" s="22">
        <v>0</v>
      </c>
      <c r="J35" s="22">
        <v>0</v>
      </c>
      <c r="K35" s="22">
        <v>10</v>
      </c>
    </row>
    <row r="36" spans="1:11" x14ac:dyDescent="0.25">
      <c r="A36" s="3">
        <f t="shared" si="0"/>
        <v>35</v>
      </c>
      <c r="B36" s="15" t="s">
        <v>425</v>
      </c>
      <c r="C36" s="16">
        <f t="shared" si="1"/>
        <v>43434</v>
      </c>
      <c r="D36" s="22">
        <v>4</v>
      </c>
      <c r="E36" s="22">
        <v>2</v>
      </c>
      <c r="F36" s="22">
        <v>9</v>
      </c>
      <c r="G36" s="22">
        <v>18</v>
      </c>
      <c r="H36" s="22">
        <v>1</v>
      </c>
      <c r="I36" s="22">
        <v>0</v>
      </c>
      <c r="J36" s="22">
        <v>0</v>
      </c>
      <c r="K36" s="22">
        <v>10</v>
      </c>
    </row>
    <row r="37" spans="1:11" x14ac:dyDescent="0.25">
      <c r="A37" s="3">
        <f t="shared" si="0"/>
        <v>36</v>
      </c>
      <c r="B37" s="15" t="s">
        <v>421</v>
      </c>
      <c r="C37" s="16">
        <f>C32+7</f>
        <v>43437</v>
      </c>
      <c r="D37" s="22">
        <v>0</v>
      </c>
      <c r="E37" s="22">
        <v>0</v>
      </c>
      <c r="F37" s="22">
        <v>0</v>
      </c>
      <c r="G37" s="22">
        <v>1</v>
      </c>
      <c r="H37" s="22">
        <v>0</v>
      </c>
      <c r="I37" s="22">
        <v>0</v>
      </c>
      <c r="J37" s="22">
        <v>0</v>
      </c>
      <c r="K37" s="22">
        <v>0</v>
      </c>
    </row>
    <row r="38" spans="1:11" x14ac:dyDescent="0.25">
      <c r="A38" s="3">
        <f t="shared" si="0"/>
        <v>37</v>
      </c>
      <c r="B38" s="15" t="s">
        <v>422</v>
      </c>
      <c r="C38" s="16">
        <f t="shared" si="1"/>
        <v>43438</v>
      </c>
      <c r="D38" s="22">
        <v>0</v>
      </c>
      <c r="E38" s="22">
        <v>0</v>
      </c>
      <c r="F38" s="22">
        <v>2</v>
      </c>
      <c r="G38" s="22">
        <v>5</v>
      </c>
      <c r="H38" s="22">
        <v>0</v>
      </c>
      <c r="I38" s="22">
        <v>0</v>
      </c>
      <c r="J38" s="22">
        <v>0</v>
      </c>
      <c r="K38" s="22">
        <v>0</v>
      </c>
    </row>
    <row r="39" spans="1:11" x14ac:dyDescent="0.25">
      <c r="A39" s="3">
        <f t="shared" si="0"/>
        <v>38</v>
      </c>
      <c r="B39" s="15" t="s">
        <v>423</v>
      </c>
      <c r="C39" s="16">
        <f t="shared" si="1"/>
        <v>43439</v>
      </c>
      <c r="D39" s="22">
        <v>0</v>
      </c>
      <c r="E39" s="22">
        <v>0</v>
      </c>
      <c r="F39" s="22">
        <v>2</v>
      </c>
      <c r="G39" s="22">
        <v>5</v>
      </c>
      <c r="H39" s="22">
        <v>0</v>
      </c>
      <c r="I39" s="22">
        <v>0</v>
      </c>
      <c r="J39" s="22">
        <v>0</v>
      </c>
      <c r="K39" s="22">
        <v>0</v>
      </c>
    </row>
    <row r="40" spans="1:11" x14ac:dyDescent="0.25">
      <c r="A40" s="3">
        <f t="shared" si="0"/>
        <v>39</v>
      </c>
      <c r="B40" s="15" t="s">
        <v>424</v>
      </c>
      <c r="C40" s="16">
        <f t="shared" si="1"/>
        <v>43440</v>
      </c>
      <c r="D40" s="22">
        <v>0</v>
      </c>
      <c r="E40" s="22">
        <v>0</v>
      </c>
      <c r="F40" s="22">
        <v>2</v>
      </c>
      <c r="G40" s="22">
        <v>5</v>
      </c>
      <c r="H40" s="22">
        <v>0</v>
      </c>
      <c r="I40" s="22">
        <v>0</v>
      </c>
      <c r="J40" s="22">
        <v>0</v>
      </c>
      <c r="K40" s="22">
        <v>0</v>
      </c>
    </row>
    <row r="41" spans="1:11" x14ac:dyDescent="0.25">
      <c r="A41" s="3">
        <f t="shared" si="0"/>
        <v>40</v>
      </c>
      <c r="B41" s="15" t="s">
        <v>425</v>
      </c>
      <c r="C41" s="16">
        <f t="shared" si="1"/>
        <v>43441</v>
      </c>
      <c r="D41" s="22">
        <v>0</v>
      </c>
      <c r="E41" s="22">
        <v>0</v>
      </c>
      <c r="F41" s="22">
        <v>2</v>
      </c>
      <c r="G41" s="22">
        <v>1</v>
      </c>
      <c r="H41" s="22">
        <v>0</v>
      </c>
      <c r="I41" s="22">
        <v>0</v>
      </c>
      <c r="J41" s="22">
        <v>0</v>
      </c>
      <c r="K41" s="22">
        <v>0</v>
      </c>
    </row>
    <row r="42" spans="1:11" x14ac:dyDescent="0.25">
      <c r="A42" s="3">
        <f t="shared" si="0"/>
        <v>41</v>
      </c>
      <c r="B42" s="15" t="s">
        <v>421</v>
      </c>
      <c r="C42" s="16">
        <f>C37+7</f>
        <v>43444</v>
      </c>
      <c r="D42" s="22">
        <v>0</v>
      </c>
      <c r="E42" s="22">
        <v>0</v>
      </c>
      <c r="F42" s="22">
        <v>2</v>
      </c>
      <c r="G42" s="22">
        <v>1</v>
      </c>
      <c r="H42" s="22">
        <v>0</v>
      </c>
      <c r="I42" s="22">
        <v>0</v>
      </c>
      <c r="J42" s="22">
        <v>0</v>
      </c>
      <c r="K42" s="22">
        <v>0</v>
      </c>
    </row>
    <row r="43" spans="1:11" x14ac:dyDescent="0.25">
      <c r="A43" s="3">
        <f t="shared" si="0"/>
        <v>42</v>
      </c>
      <c r="B43" s="15" t="s">
        <v>422</v>
      </c>
      <c r="C43" s="16">
        <f t="shared" si="1"/>
        <v>43445</v>
      </c>
      <c r="D43" s="22">
        <v>0</v>
      </c>
      <c r="E43" s="22">
        <v>0</v>
      </c>
      <c r="F43" s="22">
        <v>2</v>
      </c>
      <c r="G43" s="22">
        <v>1</v>
      </c>
      <c r="H43" s="22">
        <v>0</v>
      </c>
      <c r="I43" s="22">
        <v>0</v>
      </c>
      <c r="J43" s="22">
        <v>0</v>
      </c>
      <c r="K43" s="22">
        <v>0</v>
      </c>
    </row>
    <row r="44" spans="1:11" x14ac:dyDescent="0.25">
      <c r="A44" s="3">
        <f t="shared" si="0"/>
        <v>43</v>
      </c>
      <c r="B44" s="15" t="s">
        <v>423</v>
      </c>
      <c r="C44" s="16">
        <f t="shared" si="1"/>
        <v>43446</v>
      </c>
      <c r="D44" s="22">
        <v>0</v>
      </c>
      <c r="E44" s="22">
        <v>0</v>
      </c>
      <c r="F44" s="22">
        <v>2</v>
      </c>
      <c r="G44" s="22">
        <v>1</v>
      </c>
      <c r="H44" s="22">
        <v>0</v>
      </c>
      <c r="I44" s="22">
        <v>0</v>
      </c>
      <c r="J44" s="22">
        <v>0</v>
      </c>
      <c r="K44" s="22">
        <v>0</v>
      </c>
    </row>
    <row r="45" spans="1:11" x14ac:dyDescent="0.25">
      <c r="A45" s="3">
        <f t="shared" si="0"/>
        <v>44</v>
      </c>
      <c r="B45" s="15" t="s">
        <v>424</v>
      </c>
      <c r="C45" s="16">
        <f t="shared" si="1"/>
        <v>43447</v>
      </c>
      <c r="D45" s="22">
        <v>0</v>
      </c>
      <c r="E45" s="22">
        <v>0</v>
      </c>
      <c r="F45" s="22">
        <v>2</v>
      </c>
      <c r="G45" s="22">
        <v>1</v>
      </c>
      <c r="H45" s="22">
        <v>0</v>
      </c>
      <c r="I45" s="22">
        <v>0</v>
      </c>
      <c r="J45" s="22">
        <v>0</v>
      </c>
      <c r="K45" s="22">
        <v>0</v>
      </c>
    </row>
    <row r="46" spans="1:11" x14ac:dyDescent="0.25">
      <c r="A46" s="3">
        <f t="shared" si="0"/>
        <v>45</v>
      </c>
      <c r="B46" s="15" t="s">
        <v>425</v>
      </c>
      <c r="C46" s="16">
        <f t="shared" si="1"/>
        <v>43448</v>
      </c>
      <c r="D46" s="22">
        <v>0</v>
      </c>
      <c r="E46" s="22">
        <v>0</v>
      </c>
      <c r="F46" s="22">
        <v>2</v>
      </c>
      <c r="G46" s="22">
        <v>1</v>
      </c>
      <c r="H46" s="22">
        <v>0</v>
      </c>
      <c r="I46" s="22">
        <v>0</v>
      </c>
      <c r="J46" s="22">
        <v>0</v>
      </c>
      <c r="K46" s="22">
        <v>0</v>
      </c>
    </row>
    <row r="47" spans="1:11" x14ac:dyDescent="0.25">
      <c r="A47" s="3">
        <f t="shared" si="0"/>
        <v>46</v>
      </c>
      <c r="B47" s="15" t="s">
        <v>421</v>
      </c>
      <c r="C47" s="16">
        <f>C42+7</f>
        <v>43451</v>
      </c>
      <c r="D47" s="22">
        <v>0</v>
      </c>
      <c r="E47" s="22">
        <v>0</v>
      </c>
      <c r="F47" s="22">
        <v>2</v>
      </c>
      <c r="G47" s="22">
        <v>1</v>
      </c>
      <c r="H47" s="22">
        <v>0</v>
      </c>
      <c r="I47" s="22">
        <v>0</v>
      </c>
      <c r="J47" s="22">
        <v>0</v>
      </c>
      <c r="K47" s="22">
        <v>0</v>
      </c>
    </row>
    <row r="48" spans="1:11" x14ac:dyDescent="0.25">
      <c r="A48" s="3">
        <f t="shared" si="0"/>
        <v>47</v>
      </c>
      <c r="B48" s="15" t="s">
        <v>422</v>
      </c>
      <c r="C48" s="16">
        <f t="shared" si="1"/>
        <v>43452</v>
      </c>
      <c r="D48" s="22">
        <v>0</v>
      </c>
      <c r="E48" s="22">
        <v>0</v>
      </c>
      <c r="F48" s="22">
        <v>2</v>
      </c>
      <c r="G48" s="22">
        <v>1</v>
      </c>
      <c r="H48" s="22">
        <v>0</v>
      </c>
      <c r="I48" s="22">
        <v>0</v>
      </c>
      <c r="J48" s="22">
        <v>0</v>
      </c>
      <c r="K48" s="22">
        <v>0</v>
      </c>
    </row>
    <row r="49" spans="1:11" x14ac:dyDescent="0.25">
      <c r="A49" s="3">
        <f t="shared" si="0"/>
        <v>48</v>
      </c>
      <c r="B49" s="15" t="s">
        <v>423</v>
      </c>
      <c r="C49" s="16">
        <f t="shared" si="1"/>
        <v>43453</v>
      </c>
      <c r="D49" s="22">
        <v>0</v>
      </c>
      <c r="E49" s="22">
        <v>0</v>
      </c>
      <c r="F49" s="22">
        <v>2</v>
      </c>
      <c r="G49" s="22">
        <v>1</v>
      </c>
      <c r="H49" s="22">
        <v>0</v>
      </c>
      <c r="I49" s="22">
        <v>0</v>
      </c>
      <c r="J49" s="22">
        <v>0</v>
      </c>
      <c r="K49" s="22">
        <v>0</v>
      </c>
    </row>
    <row r="50" spans="1:11" x14ac:dyDescent="0.25">
      <c r="A50" s="3">
        <f t="shared" si="0"/>
        <v>49</v>
      </c>
      <c r="B50" s="15" t="s">
        <v>424</v>
      </c>
      <c r="C50" s="16">
        <f t="shared" si="1"/>
        <v>43454</v>
      </c>
      <c r="D50" s="22">
        <v>0</v>
      </c>
      <c r="E50" s="22">
        <v>0</v>
      </c>
      <c r="F50" s="22">
        <v>2</v>
      </c>
      <c r="G50" s="22">
        <v>1</v>
      </c>
      <c r="H50" s="22">
        <v>0</v>
      </c>
      <c r="I50" s="22">
        <v>0</v>
      </c>
      <c r="J50" s="22">
        <v>0</v>
      </c>
      <c r="K50" s="22">
        <v>0</v>
      </c>
    </row>
    <row r="51" spans="1:11" x14ac:dyDescent="0.25">
      <c r="A51" s="3">
        <f t="shared" si="0"/>
        <v>50</v>
      </c>
      <c r="B51" s="15" t="s">
        <v>425</v>
      </c>
      <c r="C51" s="16">
        <f t="shared" si="1"/>
        <v>43455</v>
      </c>
      <c r="D51" s="22">
        <v>0</v>
      </c>
      <c r="E51" s="22">
        <v>0</v>
      </c>
      <c r="F51" s="22">
        <v>2</v>
      </c>
      <c r="G51" s="22">
        <v>1</v>
      </c>
      <c r="H51" s="22">
        <v>0</v>
      </c>
      <c r="I51" s="22">
        <v>0</v>
      </c>
      <c r="J51" s="22">
        <v>0</v>
      </c>
      <c r="K51" s="22">
        <v>0</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sheetPr>
  <dimension ref="A1:H51"/>
  <sheetViews>
    <sheetView topLeftCell="A10" workbookViewId="0">
      <selection activeCell="Y41" sqref="Y41"/>
    </sheetView>
  </sheetViews>
  <sheetFormatPr defaultColWidth="8.875" defaultRowHeight="15" x14ac:dyDescent="0.25"/>
  <cols>
    <col min="1" max="1" width="8.875" style="3"/>
    <col min="2" max="2" width="6.25" style="3" customWidth="1"/>
    <col min="3" max="3" width="12.125" style="3" customWidth="1"/>
    <col min="4" max="4" width="3.875" style="3" customWidth="1"/>
    <col min="5" max="7" width="3" style="3" customWidth="1"/>
    <col min="8" max="8" width="5.125" style="3" customWidth="1"/>
    <col min="9" max="16384" width="8.875" style="3"/>
  </cols>
  <sheetData>
    <row r="1" spans="1:8" ht="67.5" thickBot="1" x14ac:dyDescent="0.35">
      <c r="A1" s="4" t="s">
        <v>414</v>
      </c>
      <c r="B1" s="4"/>
      <c r="C1" s="4" t="s">
        <v>3</v>
      </c>
      <c r="D1" s="14" t="s">
        <v>13</v>
      </c>
      <c r="E1" s="14" t="s">
        <v>14</v>
      </c>
      <c r="F1" s="14" t="s">
        <v>16</v>
      </c>
      <c r="G1" s="14" t="s">
        <v>635</v>
      </c>
      <c r="H1" s="14" t="s">
        <v>15</v>
      </c>
    </row>
    <row r="2" spans="1:8" ht="15.75" thickTop="1" x14ac:dyDescent="0.25">
      <c r="A2" s="3">
        <v>1</v>
      </c>
      <c r="B2" s="15" t="s">
        <v>421</v>
      </c>
      <c r="C2" s="16">
        <v>43388</v>
      </c>
      <c r="D2" s="22">
        <v>0</v>
      </c>
      <c r="E2" s="22">
        <v>0</v>
      </c>
      <c r="F2" s="22">
        <v>0</v>
      </c>
      <c r="G2" s="22">
        <v>0</v>
      </c>
      <c r="H2" s="22">
        <v>0</v>
      </c>
    </row>
    <row r="3" spans="1:8" x14ac:dyDescent="0.25">
      <c r="A3" s="3">
        <f>A2+1</f>
        <v>2</v>
      </c>
      <c r="B3" s="15" t="s">
        <v>422</v>
      </c>
      <c r="C3" s="16">
        <f>C2+1</f>
        <v>43389</v>
      </c>
      <c r="D3" s="22">
        <v>0</v>
      </c>
      <c r="E3" s="22">
        <v>0</v>
      </c>
      <c r="F3" s="22">
        <v>0</v>
      </c>
      <c r="G3" s="22">
        <v>0</v>
      </c>
      <c r="H3" s="22">
        <v>0</v>
      </c>
    </row>
    <row r="4" spans="1:8" x14ac:dyDescent="0.25">
      <c r="A4" s="3">
        <f t="shared" ref="A4:A51" si="0">A3+1</f>
        <v>3</v>
      </c>
      <c r="B4" s="15" t="s">
        <v>423</v>
      </c>
      <c r="C4" s="16">
        <f t="shared" ref="C4:C51" si="1">C3+1</f>
        <v>43390</v>
      </c>
      <c r="D4" s="22">
        <v>0</v>
      </c>
      <c r="E4" s="22">
        <v>0</v>
      </c>
      <c r="F4" s="22">
        <v>0</v>
      </c>
      <c r="G4" s="22">
        <v>0</v>
      </c>
      <c r="H4" s="22">
        <v>0</v>
      </c>
    </row>
    <row r="5" spans="1:8" x14ac:dyDescent="0.25">
      <c r="A5" s="3">
        <f t="shared" si="0"/>
        <v>4</v>
      </c>
      <c r="B5" s="15" t="s">
        <v>424</v>
      </c>
      <c r="C5" s="16">
        <f t="shared" si="1"/>
        <v>43391</v>
      </c>
      <c r="D5" s="22">
        <v>0</v>
      </c>
      <c r="E5" s="22">
        <v>0</v>
      </c>
      <c r="F5" s="22">
        <v>0</v>
      </c>
      <c r="G5" s="22">
        <v>0</v>
      </c>
      <c r="H5" s="22">
        <v>0</v>
      </c>
    </row>
    <row r="6" spans="1:8" x14ac:dyDescent="0.25">
      <c r="A6" s="3">
        <f t="shared" si="0"/>
        <v>5</v>
      </c>
      <c r="B6" s="15" t="s">
        <v>425</v>
      </c>
      <c r="C6" s="16">
        <f t="shared" si="1"/>
        <v>43392</v>
      </c>
      <c r="D6" s="22">
        <v>0</v>
      </c>
      <c r="E6" s="22">
        <v>0</v>
      </c>
      <c r="F6" s="22">
        <v>0</v>
      </c>
      <c r="G6" s="22">
        <v>0</v>
      </c>
      <c r="H6" s="22">
        <v>0</v>
      </c>
    </row>
    <row r="7" spans="1:8" x14ac:dyDescent="0.25">
      <c r="A7" s="3">
        <f t="shared" si="0"/>
        <v>6</v>
      </c>
      <c r="B7" s="15" t="s">
        <v>421</v>
      </c>
      <c r="C7" s="16">
        <f>C2+7</f>
        <v>43395</v>
      </c>
      <c r="D7" s="22">
        <v>0</v>
      </c>
      <c r="E7" s="22">
        <v>0</v>
      </c>
      <c r="F7" s="22">
        <v>0</v>
      </c>
      <c r="G7" s="22">
        <v>0</v>
      </c>
      <c r="H7" s="22">
        <v>0</v>
      </c>
    </row>
    <row r="8" spans="1:8" x14ac:dyDescent="0.25">
      <c r="A8" s="3">
        <f t="shared" si="0"/>
        <v>7</v>
      </c>
      <c r="B8" s="15" t="s">
        <v>422</v>
      </c>
      <c r="C8" s="16">
        <f t="shared" si="1"/>
        <v>43396</v>
      </c>
      <c r="D8" s="22">
        <v>0</v>
      </c>
      <c r="E8" s="22">
        <v>0</v>
      </c>
      <c r="F8" s="22">
        <v>0</v>
      </c>
      <c r="G8" s="22">
        <v>0</v>
      </c>
      <c r="H8" s="22">
        <v>0</v>
      </c>
    </row>
    <row r="9" spans="1:8" x14ac:dyDescent="0.25">
      <c r="A9" s="3">
        <f t="shared" si="0"/>
        <v>8</v>
      </c>
      <c r="B9" s="15" t="s">
        <v>423</v>
      </c>
      <c r="C9" s="16">
        <f t="shared" si="1"/>
        <v>43397</v>
      </c>
      <c r="D9" s="22">
        <v>0</v>
      </c>
      <c r="E9" s="22">
        <v>0</v>
      </c>
      <c r="F9" s="22">
        <v>0</v>
      </c>
      <c r="G9" s="22">
        <v>0</v>
      </c>
      <c r="H9" s="22">
        <v>0</v>
      </c>
    </row>
    <row r="10" spans="1:8" x14ac:dyDescent="0.25">
      <c r="A10" s="3">
        <f t="shared" si="0"/>
        <v>9</v>
      </c>
      <c r="B10" s="15" t="s">
        <v>424</v>
      </c>
      <c r="C10" s="16">
        <f t="shared" si="1"/>
        <v>43398</v>
      </c>
      <c r="D10" s="22">
        <v>0</v>
      </c>
      <c r="E10" s="22">
        <v>0</v>
      </c>
      <c r="F10" s="22">
        <v>0</v>
      </c>
      <c r="G10" s="22">
        <v>0</v>
      </c>
      <c r="H10" s="22">
        <v>0</v>
      </c>
    </row>
    <row r="11" spans="1:8" x14ac:dyDescent="0.25">
      <c r="A11" s="3">
        <f t="shared" si="0"/>
        <v>10</v>
      </c>
      <c r="B11" s="15" t="s">
        <v>425</v>
      </c>
      <c r="C11" s="16">
        <f t="shared" si="1"/>
        <v>43399</v>
      </c>
      <c r="D11" s="22">
        <v>0</v>
      </c>
      <c r="E11" s="22">
        <v>0</v>
      </c>
      <c r="F11" s="22">
        <v>0</v>
      </c>
      <c r="G11" s="22">
        <v>0</v>
      </c>
      <c r="H11" s="22">
        <v>0</v>
      </c>
    </row>
    <row r="12" spans="1:8" x14ac:dyDescent="0.25">
      <c r="A12" s="3">
        <f t="shared" si="0"/>
        <v>11</v>
      </c>
      <c r="B12" s="15" t="s">
        <v>421</v>
      </c>
      <c r="C12" s="16">
        <f>C7+7</f>
        <v>43402</v>
      </c>
      <c r="D12" s="22">
        <v>0</v>
      </c>
      <c r="E12" s="22">
        <v>0</v>
      </c>
      <c r="F12" s="22">
        <v>0</v>
      </c>
      <c r="G12" s="22">
        <v>0</v>
      </c>
      <c r="H12" s="22">
        <v>0</v>
      </c>
    </row>
    <row r="13" spans="1:8" x14ac:dyDescent="0.25">
      <c r="A13" s="3">
        <f t="shared" si="0"/>
        <v>12</v>
      </c>
      <c r="B13" s="15" t="s">
        <v>422</v>
      </c>
      <c r="C13" s="16">
        <f t="shared" si="1"/>
        <v>43403</v>
      </c>
      <c r="D13" s="22">
        <v>0</v>
      </c>
      <c r="E13" s="22">
        <v>0</v>
      </c>
      <c r="F13" s="22">
        <v>0</v>
      </c>
      <c r="G13" s="22">
        <v>0</v>
      </c>
      <c r="H13" s="22">
        <v>0</v>
      </c>
    </row>
    <row r="14" spans="1:8" x14ac:dyDescent="0.25">
      <c r="A14" s="3">
        <f t="shared" si="0"/>
        <v>13</v>
      </c>
      <c r="B14" s="15" t="s">
        <v>423</v>
      </c>
      <c r="C14" s="16">
        <f t="shared" si="1"/>
        <v>43404</v>
      </c>
      <c r="D14" s="22">
        <v>0</v>
      </c>
      <c r="E14" s="22">
        <v>0</v>
      </c>
      <c r="F14" s="22">
        <v>0</v>
      </c>
      <c r="G14" s="22">
        <v>0</v>
      </c>
      <c r="H14" s="22">
        <v>0</v>
      </c>
    </row>
    <row r="15" spans="1:8" x14ac:dyDescent="0.25">
      <c r="A15" s="3">
        <f t="shared" si="0"/>
        <v>14</v>
      </c>
      <c r="B15" s="15" t="s">
        <v>424</v>
      </c>
      <c r="C15" s="16">
        <f t="shared" si="1"/>
        <v>43405</v>
      </c>
      <c r="D15" s="22">
        <v>0</v>
      </c>
      <c r="E15" s="22">
        <v>0</v>
      </c>
      <c r="F15" s="22">
        <v>0</v>
      </c>
      <c r="G15" s="22">
        <v>0</v>
      </c>
      <c r="H15" s="22">
        <v>0</v>
      </c>
    </row>
    <row r="16" spans="1:8" x14ac:dyDescent="0.25">
      <c r="A16" s="3">
        <f t="shared" si="0"/>
        <v>15</v>
      </c>
      <c r="B16" s="15" t="s">
        <v>425</v>
      </c>
      <c r="C16" s="16">
        <f t="shared" si="1"/>
        <v>43406</v>
      </c>
      <c r="D16" s="22">
        <v>0</v>
      </c>
      <c r="E16" s="22">
        <v>0</v>
      </c>
      <c r="F16" s="22">
        <v>0</v>
      </c>
      <c r="G16" s="22">
        <v>0</v>
      </c>
      <c r="H16" s="22">
        <v>0</v>
      </c>
    </row>
    <row r="17" spans="1:8" x14ac:dyDescent="0.25">
      <c r="A17" s="3">
        <f t="shared" si="0"/>
        <v>16</v>
      </c>
      <c r="B17" s="15" t="s">
        <v>421</v>
      </c>
      <c r="C17" s="16">
        <f>C12+7</f>
        <v>43409</v>
      </c>
      <c r="D17" s="22">
        <v>0</v>
      </c>
      <c r="E17" s="22">
        <v>0</v>
      </c>
      <c r="F17" s="22">
        <v>0</v>
      </c>
      <c r="G17" s="22">
        <v>0</v>
      </c>
      <c r="H17" s="22">
        <v>0</v>
      </c>
    </row>
    <row r="18" spans="1:8" x14ac:dyDescent="0.25">
      <c r="A18" s="3">
        <f t="shared" si="0"/>
        <v>17</v>
      </c>
      <c r="B18" s="15" t="s">
        <v>422</v>
      </c>
      <c r="C18" s="16">
        <f t="shared" si="1"/>
        <v>43410</v>
      </c>
      <c r="D18" s="22">
        <v>0</v>
      </c>
      <c r="E18" s="22">
        <v>0</v>
      </c>
      <c r="F18" s="22">
        <v>0</v>
      </c>
      <c r="G18" s="22">
        <v>0</v>
      </c>
      <c r="H18" s="22">
        <v>0</v>
      </c>
    </row>
    <row r="19" spans="1:8" x14ac:dyDescent="0.25">
      <c r="A19" s="3">
        <f t="shared" si="0"/>
        <v>18</v>
      </c>
      <c r="B19" s="15" t="s">
        <v>423</v>
      </c>
      <c r="C19" s="16">
        <f t="shared" si="1"/>
        <v>43411</v>
      </c>
      <c r="D19" s="22">
        <v>0</v>
      </c>
      <c r="E19" s="22">
        <v>0</v>
      </c>
      <c r="F19" s="22">
        <v>0</v>
      </c>
      <c r="G19" s="22">
        <v>0</v>
      </c>
      <c r="H19" s="22">
        <v>0</v>
      </c>
    </row>
    <row r="20" spans="1:8" x14ac:dyDescent="0.25">
      <c r="A20" s="3">
        <f t="shared" si="0"/>
        <v>19</v>
      </c>
      <c r="B20" s="15" t="s">
        <v>424</v>
      </c>
      <c r="C20" s="16">
        <f t="shared" si="1"/>
        <v>43412</v>
      </c>
      <c r="D20" s="22">
        <v>0</v>
      </c>
      <c r="E20" s="22">
        <v>0</v>
      </c>
      <c r="F20" s="22">
        <v>0</v>
      </c>
      <c r="G20" s="22">
        <v>0</v>
      </c>
      <c r="H20" s="22">
        <v>0</v>
      </c>
    </row>
    <row r="21" spans="1:8" x14ac:dyDescent="0.25">
      <c r="A21" s="3">
        <f t="shared" si="0"/>
        <v>20</v>
      </c>
      <c r="B21" s="15" t="s">
        <v>425</v>
      </c>
      <c r="C21" s="16">
        <f t="shared" si="1"/>
        <v>43413</v>
      </c>
      <c r="D21" s="22">
        <v>0</v>
      </c>
      <c r="E21" s="22">
        <v>0</v>
      </c>
      <c r="F21" s="22">
        <v>0</v>
      </c>
      <c r="G21" s="22">
        <v>0</v>
      </c>
      <c r="H21" s="22">
        <v>0</v>
      </c>
    </row>
    <row r="22" spans="1:8" x14ac:dyDescent="0.25">
      <c r="A22" s="3">
        <f t="shared" si="0"/>
        <v>21</v>
      </c>
      <c r="B22" s="15" t="s">
        <v>421</v>
      </c>
      <c r="C22" s="16">
        <f>C17+7</f>
        <v>43416</v>
      </c>
      <c r="D22" s="22">
        <v>0</v>
      </c>
      <c r="E22" s="22">
        <v>0</v>
      </c>
      <c r="F22" s="22">
        <v>0</v>
      </c>
      <c r="G22" s="22">
        <v>0</v>
      </c>
      <c r="H22" s="22">
        <v>0</v>
      </c>
    </row>
    <row r="23" spans="1:8" x14ac:dyDescent="0.25">
      <c r="A23" s="3">
        <f t="shared" si="0"/>
        <v>22</v>
      </c>
      <c r="B23" s="15" t="s">
        <v>422</v>
      </c>
      <c r="C23" s="16">
        <f t="shared" si="1"/>
        <v>43417</v>
      </c>
      <c r="D23" s="22">
        <v>0</v>
      </c>
      <c r="E23" s="22">
        <v>0</v>
      </c>
      <c r="F23" s="22">
        <v>0</v>
      </c>
      <c r="G23" s="22">
        <v>0</v>
      </c>
      <c r="H23" s="22">
        <v>0</v>
      </c>
    </row>
    <row r="24" spans="1:8" x14ac:dyDescent="0.25">
      <c r="A24" s="3">
        <f t="shared" si="0"/>
        <v>23</v>
      </c>
      <c r="B24" s="15" t="s">
        <v>423</v>
      </c>
      <c r="C24" s="16">
        <f t="shared" si="1"/>
        <v>43418</v>
      </c>
      <c r="D24" s="22">
        <v>0</v>
      </c>
      <c r="E24" s="22">
        <v>0</v>
      </c>
      <c r="F24" s="22">
        <v>0</v>
      </c>
      <c r="G24" s="22">
        <v>0</v>
      </c>
      <c r="H24" s="22">
        <v>0</v>
      </c>
    </row>
    <row r="25" spans="1:8" x14ac:dyDescent="0.25">
      <c r="A25" s="3">
        <f t="shared" si="0"/>
        <v>24</v>
      </c>
      <c r="B25" s="15" t="s">
        <v>424</v>
      </c>
      <c r="C25" s="16">
        <f t="shared" si="1"/>
        <v>43419</v>
      </c>
      <c r="D25" s="22">
        <v>0</v>
      </c>
      <c r="E25" s="22">
        <v>0</v>
      </c>
      <c r="F25" s="22">
        <v>0</v>
      </c>
      <c r="G25" s="22">
        <v>0</v>
      </c>
      <c r="H25" s="22">
        <v>0</v>
      </c>
    </row>
    <row r="26" spans="1:8" x14ac:dyDescent="0.25">
      <c r="A26" s="3">
        <f t="shared" si="0"/>
        <v>25</v>
      </c>
      <c r="B26" s="15" t="s">
        <v>425</v>
      </c>
      <c r="C26" s="16">
        <f t="shared" si="1"/>
        <v>43420</v>
      </c>
      <c r="D26" s="22">
        <v>0</v>
      </c>
      <c r="E26" s="22">
        <v>0</v>
      </c>
      <c r="F26" s="22">
        <v>0</v>
      </c>
      <c r="G26" s="22">
        <v>0</v>
      </c>
      <c r="H26" s="22">
        <v>0</v>
      </c>
    </row>
    <row r="27" spans="1:8" x14ac:dyDescent="0.25">
      <c r="A27" s="3">
        <f t="shared" si="0"/>
        <v>26</v>
      </c>
      <c r="B27" s="15" t="s">
        <v>421</v>
      </c>
      <c r="C27" s="16">
        <f>C22+7</f>
        <v>43423</v>
      </c>
      <c r="D27" s="22">
        <v>0</v>
      </c>
      <c r="E27" s="22">
        <v>0</v>
      </c>
      <c r="F27" s="22">
        <v>0</v>
      </c>
      <c r="G27" s="22">
        <v>0</v>
      </c>
      <c r="H27" s="22">
        <v>0</v>
      </c>
    </row>
    <row r="28" spans="1:8" x14ac:dyDescent="0.25">
      <c r="A28" s="3">
        <f t="shared" si="0"/>
        <v>27</v>
      </c>
      <c r="B28" s="15" t="s">
        <v>422</v>
      </c>
      <c r="C28" s="16">
        <f t="shared" si="1"/>
        <v>43424</v>
      </c>
      <c r="D28" s="22">
        <v>0</v>
      </c>
      <c r="E28" s="22">
        <v>0</v>
      </c>
      <c r="F28" s="22">
        <v>0</v>
      </c>
      <c r="G28" s="22">
        <v>0</v>
      </c>
      <c r="H28" s="22">
        <v>0</v>
      </c>
    </row>
    <row r="29" spans="1:8" x14ac:dyDescent="0.25">
      <c r="A29" s="3">
        <f t="shared" si="0"/>
        <v>28</v>
      </c>
      <c r="B29" s="15" t="s">
        <v>423</v>
      </c>
      <c r="C29" s="16">
        <f t="shared" si="1"/>
        <v>43425</v>
      </c>
      <c r="D29" s="22">
        <v>0</v>
      </c>
      <c r="E29" s="22">
        <v>0</v>
      </c>
      <c r="F29" s="22">
        <v>0</v>
      </c>
      <c r="G29" s="22">
        <v>0</v>
      </c>
      <c r="H29" s="22">
        <v>0</v>
      </c>
    </row>
    <row r="30" spans="1:8" x14ac:dyDescent="0.25">
      <c r="A30" s="3">
        <f t="shared" si="0"/>
        <v>29</v>
      </c>
      <c r="B30" s="15" t="s">
        <v>424</v>
      </c>
      <c r="C30" s="16">
        <f t="shared" si="1"/>
        <v>43426</v>
      </c>
      <c r="D30" s="22">
        <v>0</v>
      </c>
      <c r="E30" s="22">
        <v>0</v>
      </c>
      <c r="F30" s="22">
        <v>0</v>
      </c>
      <c r="G30" s="22">
        <v>0</v>
      </c>
      <c r="H30" s="22">
        <v>0</v>
      </c>
    </row>
    <row r="31" spans="1:8" x14ac:dyDescent="0.25">
      <c r="A31" s="3">
        <f t="shared" si="0"/>
        <v>30</v>
      </c>
      <c r="B31" s="15" t="s">
        <v>425</v>
      </c>
      <c r="C31" s="16">
        <f t="shared" si="1"/>
        <v>43427</v>
      </c>
      <c r="D31" s="22">
        <v>0</v>
      </c>
      <c r="E31" s="22">
        <v>0</v>
      </c>
      <c r="F31" s="22">
        <v>0</v>
      </c>
      <c r="G31" s="22">
        <v>0</v>
      </c>
      <c r="H31" s="22">
        <v>0</v>
      </c>
    </row>
    <row r="32" spans="1:8" x14ac:dyDescent="0.25">
      <c r="A32" s="3">
        <f t="shared" si="0"/>
        <v>31</v>
      </c>
      <c r="B32" s="15" t="s">
        <v>421</v>
      </c>
      <c r="C32" s="16">
        <f>C27+7</f>
        <v>43430</v>
      </c>
      <c r="D32" s="22">
        <v>0</v>
      </c>
      <c r="E32" s="22">
        <v>0</v>
      </c>
      <c r="F32" s="22">
        <v>0</v>
      </c>
      <c r="G32" s="22">
        <v>0</v>
      </c>
      <c r="H32" s="22">
        <v>0</v>
      </c>
    </row>
    <row r="33" spans="1:8" x14ac:dyDescent="0.25">
      <c r="A33" s="3">
        <f t="shared" si="0"/>
        <v>32</v>
      </c>
      <c r="B33" s="15" t="s">
        <v>422</v>
      </c>
      <c r="C33" s="16">
        <f t="shared" si="1"/>
        <v>43431</v>
      </c>
      <c r="D33" s="22">
        <v>0</v>
      </c>
      <c r="E33" s="22">
        <v>0</v>
      </c>
      <c r="F33" s="22">
        <v>0</v>
      </c>
      <c r="G33" s="22">
        <v>0</v>
      </c>
      <c r="H33" s="22">
        <v>0</v>
      </c>
    </row>
    <row r="34" spans="1:8" x14ac:dyDescent="0.25">
      <c r="A34" s="3">
        <f t="shared" si="0"/>
        <v>33</v>
      </c>
      <c r="B34" s="15" t="s">
        <v>423</v>
      </c>
      <c r="C34" s="16">
        <f t="shared" si="1"/>
        <v>43432</v>
      </c>
      <c r="D34" s="22">
        <v>0</v>
      </c>
      <c r="E34" s="22">
        <v>0</v>
      </c>
      <c r="F34" s="22">
        <v>0</v>
      </c>
      <c r="G34" s="22">
        <v>0</v>
      </c>
      <c r="H34" s="22">
        <v>0</v>
      </c>
    </row>
    <row r="35" spans="1:8" x14ac:dyDescent="0.25">
      <c r="A35" s="3">
        <f t="shared" si="0"/>
        <v>34</v>
      </c>
      <c r="B35" s="15" t="s">
        <v>424</v>
      </c>
      <c r="C35" s="16">
        <f t="shared" si="1"/>
        <v>43433</v>
      </c>
      <c r="D35" s="22">
        <v>0</v>
      </c>
      <c r="E35" s="22">
        <v>0</v>
      </c>
      <c r="F35" s="22">
        <v>0</v>
      </c>
      <c r="G35" s="22">
        <v>0</v>
      </c>
      <c r="H35" s="22">
        <v>0</v>
      </c>
    </row>
    <row r="36" spans="1:8" x14ac:dyDescent="0.25">
      <c r="A36" s="3">
        <f t="shared" si="0"/>
        <v>35</v>
      </c>
      <c r="B36" s="15" t="s">
        <v>425</v>
      </c>
      <c r="C36" s="16">
        <f t="shared" si="1"/>
        <v>43434</v>
      </c>
      <c r="D36" s="22">
        <v>0</v>
      </c>
      <c r="E36" s="22">
        <v>0</v>
      </c>
      <c r="F36" s="22">
        <v>0</v>
      </c>
      <c r="G36" s="22">
        <v>0</v>
      </c>
      <c r="H36" s="22">
        <v>0</v>
      </c>
    </row>
    <row r="37" spans="1:8" x14ac:dyDescent="0.25">
      <c r="A37" s="3">
        <f t="shared" si="0"/>
        <v>36</v>
      </c>
      <c r="B37" s="15" t="s">
        <v>421</v>
      </c>
      <c r="C37" s="16">
        <f>C32+7</f>
        <v>43437</v>
      </c>
      <c r="D37" s="22">
        <v>0</v>
      </c>
      <c r="E37" s="22">
        <v>65</v>
      </c>
      <c r="F37" s="22">
        <v>23</v>
      </c>
      <c r="G37" s="22">
        <v>99</v>
      </c>
      <c r="H37" s="22">
        <v>185</v>
      </c>
    </row>
    <row r="38" spans="1:8" x14ac:dyDescent="0.25">
      <c r="A38" s="3">
        <f t="shared" si="0"/>
        <v>37</v>
      </c>
      <c r="B38" s="15" t="s">
        <v>422</v>
      </c>
      <c r="C38" s="16">
        <f t="shared" si="1"/>
        <v>43438</v>
      </c>
      <c r="D38" s="22">
        <v>195</v>
      </c>
      <c r="E38" s="22">
        <v>130</v>
      </c>
      <c r="F38" s="22">
        <v>60</v>
      </c>
      <c r="G38" s="22">
        <v>120</v>
      </c>
      <c r="H38" s="22">
        <v>311</v>
      </c>
    </row>
    <row r="39" spans="1:8" x14ac:dyDescent="0.25">
      <c r="A39" s="3">
        <f t="shared" si="0"/>
        <v>38</v>
      </c>
      <c r="B39" s="15" t="s">
        <v>423</v>
      </c>
      <c r="C39" s="16">
        <f t="shared" si="1"/>
        <v>43439</v>
      </c>
      <c r="D39" s="22">
        <v>195</v>
      </c>
      <c r="E39" s="22">
        <v>130</v>
      </c>
      <c r="F39" s="22">
        <v>60</v>
      </c>
      <c r="G39" s="22">
        <v>120</v>
      </c>
      <c r="H39" s="22">
        <v>311</v>
      </c>
    </row>
    <row r="40" spans="1:8" x14ac:dyDescent="0.25">
      <c r="A40" s="3">
        <f t="shared" si="0"/>
        <v>39</v>
      </c>
      <c r="B40" s="15" t="s">
        <v>424</v>
      </c>
      <c r="C40" s="16">
        <f t="shared" si="1"/>
        <v>43440</v>
      </c>
      <c r="D40" s="22">
        <v>195</v>
      </c>
      <c r="E40" s="22">
        <v>130</v>
      </c>
      <c r="F40" s="22">
        <v>60</v>
      </c>
      <c r="G40" s="22">
        <v>120</v>
      </c>
      <c r="H40" s="22">
        <v>311</v>
      </c>
    </row>
    <row r="41" spans="1:8" x14ac:dyDescent="0.25">
      <c r="A41" s="3">
        <f t="shared" si="0"/>
        <v>40</v>
      </c>
      <c r="B41" s="15" t="s">
        <v>425</v>
      </c>
      <c r="C41" s="16">
        <f t="shared" si="1"/>
        <v>43441</v>
      </c>
      <c r="D41" s="22">
        <v>170</v>
      </c>
      <c r="E41" s="22">
        <v>122</v>
      </c>
      <c r="F41" s="22">
        <v>68</v>
      </c>
      <c r="G41" s="22">
        <v>143</v>
      </c>
      <c r="H41" s="22">
        <v>311</v>
      </c>
    </row>
    <row r="42" spans="1:8" x14ac:dyDescent="0.25">
      <c r="A42" s="3">
        <f t="shared" si="0"/>
        <v>41</v>
      </c>
      <c r="B42" s="15" t="s">
        <v>421</v>
      </c>
      <c r="C42" s="16">
        <f>C37+7</f>
        <v>43444</v>
      </c>
      <c r="D42" s="22">
        <v>170</v>
      </c>
      <c r="E42" s="22">
        <v>122</v>
      </c>
      <c r="F42" s="22">
        <v>68</v>
      </c>
      <c r="G42" s="22">
        <v>143</v>
      </c>
      <c r="H42" s="22">
        <v>311</v>
      </c>
    </row>
    <row r="43" spans="1:8" x14ac:dyDescent="0.25">
      <c r="A43" s="3">
        <f t="shared" si="0"/>
        <v>42</v>
      </c>
      <c r="B43" s="15" t="s">
        <v>422</v>
      </c>
      <c r="C43" s="16">
        <f t="shared" si="1"/>
        <v>43445</v>
      </c>
      <c r="D43" s="22">
        <v>170</v>
      </c>
      <c r="E43" s="22">
        <v>122</v>
      </c>
      <c r="F43" s="22">
        <v>68</v>
      </c>
      <c r="G43" s="22">
        <v>143</v>
      </c>
      <c r="H43" s="22">
        <v>311</v>
      </c>
    </row>
    <row r="44" spans="1:8" x14ac:dyDescent="0.25">
      <c r="A44" s="3">
        <f t="shared" si="0"/>
        <v>43</v>
      </c>
      <c r="B44" s="15" t="s">
        <v>423</v>
      </c>
      <c r="C44" s="16">
        <f t="shared" si="1"/>
        <v>43446</v>
      </c>
      <c r="D44" s="22">
        <v>170</v>
      </c>
      <c r="E44" s="22">
        <v>122</v>
      </c>
      <c r="F44" s="22">
        <v>68</v>
      </c>
      <c r="G44" s="22">
        <v>143</v>
      </c>
      <c r="H44" s="22">
        <v>311</v>
      </c>
    </row>
    <row r="45" spans="1:8" x14ac:dyDescent="0.25">
      <c r="A45" s="3">
        <f t="shared" si="0"/>
        <v>44</v>
      </c>
      <c r="B45" s="15" t="s">
        <v>424</v>
      </c>
      <c r="C45" s="16">
        <f t="shared" si="1"/>
        <v>43447</v>
      </c>
      <c r="D45" s="22">
        <v>170</v>
      </c>
      <c r="E45" s="22">
        <v>122</v>
      </c>
      <c r="F45" s="22">
        <v>68</v>
      </c>
      <c r="G45" s="22">
        <v>143</v>
      </c>
      <c r="H45" s="22">
        <v>311</v>
      </c>
    </row>
    <row r="46" spans="1:8" x14ac:dyDescent="0.25">
      <c r="A46" s="3">
        <f t="shared" si="0"/>
        <v>45</v>
      </c>
      <c r="B46" s="15" t="s">
        <v>425</v>
      </c>
      <c r="C46" s="16">
        <f t="shared" si="1"/>
        <v>43448</v>
      </c>
      <c r="D46" s="22">
        <v>170</v>
      </c>
      <c r="E46" s="22">
        <v>122</v>
      </c>
      <c r="F46" s="22">
        <v>68</v>
      </c>
      <c r="G46" s="22">
        <v>143</v>
      </c>
      <c r="H46" s="22">
        <v>311</v>
      </c>
    </row>
    <row r="47" spans="1:8" x14ac:dyDescent="0.25">
      <c r="A47" s="3">
        <f t="shared" si="0"/>
        <v>46</v>
      </c>
      <c r="B47" s="15" t="s">
        <v>421</v>
      </c>
      <c r="C47" s="16">
        <f>C42+7</f>
        <v>43451</v>
      </c>
      <c r="D47" s="22">
        <v>170</v>
      </c>
      <c r="E47" s="22">
        <v>122</v>
      </c>
      <c r="F47" s="22">
        <v>68</v>
      </c>
      <c r="G47" s="22">
        <v>143</v>
      </c>
      <c r="H47" s="22">
        <v>311</v>
      </c>
    </row>
    <row r="48" spans="1:8" x14ac:dyDescent="0.25">
      <c r="A48" s="3">
        <f t="shared" si="0"/>
        <v>47</v>
      </c>
      <c r="B48" s="15" t="s">
        <v>422</v>
      </c>
      <c r="C48" s="16">
        <f t="shared" si="1"/>
        <v>43452</v>
      </c>
      <c r="D48" s="22">
        <v>170</v>
      </c>
      <c r="E48" s="22">
        <v>122</v>
      </c>
      <c r="F48" s="22">
        <v>68</v>
      </c>
      <c r="G48" s="22">
        <v>143</v>
      </c>
      <c r="H48" s="22">
        <v>311</v>
      </c>
    </row>
    <row r="49" spans="1:8" x14ac:dyDescent="0.25">
      <c r="A49" s="3">
        <f t="shared" si="0"/>
        <v>48</v>
      </c>
      <c r="B49" s="15" t="s">
        <v>423</v>
      </c>
      <c r="C49" s="16">
        <f t="shared" si="1"/>
        <v>43453</v>
      </c>
      <c r="D49" s="22">
        <v>170</v>
      </c>
      <c r="E49" s="22">
        <v>122</v>
      </c>
      <c r="F49" s="22">
        <v>68</v>
      </c>
      <c r="G49" s="22">
        <v>143</v>
      </c>
      <c r="H49" s="22">
        <v>311</v>
      </c>
    </row>
    <row r="50" spans="1:8" x14ac:dyDescent="0.25">
      <c r="A50" s="3">
        <f t="shared" si="0"/>
        <v>49</v>
      </c>
      <c r="B50" s="15" t="s">
        <v>424</v>
      </c>
      <c r="C50" s="16">
        <f t="shared" si="1"/>
        <v>43454</v>
      </c>
      <c r="D50" s="22">
        <v>170</v>
      </c>
      <c r="E50" s="22">
        <v>122</v>
      </c>
      <c r="F50" s="22">
        <v>68</v>
      </c>
      <c r="G50" s="22">
        <v>143</v>
      </c>
      <c r="H50" s="22">
        <v>311</v>
      </c>
    </row>
    <row r="51" spans="1:8" x14ac:dyDescent="0.25">
      <c r="A51" s="3">
        <f t="shared" si="0"/>
        <v>50</v>
      </c>
      <c r="B51" s="15" t="s">
        <v>425</v>
      </c>
      <c r="C51" s="16">
        <f t="shared" si="1"/>
        <v>43455</v>
      </c>
      <c r="D51" s="22">
        <v>170</v>
      </c>
      <c r="E51" s="22">
        <v>122</v>
      </c>
      <c r="F51" s="22">
        <v>68</v>
      </c>
      <c r="G51" s="22">
        <v>143</v>
      </c>
      <c r="H51" s="22">
        <v>311</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sheetPr>
  <dimension ref="A1:Q53"/>
  <sheetViews>
    <sheetView topLeftCell="B1" workbookViewId="0">
      <selection activeCell="Y41" sqref="Y41"/>
    </sheetView>
  </sheetViews>
  <sheetFormatPr defaultColWidth="7.75" defaultRowHeight="12.75" x14ac:dyDescent="0.2"/>
  <cols>
    <col min="1" max="2" width="7.75" style="26"/>
    <col min="3" max="3" width="11.625" style="26" customWidth="1"/>
    <col min="4" max="4" width="7.625" style="26" hidden="1" customWidth="1"/>
    <col min="5" max="5" width="11.625" style="26" customWidth="1"/>
    <col min="6" max="6" width="14.25" style="26" customWidth="1"/>
    <col min="7" max="259" width="7.75" style="26"/>
    <col min="260" max="262" width="11.625" style="26" customWidth="1"/>
    <col min="263" max="515" width="7.75" style="26"/>
    <col min="516" max="518" width="11.625" style="26" customWidth="1"/>
    <col min="519" max="771" width="7.75" style="26"/>
    <col min="772" max="774" width="11.625" style="26" customWidth="1"/>
    <col min="775" max="1027" width="7.75" style="26"/>
    <col min="1028" max="1030" width="11.625" style="26" customWidth="1"/>
    <col min="1031" max="1283" width="7.75" style="26"/>
    <col min="1284" max="1286" width="11.625" style="26" customWidth="1"/>
    <col min="1287" max="1539" width="7.75" style="26"/>
    <col min="1540" max="1542" width="11.625" style="26" customWidth="1"/>
    <col min="1543" max="1795" width="7.75" style="26"/>
    <col min="1796" max="1798" width="11.625" style="26" customWidth="1"/>
    <col min="1799" max="2051" width="7.75" style="26"/>
    <col min="2052" max="2054" width="11.625" style="26" customWidth="1"/>
    <col min="2055" max="2307" width="7.75" style="26"/>
    <col min="2308" max="2310" width="11.625" style="26" customWidth="1"/>
    <col min="2311" max="2563" width="7.75" style="26"/>
    <col min="2564" max="2566" width="11.625" style="26" customWidth="1"/>
    <col min="2567" max="2819" width="7.75" style="26"/>
    <col min="2820" max="2822" width="11.625" style="26" customWidth="1"/>
    <col min="2823" max="3075" width="7.75" style="26"/>
    <col min="3076" max="3078" width="11.625" style="26" customWidth="1"/>
    <col min="3079" max="3331" width="7.75" style="26"/>
    <col min="3332" max="3334" width="11.625" style="26" customWidth="1"/>
    <col min="3335" max="3587" width="7.75" style="26"/>
    <col min="3588" max="3590" width="11.625" style="26" customWidth="1"/>
    <col min="3591" max="3843" width="7.75" style="26"/>
    <col min="3844" max="3846" width="11.625" style="26" customWidth="1"/>
    <col min="3847" max="4099" width="7.75" style="26"/>
    <col min="4100" max="4102" width="11.625" style="26" customWidth="1"/>
    <col min="4103" max="4355" width="7.75" style="26"/>
    <col min="4356" max="4358" width="11.625" style="26" customWidth="1"/>
    <col min="4359" max="4611" width="7.75" style="26"/>
    <col min="4612" max="4614" width="11.625" style="26" customWidth="1"/>
    <col min="4615" max="4867" width="7.75" style="26"/>
    <col min="4868" max="4870" width="11.625" style="26" customWidth="1"/>
    <col min="4871" max="5123" width="7.75" style="26"/>
    <col min="5124" max="5126" width="11.625" style="26" customWidth="1"/>
    <col min="5127" max="5379" width="7.75" style="26"/>
    <col min="5380" max="5382" width="11.625" style="26" customWidth="1"/>
    <col min="5383" max="5635" width="7.75" style="26"/>
    <col min="5636" max="5638" width="11.625" style="26" customWidth="1"/>
    <col min="5639" max="5891" width="7.75" style="26"/>
    <col min="5892" max="5894" width="11.625" style="26" customWidth="1"/>
    <col min="5895" max="6147" width="7.75" style="26"/>
    <col min="6148" max="6150" width="11.625" style="26" customWidth="1"/>
    <col min="6151" max="6403" width="7.75" style="26"/>
    <col min="6404" max="6406" width="11.625" style="26" customWidth="1"/>
    <col min="6407" max="6659" width="7.75" style="26"/>
    <col min="6660" max="6662" width="11.625" style="26" customWidth="1"/>
    <col min="6663" max="6915" width="7.75" style="26"/>
    <col min="6916" max="6918" width="11.625" style="26" customWidth="1"/>
    <col min="6919" max="7171" width="7.75" style="26"/>
    <col min="7172" max="7174" width="11.625" style="26" customWidth="1"/>
    <col min="7175" max="7427" width="7.75" style="26"/>
    <col min="7428" max="7430" width="11.625" style="26" customWidth="1"/>
    <col min="7431" max="7683" width="7.75" style="26"/>
    <col min="7684" max="7686" width="11.625" style="26" customWidth="1"/>
    <col min="7687" max="7939" width="7.75" style="26"/>
    <col min="7940" max="7942" width="11.625" style="26" customWidth="1"/>
    <col min="7943" max="8195" width="7.75" style="26"/>
    <col min="8196" max="8198" width="11.625" style="26" customWidth="1"/>
    <col min="8199" max="8451" width="7.75" style="26"/>
    <col min="8452" max="8454" width="11.625" style="26" customWidth="1"/>
    <col min="8455" max="8707" width="7.75" style="26"/>
    <col min="8708" max="8710" width="11.625" style="26" customWidth="1"/>
    <col min="8711" max="8963" width="7.75" style="26"/>
    <col min="8964" max="8966" width="11.625" style="26" customWidth="1"/>
    <col min="8967" max="9219" width="7.75" style="26"/>
    <col min="9220" max="9222" width="11.625" style="26" customWidth="1"/>
    <col min="9223" max="9475" width="7.75" style="26"/>
    <col min="9476" max="9478" width="11.625" style="26" customWidth="1"/>
    <col min="9479" max="9731" width="7.75" style="26"/>
    <col min="9732" max="9734" width="11.625" style="26" customWidth="1"/>
    <col min="9735" max="9987" width="7.75" style="26"/>
    <col min="9988" max="9990" width="11.625" style="26" customWidth="1"/>
    <col min="9991" max="10243" width="7.75" style="26"/>
    <col min="10244" max="10246" width="11.625" style="26" customWidth="1"/>
    <col min="10247" max="10499" width="7.75" style="26"/>
    <col min="10500" max="10502" width="11.625" style="26" customWidth="1"/>
    <col min="10503" max="10755" width="7.75" style="26"/>
    <col min="10756" max="10758" width="11.625" style="26" customWidth="1"/>
    <col min="10759" max="11011" width="7.75" style="26"/>
    <col min="11012" max="11014" width="11.625" style="26" customWidth="1"/>
    <col min="11015" max="11267" width="7.75" style="26"/>
    <col min="11268" max="11270" width="11.625" style="26" customWidth="1"/>
    <col min="11271" max="11523" width="7.75" style="26"/>
    <col min="11524" max="11526" width="11.625" style="26" customWidth="1"/>
    <col min="11527" max="11779" width="7.75" style="26"/>
    <col min="11780" max="11782" width="11.625" style="26" customWidth="1"/>
    <col min="11783" max="12035" width="7.75" style="26"/>
    <col min="12036" max="12038" width="11.625" style="26" customWidth="1"/>
    <col min="12039" max="12291" width="7.75" style="26"/>
    <col min="12292" max="12294" width="11.625" style="26" customWidth="1"/>
    <col min="12295" max="12547" width="7.75" style="26"/>
    <col min="12548" max="12550" width="11.625" style="26" customWidth="1"/>
    <col min="12551" max="12803" width="7.75" style="26"/>
    <col min="12804" max="12806" width="11.625" style="26" customWidth="1"/>
    <col min="12807" max="13059" width="7.75" style="26"/>
    <col min="13060" max="13062" width="11.625" style="26" customWidth="1"/>
    <col min="13063" max="13315" width="7.75" style="26"/>
    <col min="13316" max="13318" width="11.625" style="26" customWidth="1"/>
    <col min="13319" max="13571" width="7.75" style="26"/>
    <col min="13572" max="13574" width="11.625" style="26" customWidth="1"/>
    <col min="13575" max="13827" width="7.75" style="26"/>
    <col min="13828" max="13830" width="11.625" style="26" customWidth="1"/>
    <col min="13831" max="14083" width="7.75" style="26"/>
    <col min="14084" max="14086" width="11.625" style="26" customWidth="1"/>
    <col min="14087" max="14339" width="7.75" style="26"/>
    <col min="14340" max="14342" width="11.625" style="26" customWidth="1"/>
    <col min="14343" max="14595" width="7.75" style="26"/>
    <col min="14596" max="14598" width="11.625" style="26" customWidth="1"/>
    <col min="14599" max="14851" width="7.75" style="26"/>
    <col min="14852" max="14854" width="11.625" style="26" customWidth="1"/>
    <col min="14855" max="15107" width="7.75" style="26"/>
    <col min="15108" max="15110" width="11.625" style="26" customWidth="1"/>
    <col min="15111" max="15363" width="7.75" style="26"/>
    <col min="15364" max="15366" width="11.625" style="26" customWidth="1"/>
    <col min="15367" max="15619" width="7.75" style="26"/>
    <col min="15620" max="15622" width="11.625" style="26" customWidth="1"/>
    <col min="15623" max="15875" width="7.75" style="26"/>
    <col min="15876" max="15878" width="11.625" style="26" customWidth="1"/>
    <col min="15879" max="16131" width="7.75" style="26"/>
    <col min="16132" max="16134" width="11.625" style="26" customWidth="1"/>
    <col min="16135" max="16384" width="7.75" style="26"/>
  </cols>
  <sheetData>
    <row r="1" spans="1:17" s="25" customFormat="1" ht="18" thickBot="1" x14ac:dyDescent="0.35">
      <c r="A1" s="4" t="s">
        <v>414</v>
      </c>
      <c r="B1" s="4"/>
      <c r="C1" s="4" t="s">
        <v>3</v>
      </c>
      <c r="D1" s="4" t="s">
        <v>643</v>
      </c>
      <c r="E1" s="4" t="s">
        <v>427</v>
      </c>
      <c r="F1" s="4" t="s">
        <v>642</v>
      </c>
      <c r="G1" s="27"/>
      <c r="H1"/>
      <c r="I1"/>
      <c r="J1"/>
      <c r="K1" t="str">
        <f>IF(ISNUMBER(J1),IF(J1&lt;J2,"",(((COLUMN()-1)*'[1]Sprint Information'!#REF!)+'[1]Sprint Information'!#REF!)),"")</f>
        <v/>
      </c>
      <c r="L1" t="str">
        <f>IF(ISNUMBER(K1),IF(K1&lt;K2,"",(((COLUMN()-1)*'[1]Sprint Information'!#REF!)+'[1]Sprint Information'!#REF!)),"")</f>
        <v/>
      </c>
      <c r="M1" t="str">
        <f>IF(ISNUMBER(L1),IF(L1&lt;L2,"",(((COLUMN()-1)*'[1]Sprint Information'!#REF!)+'[1]Sprint Information'!#REF!)),"")</f>
        <v/>
      </c>
      <c r="N1" t="str">
        <f>IF(ISNUMBER(M1),IF(M1&lt;M2,"",(((COLUMN()-1)*'[1]Sprint Information'!#REF!)+'[1]Sprint Information'!#REF!)),"")</f>
        <v/>
      </c>
      <c r="O1" t="str">
        <f>IF(ISNUMBER(N1),IF(N1&lt;N2,"",(((COLUMN()-1)*'[1]Sprint Information'!#REF!)+'[1]Sprint Information'!#REF!)),"")</f>
        <v/>
      </c>
      <c r="P1" t="str">
        <f>IF(ISNUMBER(O1),IF(O1&lt;O2,"",(((COLUMN()-1)*'[1]Sprint Information'!#REF!)+'[1]Sprint Information'!#REF!)),"")</f>
        <v/>
      </c>
      <c r="Q1" t="str">
        <f>IF(ISNUMBER(P1),IF(P1&lt;P2,"",(((COLUMN()-1)*'[1]Sprint Information'!#REF!)+'[1]Sprint Information'!#REF!)),"")</f>
        <v/>
      </c>
    </row>
    <row r="2" spans="1:17" ht="16.5" thickTop="1" x14ac:dyDescent="0.25">
      <c r="A2" s="3">
        <v>1</v>
      </c>
      <c r="B2" s="15" t="s">
        <v>421</v>
      </c>
      <c r="C2" s="16">
        <v>43388</v>
      </c>
      <c r="D2" s="28">
        <f>E2</f>
        <v>0</v>
      </c>
      <c r="E2" s="26">
        <v>0</v>
      </c>
      <c r="F2" s="26">
        <f t="shared" ref="F2:F53" si="0">IF(ISNUMBER($C2),0,"")</f>
        <v>0</v>
      </c>
      <c r="H2"/>
      <c r="I2"/>
      <c r="J2"/>
      <c r="K2" t="str">
        <f>IF(ISNUMBER(K1),(((COLUMN()-1)*'[1]Sprint Information'!#REF!)+'[1]Sprint Information'!#REF!),"")</f>
        <v/>
      </c>
      <c r="L2" t="str">
        <f>IF(ISNUMBER(L1),(((COLUMN()-1)*'[1]Sprint Information'!#REF!)+'[1]Sprint Information'!#REF!),"")</f>
        <v/>
      </c>
      <c r="M2" t="str">
        <f>IF(ISNUMBER(M1),(((COLUMN()-1)*'[1]Sprint Information'!#REF!)+'[1]Sprint Information'!#REF!),"")</f>
        <v/>
      </c>
      <c r="N2" t="str">
        <f>IF(ISNUMBER(N1),(((COLUMN()-1)*'[1]Sprint Information'!#REF!)+'[1]Sprint Information'!#REF!),"")</f>
        <v/>
      </c>
      <c r="O2" t="str">
        <f>IF(ISNUMBER(O1),(((COLUMN()-1)*'[1]Sprint Information'!#REF!)+'[1]Sprint Information'!#REF!),"")</f>
        <v/>
      </c>
      <c r="P2" t="str">
        <f>IF(ISNUMBER(P1),(((COLUMN()-1)*'[1]Sprint Information'!#REF!)+'[1]Sprint Information'!#REF!),"")</f>
        <v/>
      </c>
      <c r="Q2" t="str">
        <f>IF(ISNUMBER(Q1),(((COLUMN()-1)*'[1]Sprint Information'!#REF!)+'[1]Sprint Information'!#REF!),"")</f>
        <v/>
      </c>
    </row>
    <row r="3" spans="1:17" ht="15" x14ac:dyDescent="0.25">
      <c r="A3" s="3">
        <f>A2+1</f>
        <v>2</v>
      </c>
      <c r="B3" s="15" t="s">
        <v>422</v>
      </c>
      <c r="C3" s="16">
        <f>C2+1</f>
        <v>43389</v>
      </c>
      <c r="D3" s="29">
        <f>D2-($D$2/50)</f>
        <v>0</v>
      </c>
      <c r="E3" s="26">
        <v>0</v>
      </c>
      <c r="F3" s="26">
        <v>0</v>
      </c>
    </row>
    <row r="4" spans="1:17" ht="15" x14ac:dyDescent="0.25">
      <c r="A4" s="3">
        <f t="shared" ref="A4:A51" si="1">A3+1</f>
        <v>3</v>
      </c>
      <c r="B4" s="15" t="s">
        <v>423</v>
      </c>
      <c r="C4" s="16">
        <f t="shared" ref="C4:C51" si="2">C3+1</f>
        <v>43390</v>
      </c>
      <c r="D4" s="29">
        <f t="shared" ref="D4:D51" si="3">D3-($D$2/50)</f>
        <v>0</v>
      </c>
      <c r="E4" s="26">
        <v>0</v>
      </c>
      <c r="F4" s="26">
        <v>0</v>
      </c>
    </row>
    <row r="5" spans="1:17" ht="15" x14ac:dyDescent="0.25">
      <c r="A5" s="3">
        <f t="shared" si="1"/>
        <v>4</v>
      </c>
      <c r="B5" s="15" t="s">
        <v>424</v>
      </c>
      <c r="C5" s="16">
        <f t="shared" si="2"/>
        <v>43391</v>
      </c>
      <c r="D5" s="29">
        <f t="shared" si="3"/>
        <v>0</v>
      </c>
      <c r="E5" s="26">
        <v>0</v>
      </c>
      <c r="F5" s="26">
        <v>0</v>
      </c>
    </row>
    <row r="6" spans="1:17" ht="15" x14ac:dyDescent="0.25">
      <c r="A6" s="3">
        <f t="shared" si="1"/>
        <v>5</v>
      </c>
      <c r="B6" s="15" t="s">
        <v>425</v>
      </c>
      <c r="C6" s="16">
        <f t="shared" si="2"/>
        <v>43392</v>
      </c>
      <c r="D6" s="29">
        <f t="shared" si="3"/>
        <v>0</v>
      </c>
      <c r="E6" s="26">
        <v>0</v>
      </c>
      <c r="F6" s="26">
        <f t="shared" si="0"/>
        <v>0</v>
      </c>
    </row>
    <row r="7" spans="1:17" ht="15" x14ac:dyDescent="0.25">
      <c r="A7" s="3">
        <f t="shared" si="1"/>
        <v>6</v>
      </c>
      <c r="B7" s="15" t="s">
        <v>421</v>
      </c>
      <c r="C7" s="16">
        <f>C2+7</f>
        <v>43395</v>
      </c>
      <c r="D7" s="29">
        <f t="shared" si="3"/>
        <v>0</v>
      </c>
      <c r="E7" s="26">
        <v>0</v>
      </c>
      <c r="F7" s="26">
        <f t="shared" si="0"/>
        <v>0</v>
      </c>
    </row>
    <row r="8" spans="1:17" ht="15" x14ac:dyDescent="0.25">
      <c r="A8" s="3">
        <f t="shared" si="1"/>
        <v>7</v>
      </c>
      <c r="B8" s="15" t="s">
        <v>422</v>
      </c>
      <c r="C8" s="16">
        <f t="shared" si="2"/>
        <v>43396</v>
      </c>
      <c r="D8" s="29">
        <f t="shared" si="3"/>
        <v>0</v>
      </c>
      <c r="E8" s="26">
        <v>0</v>
      </c>
      <c r="F8" s="26">
        <f t="shared" si="0"/>
        <v>0</v>
      </c>
    </row>
    <row r="9" spans="1:17" ht="15" x14ac:dyDescent="0.25">
      <c r="A9" s="3">
        <f t="shared" si="1"/>
        <v>8</v>
      </c>
      <c r="B9" s="15" t="s">
        <v>423</v>
      </c>
      <c r="C9" s="16">
        <f t="shared" si="2"/>
        <v>43397</v>
      </c>
      <c r="D9" s="29">
        <f t="shared" si="3"/>
        <v>0</v>
      </c>
      <c r="E9" s="26">
        <v>0</v>
      </c>
      <c r="F9" s="26">
        <f t="shared" si="0"/>
        <v>0</v>
      </c>
    </row>
    <row r="10" spans="1:17" ht="15" x14ac:dyDescent="0.25">
      <c r="A10" s="3">
        <f t="shared" si="1"/>
        <v>9</v>
      </c>
      <c r="B10" s="15" t="s">
        <v>424</v>
      </c>
      <c r="C10" s="16">
        <f t="shared" si="2"/>
        <v>43398</v>
      </c>
      <c r="D10" s="29">
        <f t="shared" si="3"/>
        <v>0</v>
      </c>
      <c r="E10" s="26">
        <v>0</v>
      </c>
      <c r="F10" s="26">
        <f t="shared" si="0"/>
        <v>0</v>
      </c>
    </row>
    <row r="11" spans="1:17" ht="15" x14ac:dyDescent="0.25">
      <c r="A11" s="3">
        <f t="shared" si="1"/>
        <v>10</v>
      </c>
      <c r="B11" s="15" t="s">
        <v>425</v>
      </c>
      <c r="C11" s="16">
        <f t="shared" si="2"/>
        <v>43399</v>
      </c>
      <c r="D11" s="29">
        <f t="shared" si="3"/>
        <v>0</v>
      </c>
      <c r="E11" s="26">
        <v>0</v>
      </c>
      <c r="F11" s="26">
        <f t="shared" si="0"/>
        <v>0</v>
      </c>
    </row>
    <row r="12" spans="1:17" ht="15" x14ac:dyDescent="0.25">
      <c r="A12" s="3">
        <f t="shared" si="1"/>
        <v>11</v>
      </c>
      <c r="B12" s="15" t="s">
        <v>421</v>
      </c>
      <c r="C12" s="16">
        <f>C7+7</f>
        <v>43402</v>
      </c>
      <c r="D12" s="29">
        <f t="shared" si="3"/>
        <v>0</v>
      </c>
      <c r="E12" s="26">
        <v>0</v>
      </c>
      <c r="F12" s="26">
        <f t="shared" si="0"/>
        <v>0</v>
      </c>
    </row>
    <row r="13" spans="1:17" ht="15" x14ac:dyDescent="0.25">
      <c r="A13" s="3">
        <f t="shared" si="1"/>
        <v>12</v>
      </c>
      <c r="B13" s="15" t="s">
        <v>422</v>
      </c>
      <c r="C13" s="16">
        <f t="shared" si="2"/>
        <v>43403</v>
      </c>
      <c r="D13" s="29">
        <f t="shared" si="3"/>
        <v>0</v>
      </c>
      <c r="E13" s="26">
        <v>0</v>
      </c>
      <c r="F13" s="26">
        <f t="shared" si="0"/>
        <v>0</v>
      </c>
    </row>
    <row r="14" spans="1:17" ht="15" x14ac:dyDescent="0.25">
      <c r="A14" s="3">
        <f t="shared" si="1"/>
        <v>13</v>
      </c>
      <c r="B14" s="15" t="s">
        <v>423</v>
      </c>
      <c r="C14" s="16">
        <f t="shared" si="2"/>
        <v>43404</v>
      </c>
      <c r="D14" s="29">
        <f t="shared" si="3"/>
        <v>0</v>
      </c>
      <c r="E14" s="26">
        <v>0</v>
      </c>
      <c r="F14" s="26">
        <f t="shared" si="0"/>
        <v>0</v>
      </c>
    </row>
    <row r="15" spans="1:17" ht="15" x14ac:dyDescent="0.25">
      <c r="A15" s="3">
        <f t="shared" si="1"/>
        <v>14</v>
      </c>
      <c r="B15" s="15" t="s">
        <v>424</v>
      </c>
      <c r="C15" s="16">
        <f t="shared" si="2"/>
        <v>43405</v>
      </c>
      <c r="D15" s="29">
        <f t="shared" si="3"/>
        <v>0</v>
      </c>
      <c r="E15" s="26">
        <v>0</v>
      </c>
      <c r="F15" s="26">
        <f t="shared" si="0"/>
        <v>0</v>
      </c>
    </row>
    <row r="16" spans="1:17" ht="15" x14ac:dyDescent="0.25">
      <c r="A16" s="3">
        <f t="shared" si="1"/>
        <v>15</v>
      </c>
      <c r="B16" s="15" t="s">
        <v>425</v>
      </c>
      <c r="C16" s="16">
        <f t="shared" si="2"/>
        <v>43406</v>
      </c>
      <c r="D16" s="29">
        <f t="shared" si="3"/>
        <v>0</v>
      </c>
      <c r="E16" s="26">
        <v>0</v>
      </c>
      <c r="F16" s="26">
        <f t="shared" si="0"/>
        <v>0</v>
      </c>
    </row>
    <row r="17" spans="1:6" ht="15" x14ac:dyDescent="0.25">
      <c r="A17" s="3">
        <f t="shared" si="1"/>
        <v>16</v>
      </c>
      <c r="B17" s="15" t="s">
        <v>421</v>
      </c>
      <c r="C17" s="16">
        <f>C12+7</f>
        <v>43409</v>
      </c>
      <c r="D17" s="29">
        <f t="shared" si="3"/>
        <v>0</v>
      </c>
      <c r="E17" s="26">
        <v>0</v>
      </c>
      <c r="F17" s="26">
        <f t="shared" si="0"/>
        <v>0</v>
      </c>
    </row>
    <row r="18" spans="1:6" ht="15" x14ac:dyDescent="0.25">
      <c r="A18" s="3">
        <f t="shared" si="1"/>
        <v>17</v>
      </c>
      <c r="B18" s="15" t="s">
        <v>422</v>
      </c>
      <c r="C18" s="16">
        <f t="shared" si="2"/>
        <v>43410</v>
      </c>
      <c r="D18" s="29">
        <f t="shared" si="3"/>
        <v>0</v>
      </c>
      <c r="E18" s="26">
        <v>0</v>
      </c>
      <c r="F18" s="26">
        <f t="shared" si="0"/>
        <v>0</v>
      </c>
    </row>
    <row r="19" spans="1:6" ht="15" x14ac:dyDescent="0.25">
      <c r="A19" s="3">
        <f t="shared" si="1"/>
        <v>18</v>
      </c>
      <c r="B19" s="15" t="s">
        <v>423</v>
      </c>
      <c r="C19" s="16">
        <f t="shared" si="2"/>
        <v>43411</v>
      </c>
      <c r="D19" s="29">
        <f t="shared" si="3"/>
        <v>0</v>
      </c>
      <c r="E19" s="26">
        <v>0</v>
      </c>
      <c r="F19" s="26">
        <f t="shared" si="0"/>
        <v>0</v>
      </c>
    </row>
    <row r="20" spans="1:6" ht="15" x14ac:dyDescent="0.25">
      <c r="A20" s="3">
        <f t="shared" si="1"/>
        <v>19</v>
      </c>
      <c r="B20" s="15" t="s">
        <v>424</v>
      </c>
      <c r="C20" s="16">
        <f t="shared" si="2"/>
        <v>43412</v>
      </c>
      <c r="D20" s="29">
        <f t="shared" si="3"/>
        <v>0</v>
      </c>
      <c r="E20" s="26">
        <v>0</v>
      </c>
      <c r="F20" s="26">
        <f t="shared" si="0"/>
        <v>0</v>
      </c>
    </row>
    <row r="21" spans="1:6" ht="15" x14ac:dyDescent="0.25">
      <c r="A21" s="3">
        <f t="shared" si="1"/>
        <v>20</v>
      </c>
      <c r="B21" s="15" t="s">
        <v>425</v>
      </c>
      <c r="C21" s="16">
        <f t="shared" si="2"/>
        <v>43413</v>
      </c>
      <c r="D21" s="29">
        <f t="shared" si="3"/>
        <v>0</v>
      </c>
      <c r="E21" s="26">
        <v>0</v>
      </c>
      <c r="F21" s="26">
        <f t="shared" si="0"/>
        <v>0</v>
      </c>
    </row>
    <row r="22" spans="1:6" ht="15" x14ac:dyDescent="0.25">
      <c r="A22" s="3">
        <f t="shared" si="1"/>
        <v>21</v>
      </c>
      <c r="B22" s="15" t="s">
        <v>421</v>
      </c>
      <c r="C22" s="16">
        <f>C17+7</f>
        <v>43416</v>
      </c>
      <c r="D22" s="29">
        <f t="shared" si="3"/>
        <v>0</v>
      </c>
      <c r="E22" s="26">
        <v>0</v>
      </c>
      <c r="F22" s="26">
        <f t="shared" si="0"/>
        <v>0</v>
      </c>
    </row>
    <row r="23" spans="1:6" ht="15" x14ac:dyDescent="0.25">
      <c r="A23" s="3">
        <f t="shared" si="1"/>
        <v>22</v>
      </c>
      <c r="B23" s="15" t="s">
        <v>422</v>
      </c>
      <c r="C23" s="16">
        <f t="shared" si="2"/>
        <v>43417</v>
      </c>
      <c r="D23" s="29">
        <f t="shared" si="3"/>
        <v>0</v>
      </c>
      <c r="E23" s="26">
        <v>0</v>
      </c>
      <c r="F23" s="26">
        <f t="shared" si="0"/>
        <v>0</v>
      </c>
    </row>
    <row r="24" spans="1:6" ht="15" x14ac:dyDescent="0.25">
      <c r="A24" s="3">
        <f t="shared" si="1"/>
        <v>23</v>
      </c>
      <c r="B24" s="15" t="s">
        <v>423</v>
      </c>
      <c r="C24" s="16">
        <f t="shared" si="2"/>
        <v>43418</v>
      </c>
      <c r="D24" s="29">
        <f t="shared" si="3"/>
        <v>0</v>
      </c>
      <c r="E24" s="26">
        <v>0</v>
      </c>
      <c r="F24" s="26">
        <f t="shared" si="0"/>
        <v>0</v>
      </c>
    </row>
    <row r="25" spans="1:6" ht="15" x14ac:dyDescent="0.25">
      <c r="A25" s="3">
        <f t="shared" si="1"/>
        <v>24</v>
      </c>
      <c r="B25" s="15" t="s">
        <v>424</v>
      </c>
      <c r="C25" s="16">
        <f t="shared" si="2"/>
        <v>43419</v>
      </c>
      <c r="D25" s="29">
        <f t="shared" si="3"/>
        <v>0</v>
      </c>
      <c r="E25" s="26">
        <v>0</v>
      </c>
      <c r="F25" s="26">
        <f t="shared" si="0"/>
        <v>0</v>
      </c>
    </row>
    <row r="26" spans="1:6" ht="15" x14ac:dyDescent="0.25">
      <c r="A26" s="3">
        <f t="shared" si="1"/>
        <v>25</v>
      </c>
      <c r="B26" s="15" t="s">
        <v>425</v>
      </c>
      <c r="C26" s="16">
        <f t="shared" si="2"/>
        <v>43420</v>
      </c>
      <c r="D26" s="29">
        <f t="shared" si="3"/>
        <v>0</v>
      </c>
      <c r="E26" s="26">
        <v>0</v>
      </c>
      <c r="F26" s="26">
        <f t="shared" si="0"/>
        <v>0</v>
      </c>
    </row>
    <row r="27" spans="1:6" ht="15" x14ac:dyDescent="0.25">
      <c r="A27" s="3">
        <f t="shared" si="1"/>
        <v>26</v>
      </c>
      <c r="B27" s="15" t="s">
        <v>421</v>
      </c>
      <c r="C27" s="16">
        <f>C22+7</f>
        <v>43423</v>
      </c>
      <c r="D27" s="29">
        <f t="shared" si="3"/>
        <v>0</v>
      </c>
      <c r="E27" s="26">
        <v>0</v>
      </c>
      <c r="F27" s="26">
        <f t="shared" si="0"/>
        <v>0</v>
      </c>
    </row>
    <row r="28" spans="1:6" ht="15" x14ac:dyDescent="0.25">
      <c r="A28" s="3">
        <f t="shared" si="1"/>
        <v>27</v>
      </c>
      <c r="B28" s="15" t="s">
        <v>422</v>
      </c>
      <c r="C28" s="16">
        <f t="shared" si="2"/>
        <v>43424</v>
      </c>
      <c r="D28" s="29">
        <f t="shared" si="3"/>
        <v>0</v>
      </c>
      <c r="E28" s="26">
        <v>0</v>
      </c>
      <c r="F28" s="26">
        <f t="shared" si="0"/>
        <v>0</v>
      </c>
    </row>
    <row r="29" spans="1:6" ht="15" x14ac:dyDescent="0.25">
      <c r="A29" s="3">
        <f t="shared" si="1"/>
        <v>28</v>
      </c>
      <c r="B29" s="15" t="s">
        <v>423</v>
      </c>
      <c r="C29" s="16">
        <f t="shared" si="2"/>
        <v>43425</v>
      </c>
      <c r="D29" s="29">
        <f t="shared" si="3"/>
        <v>0</v>
      </c>
      <c r="E29" s="26">
        <v>0</v>
      </c>
      <c r="F29" s="26">
        <f t="shared" si="0"/>
        <v>0</v>
      </c>
    </row>
    <row r="30" spans="1:6" ht="15" x14ac:dyDescent="0.25">
      <c r="A30" s="3">
        <f t="shared" si="1"/>
        <v>29</v>
      </c>
      <c r="B30" s="15" t="s">
        <v>424</v>
      </c>
      <c r="C30" s="16">
        <f t="shared" si="2"/>
        <v>43426</v>
      </c>
      <c r="D30" s="29">
        <f t="shared" si="3"/>
        <v>0</v>
      </c>
      <c r="E30" s="26">
        <v>0</v>
      </c>
      <c r="F30" s="26">
        <f t="shared" si="0"/>
        <v>0</v>
      </c>
    </row>
    <row r="31" spans="1:6" ht="15" x14ac:dyDescent="0.25">
      <c r="A31" s="3">
        <f t="shared" si="1"/>
        <v>30</v>
      </c>
      <c r="B31" s="15" t="s">
        <v>425</v>
      </c>
      <c r="C31" s="16">
        <f t="shared" si="2"/>
        <v>43427</v>
      </c>
      <c r="D31" s="29">
        <f t="shared" si="3"/>
        <v>0</v>
      </c>
      <c r="E31" s="26">
        <v>0</v>
      </c>
      <c r="F31" s="26">
        <f t="shared" si="0"/>
        <v>0</v>
      </c>
    </row>
    <row r="32" spans="1:6" ht="15" x14ac:dyDescent="0.25">
      <c r="A32" s="3">
        <f t="shared" si="1"/>
        <v>31</v>
      </c>
      <c r="B32" s="15" t="s">
        <v>421</v>
      </c>
      <c r="C32" s="16">
        <f>C27+7</f>
        <v>43430</v>
      </c>
      <c r="D32" s="29">
        <f t="shared" si="3"/>
        <v>0</v>
      </c>
      <c r="E32" s="26">
        <v>0</v>
      </c>
      <c r="F32" s="26">
        <f t="shared" si="0"/>
        <v>0</v>
      </c>
    </row>
    <row r="33" spans="1:6" ht="15" x14ac:dyDescent="0.25">
      <c r="A33" s="3">
        <f t="shared" si="1"/>
        <v>32</v>
      </c>
      <c r="B33" s="15" t="s">
        <v>422</v>
      </c>
      <c r="C33" s="16">
        <f t="shared" si="2"/>
        <v>43431</v>
      </c>
      <c r="D33" s="29">
        <f t="shared" si="3"/>
        <v>0</v>
      </c>
      <c r="E33" s="26">
        <v>0</v>
      </c>
      <c r="F33" s="26">
        <f t="shared" si="0"/>
        <v>0</v>
      </c>
    </row>
    <row r="34" spans="1:6" ht="15" x14ac:dyDescent="0.25">
      <c r="A34" s="3">
        <f t="shared" si="1"/>
        <v>33</v>
      </c>
      <c r="B34" s="15" t="s">
        <v>423</v>
      </c>
      <c r="C34" s="16">
        <f t="shared" si="2"/>
        <v>43432</v>
      </c>
      <c r="D34" s="29">
        <f t="shared" si="3"/>
        <v>0</v>
      </c>
      <c r="E34" s="26">
        <v>0</v>
      </c>
      <c r="F34" s="26">
        <f t="shared" si="0"/>
        <v>0</v>
      </c>
    </row>
    <row r="35" spans="1:6" ht="15" x14ac:dyDescent="0.25">
      <c r="A35" s="3">
        <f t="shared" si="1"/>
        <v>34</v>
      </c>
      <c r="B35" s="15" t="s">
        <v>424</v>
      </c>
      <c r="C35" s="16">
        <f t="shared" si="2"/>
        <v>43433</v>
      </c>
      <c r="D35" s="29">
        <f t="shared" si="3"/>
        <v>0</v>
      </c>
      <c r="E35" s="26">
        <v>0</v>
      </c>
      <c r="F35" s="26">
        <f t="shared" si="0"/>
        <v>0</v>
      </c>
    </row>
    <row r="36" spans="1:6" ht="15" x14ac:dyDescent="0.25">
      <c r="A36" s="3">
        <f t="shared" si="1"/>
        <v>35</v>
      </c>
      <c r="B36" s="15" t="s">
        <v>425</v>
      </c>
      <c r="C36" s="16">
        <f t="shared" si="2"/>
        <v>43434</v>
      </c>
      <c r="D36" s="29">
        <f t="shared" si="3"/>
        <v>0</v>
      </c>
      <c r="E36" s="26">
        <v>0</v>
      </c>
      <c r="F36" s="26">
        <f t="shared" si="0"/>
        <v>0</v>
      </c>
    </row>
    <row r="37" spans="1:6" ht="15" x14ac:dyDescent="0.25">
      <c r="A37" s="3">
        <f t="shared" si="1"/>
        <v>36</v>
      </c>
      <c r="B37" s="15" t="s">
        <v>421</v>
      </c>
      <c r="C37" s="16">
        <f>C32+7</f>
        <v>43437</v>
      </c>
      <c r="D37" s="29">
        <f t="shared" si="3"/>
        <v>0</v>
      </c>
      <c r="E37" s="26">
        <v>273</v>
      </c>
      <c r="F37" s="26">
        <f t="shared" si="0"/>
        <v>0</v>
      </c>
    </row>
    <row r="38" spans="1:6" ht="15" x14ac:dyDescent="0.25">
      <c r="A38" s="3">
        <f t="shared" si="1"/>
        <v>37</v>
      </c>
      <c r="B38" s="15" t="s">
        <v>422</v>
      </c>
      <c r="C38" s="16">
        <f t="shared" si="2"/>
        <v>43438</v>
      </c>
      <c r="D38" s="29">
        <f t="shared" si="3"/>
        <v>0</v>
      </c>
      <c r="E38" s="26">
        <v>696</v>
      </c>
      <c r="F38" s="26">
        <f t="shared" si="0"/>
        <v>0</v>
      </c>
    </row>
    <row r="39" spans="1:6" ht="15" x14ac:dyDescent="0.25">
      <c r="A39" s="3">
        <f t="shared" si="1"/>
        <v>38</v>
      </c>
      <c r="B39" s="15" t="s">
        <v>423</v>
      </c>
      <c r="C39" s="16">
        <f t="shared" si="2"/>
        <v>43439</v>
      </c>
      <c r="D39" s="29">
        <f t="shared" si="3"/>
        <v>0</v>
      </c>
      <c r="E39" s="26">
        <v>696</v>
      </c>
      <c r="F39" s="26">
        <f t="shared" si="0"/>
        <v>0</v>
      </c>
    </row>
    <row r="40" spans="1:6" ht="15" x14ac:dyDescent="0.25">
      <c r="A40" s="3">
        <f t="shared" si="1"/>
        <v>39</v>
      </c>
      <c r="B40" s="15" t="s">
        <v>424</v>
      </c>
      <c r="C40" s="16">
        <f t="shared" si="2"/>
        <v>43440</v>
      </c>
      <c r="D40" s="29">
        <f t="shared" si="3"/>
        <v>0</v>
      </c>
      <c r="E40" s="26">
        <v>696</v>
      </c>
      <c r="F40" s="26">
        <f t="shared" si="0"/>
        <v>0</v>
      </c>
    </row>
    <row r="41" spans="1:6" ht="15" x14ac:dyDescent="0.25">
      <c r="A41" s="3">
        <f t="shared" si="1"/>
        <v>40</v>
      </c>
      <c r="B41" s="15" t="s">
        <v>425</v>
      </c>
      <c r="C41" s="16">
        <f t="shared" si="2"/>
        <v>43441</v>
      </c>
      <c r="D41" s="29">
        <f t="shared" si="3"/>
        <v>0</v>
      </c>
      <c r="E41" s="26">
        <v>671</v>
      </c>
      <c r="F41" s="26">
        <f t="shared" si="0"/>
        <v>0</v>
      </c>
    </row>
    <row r="42" spans="1:6" ht="15" x14ac:dyDescent="0.25">
      <c r="A42" s="3">
        <f t="shared" si="1"/>
        <v>41</v>
      </c>
      <c r="B42" s="15" t="s">
        <v>421</v>
      </c>
      <c r="C42" s="16">
        <f>C37+7</f>
        <v>43444</v>
      </c>
      <c r="D42" s="29">
        <f t="shared" si="3"/>
        <v>0</v>
      </c>
      <c r="E42" s="26">
        <v>671</v>
      </c>
      <c r="F42" s="26">
        <f t="shared" si="0"/>
        <v>0</v>
      </c>
    </row>
    <row r="43" spans="1:6" ht="15" x14ac:dyDescent="0.25">
      <c r="A43" s="3">
        <f t="shared" si="1"/>
        <v>42</v>
      </c>
      <c r="B43" s="15" t="s">
        <v>422</v>
      </c>
      <c r="C43" s="16">
        <f t="shared" si="2"/>
        <v>43445</v>
      </c>
      <c r="D43" s="29">
        <f t="shared" si="3"/>
        <v>0</v>
      </c>
      <c r="E43" s="26">
        <v>671</v>
      </c>
      <c r="F43" s="26">
        <f t="shared" si="0"/>
        <v>0</v>
      </c>
    </row>
    <row r="44" spans="1:6" ht="15" x14ac:dyDescent="0.25">
      <c r="A44" s="3">
        <f t="shared" si="1"/>
        <v>43</v>
      </c>
      <c r="B44" s="15" t="s">
        <v>423</v>
      </c>
      <c r="C44" s="16">
        <f t="shared" si="2"/>
        <v>43446</v>
      </c>
      <c r="D44" s="29">
        <f t="shared" si="3"/>
        <v>0</v>
      </c>
      <c r="E44" s="26">
        <v>671</v>
      </c>
      <c r="F44" s="26">
        <f t="shared" si="0"/>
        <v>0</v>
      </c>
    </row>
    <row r="45" spans="1:6" ht="15" x14ac:dyDescent="0.25">
      <c r="A45" s="3">
        <f t="shared" si="1"/>
        <v>44</v>
      </c>
      <c r="B45" s="15" t="s">
        <v>424</v>
      </c>
      <c r="C45" s="16">
        <f t="shared" si="2"/>
        <v>43447</v>
      </c>
      <c r="D45" s="29">
        <f t="shared" si="3"/>
        <v>0</v>
      </c>
      <c r="E45" s="26">
        <v>671</v>
      </c>
      <c r="F45" s="26">
        <f t="shared" si="0"/>
        <v>0</v>
      </c>
    </row>
    <row r="46" spans="1:6" ht="15" x14ac:dyDescent="0.25">
      <c r="A46" s="3">
        <f t="shared" si="1"/>
        <v>45</v>
      </c>
      <c r="B46" s="15" t="s">
        <v>425</v>
      </c>
      <c r="C46" s="16">
        <f t="shared" si="2"/>
        <v>43448</v>
      </c>
      <c r="D46" s="29">
        <f t="shared" si="3"/>
        <v>0</v>
      </c>
      <c r="E46" s="26">
        <v>671</v>
      </c>
      <c r="F46" s="26">
        <f t="shared" si="0"/>
        <v>0</v>
      </c>
    </row>
    <row r="47" spans="1:6" ht="15" x14ac:dyDescent="0.25">
      <c r="A47" s="3">
        <f t="shared" si="1"/>
        <v>46</v>
      </c>
      <c r="B47" s="15" t="s">
        <v>421</v>
      </c>
      <c r="C47" s="16">
        <f>C42+7</f>
        <v>43451</v>
      </c>
      <c r="D47" s="29">
        <f t="shared" si="3"/>
        <v>0</v>
      </c>
      <c r="E47" s="26">
        <v>671</v>
      </c>
      <c r="F47" s="26">
        <f t="shared" si="0"/>
        <v>0</v>
      </c>
    </row>
    <row r="48" spans="1:6" ht="15" x14ac:dyDescent="0.25">
      <c r="A48" s="3">
        <f t="shared" si="1"/>
        <v>47</v>
      </c>
      <c r="B48" s="15" t="s">
        <v>422</v>
      </c>
      <c r="C48" s="16">
        <f t="shared" si="2"/>
        <v>43452</v>
      </c>
      <c r="D48" s="29">
        <f t="shared" si="3"/>
        <v>0</v>
      </c>
      <c r="E48" s="26">
        <v>671</v>
      </c>
      <c r="F48" s="26">
        <f t="shared" si="0"/>
        <v>0</v>
      </c>
    </row>
    <row r="49" spans="1:6" ht="15" x14ac:dyDescent="0.25">
      <c r="A49" s="3">
        <f t="shared" si="1"/>
        <v>48</v>
      </c>
      <c r="B49" s="15" t="s">
        <v>423</v>
      </c>
      <c r="C49" s="16">
        <f t="shared" si="2"/>
        <v>43453</v>
      </c>
      <c r="D49" s="29">
        <f t="shared" si="3"/>
        <v>0</v>
      </c>
      <c r="E49" s="26">
        <v>671</v>
      </c>
      <c r="F49" s="26">
        <f t="shared" si="0"/>
        <v>0</v>
      </c>
    </row>
    <row r="50" spans="1:6" ht="15" x14ac:dyDescent="0.25">
      <c r="A50" s="3">
        <f t="shared" si="1"/>
        <v>49</v>
      </c>
      <c r="B50" s="15" t="s">
        <v>424</v>
      </c>
      <c r="C50" s="16">
        <f t="shared" si="2"/>
        <v>43454</v>
      </c>
      <c r="D50" s="29">
        <f t="shared" si="3"/>
        <v>0</v>
      </c>
      <c r="E50" s="26">
        <v>671</v>
      </c>
      <c r="F50" s="26">
        <f t="shared" si="0"/>
        <v>0</v>
      </c>
    </row>
    <row r="51" spans="1:6" ht="15" x14ac:dyDescent="0.25">
      <c r="A51" s="3">
        <f t="shared" si="1"/>
        <v>50</v>
      </c>
      <c r="B51" s="15" t="s">
        <v>425</v>
      </c>
      <c r="C51" s="16">
        <f t="shared" si="2"/>
        <v>43455</v>
      </c>
      <c r="D51" s="29">
        <f t="shared" si="3"/>
        <v>0</v>
      </c>
      <c r="E51" s="26">
        <v>671</v>
      </c>
      <c r="F51" s="26">
        <f t="shared" si="0"/>
        <v>0</v>
      </c>
    </row>
    <row r="52" spans="1:6" x14ac:dyDescent="0.2">
      <c r="C52" s="26" t="str">
        <f t="shared" ref="C52:C53" si="4">IF(LEN($E52)=0,"",ROW()-1)</f>
        <v/>
      </c>
      <c r="F52" s="26" t="str">
        <f t="shared" si="0"/>
        <v/>
      </c>
    </row>
    <row r="53" spans="1:6" x14ac:dyDescent="0.2">
      <c r="C53" s="26" t="str">
        <f t="shared" si="4"/>
        <v/>
      </c>
      <c r="F53" s="26" t="str">
        <f t="shared" si="0"/>
        <v/>
      </c>
    </row>
  </sheetData>
  <pageMargins left="0.75" right="0.75" top="1" bottom="1" header="0.3" footer="0.3"/>
  <pageSetup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C000"/>
    <pageSetUpPr fitToPage="1"/>
  </sheetPr>
  <dimension ref="A2:AD69"/>
  <sheetViews>
    <sheetView topLeftCell="A4" zoomScale="68" zoomScaleNormal="68" zoomScaleSheetLayoutView="50" workbookViewId="0">
      <selection activeCell="AC31" sqref="AC31"/>
    </sheetView>
  </sheetViews>
  <sheetFormatPr defaultRowHeight="15.75" x14ac:dyDescent="0.25"/>
  <cols>
    <col min="3" max="3" width="9" customWidth="1"/>
    <col min="15" max="15" width="2.75" customWidth="1"/>
    <col min="29" max="29" width="3.125" customWidth="1"/>
  </cols>
  <sheetData>
    <row r="2" spans="1:30" ht="21" x14ac:dyDescent="0.35">
      <c r="B2" s="24" t="s">
        <v>636</v>
      </c>
      <c r="P2" s="24" t="s">
        <v>637</v>
      </c>
      <c r="AD2" t="s">
        <v>638</v>
      </c>
    </row>
    <row r="3" spans="1:30" ht="15.75" customHeight="1" x14ac:dyDescent="0.25">
      <c r="A3" s="121" t="s">
        <v>641</v>
      </c>
    </row>
    <row r="4" spans="1:30" x14ac:dyDescent="0.25">
      <c r="A4" s="121"/>
    </row>
    <row r="5" spans="1:30" x14ac:dyDescent="0.25">
      <c r="A5" s="121"/>
    </row>
    <row r="6" spans="1:30" x14ac:dyDescent="0.25">
      <c r="A6" s="121"/>
    </row>
    <row r="7" spans="1:30" x14ac:dyDescent="0.25">
      <c r="A7" s="121"/>
    </row>
    <row r="8" spans="1:30" x14ac:dyDescent="0.25">
      <c r="A8" s="121"/>
    </row>
    <row r="9" spans="1:30" x14ac:dyDescent="0.25">
      <c r="A9" s="121"/>
    </row>
    <row r="10" spans="1:30" x14ac:dyDescent="0.25">
      <c r="A10" s="121"/>
    </row>
    <row r="11" spans="1:30" x14ac:dyDescent="0.25">
      <c r="A11" s="121"/>
    </row>
    <row r="12" spans="1:30" x14ac:dyDescent="0.25">
      <c r="A12" s="121"/>
    </row>
    <row r="13" spans="1:30" x14ac:dyDescent="0.25">
      <c r="A13" s="121"/>
    </row>
    <row r="14" spans="1:30" x14ac:dyDescent="0.25">
      <c r="A14" s="121"/>
    </row>
    <row r="15" spans="1:30" x14ac:dyDescent="0.25">
      <c r="A15" s="121"/>
    </row>
    <row r="16" spans="1:30" x14ac:dyDescent="0.25">
      <c r="A16" s="121"/>
    </row>
    <row r="17" spans="1:1" x14ac:dyDescent="0.25">
      <c r="A17" s="121"/>
    </row>
    <row r="18" spans="1:1" x14ac:dyDescent="0.25">
      <c r="A18" s="121"/>
    </row>
    <row r="19" spans="1:1" x14ac:dyDescent="0.25">
      <c r="A19" s="121"/>
    </row>
    <row r="20" spans="1:1" x14ac:dyDescent="0.25">
      <c r="A20" s="121"/>
    </row>
    <row r="21" spans="1:1" x14ac:dyDescent="0.25">
      <c r="A21" s="121"/>
    </row>
    <row r="22" spans="1:1" x14ac:dyDescent="0.25">
      <c r="A22" s="121"/>
    </row>
    <row r="23" spans="1:1" x14ac:dyDescent="0.25">
      <c r="A23" s="121"/>
    </row>
    <row r="24" spans="1:1" x14ac:dyDescent="0.25">
      <c r="A24" s="121"/>
    </row>
    <row r="25" spans="1:1" x14ac:dyDescent="0.25">
      <c r="A25" s="121"/>
    </row>
    <row r="26" spans="1:1" x14ac:dyDescent="0.25">
      <c r="A26" s="121"/>
    </row>
    <row r="27" spans="1:1" x14ac:dyDescent="0.25">
      <c r="A27" s="121"/>
    </row>
    <row r="28" spans="1:1" x14ac:dyDescent="0.25">
      <c r="A28" s="121"/>
    </row>
    <row r="29" spans="1:1" x14ac:dyDescent="0.25">
      <c r="A29" s="121"/>
    </row>
    <row r="30" spans="1:1" x14ac:dyDescent="0.25">
      <c r="A30" s="121"/>
    </row>
    <row r="31" spans="1:1" x14ac:dyDescent="0.25">
      <c r="A31" s="121"/>
    </row>
    <row r="32" spans="1:1" x14ac:dyDescent="0.25">
      <c r="A32" s="121"/>
    </row>
    <row r="33" spans="1:1" x14ac:dyDescent="0.25">
      <c r="A33" s="121"/>
    </row>
    <row r="34" spans="1:1" x14ac:dyDescent="0.25">
      <c r="A34" s="121"/>
    </row>
    <row r="35" spans="1:1" x14ac:dyDescent="0.25">
      <c r="A35" s="121"/>
    </row>
    <row r="38" spans="1:1" x14ac:dyDescent="0.25">
      <c r="A38" s="121" t="s">
        <v>639</v>
      </c>
    </row>
    <row r="39" spans="1:1" x14ac:dyDescent="0.25">
      <c r="A39" s="121"/>
    </row>
    <row r="40" spans="1:1" x14ac:dyDescent="0.25">
      <c r="A40" s="121"/>
    </row>
    <row r="41" spans="1:1" x14ac:dyDescent="0.25">
      <c r="A41" s="121"/>
    </row>
    <row r="42" spans="1:1" x14ac:dyDescent="0.25">
      <c r="A42" s="121"/>
    </row>
    <row r="43" spans="1:1" x14ac:dyDescent="0.25">
      <c r="A43" s="121"/>
    </row>
    <row r="44" spans="1:1" x14ac:dyDescent="0.25">
      <c r="A44" s="121"/>
    </row>
    <row r="45" spans="1:1" x14ac:dyDescent="0.25">
      <c r="A45" s="121"/>
    </row>
    <row r="46" spans="1:1" x14ac:dyDescent="0.25">
      <c r="A46" s="121"/>
    </row>
    <row r="47" spans="1:1" x14ac:dyDescent="0.25">
      <c r="A47" s="121"/>
    </row>
    <row r="48" spans="1:1" x14ac:dyDescent="0.25">
      <c r="A48" s="121"/>
    </row>
    <row r="49" spans="1:1" x14ac:dyDescent="0.25">
      <c r="A49" s="121"/>
    </row>
    <row r="50" spans="1:1" x14ac:dyDescent="0.25">
      <c r="A50" s="121"/>
    </row>
    <row r="51" spans="1:1" x14ac:dyDescent="0.25">
      <c r="A51" s="121"/>
    </row>
    <row r="52" spans="1:1" x14ac:dyDescent="0.25">
      <c r="A52" s="121"/>
    </row>
    <row r="55" spans="1:1" x14ac:dyDescent="0.25">
      <c r="A55" s="121" t="s">
        <v>640</v>
      </c>
    </row>
    <row r="56" spans="1:1" x14ac:dyDescent="0.25">
      <c r="A56" s="121"/>
    </row>
    <row r="57" spans="1:1" x14ac:dyDescent="0.25">
      <c r="A57" s="121"/>
    </row>
    <row r="58" spans="1:1" x14ac:dyDescent="0.25">
      <c r="A58" s="121"/>
    </row>
    <row r="59" spans="1:1" x14ac:dyDescent="0.25">
      <c r="A59" s="121"/>
    </row>
    <row r="60" spans="1:1" x14ac:dyDescent="0.25">
      <c r="A60" s="121"/>
    </row>
    <row r="61" spans="1:1" x14ac:dyDescent="0.25">
      <c r="A61" s="121"/>
    </row>
    <row r="62" spans="1:1" x14ac:dyDescent="0.25">
      <c r="A62" s="121"/>
    </row>
    <row r="63" spans="1:1" x14ac:dyDescent="0.25">
      <c r="A63" s="121"/>
    </row>
    <row r="64" spans="1:1" x14ac:dyDescent="0.25">
      <c r="A64" s="121"/>
    </row>
    <row r="65" spans="1:1" x14ac:dyDescent="0.25">
      <c r="A65" s="121"/>
    </row>
    <row r="66" spans="1:1" x14ac:dyDescent="0.25">
      <c r="A66" s="121"/>
    </row>
    <row r="67" spans="1:1" x14ac:dyDescent="0.25">
      <c r="A67" s="121"/>
    </row>
    <row r="68" spans="1:1" x14ac:dyDescent="0.25">
      <c r="A68" s="121"/>
    </row>
    <row r="69" spans="1:1" x14ac:dyDescent="0.25">
      <c r="A69" s="121"/>
    </row>
  </sheetData>
  <mergeCells count="3">
    <mergeCell ref="A3:A35"/>
    <mergeCell ref="A38:A52"/>
    <mergeCell ref="A55:A69"/>
  </mergeCells>
  <pageMargins left="0.7" right="0.7" top="0.75" bottom="0.75" header="0.3" footer="0.3"/>
  <pageSetup paperSize="9" scale="32" fitToHeight="0" orientation="landscape"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C000"/>
  </sheetPr>
  <dimension ref="A2:F58"/>
  <sheetViews>
    <sheetView topLeftCell="D1" zoomScale="90" zoomScaleNormal="90" zoomScalePageLayoutView="90" workbookViewId="0">
      <selection activeCell="D5" sqref="D5"/>
    </sheetView>
  </sheetViews>
  <sheetFormatPr defaultColWidth="11" defaultRowHeight="15.75" x14ac:dyDescent="0.25"/>
  <cols>
    <col min="1" max="1" width="16.625" hidden="1" customWidth="1"/>
    <col min="2" max="2" width="39.375" hidden="1" customWidth="1"/>
    <col min="3" max="3" width="13.625" hidden="1" customWidth="1"/>
    <col min="4" max="4" width="70.125" customWidth="1"/>
    <col min="5" max="5" width="14.5" customWidth="1"/>
    <col min="6" max="6" width="17.625" customWidth="1"/>
  </cols>
  <sheetData>
    <row r="2" spans="1:6" x14ac:dyDescent="0.25">
      <c r="E2">
        <f>SUM(E4:E58)</f>
        <v>0</v>
      </c>
      <c r="F2">
        <f>SUM(F4:F58)</f>
        <v>0</v>
      </c>
    </row>
    <row r="3" spans="1:6" ht="42" x14ac:dyDescent="0.35">
      <c r="D3" s="1" t="s">
        <v>0</v>
      </c>
      <c r="E3" s="2" t="s">
        <v>2</v>
      </c>
      <c r="F3" s="2" t="s">
        <v>1</v>
      </c>
    </row>
    <row r="4" spans="1:6" ht="42" customHeight="1" x14ac:dyDescent="0.25">
      <c r="A4" s="12" t="s">
        <v>110</v>
      </c>
      <c r="B4" s="12" t="s">
        <v>115</v>
      </c>
      <c r="C4" s="12" t="s">
        <v>398</v>
      </c>
      <c r="D4" s="13" t="str">
        <f t="shared" ref="D4:D15" si="0">CONCATENATE(IF(LEN(CONCATENATE("[",A4,"] ",B4))&lt;=60,CONCATENATE("[",A4,"] ",B4),CONCATENATE("[",A4,"] ",LEFT(B4,30)," … ",RIGHT(B4,30))), " / ", C4)</f>
        <v>[PROCESS-44] Filter processes based on user …  on user portfolio assignments / Busy Bees</v>
      </c>
      <c r="E4" s="10">
        <v>0</v>
      </c>
      <c r="F4" s="10">
        <v>0</v>
      </c>
    </row>
    <row r="5" spans="1:6" ht="42" customHeight="1" x14ac:dyDescent="0.25">
      <c r="A5" s="12" t="s">
        <v>118</v>
      </c>
      <c r="B5" s="12" t="s">
        <v>117</v>
      </c>
      <c r="C5" s="12" t="s">
        <v>398</v>
      </c>
      <c r="D5" s="13" t="str">
        <f t="shared" si="0"/>
        <v>[PROCESS-92] Improve search performance (elastic search) / Busy Bees</v>
      </c>
      <c r="E5" s="10">
        <v>0</v>
      </c>
      <c r="F5" s="10">
        <v>0</v>
      </c>
    </row>
    <row r="6" spans="1:6" x14ac:dyDescent="0.25">
      <c r="A6" s="12" t="s">
        <v>121</v>
      </c>
      <c r="B6" s="12" t="s">
        <v>120</v>
      </c>
      <c r="C6" s="12" t="s">
        <v>398</v>
      </c>
      <c r="D6" s="13" t="str">
        <f t="shared" si="0"/>
        <v>[PROCESS-75] Support specific attributes based on taxonomy / Busy Bees</v>
      </c>
      <c r="E6" s="10">
        <v>0</v>
      </c>
      <c r="F6" s="10">
        <v>0</v>
      </c>
    </row>
    <row r="7" spans="1:6" x14ac:dyDescent="0.25">
      <c r="A7" s="12" t="s">
        <v>315</v>
      </c>
      <c r="B7" s="12" t="s">
        <v>353</v>
      </c>
      <c r="C7" s="12" t="s">
        <v>398</v>
      </c>
      <c r="D7" s="13" t="str">
        <f t="shared" si="0"/>
        <v>[PROCESS-98] Filter process by "my" active tasks / Busy Bees</v>
      </c>
      <c r="E7" s="10">
        <v>0</v>
      </c>
      <c r="F7" s="10">
        <v>0</v>
      </c>
    </row>
    <row r="8" spans="1:6" x14ac:dyDescent="0.25">
      <c r="A8" s="12" t="s">
        <v>149</v>
      </c>
      <c r="B8" s="12" t="s">
        <v>355</v>
      </c>
      <c r="C8" s="12" t="s">
        <v>398</v>
      </c>
      <c r="D8" s="13" t="str">
        <f t="shared" si="0"/>
        <v>[PFM-125] Foundation stabilization / Busy Bees</v>
      </c>
      <c r="E8" s="10">
        <v>0</v>
      </c>
      <c r="F8" s="10">
        <v>0</v>
      </c>
    </row>
    <row r="9" spans="1:6" x14ac:dyDescent="0.25">
      <c r="A9" s="12" t="s">
        <v>133</v>
      </c>
      <c r="B9" s="12" t="s">
        <v>355</v>
      </c>
      <c r="C9" s="12" t="s">
        <v>398</v>
      </c>
      <c r="D9" s="13" t="str">
        <f t="shared" si="0"/>
        <v>[PROCESS-95] Foundation stabilization / Busy Bees</v>
      </c>
      <c r="E9" s="10">
        <v>0</v>
      </c>
      <c r="F9" s="10">
        <v>0</v>
      </c>
    </row>
    <row r="10" spans="1:6" x14ac:dyDescent="0.25">
      <c r="A10" s="12" t="s">
        <v>129</v>
      </c>
      <c r="B10" s="12" t="s">
        <v>358</v>
      </c>
      <c r="C10" s="12" t="s">
        <v>398</v>
      </c>
      <c r="D10" s="13" t="str">
        <f t="shared" si="0"/>
        <v>[PROCESS-33] Harmonization of User Experience / Busy Bees</v>
      </c>
      <c r="E10" s="10">
        <v>0</v>
      </c>
      <c r="F10" s="10">
        <v>0</v>
      </c>
    </row>
    <row r="11" spans="1:6" x14ac:dyDescent="0.25">
      <c r="A11" s="12" t="s">
        <v>376</v>
      </c>
      <c r="B11" s="12" t="s">
        <v>375</v>
      </c>
      <c r="C11" s="12" t="s">
        <v>398</v>
      </c>
      <c r="D11" s="13" t="str">
        <f t="shared" si="0"/>
        <v>[PROCESS-125] Secure Process Centre by filte … esses according to logged user / Busy Bees</v>
      </c>
      <c r="E11" s="10">
        <v>0</v>
      </c>
      <c r="F11" s="10">
        <v>0</v>
      </c>
    </row>
    <row r="12" spans="1:6" x14ac:dyDescent="0.25">
      <c r="A12" s="12" t="s">
        <v>159</v>
      </c>
      <c r="B12" s="12" t="s">
        <v>387</v>
      </c>
      <c r="C12" s="12" t="s">
        <v>398</v>
      </c>
      <c r="D12" s="13" t="str">
        <f t="shared" si="0"/>
        <v>[PFM-131] UX harmonisation / Busy Bees</v>
      </c>
      <c r="E12" s="10">
        <v>0</v>
      </c>
      <c r="F12" s="10">
        <v>0</v>
      </c>
    </row>
    <row r="13" spans="1:6" x14ac:dyDescent="0.25">
      <c r="A13" s="12"/>
      <c r="B13" s="12"/>
      <c r="C13" s="12"/>
      <c r="D13" s="13" t="str">
        <f t="shared" si="0"/>
        <v xml:space="preserve">[]  / </v>
      </c>
      <c r="E13" s="10"/>
      <c r="F13" s="10"/>
    </row>
    <row r="14" spans="1:6" x14ac:dyDescent="0.25">
      <c r="A14" s="12"/>
      <c r="B14" s="12"/>
      <c r="C14" s="12"/>
      <c r="D14" s="13" t="str">
        <f t="shared" si="0"/>
        <v xml:space="preserve">[]  / </v>
      </c>
      <c r="E14" s="10"/>
      <c r="F14" s="10"/>
    </row>
    <row r="15" spans="1:6" x14ac:dyDescent="0.25">
      <c r="A15" s="12"/>
      <c r="B15" s="12"/>
      <c r="C15" s="12"/>
      <c r="D15" s="13" t="str">
        <f t="shared" si="0"/>
        <v xml:space="preserve">[]  / </v>
      </c>
      <c r="E15" s="10"/>
      <c r="F15" s="10"/>
    </row>
    <row r="16" spans="1:6" x14ac:dyDescent="0.25">
      <c r="A16" s="12"/>
      <c r="B16" s="12"/>
      <c r="C16" s="12"/>
      <c r="D16" s="13" t="str">
        <f t="shared" ref="D16:D58" si="1">CONCATENATE(IF(LEN(CONCATENATE("[",A16,"] ",B16))&lt;=60,CONCATENATE("[",A16,"] ",B16),CONCATENATE("[",A16,"] ",LEFT(B16,30)," … ",RIGHT(B16,30))), " / ", C16)</f>
        <v xml:space="preserve">[]  / </v>
      </c>
      <c r="E16" s="10"/>
      <c r="F16" s="10"/>
    </row>
    <row r="17" spans="1:6" x14ac:dyDescent="0.25">
      <c r="A17" s="12"/>
      <c r="B17" s="12"/>
      <c r="C17" s="12"/>
      <c r="D17" s="13" t="str">
        <f t="shared" si="1"/>
        <v xml:space="preserve">[]  / </v>
      </c>
      <c r="E17" s="10"/>
      <c r="F17" s="10"/>
    </row>
    <row r="18" spans="1:6" x14ac:dyDescent="0.25">
      <c r="A18" s="12"/>
      <c r="B18" s="12"/>
      <c r="C18" s="12"/>
      <c r="D18" s="13" t="str">
        <f t="shared" si="1"/>
        <v xml:space="preserve">[]  / </v>
      </c>
      <c r="E18" s="10"/>
      <c r="F18" s="10"/>
    </row>
    <row r="19" spans="1:6" x14ac:dyDescent="0.25">
      <c r="A19" s="12"/>
      <c r="B19" s="12"/>
      <c r="C19" s="12"/>
      <c r="D19" s="13" t="str">
        <f t="shared" si="1"/>
        <v xml:space="preserve">[]  / </v>
      </c>
      <c r="E19" s="10"/>
      <c r="F19" s="10"/>
    </row>
    <row r="20" spans="1:6" x14ac:dyDescent="0.25">
      <c r="A20" s="12"/>
      <c r="B20" s="12"/>
      <c r="C20" s="12"/>
      <c r="D20" s="13" t="str">
        <f t="shared" si="1"/>
        <v xml:space="preserve">[]  / </v>
      </c>
      <c r="E20" s="10"/>
      <c r="F20" s="10"/>
    </row>
    <row r="21" spans="1:6" x14ac:dyDescent="0.25">
      <c r="A21" s="12"/>
      <c r="B21" s="12"/>
      <c r="C21" s="12"/>
      <c r="D21" s="13" t="str">
        <f t="shared" si="1"/>
        <v xml:space="preserve">[]  / </v>
      </c>
      <c r="E21" s="10"/>
      <c r="F21" s="10"/>
    </row>
    <row r="22" spans="1:6" x14ac:dyDescent="0.25">
      <c r="A22" s="12"/>
      <c r="B22" s="12"/>
      <c r="C22" s="12"/>
      <c r="D22" s="13" t="str">
        <f t="shared" si="1"/>
        <v xml:space="preserve">[]  / </v>
      </c>
      <c r="E22" s="10"/>
      <c r="F22" s="10"/>
    </row>
    <row r="23" spans="1:6" x14ac:dyDescent="0.25">
      <c r="A23" s="12"/>
      <c r="B23" s="12"/>
      <c r="C23" s="12"/>
      <c r="D23" s="13" t="str">
        <f t="shared" si="1"/>
        <v xml:space="preserve">[]  / </v>
      </c>
      <c r="E23" s="10"/>
      <c r="F23" s="10"/>
    </row>
    <row r="24" spans="1:6" x14ac:dyDescent="0.25">
      <c r="A24" s="12"/>
      <c r="B24" s="12"/>
      <c r="C24" s="12"/>
      <c r="D24" s="13" t="str">
        <f t="shared" si="1"/>
        <v xml:space="preserve">[]  / </v>
      </c>
      <c r="E24" s="10"/>
      <c r="F24" s="10"/>
    </row>
    <row r="25" spans="1:6" x14ac:dyDescent="0.25">
      <c r="A25" s="12"/>
      <c r="B25" s="12"/>
      <c r="C25" s="12"/>
      <c r="D25" s="13" t="str">
        <f t="shared" si="1"/>
        <v xml:space="preserve">[]  / </v>
      </c>
      <c r="E25" s="10"/>
      <c r="F25" s="10"/>
    </row>
    <row r="26" spans="1:6" x14ac:dyDescent="0.25">
      <c r="A26" s="12"/>
      <c r="B26" s="12"/>
      <c r="C26" s="12"/>
      <c r="D26" s="13" t="str">
        <f t="shared" si="1"/>
        <v xml:space="preserve">[]  / </v>
      </c>
      <c r="E26" s="10"/>
      <c r="F26" s="10"/>
    </row>
    <row r="27" spans="1:6" x14ac:dyDescent="0.25">
      <c r="A27" s="12"/>
      <c r="B27" s="12"/>
      <c r="C27" s="12"/>
      <c r="D27" s="13" t="str">
        <f t="shared" si="1"/>
        <v xml:space="preserve">[]  / </v>
      </c>
      <c r="E27" s="10"/>
      <c r="F27" s="10"/>
    </row>
    <row r="28" spans="1:6" x14ac:dyDescent="0.25">
      <c r="A28" s="12"/>
      <c r="B28" s="12"/>
      <c r="C28" s="12"/>
      <c r="D28" s="13" t="str">
        <f t="shared" si="1"/>
        <v xml:space="preserve">[]  / </v>
      </c>
      <c r="E28" s="10"/>
      <c r="F28" s="10"/>
    </row>
    <row r="29" spans="1:6" x14ac:dyDescent="0.25">
      <c r="A29" s="12"/>
      <c r="B29" s="12"/>
      <c r="C29" s="12"/>
      <c r="D29" s="13" t="str">
        <f t="shared" si="1"/>
        <v xml:space="preserve">[]  / </v>
      </c>
      <c r="E29" s="10"/>
      <c r="F29" s="10"/>
    </row>
    <row r="30" spans="1:6" x14ac:dyDescent="0.25">
      <c r="A30" s="12"/>
      <c r="B30" s="12"/>
      <c r="C30" s="12"/>
      <c r="D30" s="13" t="str">
        <f t="shared" si="1"/>
        <v xml:space="preserve">[]  / </v>
      </c>
      <c r="E30" s="10"/>
      <c r="F30" s="10"/>
    </row>
    <row r="31" spans="1:6" x14ac:dyDescent="0.25">
      <c r="A31" s="12"/>
      <c r="B31" s="12"/>
      <c r="C31" s="12"/>
      <c r="D31" s="13" t="str">
        <f t="shared" si="1"/>
        <v xml:space="preserve">[]  / </v>
      </c>
      <c r="E31" s="10"/>
      <c r="F31" s="10"/>
    </row>
    <row r="32" spans="1:6" x14ac:dyDescent="0.25">
      <c r="A32" s="12"/>
      <c r="B32" s="12"/>
      <c r="C32" s="12"/>
      <c r="D32" s="13" t="str">
        <f t="shared" si="1"/>
        <v xml:space="preserve">[]  / </v>
      </c>
      <c r="E32" s="10"/>
      <c r="F32" s="10"/>
    </row>
    <row r="33" spans="1:6" x14ac:dyDescent="0.25">
      <c r="A33" s="12"/>
      <c r="B33" s="12"/>
      <c r="C33" s="12"/>
      <c r="D33" s="13" t="str">
        <f t="shared" si="1"/>
        <v xml:space="preserve">[]  / </v>
      </c>
      <c r="E33" s="10"/>
      <c r="F33" s="10"/>
    </row>
    <row r="34" spans="1:6" x14ac:dyDescent="0.25">
      <c r="A34" s="12"/>
      <c r="B34" s="12"/>
      <c r="C34" s="12"/>
      <c r="D34" s="13" t="str">
        <f t="shared" si="1"/>
        <v xml:space="preserve">[]  / </v>
      </c>
      <c r="E34" s="10"/>
      <c r="F34" s="10"/>
    </row>
    <row r="35" spans="1:6" x14ac:dyDescent="0.25">
      <c r="A35" s="12"/>
      <c r="B35" s="12"/>
      <c r="C35" s="12"/>
      <c r="D35" s="13" t="str">
        <f t="shared" si="1"/>
        <v xml:space="preserve">[]  / </v>
      </c>
      <c r="E35" s="10"/>
      <c r="F35" s="10"/>
    </row>
    <row r="36" spans="1:6" x14ac:dyDescent="0.25">
      <c r="A36" s="12"/>
      <c r="B36" s="12"/>
      <c r="C36" s="12"/>
      <c r="D36" s="13" t="str">
        <f t="shared" si="1"/>
        <v xml:space="preserve">[]  / </v>
      </c>
      <c r="E36" s="10"/>
      <c r="F36" s="10"/>
    </row>
    <row r="37" spans="1:6" x14ac:dyDescent="0.25">
      <c r="A37" s="12"/>
      <c r="B37" s="12"/>
      <c r="C37" s="12"/>
      <c r="D37" s="13" t="str">
        <f t="shared" si="1"/>
        <v xml:space="preserve">[]  / </v>
      </c>
      <c r="E37" s="10"/>
      <c r="F37" s="10"/>
    </row>
    <row r="38" spans="1:6" x14ac:dyDescent="0.25">
      <c r="A38" s="12"/>
      <c r="B38" s="12"/>
      <c r="C38" s="12"/>
      <c r="D38" s="13" t="str">
        <f t="shared" si="1"/>
        <v xml:space="preserve">[]  / </v>
      </c>
      <c r="E38" s="10"/>
      <c r="F38" s="10"/>
    </row>
    <row r="39" spans="1:6" x14ac:dyDescent="0.25">
      <c r="A39" s="12"/>
      <c r="B39" s="12"/>
      <c r="C39" s="12"/>
      <c r="D39" s="13" t="str">
        <f t="shared" si="1"/>
        <v xml:space="preserve">[]  / </v>
      </c>
      <c r="E39" s="10"/>
      <c r="F39" s="10"/>
    </row>
    <row r="40" spans="1:6" x14ac:dyDescent="0.25">
      <c r="A40" s="12"/>
      <c r="B40" s="12"/>
      <c r="C40" s="12"/>
      <c r="D40" s="13" t="str">
        <f t="shared" si="1"/>
        <v xml:space="preserve">[]  / </v>
      </c>
      <c r="E40" s="10"/>
      <c r="F40" s="10"/>
    </row>
    <row r="41" spans="1:6" x14ac:dyDescent="0.25">
      <c r="A41" s="12"/>
      <c r="B41" s="12"/>
      <c r="C41" s="12"/>
      <c r="D41" s="13" t="str">
        <f t="shared" si="1"/>
        <v xml:space="preserve">[]  / </v>
      </c>
      <c r="E41" s="10"/>
      <c r="F41" s="10"/>
    </row>
    <row r="42" spans="1:6" x14ac:dyDescent="0.25">
      <c r="A42" s="12"/>
      <c r="B42" s="12"/>
      <c r="C42" s="12"/>
      <c r="D42" s="13" t="str">
        <f t="shared" si="1"/>
        <v xml:space="preserve">[]  / </v>
      </c>
      <c r="E42" s="10"/>
      <c r="F42" s="10"/>
    </row>
    <row r="43" spans="1:6" x14ac:dyDescent="0.25">
      <c r="A43" s="12"/>
      <c r="B43" s="12"/>
      <c r="C43" s="12"/>
      <c r="D43" s="13" t="str">
        <f t="shared" si="1"/>
        <v xml:space="preserve">[]  / </v>
      </c>
      <c r="E43" s="10"/>
      <c r="F43" s="10"/>
    </row>
    <row r="44" spans="1:6" x14ac:dyDescent="0.25">
      <c r="A44" s="12"/>
      <c r="B44" s="12"/>
      <c r="C44" s="12"/>
      <c r="D44" s="13" t="str">
        <f t="shared" si="1"/>
        <v xml:space="preserve">[]  / </v>
      </c>
      <c r="E44" s="10"/>
      <c r="F44" s="10"/>
    </row>
    <row r="45" spans="1:6" x14ac:dyDescent="0.25">
      <c r="A45" s="12"/>
      <c r="B45" s="12"/>
      <c r="C45" s="12"/>
      <c r="D45" s="13" t="str">
        <f t="shared" si="1"/>
        <v xml:space="preserve">[]  / </v>
      </c>
      <c r="E45" s="10"/>
      <c r="F45" s="10"/>
    </row>
    <row r="46" spans="1:6" x14ac:dyDescent="0.25">
      <c r="A46" s="12"/>
      <c r="B46" s="12"/>
      <c r="C46" s="12"/>
      <c r="D46" s="13" t="str">
        <f t="shared" si="1"/>
        <v xml:space="preserve">[]  / </v>
      </c>
      <c r="E46" s="10"/>
      <c r="F46" s="10"/>
    </row>
    <row r="47" spans="1:6" x14ac:dyDescent="0.25">
      <c r="A47" s="12"/>
      <c r="B47" s="12"/>
      <c r="C47" s="12"/>
      <c r="D47" s="13" t="str">
        <f t="shared" si="1"/>
        <v xml:space="preserve">[]  / </v>
      </c>
      <c r="E47" s="10"/>
      <c r="F47" s="10"/>
    </row>
    <row r="48" spans="1:6" x14ac:dyDescent="0.25">
      <c r="A48" s="12"/>
      <c r="B48" s="12"/>
      <c r="C48" s="12"/>
      <c r="D48" s="13" t="str">
        <f t="shared" si="1"/>
        <v xml:space="preserve">[]  / </v>
      </c>
      <c r="E48" s="10"/>
      <c r="F48" s="10"/>
    </row>
    <row r="49" spans="1:6" x14ac:dyDescent="0.25">
      <c r="A49" s="12"/>
      <c r="B49" s="9"/>
      <c r="C49" s="9"/>
      <c r="D49" s="13" t="str">
        <f t="shared" si="1"/>
        <v xml:space="preserve">[]  / </v>
      </c>
      <c r="E49" s="10"/>
      <c r="F49" s="10"/>
    </row>
    <row r="50" spans="1:6" x14ac:dyDescent="0.25">
      <c r="A50" s="12"/>
      <c r="B50" s="9"/>
      <c r="C50" s="9"/>
      <c r="D50" s="13" t="str">
        <f t="shared" si="1"/>
        <v xml:space="preserve">[]  / </v>
      </c>
      <c r="E50" s="10"/>
      <c r="F50" s="10"/>
    </row>
    <row r="51" spans="1:6" x14ac:dyDescent="0.25">
      <c r="A51" s="12"/>
      <c r="B51" s="9"/>
      <c r="C51" s="9"/>
      <c r="D51" s="13" t="str">
        <f t="shared" si="1"/>
        <v xml:space="preserve">[]  / </v>
      </c>
      <c r="E51" s="10"/>
      <c r="F51" s="10"/>
    </row>
    <row r="52" spans="1:6" x14ac:dyDescent="0.25">
      <c r="A52" s="12"/>
      <c r="B52" s="9"/>
      <c r="C52" s="9"/>
      <c r="D52" s="13" t="str">
        <f t="shared" si="1"/>
        <v xml:space="preserve">[]  / </v>
      </c>
      <c r="E52" s="10"/>
      <c r="F52" s="10"/>
    </row>
    <row r="53" spans="1:6" x14ac:dyDescent="0.25">
      <c r="A53" s="12"/>
      <c r="B53" s="9"/>
      <c r="C53" s="9"/>
      <c r="D53" s="13" t="str">
        <f t="shared" si="1"/>
        <v xml:space="preserve">[]  / </v>
      </c>
      <c r="E53" s="10"/>
      <c r="F53" s="10"/>
    </row>
    <row r="54" spans="1:6" x14ac:dyDescent="0.25">
      <c r="A54" s="12"/>
      <c r="B54" s="9"/>
      <c r="C54" s="9"/>
      <c r="D54" s="13" t="str">
        <f t="shared" si="1"/>
        <v xml:space="preserve">[]  / </v>
      </c>
      <c r="E54" s="10"/>
      <c r="F54" s="10"/>
    </row>
    <row r="55" spans="1:6" x14ac:dyDescent="0.25">
      <c r="A55" s="12"/>
      <c r="B55" s="9"/>
      <c r="C55" s="9"/>
      <c r="D55" s="13" t="str">
        <f t="shared" si="1"/>
        <v xml:space="preserve">[]  / </v>
      </c>
      <c r="E55" s="10"/>
      <c r="F55" s="10"/>
    </row>
    <row r="56" spans="1:6" x14ac:dyDescent="0.25">
      <c r="A56" s="12"/>
      <c r="B56" s="9"/>
      <c r="C56" s="9"/>
      <c r="D56" s="13" t="str">
        <f t="shared" si="1"/>
        <v xml:space="preserve">[]  / </v>
      </c>
      <c r="E56" s="10"/>
      <c r="F56" s="10"/>
    </row>
    <row r="57" spans="1:6" x14ac:dyDescent="0.25">
      <c r="A57" s="12"/>
      <c r="B57" s="9"/>
      <c r="C57" s="9"/>
      <c r="D57" s="13" t="str">
        <f t="shared" si="1"/>
        <v xml:space="preserve">[]  / </v>
      </c>
      <c r="E57" s="10"/>
      <c r="F57" s="10"/>
    </row>
    <row r="58" spans="1:6" x14ac:dyDescent="0.25">
      <c r="A58" s="12"/>
      <c r="B58" s="9"/>
      <c r="C58" s="9"/>
      <c r="D58" s="13" t="str">
        <f t="shared" si="1"/>
        <v xml:space="preserve">[]  / </v>
      </c>
      <c r="E58" s="10"/>
      <c r="F58" s="10"/>
    </row>
  </sheetData>
  <sortState ref="A4:F13">
    <sortCondition ref="C4"/>
  </sortState>
  <pageMargins left="0.7" right="0.7" top="0.75" bottom="0.75" header="0.3" footer="0.3"/>
  <pageSetup paperSize="9"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C000"/>
  </sheetPr>
  <dimension ref="A2:F58"/>
  <sheetViews>
    <sheetView zoomScale="50" zoomScaleNormal="50" zoomScalePageLayoutView="90" workbookViewId="0">
      <selection activeCell="H47" sqref="H47"/>
    </sheetView>
  </sheetViews>
  <sheetFormatPr defaultColWidth="11" defaultRowHeight="15.75" x14ac:dyDescent="0.25"/>
  <cols>
    <col min="2" max="2" width="64.125" customWidth="1"/>
    <col min="3" max="3" width="47.125" customWidth="1"/>
    <col min="4" max="4" width="64.125" customWidth="1"/>
    <col min="5" max="5" width="14.5" customWidth="1"/>
    <col min="6" max="6" width="17.625" customWidth="1"/>
  </cols>
  <sheetData>
    <row r="2" spans="1:6" x14ac:dyDescent="0.25">
      <c r="E2">
        <f>SUM(E4:E58)</f>
        <v>0</v>
      </c>
      <c r="F2">
        <f>SUM(F4:F58)</f>
        <v>0</v>
      </c>
    </row>
    <row r="3" spans="1:6" ht="42" x14ac:dyDescent="0.35">
      <c r="A3" s="1" t="s">
        <v>27</v>
      </c>
      <c r="B3" s="1" t="s">
        <v>0</v>
      </c>
      <c r="C3" s="1" t="s">
        <v>28</v>
      </c>
      <c r="D3" s="1" t="s">
        <v>0</v>
      </c>
      <c r="E3" s="2" t="s">
        <v>2</v>
      </c>
      <c r="F3" s="2" t="s">
        <v>1</v>
      </c>
    </row>
    <row r="4" spans="1:6" ht="42" customHeight="1" x14ac:dyDescent="0.25">
      <c r="A4" s="9" t="s">
        <v>837</v>
      </c>
      <c r="B4" s="9" t="s">
        <v>838</v>
      </c>
      <c r="C4" s="9" t="s">
        <v>837</v>
      </c>
      <c r="D4" s="9" t="str">
        <f t="shared" ref="D4:D10" si="0">CONCATENATE(IF(LEN(CONCATENATE("[",A4,"] ",B4))&lt;=60,CONCATENATE("[",A4,"] ",B4),CONCATENATE("[",A4,"] ",LEFT(B4,30)," … ",RIGHT(B4,30))), " / ", C4)</f>
        <v>[n/a] No feature(s) / n/a</v>
      </c>
      <c r="E4" s="10">
        <v>0</v>
      </c>
      <c r="F4" s="10">
        <v>0</v>
      </c>
    </row>
    <row r="5" spans="1:6" x14ac:dyDescent="0.25">
      <c r="A5" s="9"/>
      <c r="B5" s="9"/>
      <c r="C5" s="9"/>
      <c r="D5" s="9" t="str">
        <f t="shared" si="0"/>
        <v xml:space="preserve">[]  / </v>
      </c>
      <c r="E5" s="10"/>
      <c r="F5" s="10"/>
    </row>
    <row r="6" spans="1:6" x14ac:dyDescent="0.25">
      <c r="A6" s="9"/>
      <c r="B6" s="9"/>
      <c r="C6" s="9"/>
      <c r="D6" s="9" t="str">
        <f t="shared" si="0"/>
        <v xml:space="preserve">[]  / </v>
      </c>
      <c r="E6" s="10"/>
      <c r="F6" s="10"/>
    </row>
    <row r="7" spans="1:6" x14ac:dyDescent="0.25">
      <c r="A7" s="9"/>
      <c r="B7" s="9"/>
      <c r="C7" s="9"/>
      <c r="D7" s="9" t="str">
        <f t="shared" si="0"/>
        <v xml:space="preserve">[]  / </v>
      </c>
      <c r="E7" s="10"/>
      <c r="F7" s="10"/>
    </row>
    <row r="8" spans="1:6" x14ac:dyDescent="0.25">
      <c r="A8" s="9"/>
      <c r="B8" s="9"/>
      <c r="C8" s="9"/>
      <c r="D8" s="9" t="str">
        <f t="shared" si="0"/>
        <v xml:space="preserve">[]  / </v>
      </c>
      <c r="E8" s="10"/>
      <c r="F8" s="10"/>
    </row>
    <row r="9" spans="1:6" x14ac:dyDescent="0.25">
      <c r="A9" s="9"/>
      <c r="B9" s="9"/>
      <c r="C9" s="9"/>
      <c r="D9" s="9" t="str">
        <f t="shared" si="0"/>
        <v xml:space="preserve">[]  / </v>
      </c>
      <c r="E9" s="10"/>
      <c r="F9" s="10"/>
    </row>
    <row r="10" spans="1:6" x14ac:dyDescent="0.25">
      <c r="A10" s="9"/>
      <c r="B10" s="9"/>
      <c r="C10" s="9"/>
      <c r="D10" s="9" t="str">
        <f t="shared" si="0"/>
        <v xml:space="preserve">[]  / </v>
      </c>
      <c r="E10" s="10"/>
      <c r="F10" s="10"/>
    </row>
    <row r="11" spans="1:6" x14ac:dyDescent="0.25">
      <c r="A11" s="9"/>
      <c r="B11" s="9"/>
      <c r="C11" s="9"/>
      <c r="D11" s="9" t="str">
        <f t="shared" ref="D11:D58" si="1">CONCATENATE(IF(LEN(CONCATENATE("[",A11,"] ",B11))&lt;=60,CONCATENATE("[",A11,"] ",B11),CONCATENATE("[",A11,"] ",LEFT(B11,30)," … ",RIGHT(B11,30))), " / ", C11)</f>
        <v xml:space="preserve">[]  / </v>
      </c>
      <c r="E11" s="10"/>
      <c r="F11" s="10"/>
    </row>
    <row r="12" spans="1:6" x14ac:dyDescent="0.25">
      <c r="A12" s="9"/>
      <c r="B12" s="9"/>
      <c r="C12" s="9"/>
      <c r="D12" s="9" t="str">
        <f t="shared" si="1"/>
        <v xml:space="preserve">[]  / </v>
      </c>
      <c r="E12" s="10"/>
      <c r="F12" s="10"/>
    </row>
    <row r="13" spans="1:6" x14ac:dyDescent="0.25">
      <c r="A13" s="9"/>
      <c r="B13" s="9"/>
      <c r="C13" s="9"/>
      <c r="D13" s="9" t="str">
        <f t="shared" si="1"/>
        <v xml:space="preserve">[]  / </v>
      </c>
      <c r="E13" s="10"/>
      <c r="F13" s="10"/>
    </row>
    <row r="14" spans="1:6" x14ac:dyDescent="0.25">
      <c r="A14" s="9"/>
      <c r="B14" s="9"/>
      <c r="C14" s="9"/>
      <c r="D14" s="9" t="str">
        <f t="shared" si="1"/>
        <v xml:space="preserve">[]  / </v>
      </c>
      <c r="E14" s="10"/>
      <c r="F14" s="10"/>
    </row>
    <row r="15" spans="1:6" x14ac:dyDescent="0.25">
      <c r="A15" s="9"/>
      <c r="B15" s="9"/>
      <c r="C15" s="9"/>
      <c r="D15" s="9" t="str">
        <f t="shared" si="1"/>
        <v xml:space="preserve">[]  / </v>
      </c>
      <c r="E15" s="10"/>
      <c r="F15" s="10"/>
    </row>
    <row r="16" spans="1:6" x14ac:dyDescent="0.25">
      <c r="A16" s="9"/>
      <c r="B16" s="9"/>
      <c r="C16" s="9"/>
      <c r="D16" s="9" t="str">
        <f t="shared" si="1"/>
        <v xml:space="preserve">[]  / </v>
      </c>
      <c r="E16" s="10"/>
      <c r="F16" s="10"/>
    </row>
    <row r="17" spans="1:6" x14ac:dyDescent="0.25">
      <c r="A17" s="9"/>
      <c r="B17" s="9"/>
      <c r="C17" s="9"/>
      <c r="D17" s="9" t="str">
        <f t="shared" si="1"/>
        <v xml:space="preserve">[]  / </v>
      </c>
      <c r="E17" s="10"/>
      <c r="F17" s="10"/>
    </row>
    <row r="18" spans="1:6" x14ac:dyDescent="0.25">
      <c r="A18" s="9"/>
      <c r="B18" s="9"/>
      <c r="C18" s="9"/>
      <c r="D18" s="9" t="str">
        <f t="shared" si="1"/>
        <v xml:space="preserve">[]  / </v>
      </c>
      <c r="E18" s="10"/>
      <c r="F18" s="10"/>
    </row>
    <row r="19" spans="1:6" x14ac:dyDescent="0.25">
      <c r="A19" s="9"/>
      <c r="B19" s="9"/>
      <c r="C19" s="9"/>
      <c r="D19" s="9" t="str">
        <f t="shared" si="1"/>
        <v xml:space="preserve">[]  / </v>
      </c>
      <c r="E19" s="10"/>
      <c r="F19" s="10"/>
    </row>
    <row r="20" spans="1:6" x14ac:dyDescent="0.25">
      <c r="A20" s="9"/>
      <c r="B20" s="9"/>
      <c r="C20" s="9"/>
      <c r="D20" s="9" t="str">
        <f t="shared" si="1"/>
        <v xml:space="preserve">[]  / </v>
      </c>
      <c r="E20" s="10"/>
      <c r="F20" s="10"/>
    </row>
    <row r="21" spans="1:6" x14ac:dyDescent="0.25">
      <c r="A21" s="9"/>
      <c r="B21" s="9"/>
      <c r="C21" s="9"/>
      <c r="D21" s="9" t="str">
        <f t="shared" si="1"/>
        <v xml:space="preserve">[]  / </v>
      </c>
      <c r="E21" s="10"/>
      <c r="F21" s="10"/>
    </row>
    <row r="22" spans="1:6" x14ac:dyDescent="0.25">
      <c r="A22" s="9"/>
      <c r="B22" s="9"/>
      <c r="C22" s="9"/>
      <c r="D22" s="9" t="str">
        <f t="shared" si="1"/>
        <v xml:space="preserve">[]  / </v>
      </c>
      <c r="E22" s="10"/>
      <c r="F22" s="10"/>
    </row>
    <row r="23" spans="1:6" x14ac:dyDescent="0.25">
      <c r="A23" s="9"/>
      <c r="B23" s="9"/>
      <c r="C23" s="9"/>
      <c r="D23" s="9" t="str">
        <f t="shared" si="1"/>
        <v xml:space="preserve">[]  / </v>
      </c>
      <c r="E23" s="10"/>
      <c r="F23" s="10"/>
    </row>
    <row r="24" spans="1:6" x14ac:dyDescent="0.25">
      <c r="A24" s="9"/>
      <c r="B24" s="9"/>
      <c r="C24" s="9"/>
      <c r="D24" s="9" t="str">
        <f t="shared" si="1"/>
        <v xml:space="preserve">[]  / </v>
      </c>
      <c r="E24" s="10"/>
      <c r="F24" s="10"/>
    </row>
    <row r="25" spans="1:6" x14ac:dyDescent="0.25">
      <c r="A25" s="9"/>
      <c r="B25" s="9"/>
      <c r="C25" s="9"/>
      <c r="D25" s="9" t="str">
        <f t="shared" si="1"/>
        <v xml:space="preserve">[]  / </v>
      </c>
      <c r="E25" s="10"/>
      <c r="F25" s="10"/>
    </row>
    <row r="26" spans="1:6" x14ac:dyDescent="0.25">
      <c r="A26" s="9"/>
      <c r="B26" s="9"/>
      <c r="C26" s="9"/>
      <c r="D26" s="9" t="str">
        <f t="shared" si="1"/>
        <v xml:space="preserve">[]  / </v>
      </c>
      <c r="E26" s="10"/>
      <c r="F26" s="10"/>
    </row>
    <row r="27" spans="1:6" x14ac:dyDescent="0.25">
      <c r="A27" s="9"/>
      <c r="B27" s="9"/>
      <c r="C27" s="9"/>
      <c r="D27" s="9" t="str">
        <f t="shared" si="1"/>
        <v xml:space="preserve">[]  / </v>
      </c>
      <c r="E27" s="10"/>
      <c r="F27" s="10"/>
    </row>
    <row r="28" spans="1:6" x14ac:dyDescent="0.25">
      <c r="A28" s="9"/>
      <c r="B28" s="9"/>
      <c r="C28" s="9"/>
      <c r="D28" s="9" t="str">
        <f t="shared" si="1"/>
        <v xml:space="preserve">[]  / </v>
      </c>
      <c r="E28" s="10"/>
      <c r="F28" s="10"/>
    </row>
    <row r="29" spans="1:6" x14ac:dyDescent="0.25">
      <c r="A29" s="9"/>
      <c r="B29" s="9"/>
      <c r="C29" s="9"/>
      <c r="D29" s="9" t="str">
        <f t="shared" si="1"/>
        <v xml:space="preserve">[]  / </v>
      </c>
      <c r="E29" s="10"/>
      <c r="F29" s="10"/>
    </row>
    <row r="30" spans="1:6" x14ac:dyDescent="0.25">
      <c r="A30" s="9"/>
      <c r="B30" s="9"/>
      <c r="C30" s="9"/>
      <c r="D30" s="9" t="str">
        <f t="shared" si="1"/>
        <v xml:space="preserve">[]  / </v>
      </c>
      <c r="E30" s="10"/>
      <c r="F30" s="10"/>
    </row>
    <row r="31" spans="1:6" x14ac:dyDescent="0.25">
      <c r="A31" s="9"/>
      <c r="B31" s="9"/>
      <c r="C31" s="9"/>
      <c r="D31" s="9" t="str">
        <f t="shared" si="1"/>
        <v xml:space="preserve">[]  / </v>
      </c>
      <c r="E31" s="10"/>
      <c r="F31" s="10"/>
    </row>
    <row r="32" spans="1:6" x14ac:dyDescent="0.25">
      <c r="A32" s="9"/>
      <c r="B32" s="9"/>
      <c r="C32" s="9"/>
      <c r="D32" s="9" t="str">
        <f t="shared" si="1"/>
        <v xml:space="preserve">[]  / </v>
      </c>
      <c r="E32" s="10"/>
      <c r="F32" s="10"/>
    </row>
    <row r="33" spans="1:6" x14ac:dyDescent="0.25">
      <c r="A33" s="9"/>
      <c r="B33" s="9"/>
      <c r="C33" s="9"/>
      <c r="D33" s="9" t="str">
        <f t="shared" si="1"/>
        <v xml:space="preserve">[]  / </v>
      </c>
      <c r="E33" s="10"/>
      <c r="F33" s="10"/>
    </row>
    <row r="34" spans="1:6" x14ac:dyDescent="0.25">
      <c r="A34" s="9"/>
      <c r="B34" s="9"/>
      <c r="C34" s="9"/>
      <c r="D34" s="9" t="str">
        <f t="shared" si="1"/>
        <v xml:space="preserve">[]  / </v>
      </c>
      <c r="E34" s="10"/>
      <c r="F34" s="10"/>
    </row>
    <row r="35" spans="1:6" x14ac:dyDescent="0.25">
      <c r="A35" s="9"/>
      <c r="B35" s="9"/>
      <c r="C35" s="9"/>
      <c r="D35" s="9" t="str">
        <f t="shared" si="1"/>
        <v xml:space="preserve">[]  / </v>
      </c>
      <c r="E35" s="10"/>
      <c r="F35" s="10"/>
    </row>
    <row r="36" spans="1:6" x14ac:dyDescent="0.25">
      <c r="A36" s="9"/>
      <c r="B36" s="9"/>
      <c r="C36" s="9"/>
      <c r="D36" s="9" t="str">
        <f t="shared" si="1"/>
        <v xml:space="preserve">[]  / </v>
      </c>
      <c r="E36" s="10"/>
      <c r="F36" s="10"/>
    </row>
    <row r="37" spans="1:6" x14ac:dyDescent="0.25">
      <c r="A37" s="9"/>
      <c r="B37" s="9"/>
      <c r="C37" s="9"/>
      <c r="D37" s="9" t="str">
        <f t="shared" si="1"/>
        <v xml:space="preserve">[]  / </v>
      </c>
      <c r="E37" s="10"/>
      <c r="F37" s="10"/>
    </row>
    <row r="38" spans="1:6" x14ac:dyDescent="0.25">
      <c r="A38" s="9"/>
      <c r="B38" s="9"/>
      <c r="C38" s="9"/>
      <c r="D38" s="9" t="str">
        <f t="shared" si="1"/>
        <v xml:space="preserve">[]  / </v>
      </c>
      <c r="E38" s="10"/>
      <c r="F38" s="10"/>
    </row>
    <row r="39" spans="1:6" x14ac:dyDescent="0.25">
      <c r="A39" s="9"/>
      <c r="B39" s="9"/>
      <c r="C39" s="9"/>
      <c r="D39" s="9" t="str">
        <f t="shared" si="1"/>
        <v xml:space="preserve">[]  / </v>
      </c>
      <c r="E39" s="10"/>
      <c r="F39" s="10"/>
    </row>
    <row r="40" spans="1:6" x14ac:dyDescent="0.25">
      <c r="A40" s="9"/>
      <c r="B40" s="9"/>
      <c r="C40" s="9"/>
      <c r="D40" s="9" t="str">
        <f t="shared" si="1"/>
        <v xml:space="preserve">[]  / </v>
      </c>
      <c r="E40" s="10"/>
      <c r="F40" s="10"/>
    </row>
    <row r="41" spans="1:6" x14ac:dyDescent="0.25">
      <c r="A41" s="9"/>
      <c r="B41" s="9"/>
      <c r="C41" s="9"/>
      <c r="D41" s="9" t="str">
        <f t="shared" si="1"/>
        <v xml:space="preserve">[]  / </v>
      </c>
      <c r="E41" s="10"/>
      <c r="F41" s="10"/>
    </row>
    <row r="42" spans="1:6" x14ac:dyDescent="0.25">
      <c r="A42" s="9"/>
      <c r="B42" s="9"/>
      <c r="C42" s="9"/>
      <c r="D42" s="9" t="str">
        <f t="shared" si="1"/>
        <v xml:space="preserve">[]  / </v>
      </c>
      <c r="E42" s="10"/>
      <c r="F42" s="10"/>
    </row>
    <row r="43" spans="1:6" x14ac:dyDescent="0.25">
      <c r="A43" s="9"/>
      <c r="B43" s="9"/>
      <c r="C43" s="9"/>
      <c r="D43" s="9" t="str">
        <f t="shared" si="1"/>
        <v xml:space="preserve">[]  / </v>
      </c>
      <c r="E43" s="10"/>
      <c r="F43" s="10"/>
    </row>
    <row r="44" spans="1:6" x14ac:dyDescent="0.25">
      <c r="A44" s="9"/>
      <c r="B44" s="9"/>
      <c r="C44" s="9"/>
      <c r="D44" s="9" t="str">
        <f t="shared" si="1"/>
        <v xml:space="preserve">[]  / </v>
      </c>
      <c r="E44" s="10"/>
      <c r="F44" s="10"/>
    </row>
    <row r="45" spans="1:6" x14ac:dyDescent="0.25">
      <c r="A45" s="9"/>
      <c r="B45" s="9"/>
      <c r="C45" s="9"/>
      <c r="D45" s="9" t="str">
        <f t="shared" si="1"/>
        <v xml:space="preserve">[]  / </v>
      </c>
      <c r="E45" s="10"/>
      <c r="F45" s="10"/>
    </row>
    <row r="46" spans="1:6" x14ac:dyDescent="0.25">
      <c r="A46" s="9"/>
      <c r="B46" s="9"/>
      <c r="C46" s="9"/>
      <c r="D46" s="9" t="str">
        <f t="shared" si="1"/>
        <v xml:space="preserve">[]  / </v>
      </c>
      <c r="E46" s="10"/>
      <c r="F46" s="10"/>
    </row>
    <row r="47" spans="1:6" x14ac:dyDescent="0.25">
      <c r="A47" s="9"/>
      <c r="B47" s="9"/>
      <c r="C47" s="9"/>
      <c r="D47" s="9" t="str">
        <f t="shared" si="1"/>
        <v xml:space="preserve">[]  / </v>
      </c>
      <c r="E47" s="10"/>
      <c r="F47" s="10"/>
    </row>
    <row r="48" spans="1:6" x14ac:dyDescent="0.25">
      <c r="A48" s="9"/>
      <c r="B48" s="9"/>
      <c r="C48" s="9"/>
      <c r="D48" s="9" t="str">
        <f t="shared" si="1"/>
        <v xml:space="preserve">[]  / </v>
      </c>
      <c r="E48" s="10"/>
      <c r="F48" s="10"/>
    </row>
    <row r="49" spans="1:6" x14ac:dyDescent="0.25">
      <c r="A49" s="9"/>
      <c r="B49" s="9"/>
      <c r="C49" s="9"/>
      <c r="D49" s="9" t="str">
        <f t="shared" si="1"/>
        <v xml:space="preserve">[]  / </v>
      </c>
      <c r="E49" s="10"/>
      <c r="F49" s="10"/>
    </row>
    <row r="50" spans="1:6" x14ac:dyDescent="0.25">
      <c r="A50" s="9"/>
      <c r="B50" s="9"/>
      <c r="C50" s="9"/>
      <c r="D50" s="9" t="str">
        <f t="shared" si="1"/>
        <v xml:space="preserve">[]  / </v>
      </c>
      <c r="E50" s="10"/>
      <c r="F50" s="10"/>
    </row>
    <row r="51" spans="1:6" x14ac:dyDescent="0.25">
      <c r="A51" s="9"/>
      <c r="B51" s="9"/>
      <c r="C51" s="9"/>
      <c r="D51" s="9" t="str">
        <f t="shared" si="1"/>
        <v xml:space="preserve">[]  / </v>
      </c>
      <c r="E51" s="10"/>
      <c r="F51" s="10"/>
    </row>
    <row r="52" spans="1:6" x14ac:dyDescent="0.25">
      <c r="A52" s="9"/>
      <c r="B52" s="9"/>
      <c r="C52" s="9"/>
      <c r="D52" s="9" t="str">
        <f t="shared" si="1"/>
        <v xml:space="preserve">[]  / </v>
      </c>
      <c r="E52" s="10"/>
      <c r="F52" s="10"/>
    </row>
    <row r="53" spans="1:6" x14ac:dyDescent="0.25">
      <c r="A53" s="9"/>
      <c r="B53" s="9"/>
      <c r="C53" s="9"/>
      <c r="D53" s="9" t="str">
        <f t="shared" si="1"/>
        <v xml:space="preserve">[]  / </v>
      </c>
      <c r="E53" s="10"/>
      <c r="F53" s="10"/>
    </row>
    <row r="54" spans="1:6" x14ac:dyDescent="0.25">
      <c r="A54" s="9"/>
      <c r="B54" s="9"/>
      <c r="C54" s="9"/>
      <c r="D54" s="9" t="str">
        <f t="shared" si="1"/>
        <v xml:space="preserve">[]  / </v>
      </c>
      <c r="E54" s="10"/>
      <c r="F54" s="10"/>
    </row>
    <row r="55" spans="1:6" x14ac:dyDescent="0.25">
      <c r="A55" s="9"/>
      <c r="B55" s="9"/>
      <c r="C55" s="9"/>
      <c r="D55" s="9" t="str">
        <f t="shared" si="1"/>
        <v xml:space="preserve">[]  / </v>
      </c>
      <c r="E55" s="10"/>
      <c r="F55" s="10"/>
    </row>
    <row r="56" spans="1:6" x14ac:dyDescent="0.25">
      <c r="A56" s="9"/>
      <c r="B56" s="9"/>
      <c r="C56" s="9"/>
      <c r="D56" s="9" t="str">
        <f t="shared" si="1"/>
        <v xml:space="preserve">[]  / </v>
      </c>
      <c r="E56" s="10"/>
      <c r="F56" s="10"/>
    </row>
    <row r="57" spans="1:6" x14ac:dyDescent="0.25">
      <c r="A57" s="9"/>
      <c r="B57" s="9"/>
      <c r="C57" s="9"/>
      <c r="D57" s="9" t="str">
        <f t="shared" si="1"/>
        <v xml:space="preserve">[]  / </v>
      </c>
      <c r="E57" s="10"/>
      <c r="F57" s="10"/>
    </row>
    <row r="58" spans="1:6" x14ac:dyDescent="0.25">
      <c r="A58" s="9"/>
      <c r="B58" s="9"/>
      <c r="C58" s="9"/>
      <c r="D58" s="9" t="str">
        <f t="shared" si="1"/>
        <v xml:space="preserve">[]  / </v>
      </c>
      <c r="E58" s="10"/>
      <c r="F58" s="10"/>
    </row>
  </sheetData>
  <pageMargins left="0.7" right="0.7" top="0.75" bottom="0.75" header="0.3" footer="0.3"/>
  <pageSetup paperSize="9"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C000"/>
  </sheetPr>
  <dimension ref="A1:K51"/>
  <sheetViews>
    <sheetView workbookViewId="0">
      <selection activeCell="AE20" sqref="AE20"/>
    </sheetView>
  </sheetViews>
  <sheetFormatPr defaultColWidth="8.875" defaultRowHeight="15" x14ac:dyDescent="0.25"/>
  <cols>
    <col min="1" max="1" width="8.875" style="3"/>
    <col min="2" max="2" width="6.25" style="3" customWidth="1"/>
    <col min="3" max="3" width="12.125" style="3" customWidth="1"/>
    <col min="4" max="11" width="3" style="3" customWidth="1"/>
    <col min="12" max="16384" width="8.875" style="3"/>
  </cols>
  <sheetData>
    <row r="1" spans="1:11" ht="134.25" thickBot="1" x14ac:dyDescent="0.35">
      <c r="A1" s="4" t="s">
        <v>414</v>
      </c>
      <c r="B1" s="4"/>
      <c r="C1" s="4" t="s">
        <v>3</v>
      </c>
      <c r="D1" s="14" t="s">
        <v>415</v>
      </c>
      <c r="E1" s="14" t="s">
        <v>416</v>
      </c>
      <c r="F1" s="14" t="s">
        <v>417</v>
      </c>
      <c r="G1" s="14" t="s">
        <v>19</v>
      </c>
      <c r="H1" s="14" t="s">
        <v>418</v>
      </c>
      <c r="I1" s="14" t="s">
        <v>419</v>
      </c>
      <c r="J1" s="14" t="s">
        <v>420</v>
      </c>
      <c r="K1" s="14" t="s">
        <v>15</v>
      </c>
    </row>
    <row r="2" spans="1:11" ht="15.75" thickTop="1" x14ac:dyDescent="0.25">
      <c r="A2" s="3">
        <v>1</v>
      </c>
      <c r="B2" s="15" t="s">
        <v>421</v>
      </c>
      <c r="C2" s="16">
        <v>43388</v>
      </c>
      <c r="D2" s="22">
        <v>0</v>
      </c>
      <c r="E2" s="22">
        <v>0</v>
      </c>
      <c r="F2" s="22">
        <v>0</v>
      </c>
      <c r="G2" s="22">
        <v>0</v>
      </c>
      <c r="H2" s="22">
        <v>0</v>
      </c>
      <c r="I2" s="22">
        <v>0</v>
      </c>
      <c r="J2" s="22">
        <v>0</v>
      </c>
      <c r="K2" s="22">
        <v>0</v>
      </c>
    </row>
    <row r="3" spans="1:11" x14ac:dyDescent="0.25">
      <c r="A3" s="3">
        <f>A2+1</f>
        <v>2</v>
      </c>
      <c r="B3" s="15" t="s">
        <v>422</v>
      </c>
      <c r="C3" s="16">
        <f>C2+1</f>
        <v>43389</v>
      </c>
      <c r="D3" s="22">
        <v>0</v>
      </c>
      <c r="E3" s="22">
        <v>0</v>
      </c>
      <c r="F3" s="22">
        <v>0</v>
      </c>
      <c r="G3" s="22">
        <v>0</v>
      </c>
      <c r="H3" s="22">
        <v>0</v>
      </c>
      <c r="I3" s="22">
        <v>0</v>
      </c>
      <c r="J3" s="22">
        <v>0</v>
      </c>
      <c r="K3" s="22">
        <v>0</v>
      </c>
    </row>
    <row r="4" spans="1:11" x14ac:dyDescent="0.25">
      <c r="A4" s="3">
        <f t="shared" ref="A4:A51" si="0">A3+1</f>
        <v>3</v>
      </c>
      <c r="B4" s="15" t="s">
        <v>423</v>
      </c>
      <c r="C4" s="16">
        <f t="shared" ref="C4:C51" si="1">C3+1</f>
        <v>43390</v>
      </c>
      <c r="D4" s="22">
        <v>0</v>
      </c>
      <c r="E4" s="22">
        <v>0</v>
      </c>
      <c r="F4" s="22">
        <v>0</v>
      </c>
      <c r="G4" s="22">
        <v>0</v>
      </c>
      <c r="H4" s="22">
        <v>0</v>
      </c>
      <c r="I4" s="22">
        <v>0</v>
      </c>
      <c r="J4" s="22">
        <v>0</v>
      </c>
      <c r="K4" s="22">
        <v>0</v>
      </c>
    </row>
    <row r="5" spans="1:11" x14ac:dyDescent="0.25">
      <c r="A5" s="3">
        <f t="shared" si="0"/>
        <v>4</v>
      </c>
      <c r="B5" s="15" t="s">
        <v>424</v>
      </c>
      <c r="C5" s="16">
        <f t="shared" si="1"/>
        <v>43391</v>
      </c>
      <c r="D5" s="22">
        <v>0</v>
      </c>
      <c r="E5" s="22">
        <v>0</v>
      </c>
      <c r="F5" s="22">
        <v>0</v>
      </c>
      <c r="G5" s="22">
        <v>0</v>
      </c>
      <c r="H5" s="22">
        <v>0</v>
      </c>
      <c r="I5" s="22">
        <v>0</v>
      </c>
      <c r="J5" s="22">
        <v>0</v>
      </c>
      <c r="K5" s="22">
        <v>0</v>
      </c>
    </row>
    <row r="6" spans="1:11" x14ac:dyDescent="0.25">
      <c r="A6" s="3">
        <f t="shared" si="0"/>
        <v>5</v>
      </c>
      <c r="B6" s="15" t="s">
        <v>425</v>
      </c>
      <c r="C6" s="16">
        <f t="shared" si="1"/>
        <v>43392</v>
      </c>
      <c r="D6" s="22">
        <v>0</v>
      </c>
      <c r="E6" s="22">
        <v>0</v>
      </c>
      <c r="F6" s="22">
        <v>0</v>
      </c>
      <c r="G6" s="22">
        <v>0</v>
      </c>
      <c r="H6" s="22">
        <v>0</v>
      </c>
      <c r="I6" s="22">
        <v>0</v>
      </c>
      <c r="J6" s="22">
        <v>0</v>
      </c>
      <c r="K6" s="22">
        <v>0</v>
      </c>
    </row>
    <row r="7" spans="1:11" x14ac:dyDescent="0.25">
      <c r="A7" s="3">
        <f t="shared" si="0"/>
        <v>6</v>
      </c>
      <c r="B7" s="15" t="s">
        <v>421</v>
      </c>
      <c r="C7" s="16">
        <f>C2+7</f>
        <v>43395</v>
      </c>
      <c r="D7" s="22">
        <v>0</v>
      </c>
      <c r="E7" s="22">
        <v>0</v>
      </c>
      <c r="F7" s="22">
        <v>0</v>
      </c>
      <c r="G7" s="22">
        <v>0</v>
      </c>
      <c r="H7" s="22">
        <v>0</v>
      </c>
      <c r="I7" s="22">
        <v>0</v>
      </c>
      <c r="J7" s="22">
        <v>0</v>
      </c>
      <c r="K7" s="22">
        <v>0</v>
      </c>
    </row>
    <row r="8" spans="1:11" x14ac:dyDescent="0.25">
      <c r="A8" s="3">
        <f t="shared" si="0"/>
        <v>7</v>
      </c>
      <c r="B8" s="15" t="s">
        <v>422</v>
      </c>
      <c r="C8" s="16">
        <f t="shared" si="1"/>
        <v>43396</v>
      </c>
      <c r="D8" s="22">
        <v>0</v>
      </c>
      <c r="E8" s="22">
        <v>0</v>
      </c>
      <c r="F8" s="22">
        <v>0</v>
      </c>
      <c r="G8" s="22">
        <v>0</v>
      </c>
      <c r="H8" s="22">
        <v>0</v>
      </c>
      <c r="I8" s="22">
        <v>0</v>
      </c>
      <c r="J8" s="22">
        <v>0</v>
      </c>
      <c r="K8" s="22">
        <v>0</v>
      </c>
    </row>
    <row r="9" spans="1:11" x14ac:dyDescent="0.25">
      <c r="A9" s="3">
        <f t="shared" si="0"/>
        <v>8</v>
      </c>
      <c r="B9" s="15" t="s">
        <v>423</v>
      </c>
      <c r="C9" s="16">
        <f t="shared" si="1"/>
        <v>43397</v>
      </c>
      <c r="D9" s="22">
        <v>0</v>
      </c>
      <c r="E9" s="22">
        <v>0</v>
      </c>
      <c r="F9" s="22">
        <v>0</v>
      </c>
      <c r="G9" s="22">
        <v>0</v>
      </c>
      <c r="H9" s="22">
        <v>0</v>
      </c>
      <c r="I9" s="22">
        <v>0</v>
      </c>
      <c r="J9" s="22">
        <v>0</v>
      </c>
      <c r="K9" s="22">
        <v>0</v>
      </c>
    </row>
    <row r="10" spans="1:11" x14ac:dyDescent="0.25">
      <c r="A10" s="3">
        <f t="shared" si="0"/>
        <v>9</v>
      </c>
      <c r="B10" s="15" t="s">
        <v>424</v>
      </c>
      <c r="C10" s="16">
        <f t="shared" si="1"/>
        <v>43398</v>
      </c>
      <c r="D10" s="22">
        <v>0</v>
      </c>
      <c r="E10" s="22">
        <v>0</v>
      </c>
      <c r="F10" s="22">
        <v>0</v>
      </c>
      <c r="G10" s="22">
        <v>0</v>
      </c>
      <c r="H10" s="22">
        <v>0</v>
      </c>
      <c r="I10" s="22">
        <v>0</v>
      </c>
      <c r="J10" s="22">
        <v>0</v>
      </c>
      <c r="K10" s="22">
        <v>0</v>
      </c>
    </row>
    <row r="11" spans="1:11" x14ac:dyDescent="0.25">
      <c r="A11" s="3">
        <f t="shared" si="0"/>
        <v>10</v>
      </c>
      <c r="B11" s="15" t="s">
        <v>425</v>
      </c>
      <c r="C11" s="16">
        <f t="shared" si="1"/>
        <v>43399</v>
      </c>
      <c r="D11" s="22">
        <v>0</v>
      </c>
      <c r="E11" s="22">
        <v>0</v>
      </c>
      <c r="F11" s="22">
        <v>0</v>
      </c>
      <c r="G11" s="22">
        <v>0</v>
      </c>
      <c r="H11" s="22">
        <v>0</v>
      </c>
      <c r="I11" s="22">
        <v>0</v>
      </c>
      <c r="J11" s="22">
        <v>0</v>
      </c>
      <c r="K11" s="22">
        <v>0</v>
      </c>
    </row>
    <row r="12" spans="1:11" x14ac:dyDescent="0.25">
      <c r="A12" s="3">
        <f t="shared" si="0"/>
        <v>11</v>
      </c>
      <c r="B12" s="15" t="s">
        <v>421</v>
      </c>
      <c r="C12" s="16">
        <f>C7+7</f>
        <v>43402</v>
      </c>
      <c r="D12" s="22">
        <v>0</v>
      </c>
      <c r="E12" s="22">
        <v>0</v>
      </c>
      <c r="F12" s="22">
        <v>0</v>
      </c>
      <c r="G12" s="22">
        <v>0</v>
      </c>
      <c r="H12" s="22">
        <v>0</v>
      </c>
      <c r="I12" s="22">
        <v>0</v>
      </c>
      <c r="J12" s="22">
        <v>0</v>
      </c>
      <c r="K12" s="22">
        <v>0</v>
      </c>
    </row>
    <row r="13" spans="1:11" x14ac:dyDescent="0.25">
      <c r="A13" s="3">
        <f t="shared" si="0"/>
        <v>12</v>
      </c>
      <c r="B13" s="15" t="s">
        <v>422</v>
      </c>
      <c r="C13" s="16">
        <f t="shared" si="1"/>
        <v>43403</v>
      </c>
      <c r="D13" s="22">
        <v>0</v>
      </c>
      <c r="E13" s="22">
        <v>0</v>
      </c>
      <c r="F13" s="22">
        <v>0</v>
      </c>
      <c r="G13" s="22">
        <v>0</v>
      </c>
      <c r="H13" s="22">
        <v>0</v>
      </c>
      <c r="I13" s="22">
        <v>0</v>
      </c>
      <c r="J13" s="22">
        <v>0</v>
      </c>
      <c r="K13" s="22">
        <v>0</v>
      </c>
    </row>
    <row r="14" spans="1:11" x14ac:dyDescent="0.25">
      <c r="A14" s="3">
        <f t="shared" si="0"/>
        <v>13</v>
      </c>
      <c r="B14" s="15" t="s">
        <v>423</v>
      </c>
      <c r="C14" s="16">
        <f t="shared" si="1"/>
        <v>43404</v>
      </c>
      <c r="D14" s="22">
        <v>0</v>
      </c>
      <c r="E14" s="22">
        <v>0</v>
      </c>
      <c r="F14" s="22">
        <v>0</v>
      </c>
      <c r="G14" s="22">
        <v>0</v>
      </c>
      <c r="H14" s="22">
        <v>0</v>
      </c>
      <c r="I14" s="22">
        <v>0</v>
      </c>
      <c r="J14" s="22">
        <v>0</v>
      </c>
      <c r="K14" s="22">
        <v>0</v>
      </c>
    </row>
    <row r="15" spans="1:11" x14ac:dyDescent="0.25">
      <c r="A15" s="3">
        <f t="shared" si="0"/>
        <v>14</v>
      </c>
      <c r="B15" s="15" t="s">
        <v>424</v>
      </c>
      <c r="C15" s="16">
        <f t="shared" si="1"/>
        <v>43405</v>
      </c>
      <c r="D15" s="22">
        <v>0</v>
      </c>
      <c r="E15" s="22">
        <v>0</v>
      </c>
      <c r="F15" s="22">
        <v>0</v>
      </c>
      <c r="G15" s="22">
        <v>0</v>
      </c>
      <c r="H15" s="22">
        <v>0</v>
      </c>
      <c r="I15" s="22">
        <v>0</v>
      </c>
      <c r="J15" s="22">
        <v>0</v>
      </c>
      <c r="K15" s="22">
        <v>0</v>
      </c>
    </row>
    <row r="16" spans="1:11" x14ac:dyDescent="0.25">
      <c r="A16" s="3">
        <f t="shared" si="0"/>
        <v>15</v>
      </c>
      <c r="B16" s="15" t="s">
        <v>425</v>
      </c>
      <c r="C16" s="16">
        <f t="shared" si="1"/>
        <v>43406</v>
      </c>
      <c r="D16" s="22">
        <v>0</v>
      </c>
      <c r="E16" s="22">
        <v>0</v>
      </c>
      <c r="F16" s="22">
        <v>0</v>
      </c>
      <c r="G16" s="22">
        <v>0</v>
      </c>
      <c r="H16" s="22">
        <v>0</v>
      </c>
      <c r="I16" s="22">
        <v>0</v>
      </c>
      <c r="J16" s="22">
        <v>0</v>
      </c>
      <c r="K16" s="22">
        <v>0</v>
      </c>
    </row>
    <row r="17" spans="1:11" x14ac:dyDescent="0.25">
      <c r="A17" s="3">
        <f t="shared" si="0"/>
        <v>16</v>
      </c>
      <c r="B17" s="15" t="s">
        <v>421</v>
      </c>
      <c r="C17" s="16">
        <f>C12+7</f>
        <v>43409</v>
      </c>
      <c r="D17" s="22">
        <v>0</v>
      </c>
      <c r="E17" s="22">
        <v>0</v>
      </c>
      <c r="F17" s="22">
        <v>0</v>
      </c>
      <c r="G17" s="22">
        <v>0</v>
      </c>
      <c r="H17" s="22">
        <v>0</v>
      </c>
      <c r="I17" s="22">
        <v>0</v>
      </c>
      <c r="J17" s="22">
        <v>0</v>
      </c>
      <c r="K17" s="22">
        <v>0</v>
      </c>
    </row>
    <row r="18" spans="1:11" x14ac:dyDescent="0.25">
      <c r="A18" s="3">
        <f t="shared" si="0"/>
        <v>17</v>
      </c>
      <c r="B18" s="15" t="s">
        <v>422</v>
      </c>
      <c r="C18" s="16">
        <f t="shared" si="1"/>
        <v>43410</v>
      </c>
      <c r="D18" s="22">
        <v>0</v>
      </c>
      <c r="E18" s="22">
        <v>0</v>
      </c>
      <c r="F18" s="22">
        <v>0</v>
      </c>
      <c r="G18" s="22">
        <v>0</v>
      </c>
      <c r="H18" s="22">
        <v>0</v>
      </c>
      <c r="I18" s="22">
        <v>0</v>
      </c>
      <c r="J18" s="22">
        <v>0</v>
      </c>
      <c r="K18" s="22">
        <v>0</v>
      </c>
    </row>
    <row r="19" spans="1:11" x14ac:dyDescent="0.25">
      <c r="A19" s="3">
        <f t="shared" si="0"/>
        <v>18</v>
      </c>
      <c r="B19" s="15" t="s">
        <v>423</v>
      </c>
      <c r="C19" s="16">
        <f t="shared" si="1"/>
        <v>43411</v>
      </c>
      <c r="D19" s="22">
        <v>0</v>
      </c>
      <c r="E19" s="22">
        <v>0</v>
      </c>
      <c r="F19" s="22">
        <v>0</v>
      </c>
      <c r="G19" s="22">
        <v>0</v>
      </c>
      <c r="H19" s="22">
        <v>0</v>
      </c>
      <c r="I19" s="22">
        <v>0</v>
      </c>
      <c r="J19" s="22">
        <v>0</v>
      </c>
      <c r="K19" s="22">
        <v>0</v>
      </c>
    </row>
    <row r="20" spans="1:11" x14ac:dyDescent="0.25">
      <c r="A20" s="3">
        <f t="shared" si="0"/>
        <v>19</v>
      </c>
      <c r="B20" s="15" t="s">
        <v>424</v>
      </c>
      <c r="C20" s="16">
        <f t="shared" si="1"/>
        <v>43412</v>
      </c>
      <c r="D20" s="22">
        <v>0</v>
      </c>
      <c r="E20" s="22">
        <v>0</v>
      </c>
      <c r="F20" s="22">
        <v>0</v>
      </c>
      <c r="G20" s="22">
        <v>0</v>
      </c>
      <c r="H20" s="22">
        <v>0</v>
      </c>
      <c r="I20" s="22">
        <v>0</v>
      </c>
      <c r="J20" s="22">
        <v>0</v>
      </c>
      <c r="K20" s="22">
        <v>0</v>
      </c>
    </row>
    <row r="21" spans="1:11" x14ac:dyDescent="0.25">
      <c r="A21" s="3">
        <f t="shared" si="0"/>
        <v>20</v>
      </c>
      <c r="B21" s="15" t="s">
        <v>425</v>
      </c>
      <c r="C21" s="16">
        <f t="shared" si="1"/>
        <v>43413</v>
      </c>
      <c r="D21" s="22">
        <v>0</v>
      </c>
      <c r="E21" s="22">
        <v>0</v>
      </c>
      <c r="F21" s="22">
        <v>0</v>
      </c>
      <c r="G21" s="22">
        <v>0</v>
      </c>
      <c r="H21" s="22">
        <v>0</v>
      </c>
      <c r="I21" s="22">
        <v>0</v>
      </c>
      <c r="J21" s="22">
        <v>0</v>
      </c>
      <c r="K21" s="22">
        <v>0</v>
      </c>
    </row>
    <row r="22" spans="1:11" x14ac:dyDescent="0.25">
      <c r="A22" s="3">
        <f t="shared" si="0"/>
        <v>21</v>
      </c>
      <c r="B22" s="15" t="s">
        <v>421</v>
      </c>
      <c r="C22" s="16">
        <f>C17+7</f>
        <v>43416</v>
      </c>
      <c r="D22" s="22">
        <v>0</v>
      </c>
      <c r="E22" s="22">
        <v>0</v>
      </c>
      <c r="F22" s="22">
        <v>0</v>
      </c>
      <c r="G22" s="22">
        <v>0</v>
      </c>
      <c r="H22" s="22">
        <v>0</v>
      </c>
      <c r="I22" s="22">
        <v>0</v>
      </c>
      <c r="J22" s="22">
        <v>0</v>
      </c>
      <c r="K22" s="22">
        <v>0</v>
      </c>
    </row>
    <row r="23" spans="1:11" x14ac:dyDescent="0.25">
      <c r="A23" s="3">
        <f t="shared" si="0"/>
        <v>22</v>
      </c>
      <c r="B23" s="15" t="s">
        <v>422</v>
      </c>
      <c r="C23" s="16">
        <f t="shared" si="1"/>
        <v>43417</v>
      </c>
      <c r="D23" s="22">
        <v>0</v>
      </c>
      <c r="E23" s="22">
        <v>0</v>
      </c>
      <c r="F23" s="22">
        <v>0</v>
      </c>
      <c r="G23" s="22">
        <v>0</v>
      </c>
      <c r="H23" s="22">
        <v>0</v>
      </c>
      <c r="I23" s="22">
        <v>0</v>
      </c>
      <c r="J23" s="22">
        <v>0</v>
      </c>
      <c r="K23" s="22">
        <v>0</v>
      </c>
    </row>
    <row r="24" spans="1:11" x14ac:dyDescent="0.25">
      <c r="A24" s="3">
        <f t="shared" si="0"/>
        <v>23</v>
      </c>
      <c r="B24" s="15" t="s">
        <v>423</v>
      </c>
      <c r="C24" s="16">
        <f t="shared" si="1"/>
        <v>43418</v>
      </c>
      <c r="D24" s="22">
        <v>0</v>
      </c>
      <c r="E24" s="22">
        <v>0</v>
      </c>
      <c r="F24" s="22">
        <v>0</v>
      </c>
      <c r="G24" s="22">
        <v>0</v>
      </c>
      <c r="H24" s="22">
        <v>0</v>
      </c>
      <c r="I24" s="22">
        <v>0</v>
      </c>
      <c r="J24" s="22">
        <v>0</v>
      </c>
      <c r="K24" s="22">
        <v>0</v>
      </c>
    </row>
    <row r="25" spans="1:11" x14ac:dyDescent="0.25">
      <c r="A25" s="3">
        <f t="shared" si="0"/>
        <v>24</v>
      </c>
      <c r="B25" s="15" t="s">
        <v>424</v>
      </c>
      <c r="C25" s="16">
        <f t="shared" si="1"/>
        <v>43419</v>
      </c>
      <c r="D25" s="22">
        <v>0</v>
      </c>
      <c r="E25" s="22">
        <v>0</v>
      </c>
      <c r="F25" s="22">
        <v>0</v>
      </c>
      <c r="G25" s="22">
        <v>0</v>
      </c>
      <c r="H25" s="22">
        <v>0</v>
      </c>
      <c r="I25" s="22">
        <v>0</v>
      </c>
      <c r="J25" s="22">
        <v>0</v>
      </c>
      <c r="K25" s="22">
        <v>0</v>
      </c>
    </row>
    <row r="26" spans="1:11" x14ac:dyDescent="0.25">
      <c r="A26" s="3">
        <f t="shared" si="0"/>
        <v>25</v>
      </c>
      <c r="B26" s="15" t="s">
        <v>425</v>
      </c>
      <c r="C26" s="16">
        <f t="shared" si="1"/>
        <v>43420</v>
      </c>
      <c r="D26" s="22">
        <v>0</v>
      </c>
      <c r="E26" s="22">
        <v>0</v>
      </c>
      <c r="F26" s="22">
        <v>0</v>
      </c>
      <c r="G26" s="22">
        <v>0</v>
      </c>
      <c r="H26" s="22">
        <v>0</v>
      </c>
      <c r="I26" s="22">
        <v>0</v>
      </c>
      <c r="J26" s="22">
        <v>0</v>
      </c>
      <c r="K26" s="22">
        <v>0</v>
      </c>
    </row>
    <row r="27" spans="1:11" x14ac:dyDescent="0.25">
      <c r="A27" s="3">
        <f t="shared" si="0"/>
        <v>26</v>
      </c>
      <c r="B27" s="15" t="s">
        <v>421</v>
      </c>
      <c r="C27" s="16">
        <f>C22+7</f>
        <v>43423</v>
      </c>
      <c r="D27" s="22">
        <v>0</v>
      </c>
      <c r="E27" s="22">
        <v>0</v>
      </c>
      <c r="F27" s="22">
        <v>0</v>
      </c>
      <c r="G27" s="22">
        <v>0</v>
      </c>
      <c r="H27" s="22">
        <v>0</v>
      </c>
      <c r="I27" s="22">
        <v>0</v>
      </c>
      <c r="J27" s="22">
        <v>0</v>
      </c>
      <c r="K27" s="22">
        <v>0</v>
      </c>
    </row>
    <row r="28" spans="1:11" x14ac:dyDescent="0.25">
      <c r="A28" s="3">
        <f t="shared" si="0"/>
        <v>27</v>
      </c>
      <c r="B28" s="15" t="s">
        <v>422</v>
      </c>
      <c r="C28" s="16">
        <f t="shared" si="1"/>
        <v>43424</v>
      </c>
      <c r="D28" s="22">
        <v>0</v>
      </c>
      <c r="E28" s="22">
        <v>0</v>
      </c>
      <c r="F28" s="22">
        <v>0</v>
      </c>
      <c r="G28" s="22">
        <v>0</v>
      </c>
      <c r="H28" s="22">
        <v>0</v>
      </c>
      <c r="I28" s="22">
        <v>0</v>
      </c>
      <c r="J28" s="22">
        <v>0</v>
      </c>
      <c r="K28" s="22">
        <v>0</v>
      </c>
    </row>
    <row r="29" spans="1:11" x14ac:dyDescent="0.25">
      <c r="A29" s="3">
        <f t="shared" si="0"/>
        <v>28</v>
      </c>
      <c r="B29" s="15" t="s">
        <v>423</v>
      </c>
      <c r="C29" s="16">
        <f t="shared" si="1"/>
        <v>43425</v>
      </c>
      <c r="D29" s="22">
        <v>0</v>
      </c>
      <c r="E29" s="22">
        <v>0</v>
      </c>
      <c r="F29" s="22">
        <v>0</v>
      </c>
      <c r="G29" s="22">
        <v>0</v>
      </c>
      <c r="H29" s="22">
        <v>0</v>
      </c>
      <c r="I29" s="22">
        <v>0</v>
      </c>
      <c r="J29" s="22">
        <v>0</v>
      </c>
      <c r="K29" s="22">
        <v>0</v>
      </c>
    </row>
    <row r="30" spans="1:11" x14ac:dyDescent="0.25">
      <c r="A30" s="3">
        <f t="shared" si="0"/>
        <v>29</v>
      </c>
      <c r="B30" s="15" t="s">
        <v>424</v>
      </c>
      <c r="C30" s="16">
        <f t="shared" si="1"/>
        <v>43426</v>
      </c>
      <c r="D30" s="22">
        <v>0</v>
      </c>
      <c r="E30" s="22">
        <v>0</v>
      </c>
      <c r="F30" s="22">
        <v>0</v>
      </c>
      <c r="G30" s="22">
        <v>0</v>
      </c>
      <c r="H30" s="22">
        <v>0</v>
      </c>
      <c r="I30" s="22">
        <v>0</v>
      </c>
      <c r="J30" s="22">
        <v>0</v>
      </c>
      <c r="K30" s="22">
        <v>0</v>
      </c>
    </row>
    <row r="31" spans="1:11" x14ac:dyDescent="0.25">
      <c r="A31" s="3">
        <f t="shared" si="0"/>
        <v>30</v>
      </c>
      <c r="B31" s="15" t="s">
        <v>425</v>
      </c>
      <c r="C31" s="16">
        <f t="shared" si="1"/>
        <v>43427</v>
      </c>
      <c r="D31" s="22">
        <v>0</v>
      </c>
      <c r="E31" s="22">
        <v>0</v>
      </c>
      <c r="F31" s="22">
        <v>0</v>
      </c>
      <c r="G31" s="22">
        <v>0</v>
      </c>
      <c r="H31" s="22">
        <v>0</v>
      </c>
      <c r="I31" s="22">
        <v>0</v>
      </c>
      <c r="J31" s="22">
        <v>0</v>
      </c>
      <c r="K31" s="22">
        <v>0</v>
      </c>
    </row>
    <row r="32" spans="1:11" x14ac:dyDescent="0.25">
      <c r="A32" s="3">
        <f t="shared" si="0"/>
        <v>31</v>
      </c>
      <c r="B32" s="15" t="s">
        <v>421</v>
      </c>
      <c r="C32" s="16">
        <f>C27+7</f>
        <v>43430</v>
      </c>
      <c r="D32" s="22">
        <v>0</v>
      </c>
      <c r="E32" s="22">
        <v>0</v>
      </c>
      <c r="F32" s="22">
        <v>0</v>
      </c>
      <c r="G32" s="22">
        <v>0</v>
      </c>
      <c r="H32" s="22">
        <v>0</v>
      </c>
      <c r="I32" s="22">
        <v>0</v>
      </c>
      <c r="J32" s="22">
        <v>0</v>
      </c>
      <c r="K32" s="22">
        <v>0</v>
      </c>
    </row>
    <row r="33" spans="1:11" x14ac:dyDescent="0.25">
      <c r="A33" s="3">
        <f t="shared" si="0"/>
        <v>32</v>
      </c>
      <c r="B33" s="15" t="s">
        <v>422</v>
      </c>
      <c r="C33" s="16">
        <f t="shared" si="1"/>
        <v>43431</v>
      </c>
      <c r="D33" s="22">
        <v>0</v>
      </c>
      <c r="E33" s="22">
        <v>0</v>
      </c>
      <c r="F33" s="22">
        <v>0</v>
      </c>
      <c r="G33" s="22">
        <v>0</v>
      </c>
      <c r="H33" s="22">
        <v>0</v>
      </c>
      <c r="I33" s="22">
        <v>0</v>
      </c>
      <c r="J33" s="22">
        <v>0</v>
      </c>
      <c r="K33" s="22">
        <v>0</v>
      </c>
    </row>
    <row r="34" spans="1:11" x14ac:dyDescent="0.25">
      <c r="A34" s="3">
        <f t="shared" si="0"/>
        <v>33</v>
      </c>
      <c r="B34" s="15" t="s">
        <v>423</v>
      </c>
      <c r="C34" s="16">
        <f t="shared" si="1"/>
        <v>43432</v>
      </c>
      <c r="D34" s="22">
        <v>0</v>
      </c>
      <c r="E34" s="22">
        <v>0</v>
      </c>
      <c r="F34" s="22">
        <v>0</v>
      </c>
      <c r="G34" s="22">
        <v>0</v>
      </c>
      <c r="H34" s="22">
        <v>0</v>
      </c>
      <c r="I34" s="22">
        <v>0</v>
      </c>
      <c r="J34" s="22">
        <v>0</v>
      </c>
      <c r="K34" s="22">
        <v>0</v>
      </c>
    </row>
    <row r="35" spans="1:11" x14ac:dyDescent="0.25">
      <c r="A35" s="3">
        <f t="shared" si="0"/>
        <v>34</v>
      </c>
      <c r="B35" s="15" t="s">
        <v>424</v>
      </c>
      <c r="C35" s="16">
        <f t="shared" si="1"/>
        <v>43433</v>
      </c>
      <c r="D35" s="22">
        <v>0</v>
      </c>
      <c r="E35" s="22">
        <v>0</v>
      </c>
      <c r="F35" s="22">
        <v>0</v>
      </c>
      <c r="G35" s="22">
        <v>0</v>
      </c>
      <c r="H35" s="22">
        <v>0</v>
      </c>
      <c r="I35" s="22">
        <v>0</v>
      </c>
      <c r="J35" s="22">
        <v>0</v>
      </c>
      <c r="K35" s="22">
        <v>0</v>
      </c>
    </row>
    <row r="36" spans="1:11" x14ac:dyDescent="0.25">
      <c r="A36" s="3">
        <f t="shared" si="0"/>
        <v>35</v>
      </c>
      <c r="B36" s="15" t="s">
        <v>425</v>
      </c>
      <c r="C36" s="16">
        <f t="shared" si="1"/>
        <v>43434</v>
      </c>
      <c r="D36" s="22">
        <v>0</v>
      </c>
      <c r="E36" s="22">
        <v>0</v>
      </c>
      <c r="F36" s="22">
        <v>0</v>
      </c>
      <c r="G36" s="22">
        <v>0</v>
      </c>
      <c r="H36" s="22">
        <v>0</v>
      </c>
      <c r="I36" s="22">
        <v>0</v>
      </c>
      <c r="J36" s="22">
        <v>0</v>
      </c>
      <c r="K36" s="22">
        <v>0</v>
      </c>
    </row>
    <row r="37" spans="1:11" x14ac:dyDescent="0.25">
      <c r="A37" s="3">
        <f t="shared" si="0"/>
        <v>36</v>
      </c>
      <c r="B37" s="15" t="s">
        <v>421</v>
      </c>
      <c r="C37" s="16">
        <f>C32+7</f>
        <v>43437</v>
      </c>
      <c r="D37" s="22">
        <v>0</v>
      </c>
      <c r="E37" s="22">
        <v>0</v>
      </c>
      <c r="F37" s="22">
        <v>0</v>
      </c>
      <c r="G37" s="22">
        <v>0</v>
      </c>
      <c r="H37" s="22">
        <v>0</v>
      </c>
      <c r="I37" s="22">
        <v>0</v>
      </c>
      <c r="J37" s="22">
        <v>0</v>
      </c>
      <c r="K37" s="22">
        <v>0</v>
      </c>
    </row>
    <row r="38" spans="1:11" x14ac:dyDescent="0.25">
      <c r="A38" s="3">
        <f t="shared" si="0"/>
        <v>37</v>
      </c>
      <c r="B38" s="15" t="s">
        <v>422</v>
      </c>
      <c r="C38" s="16">
        <f t="shared" si="1"/>
        <v>43438</v>
      </c>
      <c r="D38" s="22">
        <v>0</v>
      </c>
      <c r="E38" s="22">
        <v>0</v>
      </c>
      <c r="F38" s="22">
        <v>4</v>
      </c>
      <c r="G38" s="22">
        <v>6</v>
      </c>
      <c r="H38" s="22">
        <v>0</v>
      </c>
      <c r="I38" s="22">
        <v>0</v>
      </c>
      <c r="J38" s="22">
        <v>0</v>
      </c>
      <c r="K38" s="22">
        <v>0</v>
      </c>
    </row>
    <row r="39" spans="1:11" x14ac:dyDescent="0.25">
      <c r="A39" s="3">
        <f t="shared" si="0"/>
        <v>38</v>
      </c>
      <c r="B39" s="15" t="s">
        <v>423</v>
      </c>
      <c r="C39" s="16">
        <f t="shared" si="1"/>
        <v>43439</v>
      </c>
      <c r="D39" s="22">
        <v>0</v>
      </c>
      <c r="E39" s="22">
        <v>0</v>
      </c>
      <c r="F39" s="22">
        <v>4</v>
      </c>
      <c r="G39" s="22">
        <v>6</v>
      </c>
      <c r="H39" s="22">
        <v>0</v>
      </c>
      <c r="I39" s="22">
        <v>0</v>
      </c>
      <c r="J39" s="22">
        <v>0</v>
      </c>
      <c r="K39" s="22">
        <v>0</v>
      </c>
    </row>
    <row r="40" spans="1:11" x14ac:dyDescent="0.25">
      <c r="A40" s="3">
        <f t="shared" si="0"/>
        <v>39</v>
      </c>
      <c r="B40" s="15" t="s">
        <v>424</v>
      </c>
      <c r="C40" s="16">
        <f t="shared" si="1"/>
        <v>43440</v>
      </c>
      <c r="D40" s="22">
        <v>0</v>
      </c>
      <c r="E40" s="22">
        <v>0</v>
      </c>
      <c r="F40" s="22">
        <v>4</v>
      </c>
      <c r="G40" s="22">
        <v>6</v>
      </c>
      <c r="H40" s="22">
        <v>0</v>
      </c>
      <c r="I40" s="22">
        <v>0</v>
      </c>
      <c r="J40" s="22">
        <v>0</v>
      </c>
      <c r="K40" s="22">
        <v>0</v>
      </c>
    </row>
    <row r="41" spans="1:11" x14ac:dyDescent="0.25">
      <c r="A41" s="3">
        <f t="shared" si="0"/>
        <v>40</v>
      </c>
      <c r="B41" s="15" t="s">
        <v>425</v>
      </c>
      <c r="C41" s="16">
        <f t="shared" si="1"/>
        <v>43441</v>
      </c>
      <c r="D41" s="22">
        <v>0</v>
      </c>
      <c r="E41" s="22">
        <v>0</v>
      </c>
      <c r="F41" s="22">
        <v>4</v>
      </c>
      <c r="G41" s="22">
        <v>6</v>
      </c>
      <c r="H41" s="22">
        <v>0</v>
      </c>
      <c r="I41" s="22">
        <v>0</v>
      </c>
      <c r="J41" s="22">
        <v>0</v>
      </c>
      <c r="K41" s="22">
        <v>1</v>
      </c>
    </row>
    <row r="42" spans="1:11" x14ac:dyDescent="0.25">
      <c r="A42" s="3">
        <f t="shared" si="0"/>
        <v>41</v>
      </c>
      <c r="B42" s="15" t="s">
        <v>421</v>
      </c>
      <c r="C42" s="16">
        <f>C37+7</f>
        <v>43444</v>
      </c>
      <c r="D42" s="22">
        <v>0</v>
      </c>
      <c r="E42" s="22">
        <v>0</v>
      </c>
      <c r="F42" s="22">
        <v>4</v>
      </c>
      <c r="G42" s="22">
        <v>6</v>
      </c>
      <c r="H42" s="22">
        <v>0</v>
      </c>
      <c r="I42" s="22">
        <v>0</v>
      </c>
      <c r="J42" s="22">
        <v>0</v>
      </c>
      <c r="K42" s="22">
        <v>1</v>
      </c>
    </row>
    <row r="43" spans="1:11" x14ac:dyDescent="0.25">
      <c r="A43" s="3">
        <f t="shared" si="0"/>
        <v>42</v>
      </c>
      <c r="B43" s="15" t="s">
        <v>422</v>
      </c>
      <c r="C43" s="16">
        <f t="shared" si="1"/>
        <v>43445</v>
      </c>
      <c r="D43" s="22">
        <v>0</v>
      </c>
      <c r="E43" s="22">
        <v>0</v>
      </c>
      <c r="F43" s="22">
        <v>4</v>
      </c>
      <c r="G43" s="22">
        <v>6</v>
      </c>
      <c r="H43" s="22">
        <v>0</v>
      </c>
      <c r="I43" s="22">
        <v>0</v>
      </c>
      <c r="J43" s="22">
        <v>0</v>
      </c>
      <c r="K43" s="22">
        <v>1</v>
      </c>
    </row>
    <row r="44" spans="1:11" x14ac:dyDescent="0.25">
      <c r="A44" s="3">
        <f t="shared" si="0"/>
        <v>43</v>
      </c>
      <c r="B44" s="15" t="s">
        <v>423</v>
      </c>
      <c r="C44" s="16">
        <f t="shared" si="1"/>
        <v>43446</v>
      </c>
      <c r="D44" s="22">
        <v>0</v>
      </c>
      <c r="E44" s="22">
        <v>0</v>
      </c>
      <c r="F44" s="22">
        <v>4</v>
      </c>
      <c r="G44" s="22">
        <v>5</v>
      </c>
      <c r="H44" s="22">
        <v>0</v>
      </c>
      <c r="I44" s="22">
        <v>0</v>
      </c>
      <c r="J44" s="22">
        <v>0</v>
      </c>
      <c r="K44" s="22">
        <v>0</v>
      </c>
    </row>
    <row r="45" spans="1:11" x14ac:dyDescent="0.25">
      <c r="A45" s="3">
        <f t="shared" si="0"/>
        <v>44</v>
      </c>
      <c r="B45" s="15" t="s">
        <v>424</v>
      </c>
      <c r="C45" s="16">
        <f t="shared" si="1"/>
        <v>43447</v>
      </c>
      <c r="D45" s="22">
        <v>0</v>
      </c>
      <c r="E45" s="22">
        <v>0</v>
      </c>
      <c r="F45" s="22">
        <v>4</v>
      </c>
      <c r="G45" s="22">
        <v>5</v>
      </c>
      <c r="H45" s="22">
        <v>0</v>
      </c>
      <c r="I45" s="22">
        <v>0</v>
      </c>
      <c r="J45" s="22">
        <v>0</v>
      </c>
      <c r="K45" s="22">
        <v>0</v>
      </c>
    </row>
    <row r="46" spans="1:11" x14ac:dyDescent="0.25">
      <c r="A46" s="3">
        <f t="shared" si="0"/>
        <v>45</v>
      </c>
      <c r="B46" s="15" t="s">
        <v>425</v>
      </c>
      <c r="C46" s="16">
        <f t="shared" si="1"/>
        <v>43448</v>
      </c>
      <c r="D46" s="22">
        <v>0</v>
      </c>
      <c r="E46" s="22">
        <v>0</v>
      </c>
      <c r="F46" s="22">
        <v>4</v>
      </c>
      <c r="G46" s="22">
        <v>5</v>
      </c>
      <c r="H46" s="22">
        <v>0</v>
      </c>
      <c r="I46" s="22">
        <v>0</v>
      </c>
      <c r="J46" s="22">
        <v>0</v>
      </c>
      <c r="K46" s="22">
        <v>0</v>
      </c>
    </row>
    <row r="47" spans="1:11" x14ac:dyDescent="0.25">
      <c r="A47" s="3">
        <f t="shared" si="0"/>
        <v>46</v>
      </c>
      <c r="B47" s="15" t="s">
        <v>421</v>
      </c>
      <c r="C47" s="16">
        <f>C42+7</f>
        <v>43451</v>
      </c>
      <c r="D47" s="22">
        <v>0</v>
      </c>
      <c r="E47" s="22">
        <v>0</v>
      </c>
      <c r="F47" s="22">
        <v>4</v>
      </c>
      <c r="G47" s="22">
        <v>5</v>
      </c>
      <c r="H47" s="22">
        <v>0</v>
      </c>
      <c r="I47" s="22">
        <v>0</v>
      </c>
      <c r="J47" s="22">
        <v>0</v>
      </c>
      <c r="K47" s="22">
        <v>0</v>
      </c>
    </row>
    <row r="48" spans="1:11" x14ac:dyDescent="0.25">
      <c r="A48" s="3">
        <f t="shared" si="0"/>
        <v>47</v>
      </c>
      <c r="B48" s="15" t="s">
        <v>422</v>
      </c>
      <c r="C48" s="16">
        <f t="shared" si="1"/>
        <v>43452</v>
      </c>
      <c r="D48" s="22">
        <v>0</v>
      </c>
      <c r="E48" s="22">
        <v>0</v>
      </c>
      <c r="F48" s="22">
        <v>4</v>
      </c>
      <c r="G48" s="22">
        <v>5</v>
      </c>
      <c r="H48" s="22">
        <v>0</v>
      </c>
      <c r="I48" s="22">
        <v>0</v>
      </c>
      <c r="J48" s="22">
        <v>0</v>
      </c>
      <c r="K48" s="22">
        <v>0</v>
      </c>
    </row>
    <row r="49" spans="1:11" x14ac:dyDescent="0.25">
      <c r="A49" s="3">
        <f t="shared" si="0"/>
        <v>48</v>
      </c>
      <c r="B49" s="15" t="s">
        <v>423</v>
      </c>
      <c r="C49" s="16">
        <f t="shared" si="1"/>
        <v>43453</v>
      </c>
      <c r="D49" s="22">
        <v>0</v>
      </c>
      <c r="E49" s="22">
        <v>0</v>
      </c>
      <c r="F49" s="22">
        <v>4</v>
      </c>
      <c r="G49" s="22">
        <v>5</v>
      </c>
      <c r="H49" s="22">
        <v>0</v>
      </c>
      <c r="I49" s="22">
        <v>0</v>
      </c>
      <c r="J49" s="22">
        <v>0</v>
      </c>
      <c r="K49" s="22">
        <v>0</v>
      </c>
    </row>
    <row r="50" spans="1:11" x14ac:dyDescent="0.25">
      <c r="A50" s="3">
        <f t="shared" si="0"/>
        <v>49</v>
      </c>
      <c r="B50" s="15" t="s">
        <v>424</v>
      </c>
      <c r="C50" s="16">
        <f t="shared" si="1"/>
        <v>43454</v>
      </c>
      <c r="D50" s="22">
        <v>0</v>
      </c>
      <c r="E50" s="22">
        <v>0</v>
      </c>
      <c r="F50" s="22">
        <v>4</v>
      </c>
      <c r="G50" s="22">
        <v>5</v>
      </c>
      <c r="H50" s="22">
        <v>0</v>
      </c>
      <c r="I50" s="22">
        <v>0</v>
      </c>
      <c r="J50" s="22">
        <v>0</v>
      </c>
      <c r="K50" s="22">
        <v>0</v>
      </c>
    </row>
    <row r="51" spans="1:11" x14ac:dyDescent="0.25">
      <c r="A51" s="3">
        <f t="shared" si="0"/>
        <v>50</v>
      </c>
      <c r="B51" s="15" t="s">
        <v>425</v>
      </c>
      <c r="C51" s="16">
        <f t="shared" si="1"/>
        <v>43455</v>
      </c>
      <c r="D51" s="22">
        <v>0</v>
      </c>
      <c r="E51" s="22">
        <v>0</v>
      </c>
      <c r="F51" s="22">
        <v>4</v>
      </c>
      <c r="G51" s="22">
        <v>5</v>
      </c>
      <c r="H51" s="22">
        <v>0</v>
      </c>
      <c r="I51" s="22">
        <v>0</v>
      </c>
      <c r="J51" s="22">
        <v>0</v>
      </c>
      <c r="K51" s="22">
        <v>0</v>
      </c>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FFC000"/>
  </sheetPr>
  <dimension ref="A1:K51"/>
  <sheetViews>
    <sheetView topLeftCell="A10" workbookViewId="0">
      <selection activeCell="AE20" sqref="AE20"/>
    </sheetView>
  </sheetViews>
  <sheetFormatPr defaultColWidth="8.875" defaultRowHeight="15" x14ac:dyDescent="0.25"/>
  <cols>
    <col min="1" max="1" width="8.875" style="3"/>
    <col min="2" max="2" width="6.25" style="3" customWidth="1"/>
    <col min="3" max="3" width="12.125" style="3" customWidth="1"/>
    <col min="4" max="11" width="3" style="3" customWidth="1"/>
    <col min="12" max="16384" width="8.875" style="3"/>
  </cols>
  <sheetData>
    <row r="1" spans="1:11" ht="134.25" thickBot="1" x14ac:dyDescent="0.35">
      <c r="A1" s="4" t="s">
        <v>414</v>
      </c>
      <c r="B1" s="4"/>
      <c r="C1" s="4" t="s">
        <v>3</v>
      </c>
      <c r="D1" s="14" t="s">
        <v>415</v>
      </c>
      <c r="E1" s="14" t="s">
        <v>416</v>
      </c>
      <c r="F1" s="14" t="s">
        <v>417</v>
      </c>
      <c r="G1" s="14" t="s">
        <v>19</v>
      </c>
      <c r="H1" s="14" t="s">
        <v>418</v>
      </c>
      <c r="I1" s="14" t="s">
        <v>419</v>
      </c>
      <c r="J1" s="14" t="s">
        <v>420</v>
      </c>
      <c r="K1" s="14" t="s">
        <v>15</v>
      </c>
    </row>
    <row r="2" spans="1:11" ht="15.75" thickTop="1" x14ac:dyDescent="0.25">
      <c r="A2" s="3">
        <v>1</v>
      </c>
      <c r="B2" s="15" t="s">
        <v>421</v>
      </c>
      <c r="C2" s="16">
        <v>43388</v>
      </c>
      <c r="D2" s="22">
        <v>0</v>
      </c>
      <c r="E2" s="22">
        <v>0</v>
      </c>
      <c r="F2" s="22">
        <v>0</v>
      </c>
      <c r="G2" s="22">
        <v>0</v>
      </c>
      <c r="H2" s="22">
        <v>0</v>
      </c>
      <c r="I2" s="22">
        <v>0</v>
      </c>
      <c r="J2" s="22">
        <v>0</v>
      </c>
      <c r="K2" s="22">
        <v>0</v>
      </c>
    </row>
    <row r="3" spans="1:11" x14ac:dyDescent="0.25">
      <c r="A3" s="3">
        <f>A2+1</f>
        <v>2</v>
      </c>
      <c r="B3" s="15" t="s">
        <v>422</v>
      </c>
      <c r="C3" s="16">
        <f>C2+1</f>
        <v>43389</v>
      </c>
      <c r="D3" s="22">
        <v>0</v>
      </c>
      <c r="E3" s="22">
        <v>0</v>
      </c>
      <c r="F3" s="22">
        <v>0</v>
      </c>
      <c r="G3" s="22">
        <v>0</v>
      </c>
      <c r="H3" s="22">
        <v>0</v>
      </c>
      <c r="I3" s="22">
        <v>0</v>
      </c>
      <c r="J3" s="22">
        <v>0</v>
      </c>
      <c r="K3" s="22">
        <v>0</v>
      </c>
    </row>
    <row r="4" spans="1:11" x14ac:dyDescent="0.25">
      <c r="A4" s="3">
        <f t="shared" ref="A4:A51" si="0">A3+1</f>
        <v>3</v>
      </c>
      <c r="B4" s="15" t="s">
        <v>423</v>
      </c>
      <c r="C4" s="16">
        <f t="shared" ref="C4:C51" si="1">C3+1</f>
        <v>43390</v>
      </c>
      <c r="D4" s="22">
        <v>0</v>
      </c>
      <c r="E4" s="22">
        <v>0</v>
      </c>
      <c r="F4" s="22">
        <v>0</v>
      </c>
      <c r="G4" s="22">
        <v>0</v>
      </c>
      <c r="H4" s="22">
        <v>0</v>
      </c>
      <c r="I4" s="22">
        <v>0</v>
      </c>
      <c r="J4" s="22">
        <v>0</v>
      </c>
      <c r="K4" s="22">
        <v>0</v>
      </c>
    </row>
    <row r="5" spans="1:11" x14ac:dyDescent="0.25">
      <c r="A5" s="3">
        <f t="shared" si="0"/>
        <v>4</v>
      </c>
      <c r="B5" s="15" t="s">
        <v>424</v>
      </c>
      <c r="C5" s="16">
        <f t="shared" si="1"/>
        <v>43391</v>
      </c>
      <c r="D5" s="22">
        <v>0</v>
      </c>
      <c r="E5" s="22">
        <v>0</v>
      </c>
      <c r="F5" s="22">
        <v>0</v>
      </c>
      <c r="G5" s="22">
        <v>0</v>
      </c>
      <c r="H5" s="22">
        <v>0</v>
      </c>
      <c r="I5" s="22">
        <v>0</v>
      </c>
      <c r="J5" s="22">
        <v>0</v>
      </c>
      <c r="K5" s="22">
        <v>0</v>
      </c>
    </row>
    <row r="6" spans="1:11" x14ac:dyDescent="0.25">
      <c r="A6" s="3">
        <f t="shared" si="0"/>
        <v>5</v>
      </c>
      <c r="B6" s="15" t="s">
        <v>425</v>
      </c>
      <c r="C6" s="16">
        <f t="shared" si="1"/>
        <v>43392</v>
      </c>
      <c r="D6" s="22">
        <v>0</v>
      </c>
      <c r="E6" s="22">
        <v>0</v>
      </c>
      <c r="F6" s="22">
        <v>0</v>
      </c>
      <c r="G6" s="22">
        <v>0</v>
      </c>
      <c r="H6" s="22">
        <v>0</v>
      </c>
      <c r="I6" s="22">
        <v>0</v>
      </c>
      <c r="J6" s="22">
        <v>0</v>
      </c>
      <c r="K6" s="22">
        <v>0</v>
      </c>
    </row>
    <row r="7" spans="1:11" x14ac:dyDescent="0.25">
      <c r="A7" s="3">
        <f t="shared" si="0"/>
        <v>6</v>
      </c>
      <c r="B7" s="15" t="s">
        <v>421</v>
      </c>
      <c r="C7" s="16">
        <f>C2+7</f>
        <v>43395</v>
      </c>
      <c r="D7" s="22">
        <v>0</v>
      </c>
      <c r="E7" s="22">
        <v>0</v>
      </c>
      <c r="F7" s="22">
        <v>0</v>
      </c>
      <c r="G7" s="22">
        <v>0</v>
      </c>
      <c r="H7" s="22">
        <v>0</v>
      </c>
      <c r="I7" s="22">
        <v>0</v>
      </c>
      <c r="J7" s="22">
        <v>0</v>
      </c>
      <c r="K7" s="22">
        <v>0</v>
      </c>
    </row>
    <row r="8" spans="1:11" x14ac:dyDescent="0.25">
      <c r="A8" s="3">
        <f t="shared" si="0"/>
        <v>7</v>
      </c>
      <c r="B8" s="15" t="s">
        <v>422</v>
      </c>
      <c r="C8" s="16">
        <f t="shared" si="1"/>
        <v>43396</v>
      </c>
      <c r="D8" s="22">
        <v>0</v>
      </c>
      <c r="E8" s="22">
        <v>0</v>
      </c>
      <c r="F8" s="22">
        <v>0</v>
      </c>
      <c r="G8" s="22">
        <v>0</v>
      </c>
      <c r="H8" s="22">
        <v>0</v>
      </c>
      <c r="I8" s="22">
        <v>0</v>
      </c>
      <c r="J8" s="22">
        <v>0</v>
      </c>
      <c r="K8" s="22">
        <v>0</v>
      </c>
    </row>
    <row r="9" spans="1:11" x14ac:dyDescent="0.25">
      <c r="A9" s="3">
        <f t="shared" si="0"/>
        <v>8</v>
      </c>
      <c r="B9" s="15" t="s">
        <v>423</v>
      </c>
      <c r="C9" s="16">
        <f t="shared" si="1"/>
        <v>43397</v>
      </c>
      <c r="D9" s="22">
        <v>0</v>
      </c>
      <c r="E9" s="22">
        <v>0</v>
      </c>
      <c r="F9" s="22">
        <v>0</v>
      </c>
      <c r="G9" s="22">
        <v>0</v>
      </c>
      <c r="H9" s="22">
        <v>0</v>
      </c>
      <c r="I9" s="22">
        <v>0</v>
      </c>
      <c r="J9" s="22">
        <v>0</v>
      </c>
      <c r="K9" s="22">
        <v>0</v>
      </c>
    </row>
    <row r="10" spans="1:11" x14ac:dyDescent="0.25">
      <c r="A10" s="3">
        <f t="shared" si="0"/>
        <v>9</v>
      </c>
      <c r="B10" s="15" t="s">
        <v>424</v>
      </c>
      <c r="C10" s="16">
        <f t="shared" si="1"/>
        <v>43398</v>
      </c>
      <c r="D10" s="22">
        <v>0</v>
      </c>
      <c r="E10" s="22">
        <v>0</v>
      </c>
      <c r="F10" s="22">
        <v>0</v>
      </c>
      <c r="G10" s="22">
        <v>0</v>
      </c>
      <c r="H10" s="22">
        <v>0</v>
      </c>
      <c r="I10" s="22">
        <v>0</v>
      </c>
      <c r="J10" s="22">
        <v>0</v>
      </c>
      <c r="K10" s="22">
        <v>0</v>
      </c>
    </row>
    <row r="11" spans="1:11" x14ac:dyDescent="0.25">
      <c r="A11" s="3">
        <f t="shared" si="0"/>
        <v>10</v>
      </c>
      <c r="B11" s="15" t="s">
        <v>425</v>
      </c>
      <c r="C11" s="16">
        <f t="shared" si="1"/>
        <v>43399</v>
      </c>
      <c r="D11" s="22">
        <v>0</v>
      </c>
      <c r="E11" s="22">
        <v>0</v>
      </c>
      <c r="F11" s="22">
        <v>0</v>
      </c>
      <c r="G11" s="22">
        <v>0</v>
      </c>
      <c r="H11" s="22">
        <v>0</v>
      </c>
      <c r="I11" s="22">
        <v>0</v>
      </c>
      <c r="J11" s="22">
        <v>0</v>
      </c>
      <c r="K11" s="22">
        <v>0</v>
      </c>
    </row>
    <row r="12" spans="1:11" x14ac:dyDescent="0.25">
      <c r="A12" s="3">
        <f t="shared" si="0"/>
        <v>11</v>
      </c>
      <c r="B12" s="15" t="s">
        <v>421</v>
      </c>
      <c r="C12" s="16">
        <f>C7+7</f>
        <v>43402</v>
      </c>
      <c r="D12" s="22">
        <v>0</v>
      </c>
      <c r="E12" s="22">
        <v>0</v>
      </c>
      <c r="F12" s="22">
        <v>0</v>
      </c>
      <c r="G12" s="22">
        <v>0</v>
      </c>
      <c r="H12" s="22">
        <v>0</v>
      </c>
      <c r="I12" s="22">
        <v>0</v>
      </c>
      <c r="J12" s="22">
        <v>0</v>
      </c>
      <c r="K12" s="22">
        <v>0</v>
      </c>
    </row>
    <row r="13" spans="1:11" x14ac:dyDescent="0.25">
      <c r="A13" s="3">
        <f t="shared" si="0"/>
        <v>12</v>
      </c>
      <c r="B13" s="15" t="s">
        <v>422</v>
      </c>
      <c r="C13" s="16">
        <f t="shared" si="1"/>
        <v>43403</v>
      </c>
      <c r="D13" s="22">
        <v>0</v>
      </c>
      <c r="E13" s="22">
        <v>0</v>
      </c>
      <c r="F13" s="22">
        <v>0</v>
      </c>
      <c r="G13" s="22">
        <v>0</v>
      </c>
      <c r="H13" s="22">
        <v>0</v>
      </c>
      <c r="I13" s="22">
        <v>0</v>
      </c>
      <c r="J13" s="22">
        <v>0</v>
      </c>
      <c r="K13" s="22">
        <v>0</v>
      </c>
    </row>
    <row r="14" spans="1:11" x14ac:dyDescent="0.25">
      <c r="A14" s="3">
        <f t="shared" si="0"/>
        <v>13</v>
      </c>
      <c r="B14" s="15" t="s">
        <v>423</v>
      </c>
      <c r="C14" s="16">
        <f t="shared" si="1"/>
        <v>43404</v>
      </c>
      <c r="D14" s="22">
        <v>0</v>
      </c>
      <c r="E14" s="22">
        <v>0</v>
      </c>
      <c r="F14" s="22">
        <v>0</v>
      </c>
      <c r="G14" s="22">
        <v>0</v>
      </c>
      <c r="H14" s="22">
        <v>0</v>
      </c>
      <c r="I14" s="22">
        <v>0</v>
      </c>
      <c r="J14" s="22">
        <v>0</v>
      </c>
      <c r="K14" s="22">
        <v>0</v>
      </c>
    </row>
    <row r="15" spans="1:11" x14ac:dyDescent="0.25">
      <c r="A15" s="3">
        <f t="shared" si="0"/>
        <v>14</v>
      </c>
      <c r="B15" s="15" t="s">
        <v>424</v>
      </c>
      <c r="C15" s="16">
        <f t="shared" si="1"/>
        <v>43405</v>
      </c>
      <c r="D15" s="22">
        <v>0</v>
      </c>
      <c r="E15" s="22">
        <v>0</v>
      </c>
      <c r="F15" s="22">
        <v>0</v>
      </c>
      <c r="G15" s="22">
        <v>0</v>
      </c>
      <c r="H15" s="22">
        <v>0</v>
      </c>
      <c r="I15" s="22">
        <v>0</v>
      </c>
      <c r="J15" s="22">
        <v>0</v>
      </c>
      <c r="K15" s="22">
        <v>0</v>
      </c>
    </row>
    <row r="16" spans="1:11" x14ac:dyDescent="0.25">
      <c r="A16" s="3">
        <f t="shared" si="0"/>
        <v>15</v>
      </c>
      <c r="B16" s="15" t="s">
        <v>425</v>
      </c>
      <c r="C16" s="16">
        <f t="shared" si="1"/>
        <v>43406</v>
      </c>
      <c r="D16" s="22">
        <v>0</v>
      </c>
      <c r="E16" s="22">
        <v>0</v>
      </c>
      <c r="F16" s="22">
        <v>0</v>
      </c>
      <c r="G16" s="22">
        <v>0</v>
      </c>
      <c r="H16" s="22">
        <v>0</v>
      </c>
      <c r="I16" s="22">
        <v>0</v>
      </c>
      <c r="J16" s="22">
        <v>0</v>
      </c>
      <c r="K16" s="22">
        <v>0</v>
      </c>
    </row>
    <row r="17" spans="1:11" x14ac:dyDescent="0.25">
      <c r="A17" s="3">
        <f t="shared" si="0"/>
        <v>16</v>
      </c>
      <c r="B17" s="15" t="s">
        <v>421</v>
      </c>
      <c r="C17" s="16">
        <f>C12+7</f>
        <v>43409</v>
      </c>
      <c r="D17" s="22">
        <v>0</v>
      </c>
      <c r="E17" s="22">
        <v>0</v>
      </c>
      <c r="F17" s="22">
        <v>0</v>
      </c>
      <c r="G17" s="22">
        <v>0</v>
      </c>
      <c r="H17" s="22">
        <v>0</v>
      </c>
      <c r="I17" s="22">
        <v>0</v>
      </c>
      <c r="J17" s="22">
        <v>0</v>
      </c>
      <c r="K17" s="22">
        <v>0</v>
      </c>
    </row>
    <row r="18" spans="1:11" x14ac:dyDescent="0.25">
      <c r="A18" s="3">
        <f t="shared" si="0"/>
        <v>17</v>
      </c>
      <c r="B18" s="15" t="s">
        <v>422</v>
      </c>
      <c r="C18" s="16">
        <f t="shared" si="1"/>
        <v>43410</v>
      </c>
      <c r="D18" s="22">
        <v>0</v>
      </c>
      <c r="E18" s="22">
        <v>0</v>
      </c>
      <c r="F18" s="22">
        <v>0</v>
      </c>
      <c r="G18" s="22">
        <v>0</v>
      </c>
      <c r="H18" s="22">
        <v>0</v>
      </c>
      <c r="I18" s="22">
        <v>0</v>
      </c>
      <c r="J18" s="22">
        <v>0</v>
      </c>
      <c r="K18" s="22">
        <v>0</v>
      </c>
    </row>
    <row r="19" spans="1:11" x14ac:dyDescent="0.25">
      <c r="A19" s="3">
        <f t="shared" si="0"/>
        <v>18</v>
      </c>
      <c r="B19" s="15" t="s">
        <v>423</v>
      </c>
      <c r="C19" s="16">
        <f t="shared" si="1"/>
        <v>43411</v>
      </c>
      <c r="D19" s="22">
        <v>0</v>
      </c>
      <c r="E19" s="22">
        <v>0</v>
      </c>
      <c r="F19" s="22">
        <v>0</v>
      </c>
      <c r="G19" s="22">
        <v>0</v>
      </c>
      <c r="H19" s="22">
        <v>0</v>
      </c>
      <c r="I19" s="22">
        <v>0</v>
      </c>
      <c r="J19" s="22">
        <v>0</v>
      </c>
      <c r="K19" s="22">
        <v>0</v>
      </c>
    </row>
    <row r="20" spans="1:11" x14ac:dyDescent="0.25">
      <c r="A20" s="3">
        <f t="shared" si="0"/>
        <v>19</v>
      </c>
      <c r="B20" s="15" t="s">
        <v>424</v>
      </c>
      <c r="C20" s="16">
        <f t="shared" si="1"/>
        <v>43412</v>
      </c>
      <c r="D20" s="22">
        <v>0</v>
      </c>
      <c r="E20" s="22">
        <v>0</v>
      </c>
      <c r="F20" s="22">
        <v>0</v>
      </c>
      <c r="G20" s="22">
        <v>0</v>
      </c>
      <c r="H20" s="22">
        <v>0</v>
      </c>
      <c r="I20" s="22">
        <v>0</v>
      </c>
      <c r="J20" s="22">
        <v>0</v>
      </c>
      <c r="K20" s="22">
        <v>0</v>
      </c>
    </row>
    <row r="21" spans="1:11" x14ac:dyDescent="0.25">
      <c r="A21" s="3">
        <f t="shared" si="0"/>
        <v>20</v>
      </c>
      <c r="B21" s="15" t="s">
        <v>425</v>
      </c>
      <c r="C21" s="16">
        <f t="shared" si="1"/>
        <v>43413</v>
      </c>
      <c r="D21" s="22">
        <v>0</v>
      </c>
      <c r="E21" s="22">
        <v>0</v>
      </c>
      <c r="F21" s="22">
        <v>0</v>
      </c>
      <c r="G21" s="22">
        <v>0</v>
      </c>
      <c r="H21" s="22">
        <v>0</v>
      </c>
      <c r="I21" s="22">
        <v>0</v>
      </c>
      <c r="J21" s="22">
        <v>0</v>
      </c>
      <c r="K21" s="22">
        <v>0</v>
      </c>
    </row>
    <row r="22" spans="1:11" x14ac:dyDescent="0.25">
      <c r="A22" s="3">
        <f t="shared" si="0"/>
        <v>21</v>
      </c>
      <c r="B22" s="15" t="s">
        <v>421</v>
      </c>
      <c r="C22" s="16">
        <f>C17+7</f>
        <v>43416</v>
      </c>
      <c r="D22" s="22">
        <v>0</v>
      </c>
      <c r="E22" s="22">
        <v>0</v>
      </c>
      <c r="F22" s="22">
        <v>0</v>
      </c>
      <c r="G22" s="22">
        <v>0</v>
      </c>
      <c r="H22" s="22">
        <v>0</v>
      </c>
      <c r="I22" s="22">
        <v>0</v>
      </c>
      <c r="J22" s="22">
        <v>0</v>
      </c>
      <c r="K22" s="22">
        <v>0</v>
      </c>
    </row>
    <row r="23" spans="1:11" x14ac:dyDescent="0.25">
      <c r="A23" s="3">
        <f t="shared" si="0"/>
        <v>22</v>
      </c>
      <c r="B23" s="15" t="s">
        <v>422</v>
      </c>
      <c r="C23" s="16">
        <f t="shared" si="1"/>
        <v>43417</v>
      </c>
      <c r="D23" s="22">
        <v>0</v>
      </c>
      <c r="E23" s="22">
        <v>0</v>
      </c>
      <c r="F23" s="22">
        <v>0</v>
      </c>
      <c r="G23" s="22">
        <v>0</v>
      </c>
      <c r="H23" s="22">
        <v>0</v>
      </c>
      <c r="I23" s="22">
        <v>0</v>
      </c>
      <c r="J23" s="22">
        <v>0</v>
      </c>
      <c r="K23" s="22">
        <v>0</v>
      </c>
    </row>
    <row r="24" spans="1:11" x14ac:dyDescent="0.25">
      <c r="A24" s="3">
        <f t="shared" si="0"/>
        <v>23</v>
      </c>
      <c r="B24" s="15" t="s">
        <v>423</v>
      </c>
      <c r="C24" s="16">
        <f t="shared" si="1"/>
        <v>43418</v>
      </c>
      <c r="D24" s="22">
        <v>0</v>
      </c>
      <c r="E24" s="22">
        <v>0</v>
      </c>
      <c r="F24" s="22">
        <v>0</v>
      </c>
      <c r="G24" s="22">
        <v>0</v>
      </c>
      <c r="H24" s="22">
        <v>0</v>
      </c>
      <c r="I24" s="22">
        <v>0</v>
      </c>
      <c r="J24" s="22">
        <v>0</v>
      </c>
      <c r="K24" s="22">
        <v>0</v>
      </c>
    </row>
    <row r="25" spans="1:11" x14ac:dyDescent="0.25">
      <c r="A25" s="3">
        <f t="shared" si="0"/>
        <v>24</v>
      </c>
      <c r="B25" s="15" t="s">
        <v>424</v>
      </c>
      <c r="C25" s="16">
        <f t="shared" si="1"/>
        <v>43419</v>
      </c>
      <c r="D25" s="22">
        <v>0</v>
      </c>
      <c r="E25" s="22">
        <v>0</v>
      </c>
      <c r="F25" s="22">
        <v>0</v>
      </c>
      <c r="G25" s="22">
        <v>0</v>
      </c>
      <c r="H25" s="22">
        <v>0</v>
      </c>
      <c r="I25" s="22">
        <v>0</v>
      </c>
      <c r="J25" s="22">
        <v>0</v>
      </c>
      <c r="K25" s="22">
        <v>0</v>
      </c>
    </row>
    <row r="26" spans="1:11" x14ac:dyDescent="0.25">
      <c r="A26" s="3">
        <f t="shared" si="0"/>
        <v>25</v>
      </c>
      <c r="B26" s="15" t="s">
        <v>425</v>
      </c>
      <c r="C26" s="16">
        <f t="shared" si="1"/>
        <v>43420</v>
      </c>
      <c r="D26" s="22">
        <v>0</v>
      </c>
      <c r="E26" s="22">
        <v>0</v>
      </c>
      <c r="F26" s="22">
        <v>0</v>
      </c>
      <c r="G26" s="22">
        <v>0</v>
      </c>
      <c r="H26" s="22">
        <v>0</v>
      </c>
      <c r="I26" s="22">
        <v>0</v>
      </c>
      <c r="J26" s="22">
        <v>0</v>
      </c>
      <c r="K26" s="22">
        <v>0</v>
      </c>
    </row>
    <row r="27" spans="1:11" x14ac:dyDescent="0.25">
      <c r="A27" s="3">
        <f t="shared" si="0"/>
        <v>26</v>
      </c>
      <c r="B27" s="15" t="s">
        <v>421</v>
      </c>
      <c r="C27" s="16">
        <f>C22+7</f>
        <v>43423</v>
      </c>
      <c r="D27" s="22">
        <v>0</v>
      </c>
      <c r="E27" s="22">
        <v>0</v>
      </c>
      <c r="F27" s="22">
        <v>0</v>
      </c>
      <c r="G27" s="22">
        <v>0</v>
      </c>
      <c r="H27" s="22">
        <v>0</v>
      </c>
      <c r="I27" s="22">
        <v>0</v>
      </c>
      <c r="J27" s="22">
        <v>0</v>
      </c>
      <c r="K27" s="22">
        <v>0</v>
      </c>
    </row>
    <row r="28" spans="1:11" x14ac:dyDescent="0.25">
      <c r="A28" s="3">
        <f t="shared" si="0"/>
        <v>27</v>
      </c>
      <c r="B28" s="15" t="s">
        <v>422</v>
      </c>
      <c r="C28" s="16">
        <f t="shared" si="1"/>
        <v>43424</v>
      </c>
      <c r="D28" s="22">
        <v>0</v>
      </c>
      <c r="E28" s="22">
        <v>0</v>
      </c>
      <c r="F28" s="22">
        <v>0</v>
      </c>
      <c r="G28" s="22">
        <v>0</v>
      </c>
      <c r="H28" s="22">
        <v>0</v>
      </c>
      <c r="I28" s="22">
        <v>0</v>
      </c>
      <c r="J28" s="22">
        <v>0</v>
      </c>
      <c r="K28" s="22">
        <v>0</v>
      </c>
    </row>
    <row r="29" spans="1:11" x14ac:dyDescent="0.25">
      <c r="A29" s="3">
        <f t="shared" si="0"/>
        <v>28</v>
      </c>
      <c r="B29" s="15" t="s">
        <v>423</v>
      </c>
      <c r="C29" s="16">
        <f t="shared" si="1"/>
        <v>43425</v>
      </c>
      <c r="D29" s="22">
        <v>0</v>
      </c>
      <c r="E29" s="22">
        <v>0</v>
      </c>
      <c r="F29" s="22">
        <v>0</v>
      </c>
      <c r="G29" s="22">
        <v>0</v>
      </c>
      <c r="H29" s="22">
        <v>0</v>
      </c>
      <c r="I29" s="22">
        <v>0</v>
      </c>
      <c r="J29" s="22">
        <v>0</v>
      </c>
      <c r="K29" s="22">
        <v>0</v>
      </c>
    </row>
    <row r="30" spans="1:11" x14ac:dyDescent="0.25">
      <c r="A30" s="3">
        <f t="shared" si="0"/>
        <v>29</v>
      </c>
      <c r="B30" s="15" t="s">
        <v>424</v>
      </c>
      <c r="C30" s="16">
        <f t="shared" si="1"/>
        <v>43426</v>
      </c>
      <c r="D30" s="22">
        <v>0</v>
      </c>
      <c r="E30" s="22">
        <v>0</v>
      </c>
      <c r="F30" s="22">
        <v>0</v>
      </c>
      <c r="G30" s="22">
        <v>0</v>
      </c>
      <c r="H30" s="22">
        <v>0</v>
      </c>
      <c r="I30" s="22">
        <v>0</v>
      </c>
      <c r="J30" s="22">
        <v>0</v>
      </c>
      <c r="K30" s="22">
        <v>0</v>
      </c>
    </row>
    <row r="31" spans="1:11" x14ac:dyDescent="0.25">
      <c r="A31" s="3">
        <f t="shared" si="0"/>
        <v>30</v>
      </c>
      <c r="B31" s="15" t="s">
        <v>425</v>
      </c>
      <c r="C31" s="16">
        <f t="shared" si="1"/>
        <v>43427</v>
      </c>
      <c r="D31" s="22">
        <v>0</v>
      </c>
      <c r="E31" s="22">
        <v>0</v>
      </c>
      <c r="F31" s="22">
        <v>0</v>
      </c>
      <c r="G31" s="22">
        <v>0</v>
      </c>
      <c r="H31" s="22">
        <v>0</v>
      </c>
      <c r="I31" s="22">
        <v>0</v>
      </c>
      <c r="J31" s="22">
        <v>0</v>
      </c>
      <c r="K31" s="22">
        <v>0</v>
      </c>
    </row>
    <row r="32" spans="1:11" x14ac:dyDescent="0.25">
      <c r="A32" s="3">
        <f t="shared" si="0"/>
        <v>31</v>
      </c>
      <c r="B32" s="15" t="s">
        <v>421</v>
      </c>
      <c r="C32" s="16">
        <f>C27+7</f>
        <v>43430</v>
      </c>
      <c r="D32" s="22">
        <v>0</v>
      </c>
      <c r="E32" s="22">
        <v>0</v>
      </c>
      <c r="F32" s="22">
        <v>0</v>
      </c>
      <c r="G32" s="22">
        <v>0</v>
      </c>
      <c r="H32" s="22">
        <v>0</v>
      </c>
      <c r="I32" s="22">
        <v>0</v>
      </c>
      <c r="J32" s="22">
        <v>0</v>
      </c>
      <c r="K32" s="22">
        <v>0</v>
      </c>
    </row>
    <row r="33" spans="1:11" x14ac:dyDescent="0.25">
      <c r="A33" s="3">
        <f t="shared" si="0"/>
        <v>32</v>
      </c>
      <c r="B33" s="15" t="s">
        <v>422</v>
      </c>
      <c r="C33" s="16">
        <f t="shared" si="1"/>
        <v>43431</v>
      </c>
      <c r="D33" s="22">
        <v>0</v>
      </c>
      <c r="E33" s="22">
        <v>0</v>
      </c>
      <c r="F33" s="22">
        <v>0</v>
      </c>
      <c r="G33" s="22">
        <v>0</v>
      </c>
      <c r="H33" s="22">
        <v>0</v>
      </c>
      <c r="I33" s="22">
        <v>0</v>
      </c>
      <c r="J33" s="22">
        <v>0</v>
      </c>
      <c r="K33" s="22">
        <v>0</v>
      </c>
    </row>
    <row r="34" spans="1:11" x14ac:dyDescent="0.25">
      <c r="A34" s="3">
        <f t="shared" si="0"/>
        <v>33</v>
      </c>
      <c r="B34" s="15" t="s">
        <v>423</v>
      </c>
      <c r="C34" s="16">
        <f t="shared" si="1"/>
        <v>43432</v>
      </c>
      <c r="D34" s="22">
        <v>0</v>
      </c>
      <c r="E34" s="22">
        <v>0</v>
      </c>
      <c r="F34" s="22">
        <v>0</v>
      </c>
      <c r="G34" s="22">
        <v>0</v>
      </c>
      <c r="H34" s="22">
        <v>0</v>
      </c>
      <c r="I34" s="22">
        <v>0</v>
      </c>
      <c r="J34" s="22">
        <v>0</v>
      </c>
      <c r="K34" s="22">
        <v>0</v>
      </c>
    </row>
    <row r="35" spans="1:11" x14ac:dyDescent="0.25">
      <c r="A35" s="3">
        <f t="shared" si="0"/>
        <v>34</v>
      </c>
      <c r="B35" s="15" t="s">
        <v>424</v>
      </c>
      <c r="C35" s="16">
        <f t="shared" si="1"/>
        <v>43433</v>
      </c>
      <c r="D35" s="22">
        <v>0</v>
      </c>
      <c r="E35" s="22">
        <v>0</v>
      </c>
      <c r="F35" s="22">
        <v>0</v>
      </c>
      <c r="G35" s="22">
        <v>0</v>
      </c>
      <c r="H35" s="22">
        <v>0</v>
      </c>
      <c r="I35" s="22">
        <v>0</v>
      </c>
      <c r="J35" s="22">
        <v>0</v>
      </c>
      <c r="K35" s="22">
        <v>0</v>
      </c>
    </row>
    <row r="36" spans="1:11" x14ac:dyDescent="0.25">
      <c r="A36" s="3">
        <f t="shared" si="0"/>
        <v>35</v>
      </c>
      <c r="B36" s="15" t="s">
        <v>425</v>
      </c>
      <c r="C36" s="16">
        <f t="shared" si="1"/>
        <v>43434</v>
      </c>
      <c r="D36" s="22">
        <v>0</v>
      </c>
      <c r="E36" s="22">
        <v>0</v>
      </c>
      <c r="F36" s="22">
        <v>0</v>
      </c>
      <c r="G36" s="22">
        <v>0</v>
      </c>
      <c r="H36" s="22">
        <v>0</v>
      </c>
      <c r="I36" s="22">
        <v>0</v>
      </c>
      <c r="J36" s="22">
        <v>0</v>
      </c>
      <c r="K36" s="22">
        <v>0</v>
      </c>
    </row>
    <row r="37" spans="1:11" x14ac:dyDescent="0.25">
      <c r="A37" s="3">
        <f t="shared" si="0"/>
        <v>36</v>
      </c>
      <c r="B37" s="15" t="s">
        <v>421</v>
      </c>
      <c r="C37" s="16">
        <f>C32+7</f>
        <v>43437</v>
      </c>
      <c r="D37" s="22">
        <v>0</v>
      </c>
      <c r="E37" s="22">
        <v>0</v>
      </c>
      <c r="F37" s="22">
        <v>2</v>
      </c>
      <c r="G37" s="22">
        <v>4</v>
      </c>
      <c r="H37" s="22">
        <v>0</v>
      </c>
      <c r="I37" s="22">
        <v>0</v>
      </c>
      <c r="J37" s="22">
        <v>0</v>
      </c>
      <c r="K37" s="22">
        <v>0</v>
      </c>
    </row>
    <row r="38" spans="1:11" x14ac:dyDescent="0.25">
      <c r="A38" s="3">
        <f t="shared" si="0"/>
        <v>37</v>
      </c>
      <c r="B38" s="15" t="s">
        <v>422</v>
      </c>
      <c r="C38" s="16">
        <f t="shared" si="1"/>
        <v>43438</v>
      </c>
      <c r="D38" s="22">
        <v>0</v>
      </c>
      <c r="E38" s="22">
        <v>0</v>
      </c>
      <c r="F38" s="22">
        <v>0</v>
      </c>
      <c r="G38" s="22">
        <v>0</v>
      </c>
      <c r="H38" s="22">
        <v>0</v>
      </c>
      <c r="I38" s="22">
        <v>0</v>
      </c>
      <c r="J38" s="22">
        <v>0</v>
      </c>
      <c r="K38" s="22">
        <v>0</v>
      </c>
    </row>
    <row r="39" spans="1:11" x14ac:dyDescent="0.25">
      <c r="A39" s="3">
        <f t="shared" si="0"/>
        <v>38</v>
      </c>
      <c r="B39" s="15" t="s">
        <v>423</v>
      </c>
      <c r="C39" s="16">
        <f t="shared" si="1"/>
        <v>43439</v>
      </c>
      <c r="D39" s="22">
        <v>0</v>
      </c>
      <c r="E39" s="22">
        <v>0</v>
      </c>
      <c r="F39" s="22">
        <v>0</v>
      </c>
      <c r="G39" s="22">
        <v>0</v>
      </c>
      <c r="H39" s="22">
        <v>0</v>
      </c>
      <c r="I39" s="22">
        <v>0</v>
      </c>
      <c r="J39" s="22">
        <v>0</v>
      </c>
      <c r="K39" s="22">
        <v>0</v>
      </c>
    </row>
    <row r="40" spans="1:11" x14ac:dyDescent="0.25">
      <c r="A40" s="3">
        <f t="shared" si="0"/>
        <v>39</v>
      </c>
      <c r="B40" s="15" t="s">
        <v>424</v>
      </c>
      <c r="C40" s="16">
        <f t="shared" si="1"/>
        <v>43440</v>
      </c>
      <c r="D40" s="22">
        <v>0</v>
      </c>
      <c r="E40" s="22">
        <v>0</v>
      </c>
      <c r="F40" s="22">
        <v>0</v>
      </c>
      <c r="G40" s="22">
        <v>0</v>
      </c>
      <c r="H40" s="22">
        <v>0</v>
      </c>
      <c r="I40" s="22">
        <v>0</v>
      </c>
      <c r="J40" s="22">
        <v>0</v>
      </c>
      <c r="K40" s="22">
        <v>0</v>
      </c>
    </row>
    <row r="41" spans="1:11" x14ac:dyDescent="0.25">
      <c r="A41" s="3">
        <f t="shared" si="0"/>
        <v>40</v>
      </c>
      <c r="B41" s="15" t="s">
        <v>425</v>
      </c>
      <c r="C41" s="16">
        <f t="shared" si="1"/>
        <v>43441</v>
      </c>
      <c r="D41" s="22">
        <v>0</v>
      </c>
      <c r="E41" s="22">
        <v>0</v>
      </c>
      <c r="F41" s="22">
        <v>0</v>
      </c>
      <c r="G41" s="22">
        <v>0</v>
      </c>
      <c r="H41" s="22">
        <v>0</v>
      </c>
      <c r="I41" s="22">
        <v>0</v>
      </c>
      <c r="J41" s="22">
        <v>0</v>
      </c>
      <c r="K41" s="22">
        <v>0</v>
      </c>
    </row>
    <row r="42" spans="1:11" x14ac:dyDescent="0.25">
      <c r="A42" s="3">
        <f t="shared" si="0"/>
        <v>41</v>
      </c>
      <c r="B42" s="15" t="s">
        <v>421</v>
      </c>
      <c r="C42" s="16">
        <f>C37+7</f>
        <v>43444</v>
      </c>
      <c r="D42" s="22">
        <v>0</v>
      </c>
      <c r="E42" s="22">
        <v>0</v>
      </c>
      <c r="F42" s="22">
        <v>0</v>
      </c>
      <c r="G42" s="22">
        <v>0</v>
      </c>
      <c r="H42" s="22">
        <v>0</v>
      </c>
      <c r="I42" s="22">
        <v>0</v>
      </c>
      <c r="J42" s="22">
        <v>0</v>
      </c>
      <c r="K42" s="22">
        <v>0</v>
      </c>
    </row>
    <row r="43" spans="1:11" x14ac:dyDescent="0.25">
      <c r="A43" s="3">
        <f t="shared" si="0"/>
        <v>42</v>
      </c>
      <c r="B43" s="15" t="s">
        <v>422</v>
      </c>
      <c r="C43" s="16">
        <f t="shared" si="1"/>
        <v>43445</v>
      </c>
      <c r="D43" s="22">
        <v>0</v>
      </c>
      <c r="E43" s="22">
        <v>0</v>
      </c>
      <c r="F43" s="22">
        <v>0</v>
      </c>
      <c r="G43" s="22">
        <v>0</v>
      </c>
      <c r="H43" s="22">
        <v>0</v>
      </c>
      <c r="I43" s="22">
        <v>0</v>
      </c>
      <c r="J43" s="22">
        <v>0</v>
      </c>
      <c r="K43" s="22">
        <v>0</v>
      </c>
    </row>
    <row r="44" spans="1:11" x14ac:dyDescent="0.25">
      <c r="A44" s="3">
        <f t="shared" si="0"/>
        <v>43</v>
      </c>
      <c r="B44" s="15" t="s">
        <v>423</v>
      </c>
      <c r="C44" s="16">
        <f t="shared" si="1"/>
        <v>43446</v>
      </c>
      <c r="D44" s="22">
        <v>0</v>
      </c>
      <c r="E44" s="22">
        <v>0</v>
      </c>
      <c r="F44" s="22">
        <v>0</v>
      </c>
      <c r="G44" s="22">
        <v>0</v>
      </c>
      <c r="H44" s="22">
        <v>0</v>
      </c>
      <c r="I44" s="22">
        <v>0</v>
      </c>
      <c r="J44" s="22">
        <v>0</v>
      </c>
      <c r="K44" s="22">
        <v>0</v>
      </c>
    </row>
    <row r="45" spans="1:11" x14ac:dyDescent="0.25">
      <c r="A45" s="3">
        <f t="shared" si="0"/>
        <v>44</v>
      </c>
      <c r="B45" s="15" t="s">
        <v>424</v>
      </c>
      <c r="C45" s="16">
        <f t="shared" si="1"/>
        <v>43447</v>
      </c>
      <c r="D45" s="22">
        <v>0</v>
      </c>
      <c r="E45" s="22">
        <v>0</v>
      </c>
      <c r="F45" s="22">
        <v>0</v>
      </c>
      <c r="G45" s="22">
        <v>0</v>
      </c>
      <c r="H45" s="22">
        <v>0</v>
      </c>
      <c r="I45" s="22">
        <v>0</v>
      </c>
      <c r="J45" s="22">
        <v>0</v>
      </c>
      <c r="K45" s="22">
        <v>0</v>
      </c>
    </row>
    <row r="46" spans="1:11" x14ac:dyDescent="0.25">
      <c r="A46" s="3">
        <f t="shared" si="0"/>
        <v>45</v>
      </c>
      <c r="B46" s="15" t="s">
        <v>425</v>
      </c>
      <c r="C46" s="16">
        <f t="shared" si="1"/>
        <v>43448</v>
      </c>
      <c r="D46" s="22">
        <v>0</v>
      </c>
      <c r="E46" s="22">
        <v>0</v>
      </c>
      <c r="F46" s="22">
        <v>0</v>
      </c>
      <c r="G46" s="22">
        <v>0</v>
      </c>
      <c r="H46" s="22">
        <v>0</v>
      </c>
      <c r="I46" s="22">
        <v>0</v>
      </c>
      <c r="J46" s="22">
        <v>0</v>
      </c>
      <c r="K46" s="22">
        <v>0</v>
      </c>
    </row>
    <row r="47" spans="1:11" x14ac:dyDescent="0.25">
      <c r="A47" s="3">
        <f t="shared" si="0"/>
        <v>46</v>
      </c>
      <c r="B47" s="15" t="s">
        <v>421</v>
      </c>
      <c r="C47" s="16">
        <f>C42+7</f>
        <v>43451</v>
      </c>
      <c r="D47" s="22">
        <v>0</v>
      </c>
      <c r="E47" s="22">
        <v>0</v>
      </c>
      <c r="F47" s="22">
        <v>0</v>
      </c>
      <c r="G47" s="22">
        <v>0</v>
      </c>
      <c r="H47" s="22">
        <v>0</v>
      </c>
      <c r="I47" s="22">
        <v>0</v>
      </c>
      <c r="J47" s="22">
        <v>0</v>
      </c>
      <c r="K47" s="22">
        <v>0</v>
      </c>
    </row>
    <row r="48" spans="1:11" x14ac:dyDescent="0.25">
      <c r="A48" s="3">
        <f t="shared" si="0"/>
        <v>47</v>
      </c>
      <c r="B48" s="15" t="s">
        <v>422</v>
      </c>
      <c r="C48" s="16">
        <f t="shared" si="1"/>
        <v>43452</v>
      </c>
      <c r="D48" s="22">
        <v>0</v>
      </c>
      <c r="E48" s="22">
        <v>0</v>
      </c>
      <c r="F48" s="22">
        <v>0</v>
      </c>
      <c r="G48" s="22">
        <v>0</v>
      </c>
      <c r="H48" s="22">
        <v>0</v>
      </c>
      <c r="I48" s="22">
        <v>0</v>
      </c>
      <c r="J48" s="22">
        <v>0</v>
      </c>
      <c r="K48" s="22">
        <v>0</v>
      </c>
    </row>
    <row r="49" spans="1:11" x14ac:dyDescent="0.25">
      <c r="A49" s="3">
        <f t="shared" si="0"/>
        <v>48</v>
      </c>
      <c r="B49" s="15" t="s">
        <v>423</v>
      </c>
      <c r="C49" s="16">
        <f t="shared" si="1"/>
        <v>43453</v>
      </c>
      <c r="D49" s="22">
        <v>0</v>
      </c>
      <c r="E49" s="22">
        <v>0</v>
      </c>
      <c r="F49" s="22">
        <v>0</v>
      </c>
      <c r="G49" s="22">
        <v>0</v>
      </c>
      <c r="H49" s="22">
        <v>0</v>
      </c>
      <c r="I49" s="22">
        <v>0</v>
      </c>
      <c r="J49" s="22">
        <v>0</v>
      </c>
      <c r="K49" s="22">
        <v>0</v>
      </c>
    </row>
    <row r="50" spans="1:11" x14ac:dyDescent="0.25">
      <c r="A50" s="3">
        <f t="shared" si="0"/>
        <v>49</v>
      </c>
      <c r="B50" s="15" t="s">
        <v>424</v>
      </c>
      <c r="C50" s="16">
        <f t="shared" si="1"/>
        <v>43454</v>
      </c>
      <c r="D50" s="22">
        <v>0</v>
      </c>
      <c r="E50" s="22">
        <v>0</v>
      </c>
      <c r="F50" s="22">
        <v>0</v>
      </c>
      <c r="G50" s="22">
        <v>0</v>
      </c>
      <c r="H50" s="22">
        <v>0</v>
      </c>
      <c r="I50" s="22">
        <v>0</v>
      </c>
      <c r="J50" s="22">
        <v>0</v>
      </c>
      <c r="K50" s="22">
        <v>0</v>
      </c>
    </row>
    <row r="51" spans="1:11" x14ac:dyDescent="0.25">
      <c r="A51" s="3">
        <f t="shared" si="0"/>
        <v>50</v>
      </c>
      <c r="B51" s="15" t="s">
        <v>425</v>
      </c>
      <c r="C51" s="16">
        <f t="shared" si="1"/>
        <v>43455</v>
      </c>
      <c r="D51" s="22">
        <v>0</v>
      </c>
      <c r="E51" s="22">
        <v>0</v>
      </c>
      <c r="F51" s="22">
        <v>0</v>
      </c>
      <c r="G51" s="22">
        <v>0</v>
      </c>
      <c r="H51" s="22">
        <v>0</v>
      </c>
      <c r="I51" s="22">
        <v>0</v>
      </c>
      <c r="J51" s="22">
        <v>0</v>
      </c>
      <c r="K51" s="22">
        <v>0</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FFC000"/>
  </sheetPr>
  <dimension ref="A1:H51"/>
  <sheetViews>
    <sheetView topLeftCell="A10" workbookViewId="0">
      <selection activeCell="AE20" sqref="AE20"/>
    </sheetView>
  </sheetViews>
  <sheetFormatPr defaultColWidth="8.875" defaultRowHeight="15" x14ac:dyDescent="0.25"/>
  <cols>
    <col min="1" max="1" width="8.875" style="3"/>
    <col min="2" max="2" width="6.25" style="3" customWidth="1"/>
    <col min="3" max="3" width="12.125" style="3" customWidth="1"/>
    <col min="4" max="8" width="3" style="3" customWidth="1"/>
    <col min="9" max="16384" width="8.875" style="3"/>
  </cols>
  <sheetData>
    <row r="1" spans="1:8" ht="67.5" thickBot="1" x14ac:dyDescent="0.35">
      <c r="A1" s="4" t="s">
        <v>414</v>
      </c>
      <c r="B1" s="4"/>
      <c r="C1" s="4" t="s">
        <v>3</v>
      </c>
      <c r="D1" s="14" t="s">
        <v>13</v>
      </c>
      <c r="E1" s="14" t="s">
        <v>14</v>
      </c>
      <c r="F1" s="14" t="s">
        <v>16</v>
      </c>
      <c r="G1" s="14" t="s">
        <v>635</v>
      </c>
      <c r="H1" s="14" t="s">
        <v>15</v>
      </c>
    </row>
    <row r="2" spans="1:8" ht="15.75" thickTop="1" x14ac:dyDescent="0.25">
      <c r="A2" s="3">
        <v>1</v>
      </c>
      <c r="B2" s="15" t="s">
        <v>421</v>
      </c>
      <c r="C2" s="16">
        <v>43388</v>
      </c>
      <c r="D2" s="22">
        <v>0</v>
      </c>
      <c r="E2" s="22">
        <v>0</v>
      </c>
      <c r="F2" s="22">
        <v>0</v>
      </c>
      <c r="G2" s="22">
        <v>0</v>
      </c>
      <c r="H2" s="22">
        <v>0</v>
      </c>
    </row>
    <row r="3" spans="1:8" x14ac:dyDescent="0.25">
      <c r="A3" s="3">
        <f>A2+1</f>
        <v>2</v>
      </c>
      <c r="B3" s="15" t="s">
        <v>422</v>
      </c>
      <c r="C3" s="16">
        <f>C2+1</f>
        <v>43389</v>
      </c>
      <c r="D3" s="22">
        <v>0</v>
      </c>
      <c r="E3" s="22">
        <v>0</v>
      </c>
      <c r="F3" s="22">
        <v>0</v>
      </c>
      <c r="G3" s="22">
        <v>0</v>
      </c>
      <c r="H3" s="22">
        <v>0</v>
      </c>
    </row>
    <row r="4" spans="1:8" x14ac:dyDescent="0.25">
      <c r="A4" s="3">
        <f t="shared" ref="A4:A51" si="0">A3+1</f>
        <v>3</v>
      </c>
      <c r="B4" s="15" t="s">
        <v>423</v>
      </c>
      <c r="C4" s="16">
        <f t="shared" ref="C4:C51" si="1">C3+1</f>
        <v>43390</v>
      </c>
      <c r="D4" s="22">
        <v>0</v>
      </c>
      <c r="E4" s="22">
        <v>0</v>
      </c>
      <c r="F4" s="22">
        <v>0</v>
      </c>
      <c r="G4" s="22">
        <v>0</v>
      </c>
      <c r="H4" s="22">
        <v>0</v>
      </c>
    </row>
    <row r="5" spans="1:8" x14ac:dyDescent="0.25">
      <c r="A5" s="3">
        <f t="shared" si="0"/>
        <v>4</v>
      </c>
      <c r="B5" s="15" t="s">
        <v>424</v>
      </c>
      <c r="C5" s="16">
        <f t="shared" si="1"/>
        <v>43391</v>
      </c>
      <c r="D5" s="22">
        <v>0</v>
      </c>
      <c r="E5" s="22">
        <v>0</v>
      </c>
      <c r="F5" s="22">
        <v>0</v>
      </c>
      <c r="G5" s="22">
        <v>0</v>
      </c>
      <c r="H5" s="22">
        <v>0</v>
      </c>
    </row>
    <row r="6" spans="1:8" x14ac:dyDescent="0.25">
      <c r="A6" s="3">
        <f t="shared" si="0"/>
        <v>5</v>
      </c>
      <c r="B6" s="15" t="s">
        <v>425</v>
      </c>
      <c r="C6" s="16">
        <f t="shared" si="1"/>
        <v>43392</v>
      </c>
      <c r="D6" s="22">
        <v>0</v>
      </c>
      <c r="E6" s="22">
        <v>0</v>
      </c>
      <c r="F6" s="22">
        <v>0</v>
      </c>
      <c r="G6" s="22">
        <v>0</v>
      </c>
      <c r="H6" s="22">
        <v>0</v>
      </c>
    </row>
    <row r="7" spans="1:8" x14ac:dyDescent="0.25">
      <c r="A7" s="3">
        <f t="shared" si="0"/>
        <v>6</v>
      </c>
      <c r="B7" s="15" t="s">
        <v>421</v>
      </c>
      <c r="C7" s="16">
        <f>C2+7</f>
        <v>43395</v>
      </c>
      <c r="D7" s="22">
        <v>0</v>
      </c>
      <c r="E7" s="22">
        <v>0</v>
      </c>
      <c r="F7" s="22">
        <v>0</v>
      </c>
      <c r="G7" s="22">
        <v>0</v>
      </c>
      <c r="H7" s="22">
        <v>0</v>
      </c>
    </row>
    <row r="8" spans="1:8" x14ac:dyDescent="0.25">
      <c r="A8" s="3">
        <f t="shared" si="0"/>
        <v>7</v>
      </c>
      <c r="B8" s="15" t="s">
        <v>422</v>
      </c>
      <c r="C8" s="16">
        <f t="shared" si="1"/>
        <v>43396</v>
      </c>
      <c r="D8" s="22">
        <v>0</v>
      </c>
      <c r="E8" s="22">
        <v>0</v>
      </c>
      <c r="F8" s="22">
        <v>0</v>
      </c>
      <c r="G8" s="22">
        <v>0</v>
      </c>
      <c r="H8" s="22">
        <v>0</v>
      </c>
    </row>
    <row r="9" spans="1:8" x14ac:dyDescent="0.25">
      <c r="A9" s="3">
        <f t="shared" si="0"/>
        <v>8</v>
      </c>
      <c r="B9" s="15" t="s">
        <v>423</v>
      </c>
      <c r="C9" s="16">
        <f t="shared" si="1"/>
        <v>43397</v>
      </c>
      <c r="D9" s="22">
        <v>0</v>
      </c>
      <c r="E9" s="22">
        <v>0</v>
      </c>
      <c r="F9" s="22">
        <v>0</v>
      </c>
      <c r="G9" s="22">
        <v>0</v>
      </c>
      <c r="H9" s="22">
        <v>0</v>
      </c>
    </row>
    <row r="10" spans="1:8" x14ac:dyDescent="0.25">
      <c r="A10" s="3">
        <f t="shared" si="0"/>
        <v>9</v>
      </c>
      <c r="B10" s="15" t="s">
        <v>424</v>
      </c>
      <c r="C10" s="16">
        <f t="shared" si="1"/>
        <v>43398</v>
      </c>
      <c r="D10" s="22">
        <v>0</v>
      </c>
      <c r="E10" s="22">
        <v>0</v>
      </c>
      <c r="F10" s="22">
        <v>0</v>
      </c>
      <c r="G10" s="22">
        <v>0</v>
      </c>
      <c r="H10" s="22">
        <v>0</v>
      </c>
    </row>
    <row r="11" spans="1:8" x14ac:dyDescent="0.25">
      <c r="A11" s="3">
        <f t="shared" si="0"/>
        <v>10</v>
      </c>
      <c r="B11" s="15" t="s">
        <v>425</v>
      </c>
      <c r="C11" s="16">
        <f t="shared" si="1"/>
        <v>43399</v>
      </c>
      <c r="D11" s="22">
        <v>0</v>
      </c>
      <c r="E11" s="22">
        <v>0</v>
      </c>
      <c r="F11" s="22">
        <v>0</v>
      </c>
      <c r="G11" s="22">
        <v>0</v>
      </c>
      <c r="H11" s="22">
        <v>0</v>
      </c>
    </row>
    <row r="12" spans="1:8" x14ac:dyDescent="0.25">
      <c r="A12" s="3">
        <f t="shared" si="0"/>
        <v>11</v>
      </c>
      <c r="B12" s="15" t="s">
        <v>421</v>
      </c>
      <c r="C12" s="16">
        <f>C7+7</f>
        <v>43402</v>
      </c>
      <c r="D12" s="22">
        <v>0</v>
      </c>
      <c r="E12" s="22">
        <v>0</v>
      </c>
      <c r="F12" s="22">
        <v>0</v>
      </c>
      <c r="G12" s="22">
        <v>0</v>
      </c>
      <c r="H12" s="22">
        <v>0</v>
      </c>
    </row>
    <row r="13" spans="1:8" x14ac:dyDescent="0.25">
      <c r="A13" s="3">
        <f t="shared" si="0"/>
        <v>12</v>
      </c>
      <c r="B13" s="15" t="s">
        <v>422</v>
      </c>
      <c r="C13" s="16">
        <f t="shared" si="1"/>
        <v>43403</v>
      </c>
      <c r="D13" s="22">
        <v>0</v>
      </c>
      <c r="E13" s="22">
        <v>0</v>
      </c>
      <c r="F13" s="22">
        <v>0</v>
      </c>
      <c r="G13" s="22">
        <v>0</v>
      </c>
      <c r="H13" s="22">
        <v>0</v>
      </c>
    </row>
    <row r="14" spans="1:8" x14ac:dyDescent="0.25">
      <c r="A14" s="3">
        <f t="shared" si="0"/>
        <v>13</v>
      </c>
      <c r="B14" s="15" t="s">
        <v>423</v>
      </c>
      <c r="C14" s="16">
        <f t="shared" si="1"/>
        <v>43404</v>
      </c>
      <c r="D14" s="22">
        <v>0</v>
      </c>
      <c r="E14" s="22">
        <v>0</v>
      </c>
      <c r="F14" s="22">
        <v>0</v>
      </c>
      <c r="G14" s="22">
        <v>0</v>
      </c>
      <c r="H14" s="22">
        <v>0</v>
      </c>
    </row>
    <row r="15" spans="1:8" x14ac:dyDescent="0.25">
      <c r="A15" s="3">
        <f t="shared" si="0"/>
        <v>14</v>
      </c>
      <c r="B15" s="15" t="s">
        <v>424</v>
      </c>
      <c r="C15" s="16">
        <f t="shared" si="1"/>
        <v>43405</v>
      </c>
      <c r="D15" s="22">
        <v>0</v>
      </c>
      <c r="E15" s="22">
        <v>0</v>
      </c>
      <c r="F15" s="22">
        <v>0</v>
      </c>
      <c r="G15" s="22">
        <v>0</v>
      </c>
      <c r="H15" s="22">
        <v>0</v>
      </c>
    </row>
    <row r="16" spans="1:8" x14ac:dyDescent="0.25">
      <c r="A16" s="3">
        <f t="shared" si="0"/>
        <v>15</v>
      </c>
      <c r="B16" s="15" t="s">
        <v>425</v>
      </c>
      <c r="C16" s="16">
        <f t="shared" si="1"/>
        <v>43406</v>
      </c>
      <c r="D16" s="22">
        <v>0</v>
      </c>
      <c r="E16" s="22">
        <v>0</v>
      </c>
      <c r="F16" s="22">
        <v>0</v>
      </c>
      <c r="G16" s="22">
        <v>0</v>
      </c>
      <c r="H16" s="22">
        <v>0</v>
      </c>
    </row>
    <row r="17" spans="1:8" x14ac:dyDescent="0.25">
      <c r="A17" s="3">
        <f t="shared" si="0"/>
        <v>16</v>
      </c>
      <c r="B17" s="15" t="s">
        <v>421</v>
      </c>
      <c r="C17" s="16">
        <f>C12+7</f>
        <v>43409</v>
      </c>
      <c r="D17" s="22">
        <v>0</v>
      </c>
      <c r="E17" s="22">
        <v>0</v>
      </c>
      <c r="F17" s="22">
        <v>0</v>
      </c>
      <c r="G17" s="22">
        <v>0</v>
      </c>
      <c r="H17" s="22">
        <v>0</v>
      </c>
    </row>
    <row r="18" spans="1:8" x14ac:dyDescent="0.25">
      <c r="A18" s="3">
        <f t="shared" si="0"/>
        <v>17</v>
      </c>
      <c r="B18" s="15" t="s">
        <v>422</v>
      </c>
      <c r="C18" s="16">
        <f t="shared" si="1"/>
        <v>43410</v>
      </c>
      <c r="D18" s="22">
        <v>0</v>
      </c>
      <c r="E18" s="22">
        <v>0</v>
      </c>
      <c r="F18" s="22">
        <v>0</v>
      </c>
      <c r="G18" s="22">
        <v>0</v>
      </c>
      <c r="H18" s="22">
        <v>0</v>
      </c>
    </row>
    <row r="19" spans="1:8" x14ac:dyDescent="0.25">
      <c r="A19" s="3">
        <f t="shared" si="0"/>
        <v>18</v>
      </c>
      <c r="B19" s="15" t="s">
        <v>423</v>
      </c>
      <c r="C19" s="16">
        <f t="shared" si="1"/>
        <v>43411</v>
      </c>
      <c r="D19" s="22">
        <v>0</v>
      </c>
      <c r="E19" s="22">
        <v>0</v>
      </c>
      <c r="F19" s="22">
        <v>0</v>
      </c>
      <c r="G19" s="22">
        <v>0</v>
      </c>
      <c r="H19" s="22">
        <v>0</v>
      </c>
    </row>
    <row r="20" spans="1:8" x14ac:dyDescent="0.25">
      <c r="A20" s="3">
        <f t="shared" si="0"/>
        <v>19</v>
      </c>
      <c r="B20" s="15" t="s">
        <v>424</v>
      </c>
      <c r="C20" s="16">
        <f t="shared" si="1"/>
        <v>43412</v>
      </c>
      <c r="D20" s="22">
        <v>0</v>
      </c>
      <c r="E20" s="22">
        <v>0</v>
      </c>
      <c r="F20" s="22">
        <v>0</v>
      </c>
      <c r="G20" s="22">
        <v>0</v>
      </c>
      <c r="H20" s="22">
        <v>0</v>
      </c>
    </row>
    <row r="21" spans="1:8" x14ac:dyDescent="0.25">
      <c r="A21" s="3">
        <f t="shared" si="0"/>
        <v>20</v>
      </c>
      <c r="B21" s="15" t="s">
        <v>425</v>
      </c>
      <c r="C21" s="16">
        <f t="shared" si="1"/>
        <v>43413</v>
      </c>
      <c r="D21" s="22">
        <v>0</v>
      </c>
      <c r="E21" s="22">
        <v>0</v>
      </c>
      <c r="F21" s="22">
        <v>0</v>
      </c>
      <c r="G21" s="22">
        <v>0</v>
      </c>
      <c r="H21" s="22">
        <v>0</v>
      </c>
    </row>
    <row r="22" spans="1:8" x14ac:dyDescent="0.25">
      <c r="A22" s="3">
        <f t="shared" si="0"/>
        <v>21</v>
      </c>
      <c r="B22" s="15" t="s">
        <v>421</v>
      </c>
      <c r="C22" s="16">
        <f>C17+7</f>
        <v>43416</v>
      </c>
      <c r="D22" s="22">
        <v>0</v>
      </c>
      <c r="E22" s="22">
        <v>0</v>
      </c>
      <c r="F22" s="22">
        <v>0</v>
      </c>
      <c r="G22" s="22">
        <v>0</v>
      </c>
      <c r="H22" s="22">
        <v>0</v>
      </c>
    </row>
    <row r="23" spans="1:8" x14ac:dyDescent="0.25">
      <c r="A23" s="3">
        <f t="shared" si="0"/>
        <v>22</v>
      </c>
      <c r="B23" s="15" t="s">
        <v>422</v>
      </c>
      <c r="C23" s="16">
        <f t="shared" si="1"/>
        <v>43417</v>
      </c>
      <c r="D23" s="22">
        <v>0</v>
      </c>
      <c r="E23" s="22">
        <v>0</v>
      </c>
      <c r="F23" s="22">
        <v>0</v>
      </c>
      <c r="G23" s="22">
        <v>0</v>
      </c>
      <c r="H23" s="22">
        <v>0</v>
      </c>
    </row>
    <row r="24" spans="1:8" x14ac:dyDescent="0.25">
      <c r="A24" s="3">
        <f t="shared" si="0"/>
        <v>23</v>
      </c>
      <c r="B24" s="15" t="s">
        <v>423</v>
      </c>
      <c r="C24" s="16">
        <f t="shared" si="1"/>
        <v>43418</v>
      </c>
      <c r="D24" s="22">
        <v>0</v>
      </c>
      <c r="E24" s="22">
        <v>0</v>
      </c>
      <c r="F24" s="22">
        <v>0</v>
      </c>
      <c r="G24" s="22">
        <v>0</v>
      </c>
      <c r="H24" s="22">
        <v>0</v>
      </c>
    </row>
    <row r="25" spans="1:8" x14ac:dyDescent="0.25">
      <c r="A25" s="3">
        <f t="shared" si="0"/>
        <v>24</v>
      </c>
      <c r="B25" s="15" t="s">
        <v>424</v>
      </c>
      <c r="C25" s="16">
        <f t="shared" si="1"/>
        <v>43419</v>
      </c>
      <c r="D25" s="22">
        <v>0</v>
      </c>
      <c r="E25" s="22">
        <v>0</v>
      </c>
      <c r="F25" s="22">
        <v>0</v>
      </c>
      <c r="G25" s="22">
        <v>0</v>
      </c>
      <c r="H25" s="22">
        <v>0</v>
      </c>
    </row>
    <row r="26" spans="1:8" x14ac:dyDescent="0.25">
      <c r="A26" s="3">
        <f t="shared" si="0"/>
        <v>25</v>
      </c>
      <c r="B26" s="15" t="s">
        <v>425</v>
      </c>
      <c r="C26" s="16">
        <f t="shared" si="1"/>
        <v>43420</v>
      </c>
      <c r="D26" s="22">
        <v>0</v>
      </c>
      <c r="E26" s="22">
        <v>0</v>
      </c>
      <c r="F26" s="22">
        <v>0</v>
      </c>
      <c r="G26" s="22">
        <v>0</v>
      </c>
      <c r="H26" s="22">
        <v>0</v>
      </c>
    </row>
    <row r="27" spans="1:8" x14ac:dyDescent="0.25">
      <c r="A27" s="3">
        <f t="shared" si="0"/>
        <v>26</v>
      </c>
      <c r="B27" s="15" t="s">
        <v>421</v>
      </c>
      <c r="C27" s="16">
        <f>C22+7</f>
        <v>43423</v>
      </c>
      <c r="D27" s="22">
        <v>0</v>
      </c>
      <c r="E27" s="22">
        <v>0</v>
      </c>
      <c r="F27" s="22">
        <v>0</v>
      </c>
      <c r="G27" s="22">
        <v>0</v>
      </c>
      <c r="H27" s="22">
        <v>0</v>
      </c>
    </row>
    <row r="28" spans="1:8" x14ac:dyDescent="0.25">
      <c r="A28" s="3">
        <f t="shared" si="0"/>
        <v>27</v>
      </c>
      <c r="B28" s="15" t="s">
        <v>422</v>
      </c>
      <c r="C28" s="16">
        <f t="shared" si="1"/>
        <v>43424</v>
      </c>
      <c r="D28" s="22">
        <v>0</v>
      </c>
      <c r="E28" s="22">
        <v>0</v>
      </c>
      <c r="F28" s="22">
        <v>0</v>
      </c>
      <c r="G28" s="22">
        <v>0</v>
      </c>
      <c r="H28" s="22">
        <v>0</v>
      </c>
    </row>
    <row r="29" spans="1:8" x14ac:dyDescent="0.25">
      <c r="A29" s="3">
        <f t="shared" si="0"/>
        <v>28</v>
      </c>
      <c r="B29" s="15" t="s">
        <v>423</v>
      </c>
      <c r="C29" s="16">
        <f t="shared" si="1"/>
        <v>43425</v>
      </c>
      <c r="D29" s="22">
        <v>0</v>
      </c>
      <c r="E29" s="22">
        <v>0</v>
      </c>
      <c r="F29" s="22">
        <v>0</v>
      </c>
      <c r="G29" s="22">
        <v>0</v>
      </c>
      <c r="H29" s="22">
        <v>0</v>
      </c>
    </row>
    <row r="30" spans="1:8" x14ac:dyDescent="0.25">
      <c r="A30" s="3">
        <f t="shared" si="0"/>
        <v>29</v>
      </c>
      <c r="B30" s="15" t="s">
        <v>424</v>
      </c>
      <c r="C30" s="16">
        <f t="shared" si="1"/>
        <v>43426</v>
      </c>
      <c r="D30" s="22">
        <v>0</v>
      </c>
      <c r="E30" s="22">
        <v>0</v>
      </c>
      <c r="F30" s="22">
        <v>0</v>
      </c>
      <c r="G30" s="22">
        <v>0</v>
      </c>
      <c r="H30" s="22">
        <v>0</v>
      </c>
    </row>
    <row r="31" spans="1:8" x14ac:dyDescent="0.25">
      <c r="A31" s="3">
        <f t="shared" si="0"/>
        <v>30</v>
      </c>
      <c r="B31" s="15" t="s">
        <v>425</v>
      </c>
      <c r="C31" s="16">
        <f t="shared" si="1"/>
        <v>43427</v>
      </c>
      <c r="D31" s="22">
        <v>0</v>
      </c>
      <c r="E31" s="22">
        <v>0</v>
      </c>
      <c r="F31" s="22">
        <v>0</v>
      </c>
      <c r="G31" s="22">
        <v>0</v>
      </c>
      <c r="H31" s="22">
        <v>0</v>
      </c>
    </row>
    <row r="32" spans="1:8" x14ac:dyDescent="0.25">
      <c r="A32" s="3">
        <f t="shared" si="0"/>
        <v>31</v>
      </c>
      <c r="B32" s="15" t="s">
        <v>421</v>
      </c>
      <c r="C32" s="16">
        <f>C27+7</f>
        <v>43430</v>
      </c>
      <c r="D32" s="22">
        <v>0</v>
      </c>
      <c r="E32" s="22">
        <v>0</v>
      </c>
      <c r="F32" s="22">
        <v>0</v>
      </c>
      <c r="G32" s="22">
        <v>0</v>
      </c>
      <c r="H32" s="22">
        <v>0</v>
      </c>
    </row>
    <row r="33" spans="1:8" x14ac:dyDescent="0.25">
      <c r="A33" s="3">
        <f t="shared" si="0"/>
        <v>32</v>
      </c>
      <c r="B33" s="15" t="s">
        <v>422</v>
      </c>
      <c r="C33" s="16">
        <f t="shared" si="1"/>
        <v>43431</v>
      </c>
      <c r="D33" s="22">
        <v>0</v>
      </c>
      <c r="E33" s="22">
        <v>0</v>
      </c>
      <c r="F33" s="22">
        <v>0</v>
      </c>
      <c r="G33" s="22">
        <v>0</v>
      </c>
      <c r="H33" s="22">
        <v>0</v>
      </c>
    </row>
    <row r="34" spans="1:8" x14ac:dyDescent="0.25">
      <c r="A34" s="3">
        <f t="shared" si="0"/>
        <v>33</v>
      </c>
      <c r="B34" s="15" t="s">
        <v>423</v>
      </c>
      <c r="C34" s="16">
        <f t="shared" si="1"/>
        <v>43432</v>
      </c>
      <c r="D34" s="22">
        <v>0</v>
      </c>
      <c r="E34" s="22">
        <v>0</v>
      </c>
      <c r="F34" s="22">
        <v>0</v>
      </c>
      <c r="G34" s="22">
        <v>0</v>
      </c>
      <c r="H34" s="22">
        <v>0</v>
      </c>
    </row>
    <row r="35" spans="1:8" x14ac:dyDescent="0.25">
      <c r="A35" s="3">
        <f t="shared" si="0"/>
        <v>34</v>
      </c>
      <c r="B35" s="15" t="s">
        <v>424</v>
      </c>
      <c r="C35" s="16">
        <f t="shared" si="1"/>
        <v>43433</v>
      </c>
      <c r="D35" s="22">
        <v>0</v>
      </c>
      <c r="E35" s="22">
        <v>0</v>
      </c>
      <c r="F35" s="22">
        <v>0</v>
      </c>
      <c r="G35" s="22">
        <v>0</v>
      </c>
      <c r="H35" s="22">
        <v>0</v>
      </c>
    </row>
    <row r="36" spans="1:8" x14ac:dyDescent="0.25">
      <c r="A36" s="3">
        <f t="shared" si="0"/>
        <v>35</v>
      </c>
      <c r="B36" s="15" t="s">
        <v>425</v>
      </c>
      <c r="C36" s="16">
        <f t="shared" si="1"/>
        <v>43434</v>
      </c>
      <c r="D36" s="22">
        <v>0</v>
      </c>
      <c r="E36" s="22">
        <v>0</v>
      </c>
      <c r="F36" s="22">
        <v>0</v>
      </c>
      <c r="G36" s="22">
        <v>0</v>
      </c>
      <c r="H36" s="22">
        <v>0</v>
      </c>
    </row>
    <row r="37" spans="1:8" x14ac:dyDescent="0.25">
      <c r="A37" s="3">
        <f t="shared" si="0"/>
        <v>36</v>
      </c>
      <c r="B37" s="15" t="s">
        <v>421</v>
      </c>
      <c r="C37" s="16">
        <f>C32+7</f>
        <v>43437</v>
      </c>
      <c r="D37" s="22">
        <v>0</v>
      </c>
      <c r="E37" s="22">
        <v>0</v>
      </c>
      <c r="F37" s="22">
        <v>0</v>
      </c>
      <c r="G37" s="22">
        <v>0</v>
      </c>
      <c r="H37" s="22">
        <v>0</v>
      </c>
    </row>
    <row r="38" spans="1:8" x14ac:dyDescent="0.25">
      <c r="A38" s="3">
        <f t="shared" si="0"/>
        <v>37</v>
      </c>
      <c r="B38" s="15" t="s">
        <v>422</v>
      </c>
      <c r="C38" s="16">
        <f t="shared" si="1"/>
        <v>43438</v>
      </c>
      <c r="D38" s="22">
        <v>22</v>
      </c>
      <c r="E38" s="22">
        <v>2</v>
      </c>
      <c r="F38" s="22">
        <v>0</v>
      </c>
      <c r="G38" s="22">
        <v>20</v>
      </c>
      <c r="H38" s="22">
        <v>15</v>
      </c>
    </row>
    <row r="39" spans="1:8" x14ac:dyDescent="0.25">
      <c r="A39" s="3">
        <f t="shared" si="0"/>
        <v>38</v>
      </c>
      <c r="B39" s="15" t="s">
        <v>423</v>
      </c>
      <c r="C39" s="16">
        <f t="shared" si="1"/>
        <v>43439</v>
      </c>
      <c r="D39" s="22">
        <v>22</v>
      </c>
      <c r="E39" s="22">
        <v>2</v>
      </c>
      <c r="F39" s="22">
        <v>0</v>
      </c>
      <c r="G39" s="22">
        <v>20</v>
      </c>
      <c r="H39" s="22">
        <v>15</v>
      </c>
    </row>
    <row r="40" spans="1:8" x14ac:dyDescent="0.25">
      <c r="A40" s="3">
        <f t="shared" si="0"/>
        <v>39</v>
      </c>
      <c r="B40" s="15" t="s">
        <v>424</v>
      </c>
      <c r="C40" s="16">
        <f t="shared" si="1"/>
        <v>43440</v>
      </c>
      <c r="D40" s="22">
        <v>22</v>
      </c>
      <c r="E40" s="22">
        <v>2</v>
      </c>
      <c r="F40" s="22">
        <v>0</v>
      </c>
      <c r="G40" s="22">
        <v>20</v>
      </c>
      <c r="H40" s="22">
        <v>15</v>
      </c>
    </row>
    <row r="41" spans="1:8" x14ac:dyDescent="0.25">
      <c r="A41" s="3">
        <f t="shared" si="0"/>
        <v>40</v>
      </c>
      <c r="B41" s="15" t="s">
        <v>425</v>
      </c>
      <c r="C41" s="16">
        <f t="shared" si="1"/>
        <v>43441</v>
      </c>
      <c r="D41" s="22">
        <v>18</v>
      </c>
      <c r="E41" s="22">
        <v>1</v>
      </c>
      <c r="F41" s="22">
        <v>0</v>
      </c>
      <c r="G41" s="22">
        <v>23</v>
      </c>
      <c r="H41" s="22">
        <v>15</v>
      </c>
    </row>
    <row r="42" spans="1:8" x14ac:dyDescent="0.25">
      <c r="A42" s="3">
        <f t="shared" si="0"/>
        <v>41</v>
      </c>
      <c r="B42" s="15" t="s">
        <v>421</v>
      </c>
      <c r="C42" s="16">
        <f>C37+7</f>
        <v>43444</v>
      </c>
      <c r="D42" s="22">
        <v>18</v>
      </c>
      <c r="E42" s="22">
        <v>1</v>
      </c>
      <c r="F42" s="22">
        <v>0</v>
      </c>
      <c r="G42" s="22">
        <v>23</v>
      </c>
      <c r="H42" s="22">
        <v>15</v>
      </c>
    </row>
    <row r="43" spans="1:8" x14ac:dyDescent="0.25">
      <c r="A43" s="3">
        <f t="shared" si="0"/>
        <v>42</v>
      </c>
      <c r="B43" s="15" t="s">
        <v>422</v>
      </c>
      <c r="C43" s="16">
        <f t="shared" si="1"/>
        <v>43445</v>
      </c>
      <c r="D43" s="22">
        <v>18</v>
      </c>
      <c r="E43" s="22">
        <v>1</v>
      </c>
      <c r="F43" s="22">
        <v>0</v>
      </c>
      <c r="G43" s="22">
        <v>23</v>
      </c>
      <c r="H43" s="22">
        <v>15</v>
      </c>
    </row>
    <row r="44" spans="1:8" x14ac:dyDescent="0.25">
      <c r="A44" s="3">
        <f t="shared" si="0"/>
        <v>43</v>
      </c>
      <c r="B44" s="15" t="s">
        <v>423</v>
      </c>
      <c r="C44" s="16">
        <f t="shared" si="1"/>
        <v>43446</v>
      </c>
      <c r="D44" s="22">
        <v>18</v>
      </c>
      <c r="E44" s="22">
        <v>1</v>
      </c>
      <c r="F44" s="22">
        <v>0</v>
      </c>
      <c r="G44" s="22">
        <v>23</v>
      </c>
      <c r="H44" s="22">
        <v>15</v>
      </c>
    </row>
    <row r="45" spans="1:8" x14ac:dyDescent="0.25">
      <c r="A45" s="3">
        <f t="shared" si="0"/>
        <v>44</v>
      </c>
      <c r="B45" s="15" t="s">
        <v>424</v>
      </c>
      <c r="C45" s="16">
        <f t="shared" si="1"/>
        <v>43447</v>
      </c>
      <c r="D45" s="22">
        <v>18</v>
      </c>
      <c r="E45" s="22">
        <v>1</v>
      </c>
      <c r="F45" s="22">
        <v>0</v>
      </c>
      <c r="G45" s="22">
        <v>23</v>
      </c>
      <c r="H45" s="22">
        <v>15</v>
      </c>
    </row>
    <row r="46" spans="1:8" x14ac:dyDescent="0.25">
      <c r="A46" s="3">
        <f t="shared" si="0"/>
        <v>45</v>
      </c>
      <c r="B46" s="15" t="s">
        <v>425</v>
      </c>
      <c r="C46" s="16">
        <f t="shared" si="1"/>
        <v>43448</v>
      </c>
      <c r="D46" s="22">
        <v>18</v>
      </c>
      <c r="E46" s="22">
        <v>1</v>
      </c>
      <c r="F46" s="22">
        <v>0</v>
      </c>
      <c r="G46" s="22">
        <v>23</v>
      </c>
      <c r="H46" s="22">
        <v>15</v>
      </c>
    </row>
    <row r="47" spans="1:8" x14ac:dyDescent="0.25">
      <c r="A47" s="3">
        <f t="shared" si="0"/>
        <v>46</v>
      </c>
      <c r="B47" s="15" t="s">
        <v>421</v>
      </c>
      <c r="C47" s="16">
        <f>C42+7</f>
        <v>43451</v>
      </c>
      <c r="D47" s="22">
        <v>18</v>
      </c>
      <c r="E47" s="22">
        <v>1</v>
      </c>
      <c r="F47" s="22">
        <v>0</v>
      </c>
      <c r="G47" s="22">
        <v>23</v>
      </c>
      <c r="H47" s="22">
        <v>15</v>
      </c>
    </row>
    <row r="48" spans="1:8" x14ac:dyDescent="0.25">
      <c r="A48" s="3">
        <f t="shared" si="0"/>
        <v>47</v>
      </c>
      <c r="B48" s="15" t="s">
        <v>422</v>
      </c>
      <c r="C48" s="16">
        <f t="shared" si="1"/>
        <v>43452</v>
      </c>
      <c r="D48" s="22">
        <v>18</v>
      </c>
      <c r="E48" s="22">
        <v>1</v>
      </c>
      <c r="F48" s="22">
        <v>0</v>
      </c>
      <c r="G48" s="22">
        <v>23</v>
      </c>
      <c r="H48" s="22">
        <v>15</v>
      </c>
    </row>
    <row r="49" spans="1:8" x14ac:dyDescent="0.25">
      <c r="A49" s="3">
        <f t="shared" si="0"/>
        <v>48</v>
      </c>
      <c r="B49" s="15" t="s">
        <v>423</v>
      </c>
      <c r="C49" s="16">
        <f t="shared" si="1"/>
        <v>43453</v>
      </c>
      <c r="D49" s="22">
        <v>18</v>
      </c>
      <c r="E49" s="22">
        <v>1</v>
      </c>
      <c r="F49" s="22">
        <v>0</v>
      </c>
      <c r="G49" s="22">
        <v>23</v>
      </c>
      <c r="H49" s="22">
        <v>15</v>
      </c>
    </row>
    <row r="50" spans="1:8" x14ac:dyDescent="0.25">
      <c r="A50" s="3">
        <f t="shared" si="0"/>
        <v>49</v>
      </c>
      <c r="B50" s="15" t="s">
        <v>424</v>
      </c>
      <c r="C50" s="16">
        <f t="shared" si="1"/>
        <v>43454</v>
      </c>
      <c r="D50" s="22">
        <v>18</v>
      </c>
      <c r="E50" s="22">
        <v>1</v>
      </c>
      <c r="F50" s="22">
        <v>0</v>
      </c>
      <c r="G50" s="22">
        <v>23</v>
      </c>
      <c r="H50" s="22">
        <v>15</v>
      </c>
    </row>
    <row r="51" spans="1:8" x14ac:dyDescent="0.25">
      <c r="A51" s="3">
        <f t="shared" si="0"/>
        <v>50</v>
      </c>
      <c r="B51" s="15" t="s">
        <v>425</v>
      </c>
      <c r="C51" s="16">
        <f t="shared" si="1"/>
        <v>43455</v>
      </c>
      <c r="D51" s="22">
        <v>18</v>
      </c>
      <c r="E51" s="22">
        <v>1</v>
      </c>
      <c r="F51" s="22">
        <v>0</v>
      </c>
      <c r="G51" s="22">
        <v>23</v>
      </c>
      <c r="H51" s="22">
        <v>15</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C000"/>
  </sheetPr>
  <dimension ref="A1:K51"/>
  <sheetViews>
    <sheetView topLeftCell="A10" workbookViewId="0">
      <selection activeCell="AE20" sqref="AE20"/>
    </sheetView>
  </sheetViews>
  <sheetFormatPr defaultColWidth="8.875" defaultRowHeight="15" x14ac:dyDescent="0.25"/>
  <cols>
    <col min="1" max="1" width="8.875" style="3"/>
    <col min="2" max="2" width="6.25" style="3" customWidth="1"/>
    <col min="3" max="3" width="12.125" style="3" customWidth="1"/>
    <col min="4" max="11" width="3" style="3" customWidth="1"/>
    <col min="12" max="16384" width="8.875" style="3"/>
  </cols>
  <sheetData>
    <row r="1" spans="1:11" ht="134.25" thickBot="1" x14ac:dyDescent="0.35">
      <c r="A1" s="4" t="s">
        <v>414</v>
      </c>
      <c r="B1" s="4"/>
      <c r="C1" s="4" t="s">
        <v>3</v>
      </c>
      <c r="D1" s="14" t="s">
        <v>415</v>
      </c>
      <c r="E1" s="14" t="s">
        <v>416</v>
      </c>
      <c r="F1" s="14" t="s">
        <v>417</v>
      </c>
      <c r="G1" s="14" t="s">
        <v>19</v>
      </c>
      <c r="H1" s="14" t="s">
        <v>418</v>
      </c>
      <c r="I1" s="14" t="s">
        <v>419</v>
      </c>
      <c r="J1" s="14" t="s">
        <v>420</v>
      </c>
      <c r="K1" s="14" t="s">
        <v>15</v>
      </c>
    </row>
    <row r="2" spans="1:11" ht="15.75" thickTop="1" x14ac:dyDescent="0.25">
      <c r="A2" s="3">
        <v>1</v>
      </c>
      <c r="B2" s="15" t="s">
        <v>421</v>
      </c>
      <c r="C2" s="16">
        <v>43388</v>
      </c>
      <c r="D2" s="22">
        <v>0</v>
      </c>
      <c r="E2" s="22">
        <v>0</v>
      </c>
      <c r="F2" s="22">
        <v>0</v>
      </c>
      <c r="G2" s="22">
        <v>0</v>
      </c>
      <c r="H2" s="22">
        <v>0</v>
      </c>
      <c r="I2" s="22">
        <v>0</v>
      </c>
      <c r="J2" s="22">
        <v>0</v>
      </c>
      <c r="K2" s="22">
        <v>0</v>
      </c>
    </row>
    <row r="3" spans="1:11" x14ac:dyDescent="0.25">
      <c r="A3" s="3">
        <f>A2+1</f>
        <v>2</v>
      </c>
      <c r="B3" s="15" t="s">
        <v>422</v>
      </c>
      <c r="C3" s="16">
        <f>C2+1</f>
        <v>43389</v>
      </c>
      <c r="D3" s="22">
        <v>0</v>
      </c>
      <c r="E3" s="22">
        <v>0</v>
      </c>
      <c r="F3" s="22">
        <v>0</v>
      </c>
      <c r="G3" s="22">
        <v>0</v>
      </c>
      <c r="H3" s="22">
        <v>0</v>
      </c>
      <c r="I3" s="22">
        <v>0</v>
      </c>
      <c r="J3" s="22">
        <v>0</v>
      </c>
      <c r="K3" s="22">
        <v>0</v>
      </c>
    </row>
    <row r="4" spans="1:11" x14ac:dyDescent="0.25">
      <c r="A4" s="3">
        <f t="shared" ref="A4:A51" si="0">A3+1</f>
        <v>3</v>
      </c>
      <c r="B4" s="15" t="s">
        <v>423</v>
      </c>
      <c r="C4" s="16">
        <f t="shared" ref="C4:C51" si="1">C3+1</f>
        <v>43390</v>
      </c>
      <c r="D4" s="22">
        <v>0</v>
      </c>
      <c r="E4" s="22">
        <v>0</v>
      </c>
      <c r="F4" s="22">
        <v>0</v>
      </c>
      <c r="G4" s="22">
        <v>0</v>
      </c>
      <c r="H4" s="22">
        <v>0</v>
      </c>
      <c r="I4" s="22">
        <v>0</v>
      </c>
      <c r="J4" s="22">
        <v>0</v>
      </c>
      <c r="K4" s="22">
        <v>0</v>
      </c>
    </row>
    <row r="5" spans="1:11" x14ac:dyDescent="0.25">
      <c r="A5" s="3">
        <f t="shared" si="0"/>
        <v>4</v>
      </c>
      <c r="B5" s="15" t="s">
        <v>424</v>
      </c>
      <c r="C5" s="16">
        <f t="shared" si="1"/>
        <v>43391</v>
      </c>
      <c r="D5" s="22">
        <v>0</v>
      </c>
      <c r="E5" s="22">
        <v>0</v>
      </c>
      <c r="F5" s="22">
        <v>0</v>
      </c>
      <c r="G5" s="22">
        <v>0</v>
      </c>
      <c r="H5" s="22">
        <v>0</v>
      </c>
      <c r="I5" s="22">
        <v>0</v>
      </c>
      <c r="J5" s="22">
        <v>0</v>
      </c>
      <c r="K5" s="22">
        <v>0</v>
      </c>
    </row>
    <row r="6" spans="1:11" x14ac:dyDescent="0.25">
      <c r="A6" s="3">
        <f t="shared" si="0"/>
        <v>5</v>
      </c>
      <c r="B6" s="15" t="s">
        <v>425</v>
      </c>
      <c r="C6" s="16">
        <f t="shared" si="1"/>
        <v>43392</v>
      </c>
      <c r="D6" s="22">
        <v>0</v>
      </c>
      <c r="E6" s="22">
        <v>0</v>
      </c>
      <c r="F6" s="22">
        <v>0</v>
      </c>
      <c r="G6" s="22">
        <v>0</v>
      </c>
      <c r="H6" s="22">
        <v>0</v>
      </c>
      <c r="I6" s="22">
        <v>0</v>
      </c>
      <c r="J6" s="22">
        <v>0</v>
      </c>
      <c r="K6" s="22">
        <v>0</v>
      </c>
    </row>
    <row r="7" spans="1:11" x14ac:dyDescent="0.25">
      <c r="A7" s="3">
        <f t="shared" si="0"/>
        <v>6</v>
      </c>
      <c r="B7" s="15" t="s">
        <v>421</v>
      </c>
      <c r="C7" s="16">
        <f>C2+7</f>
        <v>43395</v>
      </c>
      <c r="D7" s="22">
        <v>0</v>
      </c>
      <c r="E7" s="22">
        <v>0</v>
      </c>
      <c r="F7" s="22">
        <v>0</v>
      </c>
      <c r="G7" s="22">
        <v>0</v>
      </c>
      <c r="H7" s="22">
        <v>0</v>
      </c>
      <c r="I7" s="22">
        <v>0</v>
      </c>
      <c r="J7" s="22">
        <v>0</v>
      </c>
      <c r="K7" s="22">
        <v>0</v>
      </c>
    </row>
    <row r="8" spans="1:11" x14ac:dyDescent="0.25">
      <c r="A8" s="3">
        <f t="shared" si="0"/>
        <v>7</v>
      </c>
      <c r="B8" s="15" t="s">
        <v>422</v>
      </c>
      <c r="C8" s="16">
        <f t="shared" si="1"/>
        <v>43396</v>
      </c>
      <c r="D8" s="22">
        <v>0</v>
      </c>
      <c r="E8" s="22">
        <v>0</v>
      </c>
      <c r="F8" s="22">
        <v>0</v>
      </c>
      <c r="G8" s="22">
        <v>0</v>
      </c>
      <c r="H8" s="22">
        <v>0</v>
      </c>
      <c r="I8" s="22">
        <v>0</v>
      </c>
      <c r="J8" s="22">
        <v>0</v>
      </c>
      <c r="K8" s="22">
        <v>0</v>
      </c>
    </row>
    <row r="9" spans="1:11" x14ac:dyDescent="0.25">
      <c r="A9" s="3">
        <f t="shared" si="0"/>
        <v>8</v>
      </c>
      <c r="B9" s="15" t="s">
        <v>423</v>
      </c>
      <c r="C9" s="16">
        <f t="shared" si="1"/>
        <v>43397</v>
      </c>
      <c r="D9" s="22">
        <v>0</v>
      </c>
      <c r="E9" s="22">
        <v>0</v>
      </c>
      <c r="F9" s="22">
        <v>0</v>
      </c>
      <c r="G9" s="22">
        <v>0</v>
      </c>
      <c r="H9" s="22">
        <v>0</v>
      </c>
      <c r="I9" s="22">
        <v>0</v>
      </c>
      <c r="J9" s="22">
        <v>0</v>
      </c>
      <c r="K9" s="22">
        <v>0</v>
      </c>
    </row>
    <row r="10" spans="1:11" x14ac:dyDescent="0.25">
      <c r="A10" s="3">
        <f t="shared" si="0"/>
        <v>9</v>
      </c>
      <c r="B10" s="15" t="s">
        <v>424</v>
      </c>
      <c r="C10" s="16">
        <f t="shared" si="1"/>
        <v>43398</v>
      </c>
      <c r="D10" s="22">
        <v>0</v>
      </c>
      <c r="E10" s="22">
        <v>0</v>
      </c>
      <c r="F10" s="22">
        <v>0</v>
      </c>
      <c r="G10" s="22">
        <v>0</v>
      </c>
      <c r="H10" s="22">
        <v>0</v>
      </c>
      <c r="I10" s="22">
        <v>0</v>
      </c>
      <c r="J10" s="22">
        <v>0</v>
      </c>
      <c r="K10" s="22">
        <v>0</v>
      </c>
    </row>
    <row r="11" spans="1:11" x14ac:dyDescent="0.25">
      <c r="A11" s="3">
        <f t="shared" si="0"/>
        <v>10</v>
      </c>
      <c r="B11" s="15" t="s">
        <v>425</v>
      </c>
      <c r="C11" s="16">
        <f t="shared" si="1"/>
        <v>43399</v>
      </c>
      <c r="D11" s="22">
        <v>0</v>
      </c>
      <c r="E11" s="22">
        <v>0</v>
      </c>
      <c r="F11" s="22">
        <v>0</v>
      </c>
      <c r="G11" s="22">
        <v>0</v>
      </c>
      <c r="H11" s="22">
        <v>0</v>
      </c>
      <c r="I11" s="22">
        <v>0</v>
      </c>
      <c r="J11" s="22">
        <v>0</v>
      </c>
      <c r="K11" s="22">
        <v>0</v>
      </c>
    </row>
    <row r="12" spans="1:11" x14ac:dyDescent="0.25">
      <c r="A12" s="3">
        <f t="shared" si="0"/>
        <v>11</v>
      </c>
      <c r="B12" s="15" t="s">
        <v>421</v>
      </c>
      <c r="C12" s="16">
        <f>C7+7</f>
        <v>43402</v>
      </c>
      <c r="D12" s="22">
        <v>0</v>
      </c>
      <c r="E12" s="22">
        <v>0</v>
      </c>
      <c r="F12" s="22">
        <v>0</v>
      </c>
      <c r="G12" s="22">
        <v>0</v>
      </c>
      <c r="H12" s="22">
        <v>0</v>
      </c>
      <c r="I12" s="22">
        <v>0</v>
      </c>
      <c r="J12" s="22">
        <v>0</v>
      </c>
      <c r="K12" s="22">
        <v>0</v>
      </c>
    </row>
    <row r="13" spans="1:11" x14ac:dyDescent="0.25">
      <c r="A13" s="3">
        <f t="shared" si="0"/>
        <v>12</v>
      </c>
      <c r="B13" s="15" t="s">
        <v>422</v>
      </c>
      <c r="C13" s="16">
        <f t="shared" si="1"/>
        <v>43403</v>
      </c>
      <c r="D13" s="22">
        <v>0</v>
      </c>
      <c r="E13" s="22">
        <v>0</v>
      </c>
      <c r="F13" s="22">
        <v>0</v>
      </c>
      <c r="G13" s="22">
        <v>0</v>
      </c>
      <c r="H13" s="22">
        <v>0</v>
      </c>
      <c r="I13" s="22">
        <v>0</v>
      </c>
      <c r="J13" s="22">
        <v>0</v>
      </c>
      <c r="K13" s="22">
        <v>0</v>
      </c>
    </row>
    <row r="14" spans="1:11" x14ac:dyDescent="0.25">
      <c r="A14" s="3">
        <f t="shared" si="0"/>
        <v>13</v>
      </c>
      <c r="B14" s="15" t="s">
        <v>423</v>
      </c>
      <c r="C14" s="16">
        <f t="shared" si="1"/>
        <v>43404</v>
      </c>
      <c r="D14" s="22">
        <v>0</v>
      </c>
      <c r="E14" s="22">
        <v>0</v>
      </c>
      <c r="F14" s="22">
        <v>0</v>
      </c>
      <c r="G14" s="22">
        <v>0</v>
      </c>
      <c r="H14" s="22">
        <v>0</v>
      </c>
      <c r="I14" s="22">
        <v>0</v>
      </c>
      <c r="J14" s="22">
        <v>0</v>
      </c>
      <c r="K14" s="22">
        <v>0</v>
      </c>
    </row>
    <row r="15" spans="1:11" x14ac:dyDescent="0.25">
      <c r="A15" s="3">
        <f t="shared" si="0"/>
        <v>14</v>
      </c>
      <c r="B15" s="15" t="s">
        <v>424</v>
      </c>
      <c r="C15" s="16">
        <f t="shared" si="1"/>
        <v>43405</v>
      </c>
      <c r="D15" s="22">
        <v>0</v>
      </c>
      <c r="E15" s="22">
        <v>0</v>
      </c>
      <c r="F15" s="22">
        <v>0</v>
      </c>
      <c r="G15" s="22">
        <v>0</v>
      </c>
      <c r="H15" s="22">
        <v>0</v>
      </c>
      <c r="I15" s="22">
        <v>0</v>
      </c>
      <c r="J15" s="22">
        <v>0</v>
      </c>
      <c r="K15" s="22">
        <v>0</v>
      </c>
    </row>
    <row r="16" spans="1:11" x14ac:dyDescent="0.25">
      <c r="A16" s="3">
        <f t="shared" si="0"/>
        <v>15</v>
      </c>
      <c r="B16" s="15" t="s">
        <v>425</v>
      </c>
      <c r="C16" s="16">
        <f t="shared" si="1"/>
        <v>43406</v>
      </c>
      <c r="D16" s="22">
        <v>0</v>
      </c>
      <c r="E16" s="22">
        <v>0</v>
      </c>
      <c r="F16" s="22">
        <v>0</v>
      </c>
      <c r="G16" s="22">
        <v>0</v>
      </c>
      <c r="H16" s="22">
        <v>0</v>
      </c>
      <c r="I16" s="22">
        <v>0</v>
      </c>
      <c r="J16" s="22">
        <v>0</v>
      </c>
      <c r="K16" s="22">
        <v>0</v>
      </c>
    </row>
    <row r="17" spans="1:11" x14ac:dyDescent="0.25">
      <c r="A17" s="3">
        <f t="shared" si="0"/>
        <v>16</v>
      </c>
      <c r="B17" s="15" t="s">
        <v>421</v>
      </c>
      <c r="C17" s="16">
        <f>C12+7</f>
        <v>43409</v>
      </c>
      <c r="D17" s="22">
        <v>0</v>
      </c>
      <c r="E17" s="22">
        <v>0</v>
      </c>
      <c r="F17" s="22">
        <v>0</v>
      </c>
      <c r="G17" s="22">
        <v>0</v>
      </c>
      <c r="H17" s="22">
        <v>0</v>
      </c>
      <c r="I17" s="22">
        <v>0</v>
      </c>
      <c r="J17" s="22">
        <v>0</v>
      </c>
      <c r="K17" s="22">
        <v>0</v>
      </c>
    </row>
    <row r="18" spans="1:11" x14ac:dyDescent="0.25">
      <c r="A18" s="3">
        <f t="shared" si="0"/>
        <v>17</v>
      </c>
      <c r="B18" s="15" t="s">
        <v>422</v>
      </c>
      <c r="C18" s="16">
        <f t="shared" si="1"/>
        <v>43410</v>
      </c>
      <c r="D18" s="22">
        <v>0</v>
      </c>
      <c r="E18" s="22">
        <v>0</v>
      </c>
      <c r="F18" s="22">
        <v>0</v>
      </c>
      <c r="G18" s="22">
        <v>0</v>
      </c>
      <c r="H18" s="22">
        <v>0</v>
      </c>
      <c r="I18" s="22">
        <v>0</v>
      </c>
      <c r="J18" s="22">
        <v>0</v>
      </c>
      <c r="K18" s="22">
        <v>0</v>
      </c>
    </row>
    <row r="19" spans="1:11" x14ac:dyDescent="0.25">
      <c r="A19" s="3">
        <f t="shared" si="0"/>
        <v>18</v>
      </c>
      <c r="B19" s="15" t="s">
        <v>423</v>
      </c>
      <c r="C19" s="16">
        <f t="shared" si="1"/>
        <v>43411</v>
      </c>
      <c r="D19" s="22">
        <v>0</v>
      </c>
      <c r="E19" s="22">
        <v>0</v>
      </c>
      <c r="F19" s="22">
        <v>0</v>
      </c>
      <c r="G19" s="22">
        <v>0</v>
      </c>
      <c r="H19" s="22">
        <v>0</v>
      </c>
      <c r="I19" s="22">
        <v>0</v>
      </c>
      <c r="J19" s="22">
        <v>0</v>
      </c>
      <c r="K19" s="22">
        <v>0</v>
      </c>
    </row>
    <row r="20" spans="1:11" x14ac:dyDescent="0.25">
      <c r="A20" s="3">
        <f t="shared" si="0"/>
        <v>19</v>
      </c>
      <c r="B20" s="15" t="s">
        <v>424</v>
      </c>
      <c r="C20" s="16">
        <f t="shared" si="1"/>
        <v>43412</v>
      </c>
      <c r="D20" s="22">
        <v>0</v>
      </c>
      <c r="E20" s="22">
        <v>0</v>
      </c>
      <c r="F20" s="22">
        <v>0</v>
      </c>
      <c r="G20" s="22">
        <v>0</v>
      </c>
      <c r="H20" s="22">
        <v>0</v>
      </c>
      <c r="I20" s="22">
        <v>0</v>
      </c>
      <c r="J20" s="22">
        <v>0</v>
      </c>
      <c r="K20" s="22">
        <v>0</v>
      </c>
    </row>
    <row r="21" spans="1:11" x14ac:dyDescent="0.25">
      <c r="A21" s="3">
        <f t="shared" si="0"/>
        <v>20</v>
      </c>
      <c r="B21" s="15" t="s">
        <v>425</v>
      </c>
      <c r="C21" s="16">
        <f t="shared" si="1"/>
        <v>43413</v>
      </c>
      <c r="D21" s="22">
        <v>0</v>
      </c>
      <c r="E21" s="22">
        <v>0</v>
      </c>
      <c r="F21" s="22">
        <v>0</v>
      </c>
      <c r="G21" s="22">
        <v>0</v>
      </c>
      <c r="H21" s="22">
        <v>0</v>
      </c>
      <c r="I21" s="22">
        <v>0</v>
      </c>
      <c r="J21" s="22">
        <v>0</v>
      </c>
      <c r="K21" s="22">
        <v>0</v>
      </c>
    </row>
    <row r="22" spans="1:11" x14ac:dyDescent="0.25">
      <c r="A22" s="3">
        <f t="shared" si="0"/>
        <v>21</v>
      </c>
      <c r="B22" s="15" t="s">
        <v>421</v>
      </c>
      <c r="C22" s="16">
        <f>C17+7</f>
        <v>43416</v>
      </c>
      <c r="D22" s="22">
        <v>0</v>
      </c>
      <c r="E22" s="22">
        <v>0</v>
      </c>
      <c r="F22" s="22">
        <v>0</v>
      </c>
      <c r="G22" s="22">
        <v>0</v>
      </c>
      <c r="H22" s="22">
        <v>0</v>
      </c>
      <c r="I22" s="22">
        <v>0</v>
      </c>
      <c r="J22" s="22">
        <v>0</v>
      </c>
      <c r="K22" s="22">
        <v>0</v>
      </c>
    </row>
    <row r="23" spans="1:11" x14ac:dyDescent="0.25">
      <c r="A23" s="3">
        <f t="shared" si="0"/>
        <v>22</v>
      </c>
      <c r="B23" s="15" t="s">
        <v>422</v>
      </c>
      <c r="C23" s="16">
        <f t="shared" si="1"/>
        <v>43417</v>
      </c>
      <c r="D23" s="22">
        <v>0</v>
      </c>
      <c r="E23" s="22">
        <v>0</v>
      </c>
      <c r="F23" s="22">
        <v>0</v>
      </c>
      <c r="G23" s="22">
        <v>0</v>
      </c>
      <c r="H23" s="22">
        <v>0</v>
      </c>
      <c r="I23" s="22">
        <v>0</v>
      </c>
      <c r="J23" s="22">
        <v>0</v>
      </c>
      <c r="K23" s="22">
        <v>0</v>
      </c>
    </row>
    <row r="24" spans="1:11" x14ac:dyDescent="0.25">
      <c r="A24" s="3">
        <f t="shared" si="0"/>
        <v>23</v>
      </c>
      <c r="B24" s="15" t="s">
        <v>423</v>
      </c>
      <c r="C24" s="16">
        <f t="shared" si="1"/>
        <v>43418</v>
      </c>
      <c r="D24" s="22">
        <v>0</v>
      </c>
      <c r="E24" s="22">
        <v>0</v>
      </c>
      <c r="F24" s="22">
        <v>0</v>
      </c>
      <c r="G24" s="22">
        <v>0</v>
      </c>
      <c r="H24" s="22">
        <v>0</v>
      </c>
      <c r="I24" s="22">
        <v>0</v>
      </c>
      <c r="J24" s="22">
        <v>0</v>
      </c>
      <c r="K24" s="22">
        <v>0</v>
      </c>
    </row>
    <row r="25" spans="1:11" x14ac:dyDescent="0.25">
      <c r="A25" s="3">
        <f t="shared" si="0"/>
        <v>24</v>
      </c>
      <c r="B25" s="15" t="s">
        <v>424</v>
      </c>
      <c r="C25" s="16">
        <f t="shared" si="1"/>
        <v>43419</v>
      </c>
      <c r="D25" s="22">
        <v>0</v>
      </c>
      <c r="E25" s="22">
        <v>0</v>
      </c>
      <c r="F25" s="22">
        <v>0</v>
      </c>
      <c r="G25" s="22">
        <v>0</v>
      </c>
      <c r="H25" s="22">
        <v>0</v>
      </c>
      <c r="I25" s="22">
        <v>0</v>
      </c>
      <c r="J25" s="22">
        <v>0</v>
      </c>
      <c r="K25" s="22">
        <v>0</v>
      </c>
    </row>
    <row r="26" spans="1:11" x14ac:dyDescent="0.25">
      <c r="A26" s="3">
        <f t="shared" si="0"/>
        <v>25</v>
      </c>
      <c r="B26" s="15" t="s">
        <v>425</v>
      </c>
      <c r="C26" s="16">
        <f t="shared" si="1"/>
        <v>43420</v>
      </c>
      <c r="D26" s="22">
        <v>0</v>
      </c>
      <c r="E26" s="22">
        <v>0</v>
      </c>
      <c r="F26" s="22">
        <v>0</v>
      </c>
      <c r="G26" s="22">
        <v>0</v>
      </c>
      <c r="H26" s="22">
        <v>0</v>
      </c>
      <c r="I26" s="22">
        <v>0</v>
      </c>
      <c r="J26" s="22">
        <v>0</v>
      </c>
      <c r="K26" s="22">
        <v>0</v>
      </c>
    </row>
    <row r="27" spans="1:11" x14ac:dyDescent="0.25">
      <c r="A27" s="3">
        <f t="shared" si="0"/>
        <v>26</v>
      </c>
      <c r="B27" s="15" t="s">
        <v>421</v>
      </c>
      <c r="C27" s="16">
        <f>C22+7</f>
        <v>43423</v>
      </c>
      <c r="D27" s="22">
        <v>0</v>
      </c>
      <c r="E27" s="22">
        <v>0</v>
      </c>
      <c r="F27" s="22">
        <v>0</v>
      </c>
      <c r="G27" s="22">
        <v>0</v>
      </c>
      <c r="H27" s="22">
        <v>0</v>
      </c>
      <c r="I27" s="22">
        <v>0</v>
      </c>
      <c r="J27" s="22">
        <v>0</v>
      </c>
      <c r="K27" s="22">
        <v>0</v>
      </c>
    </row>
    <row r="28" spans="1:11" x14ac:dyDescent="0.25">
      <c r="A28" s="3">
        <f t="shared" si="0"/>
        <v>27</v>
      </c>
      <c r="B28" s="15" t="s">
        <v>422</v>
      </c>
      <c r="C28" s="16">
        <f t="shared" si="1"/>
        <v>43424</v>
      </c>
      <c r="D28" s="22">
        <v>0</v>
      </c>
      <c r="E28" s="22">
        <v>0</v>
      </c>
      <c r="F28" s="22">
        <v>0</v>
      </c>
      <c r="G28" s="22">
        <v>0</v>
      </c>
      <c r="H28" s="22">
        <v>0</v>
      </c>
      <c r="I28" s="22">
        <v>0</v>
      </c>
      <c r="J28" s="22">
        <v>0</v>
      </c>
      <c r="K28" s="22">
        <v>0</v>
      </c>
    </row>
    <row r="29" spans="1:11" x14ac:dyDescent="0.25">
      <c r="A29" s="3">
        <f t="shared" si="0"/>
        <v>28</v>
      </c>
      <c r="B29" s="15" t="s">
        <v>423</v>
      </c>
      <c r="C29" s="16">
        <f t="shared" si="1"/>
        <v>43425</v>
      </c>
      <c r="D29" s="22">
        <v>0</v>
      </c>
      <c r="E29" s="22">
        <v>0</v>
      </c>
      <c r="F29" s="22">
        <v>0</v>
      </c>
      <c r="G29" s="22">
        <v>0</v>
      </c>
      <c r="H29" s="22">
        <v>0</v>
      </c>
      <c r="I29" s="22">
        <v>0</v>
      </c>
      <c r="J29" s="22">
        <v>0</v>
      </c>
      <c r="K29" s="22">
        <v>0</v>
      </c>
    </row>
    <row r="30" spans="1:11" x14ac:dyDescent="0.25">
      <c r="A30" s="3">
        <f t="shared" si="0"/>
        <v>29</v>
      </c>
      <c r="B30" s="15" t="s">
        <v>424</v>
      </c>
      <c r="C30" s="16">
        <f t="shared" si="1"/>
        <v>43426</v>
      </c>
      <c r="D30" s="22">
        <v>0</v>
      </c>
      <c r="E30" s="22">
        <v>0</v>
      </c>
      <c r="F30" s="22">
        <v>0</v>
      </c>
      <c r="G30" s="22">
        <v>0</v>
      </c>
      <c r="H30" s="22">
        <v>0</v>
      </c>
      <c r="I30" s="22">
        <v>0</v>
      </c>
      <c r="J30" s="22">
        <v>0</v>
      </c>
      <c r="K30" s="22">
        <v>0</v>
      </c>
    </row>
    <row r="31" spans="1:11" x14ac:dyDescent="0.25">
      <c r="A31" s="3">
        <f t="shared" si="0"/>
        <v>30</v>
      </c>
      <c r="B31" s="15" t="s">
        <v>425</v>
      </c>
      <c r="C31" s="16">
        <f t="shared" si="1"/>
        <v>43427</v>
      </c>
      <c r="D31" s="22">
        <v>0</v>
      </c>
      <c r="E31" s="22">
        <v>0</v>
      </c>
      <c r="F31" s="22">
        <v>0</v>
      </c>
      <c r="G31" s="22">
        <v>0</v>
      </c>
      <c r="H31" s="22">
        <v>0</v>
      </c>
      <c r="I31" s="22">
        <v>0</v>
      </c>
      <c r="J31" s="22">
        <v>0</v>
      </c>
      <c r="K31" s="22">
        <v>0</v>
      </c>
    </row>
    <row r="32" spans="1:11" x14ac:dyDescent="0.25">
      <c r="A32" s="3">
        <f t="shared" si="0"/>
        <v>31</v>
      </c>
      <c r="B32" s="15" t="s">
        <v>421</v>
      </c>
      <c r="C32" s="16">
        <f>C27+7</f>
        <v>43430</v>
      </c>
      <c r="D32" s="22">
        <v>0</v>
      </c>
      <c r="E32" s="22">
        <v>0</v>
      </c>
      <c r="F32" s="22">
        <v>0</v>
      </c>
      <c r="G32" s="22">
        <v>0</v>
      </c>
      <c r="H32" s="22">
        <v>0</v>
      </c>
      <c r="I32" s="22">
        <v>0</v>
      </c>
      <c r="J32" s="22">
        <v>0</v>
      </c>
      <c r="K32" s="22">
        <v>0</v>
      </c>
    </row>
    <row r="33" spans="1:11" x14ac:dyDescent="0.25">
      <c r="A33" s="3">
        <f t="shared" si="0"/>
        <v>32</v>
      </c>
      <c r="B33" s="15" t="s">
        <v>422</v>
      </c>
      <c r="C33" s="16">
        <f t="shared" si="1"/>
        <v>43431</v>
      </c>
      <c r="D33" s="22">
        <v>0</v>
      </c>
      <c r="E33" s="22">
        <v>0</v>
      </c>
      <c r="F33" s="22">
        <v>0</v>
      </c>
      <c r="G33" s="22">
        <v>0</v>
      </c>
      <c r="H33" s="22">
        <v>0</v>
      </c>
      <c r="I33" s="22">
        <v>0</v>
      </c>
      <c r="J33" s="22">
        <v>0</v>
      </c>
      <c r="K33" s="22">
        <v>0</v>
      </c>
    </row>
    <row r="34" spans="1:11" x14ac:dyDescent="0.25">
      <c r="A34" s="3">
        <f t="shared" si="0"/>
        <v>33</v>
      </c>
      <c r="B34" s="15" t="s">
        <v>423</v>
      </c>
      <c r="C34" s="16">
        <f t="shared" si="1"/>
        <v>43432</v>
      </c>
      <c r="D34" s="22">
        <v>0</v>
      </c>
      <c r="E34" s="22">
        <v>0</v>
      </c>
      <c r="F34" s="22">
        <v>0</v>
      </c>
      <c r="G34" s="22">
        <v>0</v>
      </c>
      <c r="H34" s="22">
        <v>0</v>
      </c>
      <c r="I34" s="22">
        <v>0</v>
      </c>
      <c r="J34" s="22">
        <v>0</v>
      </c>
      <c r="K34" s="22">
        <v>0</v>
      </c>
    </row>
    <row r="35" spans="1:11" x14ac:dyDescent="0.25">
      <c r="A35" s="3">
        <f t="shared" si="0"/>
        <v>34</v>
      </c>
      <c r="B35" s="15" t="s">
        <v>424</v>
      </c>
      <c r="C35" s="16">
        <f t="shared" si="1"/>
        <v>43433</v>
      </c>
      <c r="D35" s="22">
        <v>0</v>
      </c>
      <c r="E35" s="22">
        <v>0</v>
      </c>
      <c r="F35" s="22">
        <v>0</v>
      </c>
      <c r="G35" s="22">
        <v>0</v>
      </c>
      <c r="H35" s="22">
        <v>0</v>
      </c>
      <c r="I35" s="22">
        <v>0</v>
      </c>
      <c r="J35" s="22">
        <v>0</v>
      </c>
      <c r="K35" s="22">
        <v>0</v>
      </c>
    </row>
    <row r="36" spans="1:11" x14ac:dyDescent="0.25">
      <c r="A36" s="3">
        <f t="shared" si="0"/>
        <v>35</v>
      </c>
      <c r="B36" s="15" t="s">
        <v>425</v>
      </c>
      <c r="C36" s="16">
        <f t="shared" si="1"/>
        <v>43434</v>
      </c>
      <c r="D36" s="22">
        <v>0</v>
      </c>
      <c r="E36" s="22">
        <v>0</v>
      </c>
      <c r="F36" s="22">
        <v>0</v>
      </c>
      <c r="G36" s="22">
        <v>0</v>
      </c>
      <c r="H36" s="22">
        <v>0</v>
      </c>
      <c r="I36" s="22">
        <v>0</v>
      </c>
      <c r="J36" s="22">
        <v>0</v>
      </c>
      <c r="K36" s="22">
        <v>0</v>
      </c>
    </row>
    <row r="37" spans="1:11" x14ac:dyDescent="0.25">
      <c r="A37" s="3">
        <f t="shared" si="0"/>
        <v>36</v>
      </c>
      <c r="B37" s="15" t="s">
        <v>421</v>
      </c>
      <c r="C37" s="16">
        <f>C32+7</f>
        <v>43437</v>
      </c>
      <c r="D37" s="22">
        <v>0</v>
      </c>
      <c r="E37" s="22">
        <v>0</v>
      </c>
      <c r="F37" s="22">
        <v>0</v>
      </c>
      <c r="G37" s="22">
        <v>0</v>
      </c>
      <c r="H37" s="22">
        <v>0</v>
      </c>
      <c r="I37" s="22">
        <v>0</v>
      </c>
      <c r="J37" s="22">
        <v>0</v>
      </c>
      <c r="K37" s="22">
        <v>0</v>
      </c>
    </row>
    <row r="38" spans="1:11" x14ac:dyDescent="0.25">
      <c r="A38" s="3">
        <f t="shared" si="0"/>
        <v>37</v>
      </c>
      <c r="B38" s="15" t="s">
        <v>422</v>
      </c>
      <c r="C38" s="16">
        <f t="shared" si="1"/>
        <v>43438</v>
      </c>
      <c r="D38" s="22">
        <v>0</v>
      </c>
      <c r="E38" s="22">
        <v>0</v>
      </c>
      <c r="F38" s="22">
        <v>9</v>
      </c>
      <c r="G38" s="22">
        <v>15</v>
      </c>
      <c r="H38" s="22">
        <v>0</v>
      </c>
      <c r="I38" s="22">
        <v>0</v>
      </c>
      <c r="J38" s="22">
        <v>0</v>
      </c>
      <c r="K38" s="22">
        <v>0</v>
      </c>
    </row>
    <row r="39" spans="1:11" x14ac:dyDescent="0.25">
      <c r="A39" s="3">
        <f t="shared" si="0"/>
        <v>38</v>
      </c>
      <c r="B39" s="15" t="s">
        <v>423</v>
      </c>
      <c r="C39" s="16">
        <f t="shared" si="1"/>
        <v>43439</v>
      </c>
      <c r="D39" s="22">
        <v>0</v>
      </c>
      <c r="E39" s="22">
        <v>0</v>
      </c>
      <c r="F39" s="22">
        <v>9</v>
      </c>
      <c r="G39" s="22">
        <v>15</v>
      </c>
      <c r="H39" s="22">
        <v>0</v>
      </c>
      <c r="I39" s="22">
        <v>0</v>
      </c>
      <c r="J39" s="22">
        <v>0</v>
      </c>
      <c r="K39" s="22">
        <v>0</v>
      </c>
    </row>
    <row r="40" spans="1:11" x14ac:dyDescent="0.25">
      <c r="A40" s="3">
        <f t="shared" si="0"/>
        <v>39</v>
      </c>
      <c r="B40" s="15" t="s">
        <v>424</v>
      </c>
      <c r="C40" s="16">
        <f t="shared" si="1"/>
        <v>43440</v>
      </c>
      <c r="D40" s="22">
        <v>0</v>
      </c>
      <c r="E40" s="22">
        <v>0</v>
      </c>
      <c r="F40" s="22">
        <v>9</v>
      </c>
      <c r="G40" s="22">
        <v>15</v>
      </c>
      <c r="H40" s="22">
        <v>0</v>
      </c>
      <c r="I40" s="22">
        <v>0</v>
      </c>
      <c r="J40" s="22">
        <v>0</v>
      </c>
      <c r="K40" s="22">
        <v>0</v>
      </c>
    </row>
    <row r="41" spans="1:11" x14ac:dyDescent="0.25">
      <c r="A41" s="3">
        <f t="shared" si="0"/>
        <v>40</v>
      </c>
      <c r="B41" s="15" t="s">
        <v>425</v>
      </c>
      <c r="C41" s="16">
        <f t="shared" si="1"/>
        <v>43441</v>
      </c>
      <c r="D41" s="22">
        <v>0</v>
      </c>
      <c r="E41" s="22">
        <v>0</v>
      </c>
      <c r="F41" s="22">
        <v>9</v>
      </c>
      <c r="G41" s="22">
        <v>15</v>
      </c>
      <c r="H41" s="22">
        <v>0</v>
      </c>
      <c r="I41" s="22">
        <v>0</v>
      </c>
      <c r="J41" s="22">
        <v>0</v>
      </c>
      <c r="K41" s="22">
        <v>1</v>
      </c>
    </row>
    <row r="42" spans="1:11" x14ac:dyDescent="0.25">
      <c r="A42" s="3">
        <f t="shared" si="0"/>
        <v>41</v>
      </c>
      <c r="B42" s="15" t="s">
        <v>421</v>
      </c>
      <c r="C42" s="16">
        <f>C37+7</f>
        <v>43444</v>
      </c>
      <c r="D42" s="22">
        <v>0</v>
      </c>
      <c r="E42" s="22">
        <v>0</v>
      </c>
      <c r="F42" s="22">
        <v>9</v>
      </c>
      <c r="G42" s="22">
        <v>15</v>
      </c>
      <c r="H42" s="22">
        <v>0</v>
      </c>
      <c r="I42" s="22">
        <v>0</v>
      </c>
      <c r="J42" s="22">
        <v>0</v>
      </c>
      <c r="K42" s="22">
        <v>1</v>
      </c>
    </row>
    <row r="43" spans="1:11" x14ac:dyDescent="0.25">
      <c r="A43" s="3">
        <f t="shared" si="0"/>
        <v>42</v>
      </c>
      <c r="B43" s="15" t="s">
        <v>422</v>
      </c>
      <c r="C43" s="16">
        <f t="shared" si="1"/>
        <v>43445</v>
      </c>
      <c r="D43" s="22">
        <v>0</v>
      </c>
      <c r="E43" s="22">
        <v>0</v>
      </c>
      <c r="F43" s="22">
        <v>9</v>
      </c>
      <c r="G43" s="22">
        <v>15</v>
      </c>
      <c r="H43" s="22">
        <v>0</v>
      </c>
      <c r="I43" s="22">
        <v>0</v>
      </c>
      <c r="J43" s="22">
        <v>0</v>
      </c>
      <c r="K43" s="22">
        <v>1</v>
      </c>
    </row>
    <row r="44" spans="1:11" x14ac:dyDescent="0.25">
      <c r="A44" s="3">
        <f t="shared" si="0"/>
        <v>43</v>
      </c>
      <c r="B44" s="15" t="s">
        <v>423</v>
      </c>
      <c r="C44" s="16">
        <f t="shared" si="1"/>
        <v>43446</v>
      </c>
      <c r="D44" s="22">
        <v>0</v>
      </c>
      <c r="E44" s="22">
        <v>0</v>
      </c>
      <c r="F44" s="22">
        <v>0</v>
      </c>
      <c r="G44" s="22">
        <v>0</v>
      </c>
      <c r="H44" s="22">
        <v>0</v>
      </c>
      <c r="I44" s="22">
        <v>0</v>
      </c>
      <c r="J44" s="22">
        <v>0</v>
      </c>
      <c r="K44" s="22">
        <v>0</v>
      </c>
    </row>
    <row r="45" spans="1:11" x14ac:dyDescent="0.25">
      <c r="A45" s="3">
        <f t="shared" si="0"/>
        <v>44</v>
      </c>
      <c r="B45" s="15" t="s">
        <v>424</v>
      </c>
      <c r="C45" s="16">
        <f t="shared" si="1"/>
        <v>43447</v>
      </c>
      <c r="D45" s="22">
        <v>0</v>
      </c>
      <c r="E45" s="22">
        <v>0</v>
      </c>
      <c r="F45" s="22">
        <v>0</v>
      </c>
      <c r="G45" s="22">
        <v>0</v>
      </c>
      <c r="H45" s="22">
        <v>0</v>
      </c>
      <c r="I45" s="22">
        <v>0</v>
      </c>
      <c r="J45" s="22">
        <v>0</v>
      </c>
      <c r="K45" s="22">
        <v>0</v>
      </c>
    </row>
    <row r="46" spans="1:11" x14ac:dyDescent="0.25">
      <c r="A46" s="3">
        <f t="shared" si="0"/>
        <v>45</v>
      </c>
      <c r="B46" s="15" t="s">
        <v>425</v>
      </c>
      <c r="C46" s="16">
        <f t="shared" si="1"/>
        <v>43448</v>
      </c>
      <c r="D46" s="22">
        <v>0</v>
      </c>
      <c r="E46" s="22">
        <v>0</v>
      </c>
      <c r="F46" s="22">
        <v>0</v>
      </c>
      <c r="G46" s="22">
        <v>0</v>
      </c>
      <c r="H46" s="22">
        <v>0</v>
      </c>
      <c r="I46" s="22">
        <v>0</v>
      </c>
      <c r="J46" s="22">
        <v>0</v>
      </c>
      <c r="K46" s="22">
        <v>0</v>
      </c>
    </row>
    <row r="47" spans="1:11" x14ac:dyDescent="0.25">
      <c r="A47" s="3">
        <f t="shared" si="0"/>
        <v>46</v>
      </c>
      <c r="B47" s="15" t="s">
        <v>421</v>
      </c>
      <c r="C47" s="16">
        <f>C42+7</f>
        <v>43451</v>
      </c>
      <c r="D47" s="22">
        <v>0</v>
      </c>
      <c r="E47" s="22">
        <v>0</v>
      </c>
      <c r="F47" s="22">
        <v>0</v>
      </c>
      <c r="G47" s="22">
        <v>0</v>
      </c>
      <c r="H47" s="22">
        <v>0</v>
      </c>
      <c r="I47" s="22">
        <v>0</v>
      </c>
      <c r="J47" s="22">
        <v>0</v>
      </c>
      <c r="K47" s="22">
        <v>0</v>
      </c>
    </row>
    <row r="48" spans="1:11" x14ac:dyDescent="0.25">
      <c r="A48" s="3">
        <f t="shared" si="0"/>
        <v>47</v>
      </c>
      <c r="B48" s="15" t="s">
        <v>422</v>
      </c>
      <c r="C48" s="16">
        <f t="shared" si="1"/>
        <v>43452</v>
      </c>
      <c r="D48" s="22">
        <v>0</v>
      </c>
      <c r="E48" s="22">
        <v>0</v>
      </c>
      <c r="F48" s="22">
        <v>0</v>
      </c>
      <c r="G48" s="22">
        <v>0</v>
      </c>
      <c r="H48" s="22">
        <v>0</v>
      </c>
      <c r="I48" s="22">
        <v>0</v>
      </c>
      <c r="J48" s="22">
        <v>0</v>
      </c>
      <c r="K48" s="22">
        <v>0</v>
      </c>
    </row>
    <row r="49" spans="1:11" x14ac:dyDescent="0.25">
      <c r="A49" s="3">
        <f t="shared" si="0"/>
        <v>48</v>
      </c>
      <c r="B49" s="15" t="s">
        <v>423</v>
      </c>
      <c r="C49" s="16">
        <f t="shared" si="1"/>
        <v>43453</v>
      </c>
      <c r="D49" s="22">
        <v>0</v>
      </c>
      <c r="E49" s="22">
        <v>0</v>
      </c>
      <c r="F49" s="22">
        <v>0</v>
      </c>
      <c r="G49" s="22">
        <v>0</v>
      </c>
      <c r="H49" s="22">
        <v>0</v>
      </c>
      <c r="I49" s="22">
        <v>0</v>
      </c>
      <c r="J49" s="22">
        <v>0</v>
      </c>
      <c r="K49" s="22">
        <v>0</v>
      </c>
    </row>
    <row r="50" spans="1:11" x14ac:dyDescent="0.25">
      <c r="A50" s="3">
        <f t="shared" si="0"/>
        <v>49</v>
      </c>
      <c r="B50" s="15" t="s">
        <v>424</v>
      </c>
      <c r="C50" s="16">
        <f t="shared" si="1"/>
        <v>43454</v>
      </c>
      <c r="D50" s="22">
        <v>0</v>
      </c>
      <c r="E50" s="22">
        <v>0</v>
      </c>
      <c r="F50" s="22">
        <v>0</v>
      </c>
      <c r="G50" s="22">
        <v>0</v>
      </c>
      <c r="H50" s="22">
        <v>0</v>
      </c>
      <c r="I50" s="22">
        <v>0</v>
      </c>
      <c r="J50" s="22">
        <v>0</v>
      </c>
      <c r="K50" s="22">
        <v>0</v>
      </c>
    </row>
    <row r="51" spans="1:11" x14ac:dyDescent="0.25">
      <c r="A51" s="3">
        <f t="shared" si="0"/>
        <v>50</v>
      </c>
      <c r="B51" s="15" t="s">
        <v>425</v>
      </c>
      <c r="C51" s="16">
        <f t="shared" si="1"/>
        <v>43455</v>
      </c>
      <c r="D51" s="22">
        <v>0</v>
      </c>
      <c r="E51" s="22">
        <v>0</v>
      </c>
      <c r="F51" s="22">
        <v>0</v>
      </c>
      <c r="G51" s="22">
        <v>0</v>
      </c>
      <c r="H51" s="22">
        <v>0</v>
      </c>
      <c r="I51" s="22">
        <v>0</v>
      </c>
      <c r="J51" s="22">
        <v>0</v>
      </c>
      <c r="K51" s="22">
        <v>0</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C000"/>
  </sheetPr>
  <dimension ref="A1:K51"/>
  <sheetViews>
    <sheetView topLeftCell="A7" workbookViewId="0">
      <selection activeCell="AE20" sqref="AE20"/>
    </sheetView>
  </sheetViews>
  <sheetFormatPr defaultColWidth="8.875" defaultRowHeight="15" x14ac:dyDescent="0.25"/>
  <cols>
    <col min="1" max="1" width="8.875" style="3"/>
    <col min="2" max="2" width="6.25" style="3" customWidth="1"/>
    <col min="3" max="3" width="12.125" style="3" customWidth="1"/>
    <col min="4" max="11" width="3" style="3" customWidth="1"/>
    <col min="12" max="16384" width="8.875" style="3"/>
  </cols>
  <sheetData>
    <row r="1" spans="1:11" ht="134.25" thickBot="1" x14ac:dyDescent="0.35">
      <c r="A1" s="4" t="s">
        <v>414</v>
      </c>
      <c r="B1" s="4"/>
      <c r="C1" s="4" t="s">
        <v>3</v>
      </c>
      <c r="D1" s="14" t="s">
        <v>415</v>
      </c>
      <c r="E1" s="14" t="s">
        <v>416</v>
      </c>
      <c r="F1" s="14" t="s">
        <v>417</v>
      </c>
      <c r="G1" s="14" t="s">
        <v>19</v>
      </c>
      <c r="H1" s="14" t="s">
        <v>418</v>
      </c>
      <c r="I1" s="14" t="s">
        <v>419</v>
      </c>
      <c r="J1" s="14" t="s">
        <v>420</v>
      </c>
      <c r="K1" s="14" t="s">
        <v>15</v>
      </c>
    </row>
    <row r="2" spans="1:11" ht="15.75" thickTop="1" x14ac:dyDescent="0.25">
      <c r="A2" s="3">
        <v>1</v>
      </c>
      <c r="B2" s="15" t="s">
        <v>421</v>
      </c>
      <c r="C2" s="16">
        <v>43388</v>
      </c>
      <c r="D2" s="22">
        <v>0</v>
      </c>
      <c r="E2" s="22">
        <v>0</v>
      </c>
      <c r="F2" s="22">
        <v>0</v>
      </c>
      <c r="G2" s="22">
        <v>0</v>
      </c>
      <c r="H2" s="22">
        <v>0</v>
      </c>
      <c r="I2" s="22">
        <v>0</v>
      </c>
      <c r="J2" s="22">
        <v>0</v>
      </c>
      <c r="K2" s="22">
        <v>0</v>
      </c>
    </row>
    <row r="3" spans="1:11" x14ac:dyDescent="0.25">
      <c r="A3" s="3">
        <f>A2+1</f>
        <v>2</v>
      </c>
      <c r="B3" s="15" t="s">
        <v>422</v>
      </c>
      <c r="C3" s="16">
        <f>C2+1</f>
        <v>43389</v>
      </c>
      <c r="D3" s="22">
        <v>0</v>
      </c>
      <c r="E3" s="22">
        <v>0</v>
      </c>
      <c r="F3" s="22">
        <v>0</v>
      </c>
      <c r="G3" s="22">
        <v>0</v>
      </c>
      <c r="H3" s="22">
        <v>0</v>
      </c>
      <c r="I3" s="22">
        <v>0</v>
      </c>
      <c r="J3" s="22">
        <v>0</v>
      </c>
      <c r="K3" s="22">
        <v>0</v>
      </c>
    </row>
    <row r="4" spans="1:11" x14ac:dyDescent="0.25">
      <c r="A4" s="3">
        <f t="shared" ref="A4:A51" si="0">A3+1</f>
        <v>3</v>
      </c>
      <c r="B4" s="15" t="s">
        <v>423</v>
      </c>
      <c r="C4" s="16">
        <f t="shared" ref="C4:C51" si="1">C3+1</f>
        <v>43390</v>
      </c>
      <c r="D4" s="22">
        <v>0</v>
      </c>
      <c r="E4" s="22">
        <v>0</v>
      </c>
      <c r="F4" s="22">
        <v>0</v>
      </c>
      <c r="G4" s="22">
        <v>0</v>
      </c>
      <c r="H4" s="22">
        <v>0</v>
      </c>
      <c r="I4" s="22">
        <v>0</v>
      </c>
      <c r="J4" s="22">
        <v>0</v>
      </c>
      <c r="K4" s="22">
        <v>0</v>
      </c>
    </row>
    <row r="5" spans="1:11" x14ac:dyDescent="0.25">
      <c r="A5" s="3">
        <f t="shared" si="0"/>
        <v>4</v>
      </c>
      <c r="B5" s="15" t="s">
        <v>424</v>
      </c>
      <c r="C5" s="16">
        <f t="shared" si="1"/>
        <v>43391</v>
      </c>
      <c r="D5" s="22">
        <v>0</v>
      </c>
      <c r="E5" s="22">
        <v>0</v>
      </c>
      <c r="F5" s="22">
        <v>0</v>
      </c>
      <c r="G5" s="22">
        <v>0</v>
      </c>
      <c r="H5" s="22">
        <v>0</v>
      </c>
      <c r="I5" s="22">
        <v>0</v>
      </c>
      <c r="J5" s="22">
        <v>0</v>
      </c>
      <c r="K5" s="22">
        <v>0</v>
      </c>
    </row>
    <row r="6" spans="1:11" x14ac:dyDescent="0.25">
      <c r="A6" s="3">
        <f t="shared" si="0"/>
        <v>5</v>
      </c>
      <c r="B6" s="15" t="s">
        <v>425</v>
      </c>
      <c r="C6" s="16">
        <f t="shared" si="1"/>
        <v>43392</v>
      </c>
      <c r="D6" s="22">
        <v>0</v>
      </c>
      <c r="E6" s="22">
        <v>0</v>
      </c>
      <c r="F6" s="22">
        <v>0</v>
      </c>
      <c r="G6" s="22">
        <v>0</v>
      </c>
      <c r="H6" s="22">
        <v>0</v>
      </c>
      <c r="I6" s="22">
        <v>0</v>
      </c>
      <c r="J6" s="22">
        <v>0</v>
      </c>
      <c r="K6" s="22">
        <v>0</v>
      </c>
    </row>
    <row r="7" spans="1:11" x14ac:dyDescent="0.25">
      <c r="A7" s="3">
        <f t="shared" si="0"/>
        <v>6</v>
      </c>
      <c r="B7" s="15" t="s">
        <v>421</v>
      </c>
      <c r="C7" s="16">
        <f>C2+7</f>
        <v>43395</v>
      </c>
      <c r="D7" s="22">
        <v>0</v>
      </c>
      <c r="E7" s="22">
        <v>0</v>
      </c>
      <c r="F7" s="22">
        <v>0</v>
      </c>
      <c r="G7" s="22">
        <v>0</v>
      </c>
      <c r="H7" s="22">
        <v>0</v>
      </c>
      <c r="I7" s="22">
        <v>0</v>
      </c>
      <c r="J7" s="22">
        <v>0</v>
      </c>
      <c r="K7" s="22">
        <v>0</v>
      </c>
    </row>
    <row r="8" spans="1:11" x14ac:dyDescent="0.25">
      <c r="A8" s="3">
        <f t="shared" si="0"/>
        <v>7</v>
      </c>
      <c r="B8" s="15" t="s">
        <v>422</v>
      </c>
      <c r="C8" s="16">
        <f t="shared" si="1"/>
        <v>43396</v>
      </c>
      <c r="D8" s="22">
        <v>0</v>
      </c>
      <c r="E8" s="22">
        <v>0</v>
      </c>
      <c r="F8" s="22">
        <v>0</v>
      </c>
      <c r="G8" s="22">
        <v>0</v>
      </c>
      <c r="H8" s="22">
        <v>0</v>
      </c>
      <c r="I8" s="22">
        <v>0</v>
      </c>
      <c r="J8" s="22">
        <v>0</v>
      </c>
      <c r="K8" s="22">
        <v>0</v>
      </c>
    </row>
    <row r="9" spans="1:11" x14ac:dyDescent="0.25">
      <c r="A9" s="3">
        <f t="shared" si="0"/>
        <v>8</v>
      </c>
      <c r="B9" s="15" t="s">
        <v>423</v>
      </c>
      <c r="C9" s="16">
        <f t="shared" si="1"/>
        <v>43397</v>
      </c>
      <c r="D9" s="22">
        <v>0</v>
      </c>
      <c r="E9" s="22">
        <v>0</v>
      </c>
      <c r="F9" s="22">
        <v>0</v>
      </c>
      <c r="G9" s="22">
        <v>0</v>
      </c>
      <c r="H9" s="22">
        <v>0</v>
      </c>
      <c r="I9" s="22">
        <v>0</v>
      </c>
      <c r="J9" s="22">
        <v>0</v>
      </c>
      <c r="K9" s="22">
        <v>0</v>
      </c>
    </row>
    <row r="10" spans="1:11" x14ac:dyDescent="0.25">
      <c r="A10" s="3">
        <f t="shared" si="0"/>
        <v>9</v>
      </c>
      <c r="B10" s="15" t="s">
        <v>424</v>
      </c>
      <c r="C10" s="16">
        <f t="shared" si="1"/>
        <v>43398</v>
      </c>
      <c r="D10" s="22">
        <v>0</v>
      </c>
      <c r="E10" s="22">
        <v>0</v>
      </c>
      <c r="F10" s="22">
        <v>0</v>
      </c>
      <c r="G10" s="22">
        <v>0</v>
      </c>
      <c r="H10" s="22">
        <v>0</v>
      </c>
      <c r="I10" s="22">
        <v>0</v>
      </c>
      <c r="J10" s="22">
        <v>0</v>
      </c>
      <c r="K10" s="22">
        <v>0</v>
      </c>
    </row>
    <row r="11" spans="1:11" x14ac:dyDescent="0.25">
      <c r="A11" s="3">
        <f t="shared" si="0"/>
        <v>10</v>
      </c>
      <c r="B11" s="15" t="s">
        <v>425</v>
      </c>
      <c r="C11" s="16">
        <f t="shared" si="1"/>
        <v>43399</v>
      </c>
      <c r="D11" s="22">
        <v>0</v>
      </c>
      <c r="E11" s="22">
        <v>0</v>
      </c>
      <c r="F11" s="22">
        <v>0</v>
      </c>
      <c r="G11" s="22">
        <v>0</v>
      </c>
      <c r="H11" s="22">
        <v>0</v>
      </c>
      <c r="I11" s="22">
        <v>0</v>
      </c>
      <c r="J11" s="22">
        <v>0</v>
      </c>
      <c r="K11" s="22">
        <v>0</v>
      </c>
    </row>
    <row r="12" spans="1:11" x14ac:dyDescent="0.25">
      <c r="A12" s="3">
        <f t="shared" si="0"/>
        <v>11</v>
      </c>
      <c r="B12" s="15" t="s">
        <v>421</v>
      </c>
      <c r="C12" s="16">
        <f>C7+7</f>
        <v>43402</v>
      </c>
      <c r="D12" s="22">
        <v>0</v>
      </c>
      <c r="E12" s="22">
        <v>0</v>
      </c>
      <c r="F12" s="22">
        <v>0</v>
      </c>
      <c r="G12" s="22">
        <v>0</v>
      </c>
      <c r="H12" s="22">
        <v>0</v>
      </c>
      <c r="I12" s="22">
        <v>0</v>
      </c>
      <c r="J12" s="22">
        <v>0</v>
      </c>
      <c r="K12" s="22">
        <v>0</v>
      </c>
    </row>
    <row r="13" spans="1:11" x14ac:dyDescent="0.25">
      <c r="A13" s="3">
        <f t="shared" si="0"/>
        <v>12</v>
      </c>
      <c r="B13" s="15" t="s">
        <v>422</v>
      </c>
      <c r="C13" s="16">
        <f t="shared" si="1"/>
        <v>43403</v>
      </c>
      <c r="D13" s="22">
        <v>0</v>
      </c>
      <c r="E13" s="22">
        <v>0</v>
      </c>
      <c r="F13" s="22">
        <v>0</v>
      </c>
      <c r="G13" s="22">
        <v>0</v>
      </c>
      <c r="H13" s="22">
        <v>0</v>
      </c>
      <c r="I13" s="22">
        <v>0</v>
      </c>
      <c r="J13" s="22">
        <v>0</v>
      </c>
      <c r="K13" s="22">
        <v>0</v>
      </c>
    </row>
    <row r="14" spans="1:11" x14ac:dyDescent="0.25">
      <c r="A14" s="3">
        <f t="shared" si="0"/>
        <v>13</v>
      </c>
      <c r="B14" s="15" t="s">
        <v>423</v>
      </c>
      <c r="C14" s="16">
        <f t="shared" si="1"/>
        <v>43404</v>
      </c>
      <c r="D14" s="22">
        <v>0</v>
      </c>
      <c r="E14" s="22">
        <v>0</v>
      </c>
      <c r="F14" s="22">
        <v>0</v>
      </c>
      <c r="G14" s="22">
        <v>0</v>
      </c>
      <c r="H14" s="22">
        <v>0</v>
      </c>
      <c r="I14" s="22">
        <v>0</v>
      </c>
      <c r="J14" s="22">
        <v>0</v>
      </c>
      <c r="K14" s="22">
        <v>0</v>
      </c>
    </row>
    <row r="15" spans="1:11" x14ac:dyDescent="0.25">
      <c r="A15" s="3">
        <f t="shared" si="0"/>
        <v>14</v>
      </c>
      <c r="B15" s="15" t="s">
        <v>424</v>
      </c>
      <c r="C15" s="16">
        <f t="shared" si="1"/>
        <v>43405</v>
      </c>
      <c r="D15" s="22">
        <v>0</v>
      </c>
      <c r="E15" s="22">
        <v>0</v>
      </c>
      <c r="F15" s="22">
        <v>0</v>
      </c>
      <c r="G15" s="22">
        <v>0</v>
      </c>
      <c r="H15" s="22">
        <v>0</v>
      </c>
      <c r="I15" s="22">
        <v>0</v>
      </c>
      <c r="J15" s="22">
        <v>0</v>
      </c>
      <c r="K15" s="22">
        <v>0</v>
      </c>
    </row>
    <row r="16" spans="1:11" x14ac:dyDescent="0.25">
      <c r="A16" s="3">
        <f t="shared" si="0"/>
        <v>15</v>
      </c>
      <c r="B16" s="15" t="s">
        <v>425</v>
      </c>
      <c r="C16" s="16">
        <f t="shared" si="1"/>
        <v>43406</v>
      </c>
      <c r="D16" s="22">
        <v>0</v>
      </c>
      <c r="E16" s="22">
        <v>0</v>
      </c>
      <c r="F16" s="22">
        <v>0</v>
      </c>
      <c r="G16" s="22">
        <v>0</v>
      </c>
      <c r="H16" s="22">
        <v>0</v>
      </c>
      <c r="I16" s="22">
        <v>0</v>
      </c>
      <c r="J16" s="22">
        <v>0</v>
      </c>
      <c r="K16" s="22">
        <v>0</v>
      </c>
    </row>
    <row r="17" spans="1:11" x14ac:dyDescent="0.25">
      <c r="A17" s="3">
        <f t="shared" si="0"/>
        <v>16</v>
      </c>
      <c r="B17" s="15" t="s">
        <v>421</v>
      </c>
      <c r="C17" s="16">
        <f>C12+7</f>
        <v>43409</v>
      </c>
      <c r="D17" s="22">
        <v>0</v>
      </c>
      <c r="E17" s="22">
        <v>0</v>
      </c>
      <c r="F17" s="22">
        <v>0</v>
      </c>
      <c r="G17" s="22">
        <v>0</v>
      </c>
      <c r="H17" s="22">
        <v>0</v>
      </c>
      <c r="I17" s="22">
        <v>0</v>
      </c>
      <c r="J17" s="22">
        <v>0</v>
      </c>
      <c r="K17" s="22">
        <v>0</v>
      </c>
    </row>
    <row r="18" spans="1:11" x14ac:dyDescent="0.25">
      <c r="A18" s="3">
        <f t="shared" si="0"/>
        <v>17</v>
      </c>
      <c r="B18" s="15" t="s">
        <v>422</v>
      </c>
      <c r="C18" s="16">
        <f t="shared" si="1"/>
        <v>43410</v>
      </c>
      <c r="D18" s="22">
        <v>0</v>
      </c>
      <c r="E18" s="22">
        <v>0</v>
      </c>
      <c r="F18" s="22">
        <v>0</v>
      </c>
      <c r="G18" s="22">
        <v>0</v>
      </c>
      <c r="H18" s="22">
        <v>0</v>
      </c>
      <c r="I18" s="22">
        <v>0</v>
      </c>
      <c r="J18" s="22">
        <v>0</v>
      </c>
      <c r="K18" s="22">
        <v>0</v>
      </c>
    </row>
    <row r="19" spans="1:11" x14ac:dyDescent="0.25">
      <c r="A19" s="3">
        <f t="shared" si="0"/>
        <v>18</v>
      </c>
      <c r="B19" s="15" t="s">
        <v>423</v>
      </c>
      <c r="C19" s="16">
        <f t="shared" si="1"/>
        <v>43411</v>
      </c>
      <c r="D19" s="22">
        <v>0</v>
      </c>
      <c r="E19" s="22">
        <v>0</v>
      </c>
      <c r="F19" s="22">
        <v>0</v>
      </c>
      <c r="G19" s="22">
        <v>0</v>
      </c>
      <c r="H19" s="22">
        <v>0</v>
      </c>
      <c r="I19" s="22">
        <v>0</v>
      </c>
      <c r="J19" s="22">
        <v>0</v>
      </c>
      <c r="K19" s="22">
        <v>0</v>
      </c>
    </row>
    <row r="20" spans="1:11" x14ac:dyDescent="0.25">
      <c r="A20" s="3">
        <f t="shared" si="0"/>
        <v>19</v>
      </c>
      <c r="B20" s="15" t="s">
        <v>424</v>
      </c>
      <c r="C20" s="16">
        <f t="shared" si="1"/>
        <v>43412</v>
      </c>
      <c r="D20" s="22">
        <v>0</v>
      </c>
      <c r="E20" s="22">
        <v>0</v>
      </c>
      <c r="F20" s="22">
        <v>0</v>
      </c>
      <c r="G20" s="22">
        <v>0</v>
      </c>
      <c r="H20" s="22">
        <v>0</v>
      </c>
      <c r="I20" s="22">
        <v>0</v>
      </c>
      <c r="J20" s="22">
        <v>0</v>
      </c>
      <c r="K20" s="22">
        <v>0</v>
      </c>
    </row>
    <row r="21" spans="1:11" x14ac:dyDescent="0.25">
      <c r="A21" s="3">
        <f t="shared" si="0"/>
        <v>20</v>
      </c>
      <c r="B21" s="15" t="s">
        <v>425</v>
      </c>
      <c r="C21" s="16">
        <f t="shared" si="1"/>
        <v>43413</v>
      </c>
      <c r="D21" s="22">
        <v>0</v>
      </c>
      <c r="E21" s="22">
        <v>0</v>
      </c>
      <c r="F21" s="22">
        <v>0</v>
      </c>
      <c r="G21" s="22">
        <v>0</v>
      </c>
      <c r="H21" s="22">
        <v>0</v>
      </c>
      <c r="I21" s="22">
        <v>0</v>
      </c>
      <c r="J21" s="22">
        <v>0</v>
      </c>
      <c r="K21" s="22">
        <v>0</v>
      </c>
    </row>
    <row r="22" spans="1:11" x14ac:dyDescent="0.25">
      <c r="A22" s="3">
        <f t="shared" si="0"/>
        <v>21</v>
      </c>
      <c r="B22" s="15" t="s">
        <v>421</v>
      </c>
      <c r="C22" s="16">
        <f>C17+7</f>
        <v>43416</v>
      </c>
      <c r="D22" s="22">
        <v>0</v>
      </c>
      <c r="E22" s="22">
        <v>0</v>
      </c>
      <c r="F22" s="22">
        <v>0</v>
      </c>
      <c r="G22" s="22">
        <v>0</v>
      </c>
      <c r="H22" s="22">
        <v>0</v>
      </c>
      <c r="I22" s="22">
        <v>0</v>
      </c>
      <c r="J22" s="22">
        <v>0</v>
      </c>
      <c r="K22" s="22">
        <v>0</v>
      </c>
    </row>
    <row r="23" spans="1:11" x14ac:dyDescent="0.25">
      <c r="A23" s="3">
        <f t="shared" si="0"/>
        <v>22</v>
      </c>
      <c r="B23" s="15" t="s">
        <v>422</v>
      </c>
      <c r="C23" s="16">
        <f t="shared" si="1"/>
        <v>43417</v>
      </c>
      <c r="D23" s="22">
        <v>0</v>
      </c>
      <c r="E23" s="22">
        <v>0</v>
      </c>
      <c r="F23" s="22">
        <v>0</v>
      </c>
      <c r="G23" s="22">
        <v>0</v>
      </c>
      <c r="H23" s="22">
        <v>0</v>
      </c>
      <c r="I23" s="22">
        <v>0</v>
      </c>
      <c r="J23" s="22">
        <v>0</v>
      </c>
      <c r="K23" s="22">
        <v>0</v>
      </c>
    </row>
    <row r="24" spans="1:11" x14ac:dyDescent="0.25">
      <c r="A24" s="3">
        <f t="shared" si="0"/>
        <v>23</v>
      </c>
      <c r="B24" s="15" t="s">
        <v>423</v>
      </c>
      <c r="C24" s="16">
        <f t="shared" si="1"/>
        <v>43418</v>
      </c>
      <c r="D24" s="22">
        <v>0</v>
      </c>
      <c r="E24" s="22">
        <v>0</v>
      </c>
      <c r="F24" s="22">
        <v>0</v>
      </c>
      <c r="G24" s="22">
        <v>0</v>
      </c>
      <c r="H24" s="22">
        <v>0</v>
      </c>
      <c r="I24" s="22">
        <v>0</v>
      </c>
      <c r="J24" s="22">
        <v>0</v>
      </c>
      <c r="K24" s="22">
        <v>0</v>
      </c>
    </row>
    <row r="25" spans="1:11" x14ac:dyDescent="0.25">
      <c r="A25" s="3">
        <f t="shared" si="0"/>
        <v>24</v>
      </c>
      <c r="B25" s="15" t="s">
        <v>424</v>
      </c>
      <c r="C25" s="16">
        <f t="shared" si="1"/>
        <v>43419</v>
      </c>
      <c r="D25" s="22">
        <v>0</v>
      </c>
      <c r="E25" s="22">
        <v>0</v>
      </c>
      <c r="F25" s="22">
        <v>0</v>
      </c>
      <c r="G25" s="22">
        <v>0</v>
      </c>
      <c r="H25" s="22">
        <v>0</v>
      </c>
      <c r="I25" s="22">
        <v>0</v>
      </c>
      <c r="J25" s="22">
        <v>0</v>
      </c>
      <c r="K25" s="22">
        <v>0</v>
      </c>
    </row>
    <row r="26" spans="1:11" x14ac:dyDescent="0.25">
      <c r="A26" s="3">
        <f t="shared" si="0"/>
        <v>25</v>
      </c>
      <c r="B26" s="15" t="s">
        <v>425</v>
      </c>
      <c r="C26" s="16">
        <f t="shared" si="1"/>
        <v>43420</v>
      </c>
      <c r="D26" s="22">
        <v>0</v>
      </c>
      <c r="E26" s="22">
        <v>0</v>
      </c>
      <c r="F26" s="22">
        <v>0</v>
      </c>
      <c r="G26" s="22">
        <v>0</v>
      </c>
      <c r="H26" s="22">
        <v>0</v>
      </c>
      <c r="I26" s="22">
        <v>0</v>
      </c>
      <c r="J26" s="22">
        <v>0</v>
      </c>
      <c r="K26" s="22">
        <v>0</v>
      </c>
    </row>
    <row r="27" spans="1:11" x14ac:dyDescent="0.25">
      <c r="A27" s="3">
        <f t="shared" si="0"/>
        <v>26</v>
      </c>
      <c r="B27" s="15" t="s">
        <v>421</v>
      </c>
      <c r="C27" s="16">
        <f>C22+7</f>
        <v>43423</v>
      </c>
      <c r="D27" s="22">
        <v>0</v>
      </c>
      <c r="E27" s="22">
        <v>0</v>
      </c>
      <c r="F27" s="22">
        <v>0</v>
      </c>
      <c r="G27" s="22">
        <v>0</v>
      </c>
      <c r="H27" s="22">
        <v>0</v>
      </c>
      <c r="I27" s="22">
        <v>0</v>
      </c>
      <c r="J27" s="22">
        <v>0</v>
      </c>
      <c r="K27" s="22">
        <v>0</v>
      </c>
    </row>
    <row r="28" spans="1:11" x14ac:dyDescent="0.25">
      <c r="A28" s="3">
        <f t="shared" si="0"/>
        <v>27</v>
      </c>
      <c r="B28" s="15" t="s">
        <v>422</v>
      </c>
      <c r="C28" s="16">
        <f t="shared" si="1"/>
        <v>43424</v>
      </c>
      <c r="D28" s="22">
        <v>0</v>
      </c>
      <c r="E28" s="22">
        <v>0</v>
      </c>
      <c r="F28" s="22">
        <v>0</v>
      </c>
      <c r="G28" s="22">
        <v>0</v>
      </c>
      <c r="H28" s="22">
        <v>0</v>
      </c>
      <c r="I28" s="22">
        <v>0</v>
      </c>
      <c r="J28" s="22">
        <v>0</v>
      </c>
      <c r="K28" s="22">
        <v>0</v>
      </c>
    </row>
    <row r="29" spans="1:11" x14ac:dyDescent="0.25">
      <c r="A29" s="3">
        <f t="shared" si="0"/>
        <v>28</v>
      </c>
      <c r="B29" s="15" t="s">
        <v>423</v>
      </c>
      <c r="C29" s="16">
        <f t="shared" si="1"/>
        <v>43425</v>
      </c>
      <c r="D29" s="22">
        <v>0</v>
      </c>
      <c r="E29" s="22">
        <v>0</v>
      </c>
      <c r="F29" s="22">
        <v>0</v>
      </c>
      <c r="G29" s="22">
        <v>0</v>
      </c>
      <c r="H29" s="22">
        <v>0</v>
      </c>
      <c r="I29" s="22">
        <v>0</v>
      </c>
      <c r="J29" s="22">
        <v>0</v>
      </c>
      <c r="K29" s="22">
        <v>0</v>
      </c>
    </row>
    <row r="30" spans="1:11" x14ac:dyDescent="0.25">
      <c r="A30" s="3">
        <f t="shared" si="0"/>
        <v>29</v>
      </c>
      <c r="B30" s="15" t="s">
        <v>424</v>
      </c>
      <c r="C30" s="16">
        <f t="shared" si="1"/>
        <v>43426</v>
      </c>
      <c r="D30" s="22">
        <v>0</v>
      </c>
      <c r="E30" s="22">
        <v>0</v>
      </c>
      <c r="F30" s="22">
        <v>0</v>
      </c>
      <c r="G30" s="22">
        <v>0</v>
      </c>
      <c r="H30" s="22">
        <v>0</v>
      </c>
      <c r="I30" s="22">
        <v>0</v>
      </c>
      <c r="J30" s="22">
        <v>0</v>
      </c>
      <c r="K30" s="22">
        <v>0</v>
      </c>
    </row>
    <row r="31" spans="1:11" x14ac:dyDescent="0.25">
      <c r="A31" s="3">
        <f t="shared" si="0"/>
        <v>30</v>
      </c>
      <c r="B31" s="15" t="s">
        <v>425</v>
      </c>
      <c r="C31" s="16">
        <f t="shared" si="1"/>
        <v>43427</v>
      </c>
      <c r="D31" s="22">
        <v>0</v>
      </c>
      <c r="E31" s="22">
        <v>0</v>
      </c>
      <c r="F31" s="22">
        <v>0</v>
      </c>
      <c r="G31" s="22">
        <v>0</v>
      </c>
      <c r="H31" s="22">
        <v>0</v>
      </c>
      <c r="I31" s="22">
        <v>0</v>
      </c>
      <c r="J31" s="22">
        <v>0</v>
      </c>
      <c r="K31" s="22">
        <v>0</v>
      </c>
    </row>
    <row r="32" spans="1:11" x14ac:dyDescent="0.25">
      <c r="A32" s="3">
        <f t="shared" si="0"/>
        <v>31</v>
      </c>
      <c r="B32" s="15" t="s">
        <v>421</v>
      </c>
      <c r="C32" s="16">
        <f>C27+7</f>
        <v>43430</v>
      </c>
      <c r="D32" s="22">
        <v>0</v>
      </c>
      <c r="E32" s="22">
        <v>0</v>
      </c>
      <c r="F32" s="22">
        <v>0</v>
      </c>
      <c r="G32" s="22">
        <v>0</v>
      </c>
      <c r="H32" s="22">
        <v>0</v>
      </c>
      <c r="I32" s="22">
        <v>0</v>
      </c>
      <c r="J32" s="22">
        <v>0</v>
      </c>
      <c r="K32" s="22">
        <v>0</v>
      </c>
    </row>
    <row r="33" spans="1:11" x14ac:dyDescent="0.25">
      <c r="A33" s="3">
        <f t="shared" si="0"/>
        <v>32</v>
      </c>
      <c r="B33" s="15" t="s">
        <v>422</v>
      </c>
      <c r="C33" s="16">
        <f t="shared" si="1"/>
        <v>43431</v>
      </c>
      <c r="D33" s="22">
        <v>0</v>
      </c>
      <c r="E33" s="22">
        <v>0</v>
      </c>
      <c r="F33" s="22">
        <v>0</v>
      </c>
      <c r="G33" s="22">
        <v>0</v>
      </c>
      <c r="H33" s="22">
        <v>0</v>
      </c>
      <c r="I33" s="22">
        <v>0</v>
      </c>
      <c r="J33" s="22">
        <v>0</v>
      </c>
      <c r="K33" s="22">
        <v>0</v>
      </c>
    </row>
    <row r="34" spans="1:11" x14ac:dyDescent="0.25">
      <c r="A34" s="3">
        <f t="shared" si="0"/>
        <v>33</v>
      </c>
      <c r="B34" s="15" t="s">
        <v>423</v>
      </c>
      <c r="C34" s="16">
        <f t="shared" si="1"/>
        <v>43432</v>
      </c>
      <c r="D34" s="22">
        <v>0</v>
      </c>
      <c r="E34" s="22">
        <v>0</v>
      </c>
      <c r="F34" s="22">
        <v>0</v>
      </c>
      <c r="G34" s="22">
        <v>0</v>
      </c>
      <c r="H34" s="22">
        <v>0</v>
      </c>
      <c r="I34" s="22">
        <v>0</v>
      </c>
      <c r="J34" s="22">
        <v>0</v>
      </c>
      <c r="K34" s="22">
        <v>0</v>
      </c>
    </row>
    <row r="35" spans="1:11" x14ac:dyDescent="0.25">
      <c r="A35" s="3">
        <f t="shared" si="0"/>
        <v>34</v>
      </c>
      <c r="B35" s="15" t="s">
        <v>424</v>
      </c>
      <c r="C35" s="16">
        <f t="shared" si="1"/>
        <v>43433</v>
      </c>
      <c r="D35" s="22">
        <v>0</v>
      </c>
      <c r="E35" s="22">
        <v>0</v>
      </c>
      <c r="F35" s="22">
        <v>0</v>
      </c>
      <c r="G35" s="22">
        <v>0</v>
      </c>
      <c r="H35" s="22">
        <v>0</v>
      </c>
      <c r="I35" s="22">
        <v>0</v>
      </c>
      <c r="J35" s="22">
        <v>0</v>
      </c>
      <c r="K35" s="22">
        <v>0</v>
      </c>
    </row>
    <row r="36" spans="1:11" x14ac:dyDescent="0.25">
      <c r="A36" s="3">
        <f t="shared" si="0"/>
        <v>35</v>
      </c>
      <c r="B36" s="15" t="s">
        <v>425</v>
      </c>
      <c r="C36" s="16">
        <f t="shared" si="1"/>
        <v>43434</v>
      </c>
      <c r="D36" s="22">
        <v>0</v>
      </c>
      <c r="E36" s="22">
        <v>0</v>
      </c>
      <c r="F36" s="22">
        <v>0</v>
      </c>
      <c r="G36" s="22">
        <v>0</v>
      </c>
      <c r="H36" s="22">
        <v>0</v>
      </c>
      <c r="I36" s="22">
        <v>0</v>
      </c>
      <c r="J36" s="22">
        <v>0</v>
      </c>
      <c r="K36" s="22">
        <v>0</v>
      </c>
    </row>
    <row r="37" spans="1:11" x14ac:dyDescent="0.25">
      <c r="A37" s="3">
        <f t="shared" si="0"/>
        <v>36</v>
      </c>
      <c r="B37" s="15" t="s">
        <v>421</v>
      </c>
      <c r="C37" s="16">
        <f>C32+7</f>
        <v>43437</v>
      </c>
      <c r="D37" s="22">
        <v>0</v>
      </c>
      <c r="E37" s="22">
        <v>0</v>
      </c>
      <c r="F37" s="22">
        <v>0</v>
      </c>
      <c r="G37" s="22">
        <v>1</v>
      </c>
      <c r="H37" s="22">
        <v>0</v>
      </c>
      <c r="I37" s="22">
        <v>0</v>
      </c>
      <c r="J37" s="22">
        <v>0</v>
      </c>
      <c r="K37" s="22">
        <v>0</v>
      </c>
    </row>
    <row r="38" spans="1:11" x14ac:dyDescent="0.25">
      <c r="A38" s="3">
        <f t="shared" si="0"/>
        <v>37</v>
      </c>
      <c r="B38" s="15" t="s">
        <v>422</v>
      </c>
      <c r="C38" s="16">
        <f t="shared" si="1"/>
        <v>43438</v>
      </c>
      <c r="D38" s="22">
        <v>0</v>
      </c>
      <c r="E38" s="22">
        <v>0</v>
      </c>
      <c r="F38" s="22">
        <v>0</v>
      </c>
      <c r="G38" s="22">
        <v>0</v>
      </c>
      <c r="H38" s="22">
        <v>0</v>
      </c>
      <c r="I38" s="22">
        <v>0</v>
      </c>
      <c r="J38" s="22">
        <v>0</v>
      </c>
      <c r="K38" s="22">
        <v>0</v>
      </c>
    </row>
    <row r="39" spans="1:11" x14ac:dyDescent="0.25">
      <c r="A39" s="3">
        <f t="shared" si="0"/>
        <v>38</v>
      </c>
      <c r="B39" s="15" t="s">
        <v>423</v>
      </c>
      <c r="C39" s="16">
        <f t="shared" si="1"/>
        <v>43439</v>
      </c>
      <c r="D39" s="22">
        <v>0</v>
      </c>
      <c r="E39" s="22">
        <v>0</v>
      </c>
      <c r="F39" s="22">
        <v>0</v>
      </c>
      <c r="G39" s="22">
        <v>0</v>
      </c>
      <c r="H39" s="22">
        <v>0</v>
      </c>
      <c r="I39" s="22">
        <v>0</v>
      </c>
      <c r="J39" s="22">
        <v>0</v>
      </c>
      <c r="K39" s="22">
        <v>0</v>
      </c>
    </row>
    <row r="40" spans="1:11" x14ac:dyDescent="0.25">
      <c r="A40" s="3">
        <f t="shared" si="0"/>
        <v>39</v>
      </c>
      <c r="B40" s="15" t="s">
        <v>424</v>
      </c>
      <c r="C40" s="16">
        <f t="shared" si="1"/>
        <v>43440</v>
      </c>
      <c r="D40" s="22">
        <v>0</v>
      </c>
      <c r="E40" s="22">
        <v>0</v>
      </c>
      <c r="F40" s="22">
        <v>0</v>
      </c>
      <c r="G40" s="22">
        <v>0</v>
      </c>
      <c r="H40" s="22">
        <v>0</v>
      </c>
      <c r="I40" s="22">
        <v>0</v>
      </c>
      <c r="J40" s="22">
        <v>0</v>
      </c>
      <c r="K40" s="22">
        <v>0</v>
      </c>
    </row>
    <row r="41" spans="1:11" x14ac:dyDescent="0.25">
      <c r="A41" s="3">
        <f t="shared" si="0"/>
        <v>40</v>
      </c>
      <c r="B41" s="15" t="s">
        <v>425</v>
      </c>
      <c r="C41" s="16">
        <f t="shared" si="1"/>
        <v>43441</v>
      </c>
      <c r="D41" s="22">
        <v>0</v>
      </c>
      <c r="E41" s="22">
        <v>0</v>
      </c>
      <c r="F41" s="22">
        <v>0</v>
      </c>
      <c r="G41" s="22">
        <v>0</v>
      </c>
      <c r="H41" s="22">
        <v>0</v>
      </c>
      <c r="I41" s="22">
        <v>0</v>
      </c>
      <c r="J41" s="22">
        <v>0</v>
      </c>
      <c r="K41" s="22">
        <v>0</v>
      </c>
    </row>
    <row r="42" spans="1:11" x14ac:dyDescent="0.25">
      <c r="A42" s="3">
        <f t="shared" si="0"/>
        <v>41</v>
      </c>
      <c r="B42" s="15" t="s">
        <v>421</v>
      </c>
      <c r="C42" s="16">
        <f>C37+7</f>
        <v>43444</v>
      </c>
      <c r="D42" s="22">
        <v>0</v>
      </c>
      <c r="E42" s="22">
        <v>0</v>
      </c>
      <c r="F42" s="22">
        <v>0</v>
      </c>
      <c r="G42" s="22">
        <v>0</v>
      </c>
      <c r="H42" s="22">
        <v>0</v>
      </c>
      <c r="I42" s="22">
        <v>0</v>
      </c>
      <c r="J42" s="22">
        <v>0</v>
      </c>
      <c r="K42" s="22">
        <v>0</v>
      </c>
    </row>
    <row r="43" spans="1:11" x14ac:dyDescent="0.25">
      <c r="A43" s="3">
        <f t="shared" si="0"/>
        <v>42</v>
      </c>
      <c r="B43" s="15" t="s">
        <v>422</v>
      </c>
      <c r="C43" s="16">
        <f t="shared" si="1"/>
        <v>43445</v>
      </c>
      <c r="D43" s="22">
        <v>0</v>
      </c>
      <c r="E43" s="22">
        <v>0</v>
      </c>
      <c r="F43" s="22">
        <v>0</v>
      </c>
      <c r="G43" s="22">
        <v>0</v>
      </c>
      <c r="H43" s="22">
        <v>0</v>
      </c>
      <c r="I43" s="22">
        <v>0</v>
      </c>
      <c r="J43" s="22">
        <v>0</v>
      </c>
      <c r="K43" s="22">
        <v>0</v>
      </c>
    </row>
    <row r="44" spans="1:11" x14ac:dyDescent="0.25">
      <c r="A44" s="3">
        <f t="shared" si="0"/>
        <v>43</v>
      </c>
      <c r="B44" s="15" t="s">
        <v>423</v>
      </c>
      <c r="C44" s="16">
        <f t="shared" si="1"/>
        <v>43446</v>
      </c>
      <c r="D44" s="22">
        <v>0</v>
      </c>
      <c r="E44" s="22">
        <v>0</v>
      </c>
      <c r="F44" s="22">
        <v>0</v>
      </c>
      <c r="G44" s="22">
        <v>0</v>
      </c>
      <c r="H44" s="22">
        <v>0</v>
      </c>
      <c r="I44" s="22">
        <v>0</v>
      </c>
      <c r="J44" s="22">
        <v>0</v>
      </c>
      <c r="K44" s="22">
        <v>0</v>
      </c>
    </row>
    <row r="45" spans="1:11" x14ac:dyDescent="0.25">
      <c r="A45" s="3">
        <f t="shared" si="0"/>
        <v>44</v>
      </c>
      <c r="B45" s="15" t="s">
        <v>424</v>
      </c>
      <c r="C45" s="16">
        <f t="shared" si="1"/>
        <v>43447</v>
      </c>
      <c r="D45" s="22">
        <v>0</v>
      </c>
      <c r="E45" s="22">
        <v>0</v>
      </c>
      <c r="F45" s="22">
        <v>0</v>
      </c>
      <c r="G45" s="22">
        <v>0</v>
      </c>
      <c r="H45" s="22">
        <v>0</v>
      </c>
      <c r="I45" s="22">
        <v>0</v>
      </c>
      <c r="J45" s="22">
        <v>0</v>
      </c>
      <c r="K45" s="22">
        <v>0</v>
      </c>
    </row>
    <row r="46" spans="1:11" x14ac:dyDescent="0.25">
      <c r="A46" s="3">
        <f t="shared" si="0"/>
        <v>45</v>
      </c>
      <c r="B46" s="15" t="s">
        <v>425</v>
      </c>
      <c r="C46" s="16">
        <f t="shared" si="1"/>
        <v>43448</v>
      </c>
      <c r="D46" s="22">
        <v>0</v>
      </c>
      <c r="E46" s="22">
        <v>0</v>
      </c>
      <c r="F46" s="22">
        <v>0</v>
      </c>
      <c r="G46" s="22">
        <v>0</v>
      </c>
      <c r="H46" s="22">
        <v>0</v>
      </c>
      <c r="I46" s="22">
        <v>0</v>
      </c>
      <c r="J46" s="22">
        <v>0</v>
      </c>
      <c r="K46" s="22">
        <v>0</v>
      </c>
    </row>
    <row r="47" spans="1:11" x14ac:dyDescent="0.25">
      <c r="A47" s="3">
        <f t="shared" si="0"/>
        <v>46</v>
      </c>
      <c r="B47" s="15" t="s">
        <v>421</v>
      </c>
      <c r="C47" s="16">
        <f>C42+7</f>
        <v>43451</v>
      </c>
      <c r="D47" s="22">
        <v>0</v>
      </c>
      <c r="E47" s="22">
        <v>0</v>
      </c>
      <c r="F47" s="22">
        <v>0</v>
      </c>
      <c r="G47" s="22">
        <v>0</v>
      </c>
      <c r="H47" s="22">
        <v>0</v>
      </c>
      <c r="I47" s="22">
        <v>0</v>
      </c>
      <c r="J47" s="22">
        <v>0</v>
      </c>
      <c r="K47" s="22">
        <v>0</v>
      </c>
    </row>
    <row r="48" spans="1:11" x14ac:dyDescent="0.25">
      <c r="A48" s="3">
        <f t="shared" si="0"/>
        <v>47</v>
      </c>
      <c r="B48" s="15" t="s">
        <v>422</v>
      </c>
      <c r="C48" s="16">
        <f t="shared" si="1"/>
        <v>43452</v>
      </c>
      <c r="D48" s="22">
        <v>0</v>
      </c>
      <c r="E48" s="22">
        <v>0</v>
      </c>
      <c r="F48" s="22">
        <v>0</v>
      </c>
      <c r="G48" s="22">
        <v>0</v>
      </c>
      <c r="H48" s="22">
        <v>0</v>
      </c>
      <c r="I48" s="22">
        <v>0</v>
      </c>
      <c r="J48" s="22">
        <v>0</v>
      </c>
      <c r="K48" s="22">
        <v>0</v>
      </c>
    </row>
    <row r="49" spans="1:11" x14ac:dyDescent="0.25">
      <c r="A49" s="3">
        <f t="shared" si="0"/>
        <v>48</v>
      </c>
      <c r="B49" s="15" t="s">
        <v>423</v>
      </c>
      <c r="C49" s="16">
        <f t="shared" si="1"/>
        <v>43453</v>
      </c>
      <c r="D49" s="22">
        <v>0</v>
      </c>
      <c r="E49" s="22">
        <v>0</v>
      </c>
      <c r="F49" s="22">
        <v>0</v>
      </c>
      <c r="G49" s="22">
        <v>0</v>
      </c>
      <c r="H49" s="22">
        <v>0</v>
      </c>
      <c r="I49" s="22">
        <v>0</v>
      </c>
      <c r="J49" s="22">
        <v>0</v>
      </c>
      <c r="K49" s="22">
        <v>0</v>
      </c>
    </row>
    <row r="50" spans="1:11" x14ac:dyDescent="0.25">
      <c r="A50" s="3">
        <f t="shared" si="0"/>
        <v>49</v>
      </c>
      <c r="B50" s="15" t="s">
        <v>424</v>
      </c>
      <c r="C50" s="16">
        <f t="shared" si="1"/>
        <v>43454</v>
      </c>
      <c r="D50" s="22">
        <v>0</v>
      </c>
      <c r="E50" s="22">
        <v>0</v>
      </c>
      <c r="F50" s="22">
        <v>0</v>
      </c>
      <c r="G50" s="22">
        <v>0</v>
      </c>
      <c r="H50" s="22">
        <v>0</v>
      </c>
      <c r="I50" s="22">
        <v>0</v>
      </c>
      <c r="J50" s="22">
        <v>0</v>
      </c>
      <c r="K50" s="22">
        <v>0</v>
      </c>
    </row>
    <row r="51" spans="1:11" x14ac:dyDescent="0.25">
      <c r="A51" s="3">
        <f t="shared" si="0"/>
        <v>50</v>
      </c>
      <c r="B51" s="15" t="s">
        <v>425</v>
      </c>
      <c r="C51" s="16">
        <f t="shared" si="1"/>
        <v>43455</v>
      </c>
      <c r="D51" s="22">
        <v>0</v>
      </c>
      <c r="E51" s="22">
        <v>0</v>
      </c>
      <c r="F51" s="22">
        <v>0</v>
      </c>
      <c r="G51" s="22">
        <v>0</v>
      </c>
      <c r="H51" s="22">
        <v>0</v>
      </c>
      <c r="I51" s="22">
        <v>0</v>
      </c>
      <c r="J51" s="22">
        <v>0</v>
      </c>
      <c r="K51" s="22">
        <v>0</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C000"/>
  </sheetPr>
  <dimension ref="A1:H51"/>
  <sheetViews>
    <sheetView topLeftCell="A10" workbookViewId="0">
      <selection activeCell="AE20" sqref="AE20"/>
    </sheetView>
  </sheetViews>
  <sheetFormatPr defaultColWidth="8.875" defaultRowHeight="15" x14ac:dyDescent="0.25"/>
  <cols>
    <col min="1" max="1" width="8.875" style="3"/>
    <col min="2" max="2" width="6.25" style="3" customWidth="1"/>
    <col min="3" max="3" width="12.125" style="3" customWidth="1"/>
    <col min="4" max="4" width="3.875" style="3" customWidth="1"/>
    <col min="5" max="7" width="3" style="3" customWidth="1"/>
    <col min="8" max="8" width="5.125" style="3" customWidth="1"/>
    <col min="9" max="16384" width="8.875" style="3"/>
  </cols>
  <sheetData>
    <row r="1" spans="1:8" ht="67.5" thickBot="1" x14ac:dyDescent="0.35">
      <c r="A1" s="4" t="s">
        <v>414</v>
      </c>
      <c r="B1" s="4"/>
      <c r="C1" s="4" t="s">
        <v>3</v>
      </c>
      <c r="D1" s="14" t="s">
        <v>13</v>
      </c>
      <c r="E1" s="14" t="s">
        <v>14</v>
      </c>
      <c r="F1" s="14" t="s">
        <v>16</v>
      </c>
      <c r="G1" s="14" t="s">
        <v>635</v>
      </c>
      <c r="H1" s="14" t="s">
        <v>15</v>
      </c>
    </row>
    <row r="2" spans="1:8" ht="15.75" thickTop="1" x14ac:dyDescent="0.25">
      <c r="A2" s="3">
        <v>1</v>
      </c>
      <c r="B2" s="15" t="s">
        <v>421</v>
      </c>
      <c r="C2" s="16">
        <v>43388</v>
      </c>
      <c r="D2" s="22">
        <v>0</v>
      </c>
      <c r="E2" s="22">
        <v>0</v>
      </c>
      <c r="F2" s="22">
        <v>0</v>
      </c>
      <c r="G2" s="22">
        <v>0</v>
      </c>
      <c r="H2" s="22">
        <v>0</v>
      </c>
    </row>
    <row r="3" spans="1:8" x14ac:dyDescent="0.25">
      <c r="A3" s="3">
        <f>A2+1</f>
        <v>2</v>
      </c>
      <c r="B3" s="15" t="s">
        <v>422</v>
      </c>
      <c r="C3" s="16">
        <f>C2+1</f>
        <v>43389</v>
      </c>
      <c r="D3" s="22">
        <v>0</v>
      </c>
      <c r="E3" s="22">
        <v>0</v>
      </c>
      <c r="F3" s="22">
        <v>0</v>
      </c>
      <c r="G3" s="22">
        <v>0</v>
      </c>
      <c r="H3" s="22">
        <v>0</v>
      </c>
    </row>
    <row r="4" spans="1:8" x14ac:dyDescent="0.25">
      <c r="A4" s="3">
        <f t="shared" ref="A4:A51" si="0">A3+1</f>
        <v>3</v>
      </c>
      <c r="B4" s="15" t="s">
        <v>423</v>
      </c>
      <c r="C4" s="16">
        <f t="shared" ref="C4:C51" si="1">C3+1</f>
        <v>43390</v>
      </c>
      <c r="D4" s="22">
        <v>0</v>
      </c>
      <c r="E4" s="22">
        <v>0</v>
      </c>
      <c r="F4" s="22">
        <v>0</v>
      </c>
      <c r="G4" s="22">
        <v>0</v>
      </c>
      <c r="H4" s="22">
        <v>0</v>
      </c>
    </row>
    <row r="5" spans="1:8" x14ac:dyDescent="0.25">
      <c r="A5" s="3">
        <f t="shared" si="0"/>
        <v>4</v>
      </c>
      <c r="B5" s="15" t="s">
        <v>424</v>
      </c>
      <c r="C5" s="16">
        <f t="shared" si="1"/>
        <v>43391</v>
      </c>
      <c r="D5" s="22">
        <v>0</v>
      </c>
      <c r="E5" s="22">
        <v>0</v>
      </c>
      <c r="F5" s="22">
        <v>0</v>
      </c>
      <c r="G5" s="22">
        <v>0</v>
      </c>
      <c r="H5" s="22">
        <v>0</v>
      </c>
    </row>
    <row r="6" spans="1:8" x14ac:dyDescent="0.25">
      <c r="A6" s="3">
        <f t="shared" si="0"/>
        <v>5</v>
      </c>
      <c r="B6" s="15" t="s">
        <v>425</v>
      </c>
      <c r="C6" s="16">
        <f t="shared" si="1"/>
        <v>43392</v>
      </c>
      <c r="D6" s="22">
        <v>0</v>
      </c>
      <c r="E6" s="22">
        <v>0</v>
      </c>
      <c r="F6" s="22">
        <v>0</v>
      </c>
      <c r="G6" s="22">
        <v>0</v>
      </c>
      <c r="H6" s="22">
        <v>0</v>
      </c>
    </row>
    <row r="7" spans="1:8" x14ac:dyDescent="0.25">
      <c r="A7" s="3">
        <f t="shared" si="0"/>
        <v>6</v>
      </c>
      <c r="B7" s="15" t="s">
        <v>421</v>
      </c>
      <c r="C7" s="16">
        <f>C2+7</f>
        <v>43395</v>
      </c>
      <c r="D7" s="22">
        <v>0</v>
      </c>
      <c r="E7" s="22">
        <v>0</v>
      </c>
      <c r="F7" s="22">
        <v>0</v>
      </c>
      <c r="G7" s="22">
        <v>0</v>
      </c>
      <c r="H7" s="22">
        <v>0</v>
      </c>
    </row>
    <row r="8" spans="1:8" x14ac:dyDescent="0.25">
      <c r="A8" s="3">
        <f t="shared" si="0"/>
        <v>7</v>
      </c>
      <c r="B8" s="15" t="s">
        <v>422</v>
      </c>
      <c r="C8" s="16">
        <f t="shared" si="1"/>
        <v>43396</v>
      </c>
      <c r="D8" s="22">
        <v>0</v>
      </c>
      <c r="E8" s="22">
        <v>0</v>
      </c>
      <c r="F8" s="22">
        <v>0</v>
      </c>
      <c r="G8" s="22">
        <v>0</v>
      </c>
      <c r="H8" s="22">
        <v>0</v>
      </c>
    </row>
    <row r="9" spans="1:8" x14ac:dyDescent="0.25">
      <c r="A9" s="3">
        <f t="shared" si="0"/>
        <v>8</v>
      </c>
      <c r="B9" s="15" t="s">
        <v>423</v>
      </c>
      <c r="C9" s="16">
        <f t="shared" si="1"/>
        <v>43397</v>
      </c>
      <c r="D9" s="22">
        <v>0</v>
      </c>
      <c r="E9" s="22">
        <v>0</v>
      </c>
      <c r="F9" s="22">
        <v>0</v>
      </c>
      <c r="G9" s="22">
        <v>0</v>
      </c>
      <c r="H9" s="22">
        <v>0</v>
      </c>
    </row>
    <row r="10" spans="1:8" x14ac:dyDescent="0.25">
      <c r="A10" s="3">
        <f t="shared" si="0"/>
        <v>9</v>
      </c>
      <c r="B10" s="15" t="s">
        <v>424</v>
      </c>
      <c r="C10" s="16">
        <f t="shared" si="1"/>
        <v>43398</v>
      </c>
      <c r="D10" s="22">
        <v>0</v>
      </c>
      <c r="E10" s="22">
        <v>0</v>
      </c>
      <c r="F10" s="22">
        <v>0</v>
      </c>
      <c r="G10" s="22">
        <v>0</v>
      </c>
      <c r="H10" s="22">
        <v>0</v>
      </c>
    </row>
    <row r="11" spans="1:8" x14ac:dyDescent="0.25">
      <c r="A11" s="3">
        <f t="shared" si="0"/>
        <v>10</v>
      </c>
      <c r="B11" s="15" t="s">
        <v>425</v>
      </c>
      <c r="C11" s="16">
        <f t="shared" si="1"/>
        <v>43399</v>
      </c>
      <c r="D11" s="22">
        <v>0</v>
      </c>
      <c r="E11" s="22">
        <v>0</v>
      </c>
      <c r="F11" s="22">
        <v>0</v>
      </c>
      <c r="G11" s="22">
        <v>0</v>
      </c>
      <c r="H11" s="22">
        <v>0</v>
      </c>
    </row>
    <row r="12" spans="1:8" x14ac:dyDescent="0.25">
      <c r="A12" s="3">
        <f t="shared" si="0"/>
        <v>11</v>
      </c>
      <c r="B12" s="15" t="s">
        <v>421</v>
      </c>
      <c r="C12" s="16">
        <f>C7+7</f>
        <v>43402</v>
      </c>
      <c r="D12" s="22">
        <v>0</v>
      </c>
      <c r="E12" s="22">
        <v>0</v>
      </c>
      <c r="F12" s="22">
        <v>0</v>
      </c>
      <c r="G12" s="22">
        <v>0</v>
      </c>
      <c r="H12" s="22">
        <v>0</v>
      </c>
    </row>
    <row r="13" spans="1:8" x14ac:dyDescent="0.25">
      <c r="A13" s="3">
        <f t="shared" si="0"/>
        <v>12</v>
      </c>
      <c r="B13" s="15" t="s">
        <v>422</v>
      </c>
      <c r="C13" s="16">
        <f t="shared" si="1"/>
        <v>43403</v>
      </c>
      <c r="D13" s="22">
        <v>0</v>
      </c>
      <c r="E13" s="22">
        <v>0</v>
      </c>
      <c r="F13" s="22">
        <v>0</v>
      </c>
      <c r="G13" s="22">
        <v>0</v>
      </c>
      <c r="H13" s="22">
        <v>0</v>
      </c>
    </row>
    <row r="14" spans="1:8" x14ac:dyDescent="0.25">
      <c r="A14" s="3">
        <f t="shared" si="0"/>
        <v>13</v>
      </c>
      <c r="B14" s="15" t="s">
        <v>423</v>
      </c>
      <c r="C14" s="16">
        <f t="shared" si="1"/>
        <v>43404</v>
      </c>
      <c r="D14" s="22">
        <v>0</v>
      </c>
      <c r="E14" s="22">
        <v>0</v>
      </c>
      <c r="F14" s="22">
        <v>0</v>
      </c>
      <c r="G14" s="22">
        <v>0</v>
      </c>
      <c r="H14" s="22">
        <v>0</v>
      </c>
    </row>
    <row r="15" spans="1:8" x14ac:dyDescent="0.25">
      <c r="A15" s="3">
        <f t="shared" si="0"/>
        <v>14</v>
      </c>
      <c r="B15" s="15" t="s">
        <v>424</v>
      </c>
      <c r="C15" s="16">
        <f t="shared" si="1"/>
        <v>43405</v>
      </c>
      <c r="D15" s="22">
        <v>0</v>
      </c>
      <c r="E15" s="22">
        <v>0</v>
      </c>
      <c r="F15" s="22">
        <v>0</v>
      </c>
      <c r="G15" s="22">
        <v>0</v>
      </c>
      <c r="H15" s="22">
        <v>0</v>
      </c>
    </row>
    <row r="16" spans="1:8" x14ac:dyDescent="0.25">
      <c r="A16" s="3">
        <f t="shared" si="0"/>
        <v>15</v>
      </c>
      <c r="B16" s="15" t="s">
        <v>425</v>
      </c>
      <c r="C16" s="16">
        <f t="shared" si="1"/>
        <v>43406</v>
      </c>
      <c r="D16" s="22">
        <v>0</v>
      </c>
      <c r="E16" s="22">
        <v>0</v>
      </c>
      <c r="F16" s="22">
        <v>0</v>
      </c>
      <c r="G16" s="22">
        <v>0</v>
      </c>
      <c r="H16" s="22">
        <v>0</v>
      </c>
    </row>
    <row r="17" spans="1:8" x14ac:dyDescent="0.25">
      <c r="A17" s="3">
        <f t="shared" si="0"/>
        <v>16</v>
      </c>
      <c r="B17" s="15" t="s">
        <v>421</v>
      </c>
      <c r="C17" s="16">
        <f>C12+7</f>
        <v>43409</v>
      </c>
      <c r="D17" s="22">
        <v>0</v>
      </c>
      <c r="E17" s="22">
        <v>0</v>
      </c>
      <c r="F17" s="22">
        <v>0</v>
      </c>
      <c r="G17" s="22">
        <v>0</v>
      </c>
      <c r="H17" s="22">
        <v>0</v>
      </c>
    </row>
    <row r="18" spans="1:8" x14ac:dyDescent="0.25">
      <c r="A18" s="3">
        <f t="shared" si="0"/>
        <v>17</v>
      </c>
      <c r="B18" s="15" t="s">
        <v>422</v>
      </c>
      <c r="C18" s="16">
        <f t="shared" si="1"/>
        <v>43410</v>
      </c>
      <c r="D18" s="22">
        <v>0</v>
      </c>
      <c r="E18" s="22">
        <v>0</v>
      </c>
      <c r="F18" s="22">
        <v>0</v>
      </c>
      <c r="G18" s="22">
        <v>0</v>
      </c>
      <c r="H18" s="22">
        <v>0</v>
      </c>
    </row>
    <row r="19" spans="1:8" x14ac:dyDescent="0.25">
      <c r="A19" s="3">
        <f t="shared" si="0"/>
        <v>18</v>
      </c>
      <c r="B19" s="15" t="s">
        <v>423</v>
      </c>
      <c r="C19" s="16">
        <f t="shared" si="1"/>
        <v>43411</v>
      </c>
      <c r="D19" s="22">
        <v>0</v>
      </c>
      <c r="E19" s="22">
        <v>0</v>
      </c>
      <c r="F19" s="22">
        <v>0</v>
      </c>
      <c r="G19" s="22">
        <v>0</v>
      </c>
      <c r="H19" s="22">
        <v>0</v>
      </c>
    </row>
    <row r="20" spans="1:8" x14ac:dyDescent="0.25">
      <c r="A20" s="3">
        <f t="shared" si="0"/>
        <v>19</v>
      </c>
      <c r="B20" s="15" t="s">
        <v>424</v>
      </c>
      <c r="C20" s="16">
        <f t="shared" si="1"/>
        <v>43412</v>
      </c>
      <c r="D20" s="22">
        <v>0</v>
      </c>
      <c r="E20" s="22">
        <v>0</v>
      </c>
      <c r="F20" s="22">
        <v>0</v>
      </c>
      <c r="G20" s="22">
        <v>0</v>
      </c>
      <c r="H20" s="22">
        <v>0</v>
      </c>
    </row>
    <row r="21" spans="1:8" x14ac:dyDescent="0.25">
      <c r="A21" s="3">
        <f t="shared" si="0"/>
        <v>20</v>
      </c>
      <c r="B21" s="15" t="s">
        <v>425</v>
      </c>
      <c r="C21" s="16">
        <f t="shared" si="1"/>
        <v>43413</v>
      </c>
      <c r="D21" s="22">
        <v>0</v>
      </c>
      <c r="E21" s="22">
        <v>0</v>
      </c>
      <c r="F21" s="22">
        <v>0</v>
      </c>
      <c r="G21" s="22">
        <v>0</v>
      </c>
      <c r="H21" s="22">
        <v>0</v>
      </c>
    </row>
    <row r="22" spans="1:8" x14ac:dyDescent="0.25">
      <c r="A22" s="3">
        <f t="shared" si="0"/>
        <v>21</v>
      </c>
      <c r="B22" s="15" t="s">
        <v>421</v>
      </c>
      <c r="C22" s="16">
        <f>C17+7</f>
        <v>43416</v>
      </c>
      <c r="D22" s="22">
        <v>0</v>
      </c>
      <c r="E22" s="22">
        <v>0</v>
      </c>
      <c r="F22" s="22">
        <v>0</v>
      </c>
      <c r="G22" s="22">
        <v>0</v>
      </c>
      <c r="H22" s="22">
        <v>0</v>
      </c>
    </row>
    <row r="23" spans="1:8" x14ac:dyDescent="0.25">
      <c r="A23" s="3">
        <f t="shared" si="0"/>
        <v>22</v>
      </c>
      <c r="B23" s="15" t="s">
        <v>422</v>
      </c>
      <c r="C23" s="16">
        <f t="shared" si="1"/>
        <v>43417</v>
      </c>
      <c r="D23" s="22">
        <v>0</v>
      </c>
      <c r="E23" s="22">
        <v>0</v>
      </c>
      <c r="F23" s="22">
        <v>0</v>
      </c>
      <c r="G23" s="22">
        <v>0</v>
      </c>
      <c r="H23" s="22">
        <v>0</v>
      </c>
    </row>
    <row r="24" spans="1:8" x14ac:dyDescent="0.25">
      <c r="A24" s="3">
        <f t="shared" si="0"/>
        <v>23</v>
      </c>
      <c r="B24" s="15" t="s">
        <v>423</v>
      </c>
      <c r="C24" s="16">
        <f t="shared" si="1"/>
        <v>43418</v>
      </c>
      <c r="D24" s="22">
        <v>0</v>
      </c>
      <c r="E24" s="22">
        <v>0</v>
      </c>
      <c r="F24" s="22">
        <v>0</v>
      </c>
      <c r="G24" s="22">
        <v>0</v>
      </c>
      <c r="H24" s="22">
        <v>0</v>
      </c>
    </row>
    <row r="25" spans="1:8" x14ac:dyDescent="0.25">
      <c r="A25" s="3">
        <f t="shared" si="0"/>
        <v>24</v>
      </c>
      <c r="B25" s="15" t="s">
        <v>424</v>
      </c>
      <c r="C25" s="16">
        <f t="shared" si="1"/>
        <v>43419</v>
      </c>
      <c r="D25" s="22">
        <v>0</v>
      </c>
      <c r="E25" s="22">
        <v>0</v>
      </c>
      <c r="F25" s="22">
        <v>0</v>
      </c>
      <c r="G25" s="22">
        <v>0</v>
      </c>
      <c r="H25" s="22">
        <v>0</v>
      </c>
    </row>
    <row r="26" spans="1:8" x14ac:dyDescent="0.25">
      <c r="A26" s="3">
        <f t="shared" si="0"/>
        <v>25</v>
      </c>
      <c r="B26" s="15" t="s">
        <v>425</v>
      </c>
      <c r="C26" s="16">
        <f t="shared" si="1"/>
        <v>43420</v>
      </c>
      <c r="D26" s="22">
        <v>0</v>
      </c>
      <c r="E26" s="22">
        <v>0</v>
      </c>
      <c r="F26" s="22">
        <v>0</v>
      </c>
      <c r="G26" s="22">
        <v>0</v>
      </c>
      <c r="H26" s="22">
        <v>0</v>
      </c>
    </row>
    <row r="27" spans="1:8" x14ac:dyDescent="0.25">
      <c r="A27" s="3">
        <f t="shared" si="0"/>
        <v>26</v>
      </c>
      <c r="B27" s="15" t="s">
        <v>421</v>
      </c>
      <c r="C27" s="16">
        <f>C22+7</f>
        <v>43423</v>
      </c>
      <c r="D27" s="22">
        <v>0</v>
      </c>
      <c r="E27" s="22">
        <v>0</v>
      </c>
      <c r="F27" s="22">
        <v>0</v>
      </c>
      <c r="G27" s="22">
        <v>0</v>
      </c>
      <c r="H27" s="22">
        <v>0</v>
      </c>
    </row>
    <row r="28" spans="1:8" x14ac:dyDescent="0.25">
      <c r="A28" s="3">
        <f t="shared" si="0"/>
        <v>27</v>
      </c>
      <c r="B28" s="15" t="s">
        <v>422</v>
      </c>
      <c r="C28" s="16">
        <f t="shared" si="1"/>
        <v>43424</v>
      </c>
      <c r="D28" s="22">
        <v>0</v>
      </c>
      <c r="E28" s="22">
        <v>0</v>
      </c>
      <c r="F28" s="22">
        <v>0</v>
      </c>
      <c r="G28" s="22">
        <v>0</v>
      </c>
      <c r="H28" s="22">
        <v>0</v>
      </c>
    </row>
    <row r="29" spans="1:8" x14ac:dyDescent="0.25">
      <c r="A29" s="3">
        <f t="shared" si="0"/>
        <v>28</v>
      </c>
      <c r="B29" s="15" t="s">
        <v>423</v>
      </c>
      <c r="C29" s="16">
        <f t="shared" si="1"/>
        <v>43425</v>
      </c>
      <c r="D29" s="22">
        <v>0</v>
      </c>
      <c r="E29" s="22">
        <v>0</v>
      </c>
      <c r="F29" s="22">
        <v>0</v>
      </c>
      <c r="G29" s="22">
        <v>0</v>
      </c>
      <c r="H29" s="22">
        <v>0</v>
      </c>
    </row>
    <row r="30" spans="1:8" x14ac:dyDescent="0.25">
      <c r="A30" s="3">
        <f t="shared" si="0"/>
        <v>29</v>
      </c>
      <c r="B30" s="15" t="s">
        <v>424</v>
      </c>
      <c r="C30" s="16">
        <f t="shared" si="1"/>
        <v>43426</v>
      </c>
      <c r="D30" s="22">
        <v>0</v>
      </c>
      <c r="E30" s="22">
        <v>0</v>
      </c>
      <c r="F30" s="22">
        <v>0</v>
      </c>
      <c r="G30" s="22">
        <v>0</v>
      </c>
      <c r="H30" s="22">
        <v>0</v>
      </c>
    </row>
    <row r="31" spans="1:8" x14ac:dyDescent="0.25">
      <c r="A31" s="3">
        <f t="shared" si="0"/>
        <v>30</v>
      </c>
      <c r="B31" s="15" t="s">
        <v>425</v>
      </c>
      <c r="C31" s="16">
        <f t="shared" si="1"/>
        <v>43427</v>
      </c>
      <c r="D31" s="22">
        <v>0</v>
      </c>
      <c r="E31" s="22">
        <v>0</v>
      </c>
      <c r="F31" s="22">
        <v>0</v>
      </c>
      <c r="G31" s="22">
        <v>0</v>
      </c>
      <c r="H31" s="22">
        <v>0</v>
      </c>
    </row>
    <row r="32" spans="1:8" x14ac:dyDescent="0.25">
      <c r="A32" s="3">
        <f t="shared" si="0"/>
        <v>31</v>
      </c>
      <c r="B32" s="15" t="s">
        <v>421</v>
      </c>
      <c r="C32" s="16">
        <f>C27+7</f>
        <v>43430</v>
      </c>
      <c r="D32" s="22">
        <v>0</v>
      </c>
      <c r="E32" s="22">
        <v>0</v>
      </c>
      <c r="F32" s="22">
        <v>0</v>
      </c>
      <c r="G32" s="22">
        <v>0</v>
      </c>
      <c r="H32" s="22">
        <v>0</v>
      </c>
    </row>
    <row r="33" spans="1:8" x14ac:dyDescent="0.25">
      <c r="A33" s="3">
        <f t="shared" si="0"/>
        <v>32</v>
      </c>
      <c r="B33" s="15" t="s">
        <v>422</v>
      </c>
      <c r="C33" s="16">
        <f t="shared" si="1"/>
        <v>43431</v>
      </c>
      <c r="D33" s="22">
        <v>0</v>
      </c>
      <c r="E33" s="22">
        <v>0</v>
      </c>
      <c r="F33" s="22">
        <v>0</v>
      </c>
      <c r="G33" s="22">
        <v>0</v>
      </c>
      <c r="H33" s="22">
        <v>0</v>
      </c>
    </row>
    <row r="34" spans="1:8" x14ac:dyDescent="0.25">
      <c r="A34" s="3">
        <f t="shared" si="0"/>
        <v>33</v>
      </c>
      <c r="B34" s="15" t="s">
        <v>423</v>
      </c>
      <c r="C34" s="16">
        <f t="shared" si="1"/>
        <v>43432</v>
      </c>
      <c r="D34" s="22">
        <v>0</v>
      </c>
      <c r="E34" s="22">
        <v>0</v>
      </c>
      <c r="F34" s="22">
        <v>0</v>
      </c>
      <c r="G34" s="22">
        <v>0</v>
      </c>
      <c r="H34" s="22">
        <v>0</v>
      </c>
    </row>
    <row r="35" spans="1:8" x14ac:dyDescent="0.25">
      <c r="A35" s="3">
        <f t="shared" si="0"/>
        <v>34</v>
      </c>
      <c r="B35" s="15" t="s">
        <v>424</v>
      </c>
      <c r="C35" s="16">
        <f t="shared" si="1"/>
        <v>43433</v>
      </c>
      <c r="D35" s="22">
        <v>0</v>
      </c>
      <c r="E35" s="22">
        <v>0</v>
      </c>
      <c r="F35" s="22">
        <v>0</v>
      </c>
      <c r="G35" s="22">
        <v>0</v>
      </c>
      <c r="H35" s="22">
        <v>0</v>
      </c>
    </row>
    <row r="36" spans="1:8" x14ac:dyDescent="0.25">
      <c r="A36" s="3">
        <f t="shared" si="0"/>
        <v>35</v>
      </c>
      <c r="B36" s="15" t="s">
        <v>425</v>
      </c>
      <c r="C36" s="16">
        <f t="shared" si="1"/>
        <v>43434</v>
      </c>
      <c r="D36" s="22">
        <v>0</v>
      </c>
      <c r="E36" s="22">
        <v>0</v>
      </c>
      <c r="F36" s="22">
        <v>0</v>
      </c>
      <c r="G36" s="22">
        <v>0</v>
      </c>
      <c r="H36" s="22">
        <v>0</v>
      </c>
    </row>
    <row r="37" spans="1:8" x14ac:dyDescent="0.25">
      <c r="A37" s="3">
        <f t="shared" si="0"/>
        <v>36</v>
      </c>
      <c r="B37" s="15" t="s">
        <v>421</v>
      </c>
      <c r="C37" s="16">
        <f>C32+7</f>
        <v>43437</v>
      </c>
      <c r="D37" s="22">
        <v>0</v>
      </c>
      <c r="E37" s="22">
        <v>0</v>
      </c>
      <c r="F37" s="22">
        <v>0</v>
      </c>
      <c r="G37" s="22">
        <v>0</v>
      </c>
      <c r="H37" s="22">
        <v>185</v>
      </c>
    </row>
    <row r="38" spans="1:8" x14ac:dyDescent="0.25">
      <c r="A38" s="3">
        <f t="shared" si="0"/>
        <v>37</v>
      </c>
      <c r="B38" s="15" t="s">
        <v>422</v>
      </c>
      <c r="C38" s="16">
        <f t="shared" si="1"/>
        <v>43438</v>
      </c>
      <c r="D38" s="22">
        <v>104</v>
      </c>
      <c r="E38" s="22">
        <v>10</v>
      </c>
      <c r="F38" s="22">
        <v>0</v>
      </c>
      <c r="G38" s="22">
        <v>69</v>
      </c>
      <c r="H38" s="22">
        <v>38</v>
      </c>
    </row>
    <row r="39" spans="1:8" x14ac:dyDescent="0.25">
      <c r="A39" s="3">
        <f t="shared" si="0"/>
        <v>38</v>
      </c>
      <c r="B39" s="15" t="s">
        <v>423</v>
      </c>
      <c r="C39" s="16">
        <f t="shared" si="1"/>
        <v>43439</v>
      </c>
      <c r="D39" s="22">
        <v>104</v>
      </c>
      <c r="E39" s="22">
        <v>10</v>
      </c>
      <c r="F39" s="22">
        <v>0</v>
      </c>
      <c r="G39" s="22">
        <v>69</v>
      </c>
      <c r="H39" s="22">
        <v>38</v>
      </c>
    </row>
    <row r="40" spans="1:8" x14ac:dyDescent="0.25">
      <c r="A40" s="3">
        <f t="shared" si="0"/>
        <v>39</v>
      </c>
      <c r="B40" s="15" t="s">
        <v>424</v>
      </c>
      <c r="C40" s="16">
        <f t="shared" si="1"/>
        <v>43440</v>
      </c>
      <c r="D40" s="22">
        <v>104</v>
      </c>
      <c r="E40" s="22">
        <v>10</v>
      </c>
      <c r="F40" s="22">
        <v>0</v>
      </c>
      <c r="G40" s="22">
        <v>69</v>
      </c>
      <c r="H40" s="22">
        <v>38</v>
      </c>
    </row>
    <row r="41" spans="1:8" x14ac:dyDescent="0.25">
      <c r="A41" s="3">
        <f t="shared" si="0"/>
        <v>40</v>
      </c>
      <c r="B41" s="15" t="s">
        <v>425</v>
      </c>
      <c r="C41" s="16">
        <f t="shared" si="1"/>
        <v>43441</v>
      </c>
      <c r="D41" s="22">
        <v>79</v>
      </c>
      <c r="E41" s="22">
        <v>5</v>
      </c>
      <c r="F41" s="22">
        <v>0</v>
      </c>
      <c r="G41" s="22">
        <v>92</v>
      </c>
      <c r="H41" s="22">
        <v>38</v>
      </c>
    </row>
    <row r="42" spans="1:8" x14ac:dyDescent="0.25">
      <c r="A42" s="3">
        <f t="shared" si="0"/>
        <v>41</v>
      </c>
      <c r="B42" s="15" t="s">
        <v>421</v>
      </c>
      <c r="C42" s="16">
        <f>C37+7</f>
        <v>43444</v>
      </c>
      <c r="D42" s="22">
        <v>79</v>
      </c>
      <c r="E42" s="22">
        <v>5</v>
      </c>
      <c r="F42" s="22">
        <v>0</v>
      </c>
      <c r="G42" s="22">
        <v>92</v>
      </c>
      <c r="H42" s="22">
        <v>38</v>
      </c>
    </row>
    <row r="43" spans="1:8" x14ac:dyDescent="0.25">
      <c r="A43" s="3">
        <f t="shared" si="0"/>
        <v>42</v>
      </c>
      <c r="B43" s="15" t="s">
        <v>422</v>
      </c>
      <c r="C43" s="16">
        <f t="shared" si="1"/>
        <v>43445</v>
      </c>
      <c r="D43" s="22">
        <v>79</v>
      </c>
      <c r="E43" s="22">
        <v>5</v>
      </c>
      <c r="F43" s="22">
        <v>0</v>
      </c>
      <c r="G43" s="22">
        <v>92</v>
      </c>
      <c r="H43" s="22">
        <v>38</v>
      </c>
    </row>
    <row r="44" spans="1:8" x14ac:dyDescent="0.25">
      <c r="A44" s="3">
        <f t="shared" si="0"/>
        <v>43</v>
      </c>
      <c r="B44" s="15" t="s">
        <v>423</v>
      </c>
      <c r="C44" s="16">
        <f t="shared" si="1"/>
        <v>43446</v>
      </c>
      <c r="D44" s="22">
        <v>79</v>
      </c>
      <c r="E44" s="22">
        <v>5</v>
      </c>
      <c r="F44" s="22">
        <v>0</v>
      </c>
      <c r="G44" s="22">
        <v>92</v>
      </c>
      <c r="H44" s="22">
        <v>38</v>
      </c>
    </row>
    <row r="45" spans="1:8" x14ac:dyDescent="0.25">
      <c r="A45" s="3">
        <f t="shared" si="0"/>
        <v>44</v>
      </c>
      <c r="B45" s="15" t="s">
        <v>424</v>
      </c>
      <c r="C45" s="16">
        <f t="shared" si="1"/>
        <v>43447</v>
      </c>
      <c r="D45" s="22">
        <v>79</v>
      </c>
      <c r="E45" s="22">
        <v>5</v>
      </c>
      <c r="F45" s="22">
        <v>0</v>
      </c>
      <c r="G45" s="22">
        <v>92</v>
      </c>
      <c r="H45" s="22">
        <v>38</v>
      </c>
    </row>
    <row r="46" spans="1:8" x14ac:dyDescent="0.25">
      <c r="A46" s="3">
        <f t="shared" si="0"/>
        <v>45</v>
      </c>
      <c r="B46" s="15" t="s">
        <v>425</v>
      </c>
      <c r="C46" s="16">
        <f t="shared" si="1"/>
        <v>43448</v>
      </c>
      <c r="D46" s="22">
        <v>79</v>
      </c>
      <c r="E46" s="22">
        <v>5</v>
      </c>
      <c r="F46" s="22">
        <v>0</v>
      </c>
      <c r="G46" s="22">
        <v>92</v>
      </c>
      <c r="H46" s="22">
        <v>38</v>
      </c>
    </row>
    <row r="47" spans="1:8" x14ac:dyDescent="0.25">
      <c r="A47" s="3">
        <f t="shared" si="0"/>
        <v>46</v>
      </c>
      <c r="B47" s="15" t="s">
        <v>421</v>
      </c>
      <c r="C47" s="16">
        <f>C42+7</f>
        <v>43451</v>
      </c>
      <c r="D47" s="22">
        <v>79</v>
      </c>
      <c r="E47" s="22">
        <v>5</v>
      </c>
      <c r="F47" s="22">
        <v>0</v>
      </c>
      <c r="G47" s="22">
        <v>92</v>
      </c>
      <c r="H47" s="22">
        <v>38</v>
      </c>
    </row>
    <row r="48" spans="1:8" x14ac:dyDescent="0.25">
      <c r="A48" s="3">
        <f t="shared" si="0"/>
        <v>47</v>
      </c>
      <c r="B48" s="15" t="s">
        <v>422</v>
      </c>
      <c r="C48" s="16">
        <f t="shared" si="1"/>
        <v>43452</v>
      </c>
      <c r="D48" s="22">
        <v>79</v>
      </c>
      <c r="E48" s="22">
        <v>5</v>
      </c>
      <c r="F48" s="22">
        <v>0</v>
      </c>
      <c r="G48" s="22">
        <v>92</v>
      </c>
      <c r="H48" s="22">
        <v>38</v>
      </c>
    </row>
    <row r="49" spans="1:8" x14ac:dyDescent="0.25">
      <c r="A49" s="3">
        <f t="shared" si="0"/>
        <v>48</v>
      </c>
      <c r="B49" s="15" t="s">
        <v>423</v>
      </c>
      <c r="C49" s="16">
        <f t="shared" si="1"/>
        <v>43453</v>
      </c>
      <c r="D49" s="22">
        <v>79</v>
      </c>
      <c r="E49" s="22">
        <v>5</v>
      </c>
      <c r="F49" s="22">
        <v>0</v>
      </c>
      <c r="G49" s="22">
        <v>92</v>
      </c>
      <c r="H49" s="22">
        <v>38</v>
      </c>
    </row>
    <row r="50" spans="1:8" x14ac:dyDescent="0.25">
      <c r="A50" s="3">
        <f t="shared" si="0"/>
        <v>49</v>
      </c>
      <c r="B50" s="15" t="s">
        <v>424</v>
      </c>
      <c r="C50" s="16">
        <f t="shared" si="1"/>
        <v>43454</v>
      </c>
      <c r="D50" s="22">
        <v>79</v>
      </c>
      <c r="E50" s="22">
        <v>5</v>
      </c>
      <c r="F50" s="22">
        <v>0</v>
      </c>
      <c r="G50" s="22">
        <v>92</v>
      </c>
      <c r="H50" s="22">
        <v>38</v>
      </c>
    </row>
    <row r="51" spans="1:8" x14ac:dyDescent="0.25">
      <c r="A51" s="3">
        <f t="shared" si="0"/>
        <v>50</v>
      </c>
      <c r="B51" s="15" t="s">
        <v>425</v>
      </c>
      <c r="C51" s="16">
        <f t="shared" si="1"/>
        <v>43455</v>
      </c>
      <c r="D51" s="22">
        <v>79</v>
      </c>
      <c r="E51" s="22">
        <v>5</v>
      </c>
      <c r="F51" s="22">
        <v>0</v>
      </c>
      <c r="G51" s="22">
        <v>92</v>
      </c>
      <c r="H51" s="22">
        <v>38</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C000"/>
  </sheetPr>
  <dimension ref="A1:Q53"/>
  <sheetViews>
    <sheetView topLeftCell="B4" workbookViewId="0">
      <selection activeCell="AE20" sqref="AE20"/>
    </sheetView>
  </sheetViews>
  <sheetFormatPr defaultColWidth="7.75" defaultRowHeight="12.75" x14ac:dyDescent="0.2"/>
  <cols>
    <col min="1" max="2" width="7.75" style="26"/>
    <col min="3" max="3" width="11.625" style="26" customWidth="1"/>
    <col min="4" max="4" width="7.625" style="26" hidden="1" customWidth="1"/>
    <col min="5" max="5" width="11.625" style="26" customWidth="1"/>
    <col min="6" max="6" width="14.25" style="26" customWidth="1"/>
    <col min="7" max="259" width="7.75" style="26"/>
    <col min="260" max="262" width="11.625" style="26" customWidth="1"/>
    <col min="263" max="515" width="7.75" style="26"/>
    <col min="516" max="518" width="11.625" style="26" customWidth="1"/>
    <col min="519" max="771" width="7.75" style="26"/>
    <col min="772" max="774" width="11.625" style="26" customWidth="1"/>
    <col min="775" max="1027" width="7.75" style="26"/>
    <col min="1028" max="1030" width="11.625" style="26" customWidth="1"/>
    <col min="1031" max="1283" width="7.75" style="26"/>
    <col min="1284" max="1286" width="11.625" style="26" customWidth="1"/>
    <col min="1287" max="1539" width="7.75" style="26"/>
    <col min="1540" max="1542" width="11.625" style="26" customWidth="1"/>
    <col min="1543" max="1795" width="7.75" style="26"/>
    <col min="1796" max="1798" width="11.625" style="26" customWidth="1"/>
    <col min="1799" max="2051" width="7.75" style="26"/>
    <col min="2052" max="2054" width="11.625" style="26" customWidth="1"/>
    <col min="2055" max="2307" width="7.75" style="26"/>
    <col min="2308" max="2310" width="11.625" style="26" customWidth="1"/>
    <col min="2311" max="2563" width="7.75" style="26"/>
    <col min="2564" max="2566" width="11.625" style="26" customWidth="1"/>
    <col min="2567" max="2819" width="7.75" style="26"/>
    <col min="2820" max="2822" width="11.625" style="26" customWidth="1"/>
    <col min="2823" max="3075" width="7.75" style="26"/>
    <col min="3076" max="3078" width="11.625" style="26" customWidth="1"/>
    <col min="3079" max="3331" width="7.75" style="26"/>
    <col min="3332" max="3334" width="11.625" style="26" customWidth="1"/>
    <col min="3335" max="3587" width="7.75" style="26"/>
    <col min="3588" max="3590" width="11.625" style="26" customWidth="1"/>
    <col min="3591" max="3843" width="7.75" style="26"/>
    <col min="3844" max="3846" width="11.625" style="26" customWidth="1"/>
    <col min="3847" max="4099" width="7.75" style="26"/>
    <col min="4100" max="4102" width="11.625" style="26" customWidth="1"/>
    <col min="4103" max="4355" width="7.75" style="26"/>
    <col min="4356" max="4358" width="11.625" style="26" customWidth="1"/>
    <col min="4359" max="4611" width="7.75" style="26"/>
    <col min="4612" max="4614" width="11.625" style="26" customWidth="1"/>
    <col min="4615" max="4867" width="7.75" style="26"/>
    <col min="4868" max="4870" width="11.625" style="26" customWidth="1"/>
    <col min="4871" max="5123" width="7.75" style="26"/>
    <col min="5124" max="5126" width="11.625" style="26" customWidth="1"/>
    <col min="5127" max="5379" width="7.75" style="26"/>
    <col min="5380" max="5382" width="11.625" style="26" customWidth="1"/>
    <col min="5383" max="5635" width="7.75" style="26"/>
    <col min="5636" max="5638" width="11.625" style="26" customWidth="1"/>
    <col min="5639" max="5891" width="7.75" style="26"/>
    <col min="5892" max="5894" width="11.625" style="26" customWidth="1"/>
    <col min="5895" max="6147" width="7.75" style="26"/>
    <col min="6148" max="6150" width="11.625" style="26" customWidth="1"/>
    <col min="6151" max="6403" width="7.75" style="26"/>
    <col min="6404" max="6406" width="11.625" style="26" customWidth="1"/>
    <col min="6407" max="6659" width="7.75" style="26"/>
    <col min="6660" max="6662" width="11.625" style="26" customWidth="1"/>
    <col min="6663" max="6915" width="7.75" style="26"/>
    <col min="6916" max="6918" width="11.625" style="26" customWidth="1"/>
    <col min="6919" max="7171" width="7.75" style="26"/>
    <col min="7172" max="7174" width="11.625" style="26" customWidth="1"/>
    <col min="7175" max="7427" width="7.75" style="26"/>
    <col min="7428" max="7430" width="11.625" style="26" customWidth="1"/>
    <col min="7431" max="7683" width="7.75" style="26"/>
    <col min="7684" max="7686" width="11.625" style="26" customWidth="1"/>
    <col min="7687" max="7939" width="7.75" style="26"/>
    <col min="7940" max="7942" width="11.625" style="26" customWidth="1"/>
    <col min="7943" max="8195" width="7.75" style="26"/>
    <col min="8196" max="8198" width="11.625" style="26" customWidth="1"/>
    <col min="8199" max="8451" width="7.75" style="26"/>
    <col min="8452" max="8454" width="11.625" style="26" customWidth="1"/>
    <col min="8455" max="8707" width="7.75" style="26"/>
    <col min="8708" max="8710" width="11.625" style="26" customWidth="1"/>
    <col min="8711" max="8963" width="7.75" style="26"/>
    <col min="8964" max="8966" width="11.625" style="26" customWidth="1"/>
    <col min="8967" max="9219" width="7.75" style="26"/>
    <col min="9220" max="9222" width="11.625" style="26" customWidth="1"/>
    <col min="9223" max="9475" width="7.75" style="26"/>
    <col min="9476" max="9478" width="11.625" style="26" customWidth="1"/>
    <col min="9479" max="9731" width="7.75" style="26"/>
    <col min="9732" max="9734" width="11.625" style="26" customWidth="1"/>
    <col min="9735" max="9987" width="7.75" style="26"/>
    <col min="9988" max="9990" width="11.625" style="26" customWidth="1"/>
    <col min="9991" max="10243" width="7.75" style="26"/>
    <col min="10244" max="10246" width="11.625" style="26" customWidth="1"/>
    <col min="10247" max="10499" width="7.75" style="26"/>
    <col min="10500" max="10502" width="11.625" style="26" customWidth="1"/>
    <col min="10503" max="10755" width="7.75" style="26"/>
    <col min="10756" max="10758" width="11.625" style="26" customWidth="1"/>
    <col min="10759" max="11011" width="7.75" style="26"/>
    <col min="11012" max="11014" width="11.625" style="26" customWidth="1"/>
    <col min="11015" max="11267" width="7.75" style="26"/>
    <col min="11268" max="11270" width="11.625" style="26" customWidth="1"/>
    <col min="11271" max="11523" width="7.75" style="26"/>
    <col min="11524" max="11526" width="11.625" style="26" customWidth="1"/>
    <col min="11527" max="11779" width="7.75" style="26"/>
    <col min="11780" max="11782" width="11.625" style="26" customWidth="1"/>
    <col min="11783" max="12035" width="7.75" style="26"/>
    <col min="12036" max="12038" width="11.625" style="26" customWidth="1"/>
    <col min="12039" max="12291" width="7.75" style="26"/>
    <col min="12292" max="12294" width="11.625" style="26" customWidth="1"/>
    <col min="12295" max="12547" width="7.75" style="26"/>
    <col min="12548" max="12550" width="11.625" style="26" customWidth="1"/>
    <col min="12551" max="12803" width="7.75" style="26"/>
    <col min="12804" max="12806" width="11.625" style="26" customWidth="1"/>
    <col min="12807" max="13059" width="7.75" style="26"/>
    <col min="13060" max="13062" width="11.625" style="26" customWidth="1"/>
    <col min="13063" max="13315" width="7.75" style="26"/>
    <col min="13316" max="13318" width="11.625" style="26" customWidth="1"/>
    <col min="13319" max="13571" width="7.75" style="26"/>
    <col min="13572" max="13574" width="11.625" style="26" customWidth="1"/>
    <col min="13575" max="13827" width="7.75" style="26"/>
    <col min="13828" max="13830" width="11.625" style="26" customWidth="1"/>
    <col min="13831" max="14083" width="7.75" style="26"/>
    <col min="14084" max="14086" width="11.625" style="26" customWidth="1"/>
    <col min="14087" max="14339" width="7.75" style="26"/>
    <col min="14340" max="14342" width="11.625" style="26" customWidth="1"/>
    <col min="14343" max="14595" width="7.75" style="26"/>
    <col min="14596" max="14598" width="11.625" style="26" customWidth="1"/>
    <col min="14599" max="14851" width="7.75" style="26"/>
    <col min="14852" max="14854" width="11.625" style="26" customWidth="1"/>
    <col min="14855" max="15107" width="7.75" style="26"/>
    <col min="15108" max="15110" width="11.625" style="26" customWidth="1"/>
    <col min="15111" max="15363" width="7.75" style="26"/>
    <col min="15364" max="15366" width="11.625" style="26" customWidth="1"/>
    <col min="15367" max="15619" width="7.75" style="26"/>
    <col min="15620" max="15622" width="11.625" style="26" customWidth="1"/>
    <col min="15623" max="15875" width="7.75" style="26"/>
    <col min="15876" max="15878" width="11.625" style="26" customWidth="1"/>
    <col min="15879" max="16131" width="7.75" style="26"/>
    <col min="16132" max="16134" width="11.625" style="26" customWidth="1"/>
    <col min="16135" max="16384" width="7.75" style="26"/>
  </cols>
  <sheetData>
    <row r="1" spans="1:17" s="25" customFormat="1" ht="18" thickBot="1" x14ac:dyDescent="0.35">
      <c r="A1" s="4" t="s">
        <v>414</v>
      </c>
      <c r="B1" s="4"/>
      <c r="C1" s="4" t="s">
        <v>3</v>
      </c>
      <c r="D1" s="4" t="s">
        <v>643</v>
      </c>
      <c r="E1" s="4" t="s">
        <v>427</v>
      </c>
      <c r="F1" s="4" t="s">
        <v>642</v>
      </c>
      <c r="G1" s="27"/>
      <c r="H1"/>
      <c r="I1"/>
      <c r="J1"/>
      <c r="K1" t="str">
        <f>IF(ISNUMBER(J1),IF(J1&lt;J2,"",(((COLUMN()-1)*'[1]Sprint Information'!#REF!)+'[1]Sprint Information'!#REF!)),"")</f>
        <v/>
      </c>
      <c r="L1" t="str">
        <f>IF(ISNUMBER(K1),IF(K1&lt;K2,"",(((COLUMN()-1)*'[1]Sprint Information'!#REF!)+'[1]Sprint Information'!#REF!)),"")</f>
        <v/>
      </c>
      <c r="M1" t="str">
        <f>IF(ISNUMBER(L1),IF(L1&lt;L2,"",(((COLUMN()-1)*'[1]Sprint Information'!#REF!)+'[1]Sprint Information'!#REF!)),"")</f>
        <v/>
      </c>
      <c r="N1" t="str">
        <f>IF(ISNUMBER(M1),IF(M1&lt;M2,"",(((COLUMN()-1)*'[1]Sprint Information'!#REF!)+'[1]Sprint Information'!#REF!)),"")</f>
        <v/>
      </c>
      <c r="O1" t="str">
        <f>IF(ISNUMBER(N1),IF(N1&lt;N2,"",(((COLUMN()-1)*'[1]Sprint Information'!#REF!)+'[1]Sprint Information'!#REF!)),"")</f>
        <v/>
      </c>
      <c r="P1" t="str">
        <f>IF(ISNUMBER(O1),IF(O1&lt;O2,"",(((COLUMN()-1)*'[1]Sprint Information'!#REF!)+'[1]Sprint Information'!#REF!)),"")</f>
        <v/>
      </c>
      <c r="Q1" t="str">
        <f>IF(ISNUMBER(P1),IF(P1&lt;P2,"",(((COLUMN()-1)*'[1]Sprint Information'!#REF!)+'[1]Sprint Information'!#REF!)),"")</f>
        <v/>
      </c>
    </row>
    <row r="2" spans="1:17" ht="16.5" thickTop="1" x14ac:dyDescent="0.25">
      <c r="A2" s="3">
        <v>1</v>
      </c>
      <c r="B2" s="15" t="s">
        <v>421</v>
      </c>
      <c r="C2" s="16">
        <v>43388</v>
      </c>
      <c r="D2" s="28">
        <f>E2</f>
        <v>0</v>
      </c>
      <c r="E2" s="26">
        <v>0</v>
      </c>
      <c r="F2" s="26">
        <f t="shared" ref="F2:F53" si="0">IF(ISNUMBER($C2),0,"")</f>
        <v>0</v>
      </c>
      <c r="H2"/>
      <c r="I2"/>
      <c r="J2"/>
      <c r="K2" t="str">
        <f>IF(ISNUMBER(K1),(((COLUMN()-1)*'[1]Sprint Information'!#REF!)+'[1]Sprint Information'!#REF!),"")</f>
        <v/>
      </c>
      <c r="L2" t="str">
        <f>IF(ISNUMBER(L1),(((COLUMN()-1)*'[1]Sprint Information'!#REF!)+'[1]Sprint Information'!#REF!),"")</f>
        <v/>
      </c>
      <c r="M2" t="str">
        <f>IF(ISNUMBER(M1),(((COLUMN()-1)*'[1]Sprint Information'!#REF!)+'[1]Sprint Information'!#REF!),"")</f>
        <v/>
      </c>
      <c r="N2" t="str">
        <f>IF(ISNUMBER(N1),(((COLUMN()-1)*'[1]Sprint Information'!#REF!)+'[1]Sprint Information'!#REF!),"")</f>
        <v/>
      </c>
      <c r="O2" t="str">
        <f>IF(ISNUMBER(O1),(((COLUMN()-1)*'[1]Sprint Information'!#REF!)+'[1]Sprint Information'!#REF!),"")</f>
        <v/>
      </c>
      <c r="P2" t="str">
        <f>IF(ISNUMBER(P1),(((COLUMN()-1)*'[1]Sprint Information'!#REF!)+'[1]Sprint Information'!#REF!),"")</f>
        <v/>
      </c>
      <c r="Q2" t="str">
        <f>IF(ISNUMBER(Q1),(((COLUMN()-1)*'[1]Sprint Information'!#REF!)+'[1]Sprint Information'!#REF!),"")</f>
        <v/>
      </c>
    </row>
    <row r="3" spans="1:17" ht="15" x14ac:dyDescent="0.25">
      <c r="A3" s="3">
        <f>A2+1</f>
        <v>2</v>
      </c>
      <c r="B3" s="15" t="s">
        <v>422</v>
      </c>
      <c r="C3" s="16">
        <f>C2+1</f>
        <v>43389</v>
      </c>
      <c r="D3" s="29">
        <f>D2-($D$2/50)</f>
        <v>0</v>
      </c>
      <c r="E3" s="26">
        <v>0</v>
      </c>
      <c r="F3" s="26">
        <v>0</v>
      </c>
    </row>
    <row r="4" spans="1:17" ht="15" x14ac:dyDescent="0.25">
      <c r="A4" s="3">
        <f t="shared" ref="A4:A51" si="1">A3+1</f>
        <v>3</v>
      </c>
      <c r="B4" s="15" t="s">
        <v>423</v>
      </c>
      <c r="C4" s="16">
        <f t="shared" ref="C4:C51" si="2">C3+1</f>
        <v>43390</v>
      </c>
      <c r="D4" s="29">
        <f t="shared" ref="D4:D51" si="3">D3-($D$2/50)</f>
        <v>0</v>
      </c>
      <c r="E4" s="26">
        <v>0</v>
      </c>
      <c r="F4" s="26">
        <v>0</v>
      </c>
    </row>
    <row r="5" spans="1:17" ht="15" x14ac:dyDescent="0.25">
      <c r="A5" s="3">
        <f t="shared" si="1"/>
        <v>4</v>
      </c>
      <c r="B5" s="15" t="s">
        <v>424</v>
      </c>
      <c r="C5" s="16">
        <f t="shared" si="2"/>
        <v>43391</v>
      </c>
      <c r="D5" s="29">
        <f t="shared" si="3"/>
        <v>0</v>
      </c>
      <c r="E5" s="26">
        <v>0</v>
      </c>
      <c r="F5" s="26">
        <v>0</v>
      </c>
    </row>
    <row r="6" spans="1:17" ht="15" x14ac:dyDescent="0.25">
      <c r="A6" s="3">
        <f t="shared" si="1"/>
        <v>5</v>
      </c>
      <c r="B6" s="15" t="s">
        <v>425</v>
      </c>
      <c r="C6" s="16">
        <f t="shared" si="2"/>
        <v>43392</v>
      </c>
      <c r="D6" s="29">
        <f t="shared" si="3"/>
        <v>0</v>
      </c>
      <c r="E6" s="26">
        <v>0</v>
      </c>
      <c r="F6" s="26">
        <f t="shared" si="0"/>
        <v>0</v>
      </c>
    </row>
    <row r="7" spans="1:17" ht="15" x14ac:dyDescent="0.25">
      <c r="A7" s="3">
        <f t="shared" si="1"/>
        <v>6</v>
      </c>
      <c r="B7" s="15" t="s">
        <v>421</v>
      </c>
      <c r="C7" s="16">
        <f>C2+7</f>
        <v>43395</v>
      </c>
      <c r="D7" s="29">
        <f t="shared" si="3"/>
        <v>0</v>
      </c>
      <c r="E7" s="26">
        <v>0</v>
      </c>
      <c r="F7" s="26">
        <f t="shared" si="0"/>
        <v>0</v>
      </c>
    </row>
    <row r="8" spans="1:17" ht="15" x14ac:dyDescent="0.25">
      <c r="A8" s="3">
        <f t="shared" si="1"/>
        <v>7</v>
      </c>
      <c r="B8" s="15" t="s">
        <v>422</v>
      </c>
      <c r="C8" s="16">
        <f t="shared" si="2"/>
        <v>43396</v>
      </c>
      <c r="D8" s="29">
        <f t="shared" si="3"/>
        <v>0</v>
      </c>
      <c r="E8" s="26">
        <v>0</v>
      </c>
      <c r="F8" s="26">
        <f t="shared" si="0"/>
        <v>0</v>
      </c>
    </row>
    <row r="9" spans="1:17" ht="15" x14ac:dyDescent="0.25">
      <c r="A9" s="3">
        <f t="shared" si="1"/>
        <v>8</v>
      </c>
      <c r="B9" s="15" t="s">
        <v>423</v>
      </c>
      <c r="C9" s="16">
        <f t="shared" si="2"/>
        <v>43397</v>
      </c>
      <c r="D9" s="29">
        <f t="shared" si="3"/>
        <v>0</v>
      </c>
      <c r="E9" s="26">
        <v>0</v>
      </c>
      <c r="F9" s="26">
        <f t="shared" si="0"/>
        <v>0</v>
      </c>
    </row>
    <row r="10" spans="1:17" ht="15" x14ac:dyDescent="0.25">
      <c r="A10" s="3">
        <f t="shared" si="1"/>
        <v>9</v>
      </c>
      <c r="B10" s="15" t="s">
        <v>424</v>
      </c>
      <c r="C10" s="16">
        <f t="shared" si="2"/>
        <v>43398</v>
      </c>
      <c r="D10" s="29">
        <f t="shared" si="3"/>
        <v>0</v>
      </c>
      <c r="E10" s="26">
        <v>0</v>
      </c>
      <c r="F10" s="26">
        <f t="shared" si="0"/>
        <v>0</v>
      </c>
    </row>
    <row r="11" spans="1:17" ht="15" x14ac:dyDescent="0.25">
      <c r="A11" s="3">
        <f t="shared" si="1"/>
        <v>10</v>
      </c>
      <c r="B11" s="15" t="s">
        <v>425</v>
      </c>
      <c r="C11" s="16">
        <f t="shared" si="2"/>
        <v>43399</v>
      </c>
      <c r="D11" s="29">
        <f t="shared" si="3"/>
        <v>0</v>
      </c>
      <c r="E11" s="26">
        <v>0</v>
      </c>
      <c r="F11" s="26">
        <f t="shared" si="0"/>
        <v>0</v>
      </c>
    </row>
    <row r="12" spans="1:17" ht="15" x14ac:dyDescent="0.25">
      <c r="A12" s="3">
        <f t="shared" si="1"/>
        <v>11</v>
      </c>
      <c r="B12" s="15" t="s">
        <v>421</v>
      </c>
      <c r="C12" s="16">
        <f>C7+7</f>
        <v>43402</v>
      </c>
      <c r="D12" s="29">
        <f t="shared" si="3"/>
        <v>0</v>
      </c>
      <c r="E12" s="26">
        <v>0</v>
      </c>
      <c r="F12" s="26">
        <f t="shared" si="0"/>
        <v>0</v>
      </c>
    </row>
    <row r="13" spans="1:17" ht="15" x14ac:dyDescent="0.25">
      <c r="A13" s="3">
        <f t="shared" si="1"/>
        <v>12</v>
      </c>
      <c r="B13" s="15" t="s">
        <v>422</v>
      </c>
      <c r="C13" s="16">
        <f t="shared" si="2"/>
        <v>43403</v>
      </c>
      <c r="D13" s="29">
        <f t="shared" si="3"/>
        <v>0</v>
      </c>
      <c r="E13" s="26">
        <v>0</v>
      </c>
      <c r="F13" s="26">
        <f t="shared" si="0"/>
        <v>0</v>
      </c>
    </row>
    <row r="14" spans="1:17" ht="15" x14ac:dyDescent="0.25">
      <c r="A14" s="3">
        <f t="shared" si="1"/>
        <v>13</v>
      </c>
      <c r="B14" s="15" t="s">
        <v>423</v>
      </c>
      <c r="C14" s="16">
        <f t="shared" si="2"/>
        <v>43404</v>
      </c>
      <c r="D14" s="29">
        <f t="shared" si="3"/>
        <v>0</v>
      </c>
      <c r="E14" s="26">
        <v>0</v>
      </c>
      <c r="F14" s="26">
        <f t="shared" si="0"/>
        <v>0</v>
      </c>
    </row>
    <row r="15" spans="1:17" ht="15" x14ac:dyDescent="0.25">
      <c r="A15" s="3">
        <f t="shared" si="1"/>
        <v>14</v>
      </c>
      <c r="B15" s="15" t="s">
        <v>424</v>
      </c>
      <c r="C15" s="16">
        <f t="shared" si="2"/>
        <v>43405</v>
      </c>
      <c r="D15" s="29">
        <f t="shared" si="3"/>
        <v>0</v>
      </c>
      <c r="E15" s="26">
        <v>0</v>
      </c>
      <c r="F15" s="26">
        <f t="shared" si="0"/>
        <v>0</v>
      </c>
    </row>
    <row r="16" spans="1:17" ht="15" x14ac:dyDescent="0.25">
      <c r="A16" s="3">
        <f t="shared" si="1"/>
        <v>15</v>
      </c>
      <c r="B16" s="15" t="s">
        <v>425</v>
      </c>
      <c r="C16" s="16">
        <f t="shared" si="2"/>
        <v>43406</v>
      </c>
      <c r="D16" s="29">
        <f t="shared" si="3"/>
        <v>0</v>
      </c>
      <c r="E16" s="26">
        <v>0</v>
      </c>
      <c r="F16" s="26">
        <f t="shared" si="0"/>
        <v>0</v>
      </c>
    </row>
    <row r="17" spans="1:6" ht="15" x14ac:dyDescent="0.25">
      <c r="A17" s="3">
        <f t="shared" si="1"/>
        <v>16</v>
      </c>
      <c r="B17" s="15" t="s">
        <v>421</v>
      </c>
      <c r="C17" s="16">
        <f>C12+7</f>
        <v>43409</v>
      </c>
      <c r="D17" s="29">
        <f t="shared" si="3"/>
        <v>0</v>
      </c>
      <c r="E17" s="26">
        <v>0</v>
      </c>
      <c r="F17" s="26">
        <f t="shared" si="0"/>
        <v>0</v>
      </c>
    </row>
    <row r="18" spans="1:6" ht="15" x14ac:dyDescent="0.25">
      <c r="A18" s="3">
        <f t="shared" si="1"/>
        <v>17</v>
      </c>
      <c r="B18" s="15" t="s">
        <v>422</v>
      </c>
      <c r="C18" s="16">
        <f t="shared" si="2"/>
        <v>43410</v>
      </c>
      <c r="D18" s="29">
        <f t="shared" si="3"/>
        <v>0</v>
      </c>
      <c r="E18" s="26">
        <v>0</v>
      </c>
      <c r="F18" s="26">
        <f t="shared" si="0"/>
        <v>0</v>
      </c>
    </row>
    <row r="19" spans="1:6" ht="15" x14ac:dyDescent="0.25">
      <c r="A19" s="3">
        <f t="shared" si="1"/>
        <v>18</v>
      </c>
      <c r="B19" s="15" t="s">
        <v>423</v>
      </c>
      <c r="C19" s="16">
        <f t="shared" si="2"/>
        <v>43411</v>
      </c>
      <c r="D19" s="29">
        <f t="shared" si="3"/>
        <v>0</v>
      </c>
      <c r="E19" s="26">
        <v>0</v>
      </c>
      <c r="F19" s="26">
        <f t="shared" si="0"/>
        <v>0</v>
      </c>
    </row>
    <row r="20" spans="1:6" ht="15" x14ac:dyDescent="0.25">
      <c r="A20" s="3">
        <f t="shared" si="1"/>
        <v>19</v>
      </c>
      <c r="B20" s="15" t="s">
        <v>424</v>
      </c>
      <c r="C20" s="16">
        <f t="shared" si="2"/>
        <v>43412</v>
      </c>
      <c r="D20" s="29">
        <f t="shared" si="3"/>
        <v>0</v>
      </c>
      <c r="E20" s="26">
        <v>0</v>
      </c>
      <c r="F20" s="26">
        <f t="shared" si="0"/>
        <v>0</v>
      </c>
    </row>
    <row r="21" spans="1:6" ht="15" x14ac:dyDescent="0.25">
      <c r="A21" s="3">
        <f t="shared" si="1"/>
        <v>20</v>
      </c>
      <c r="B21" s="15" t="s">
        <v>425</v>
      </c>
      <c r="C21" s="16">
        <f t="shared" si="2"/>
        <v>43413</v>
      </c>
      <c r="D21" s="29">
        <f t="shared" si="3"/>
        <v>0</v>
      </c>
      <c r="E21" s="26">
        <v>0</v>
      </c>
      <c r="F21" s="26">
        <f t="shared" si="0"/>
        <v>0</v>
      </c>
    </row>
    <row r="22" spans="1:6" ht="15" x14ac:dyDescent="0.25">
      <c r="A22" s="3">
        <f t="shared" si="1"/>
        <v>21</v>
      </c>
      <c r="B22" s="15" t="s">
        <v>421</v>
      </c>
      <c r="C22" s="16">
        <f>C17+7</f>
        <v>43416</v>
      </c>
      <c r="D22" s="29">
        <f t="shared" si="3"/>
        <v>0</v>
      </c>
      <c r="E22" s="26">
        <v>0</v>
      </c>
      <c r="F22" s="26">
        <f t="shared" si="0"/>
        <v>0</v>
      </c>
    </row>
    <row r="23" spans="1:6" ht="15" x14ac:dyDescent="0.25">
      <c r="A23" s="3">
        <f t="shared" si="1"/>
        <v>22</v>
      </c>
      <c r="B23" s="15" t="s">
        <v>422</v>
      </c>
      <c r="C23" s="16">
        <f t="shared" si="2"/>
        <v>43417</v>
      </c>
      <c r="D23" s="29">
        <f t="shared" si="3"/>
        <v>0</v>
      </c>
      <c r="E23" s="26">
        <v>0</v>
      </c>
      <c r="F23" s="26">
        <f t="shared" si="0"/>
        <v>0</v>
      </c>
    </row>
    <row r="24" spans="1:6" ht="15" x14ac:dyDescent="0.25">
      <c r="A24" s="3">
        <f t="shared" si="1"/>
        <v>23</v>
      </c>
      <c r="B24" s="15" t="s">
        <v>423</v>
      </c>
      <c r="C24" s="16">
        <f t="shared" si="2"/>
        <v>43418</v>
      </c>
      <c r="D24" s="29">
        <f t="shared" si="3"/>
        <v>0</v>
      </c>
      <c r="E24" s="26">
        <v>0</v>
      </c>
      <c r="F24" s="26">
        <f t="shared" si="0"/>
        <v>0</v>
      </c>
    </row>
    <row r="25" spans="1:6" ht="15" x14ac:dyDescent="0.25">
      <c r="A25" s="3">
        <f t="shared" si="1"/>
        <v>24</v>
      </c>
      <c r="B25" s="15" t="s">
        <v>424</v>
      </c>
      <c r="C25" s="16">
        <f t="shared" si="2"/>
        <v>43419</v>
      </c>
      <c r="D25" s="29">
        <f t="shared" si="3"/>
        <v>0</v>
      </c>
      <c r="E25" s="26">
        <v>0</v>
      </c>
      <c r="F25" s="26">
        <f t="shared" si="0"/>
        <v>0</v>
      </c>
    </row>
    <row r="26" spans="1:6" ht="15" x14ac:dyDescent="0.25">
      <c r="A26" s="3">
        <f t="shared" si="1"/>
        <v>25</v>
      </c>
      <c r="B26" s="15" t="s">
        <v>425</v>
      </c>
      <c r="C26" s="16">
        <f t="shared" si="2"/>
        <v>43420</v>
      </c>
      <c r="D26" s="29">
        <f t="shared" si="3"/>
        <v>0</v>
      </c>
      <c r="E26" s="26">
        <v>0</v>
      </c>
      <c r="F26" s="26">
        <f t="shared" si="0"/>
        <v>0</v>
      </c>
    </row>
    <row r="27" spans="1:6" ht="15" x14ac:dyDescent="0.25">
      <c r="A27" s="3">
        <f t="shared" si="1"/>
        <v>26</v>
      </c>
      <c r="B27" s="15" t="s">
        <v>421</v>
      </c>
      <c r="C27" s="16">
        <f>C22+7</f>
        <v>43423</v>
      </c>
      <c r="D27" s="29">
        <f t="shared" si="3"/>
        <v>0</v>
      </c>
      <c r="E27" s="26">
        <v>0</v>
      </c>
      <c r="F27" s="26">
        <f t="shared" si="0"/>
        <v>0</v>
      </c>
    </row>
    <row r="28" spans="1:6" ht="15" x14ac:dyDescent="0.25">
      <c r="A28" s="3">
        <f t="shared" si="1"/>
        <v>27</v>
      </c>
      <c r="B28" s="15" t="s">
        <v>422</v>
      </c>
      <c r="C28" s="16">
        <f t="shared" si="2"/>
        <v>43424</v>
      </c>
      <c r="D28" s="29">
        <f t="shared" si="3"/>
        <v>0</v>
      </c>
      <c r="E28" s="26">
        <v>0</v>
      </c>
      <c r="F28" s="26">
        <f t="shared" si="0"/>
        <v>0</v>
      </c>
    </row>
    <row r="29" spans="1:6" ht="15" x14ac:dyDescent="0.25">
      <c r="A29" s="3">
        <f t="shared" si="1"/>
        <v>28</v>
      </c>
      <c r="B29" s="15" t="s">
        <v>423</v>
      </c>
      <c r="C29" s="16">
        <f t="shared" si="2"/>
        <v>43425</v>
      </c>
      <c r="D29" s="29">
        <f t="shared" si="3"/>
        <v>0</v>
      </c>
      <c r="E29" s="26">
        <v>0</v>
      </c>
      <c r="F29" s="26">
        <f t="shared" si="0"/>
        <v>0</v>
      </c>
    </row>
    <row r="30" spans="1:6" ht="15" x14ac:dyDescent="0.25">
      <c r="A30" s="3">
        <f t="shared" si="1"/>
        <v>29</v>
      </c>
      <c r="B30" s="15" t="s">
        <v>424</v>
      </c>
      <c r="C30" s="16">
        <f t="shared" si="2"/>
        <v>43426</v>
      </c>
      <c r="D30" s="29">
        <f t="shared" si="3"/>
        <v>0</v>
      </c>
      <c r="E30" s="26">
        <v>0</v>
      </c>
      <c r="F30" s="26">
        <f t="shared" si="0"/>
        <v>0</v>
      </c>
    </row>
    <row r="31" spans="1:6" ht="15" x14ac:dyDescent="0.25">
      <c r="A31" s="3">
        <f t="shared" si="1"/>
        <v>30</v>
      </c>
      <c r="B31" s="15" t="s">
        <v>425</v>
      </c>
      <c r="C31" s="16">
        <f t="shared" si="2"/>
        <v>43427</v>
      </c>
      <c r="D31" s="29">
        <f t="shared" si="3"/>
        <v>0</v>
      </c>
      <c r="E31" s="26">
        <v>0</v>
      </c>
      <c r="F31" s="26">
        <f t="shared" si="0"/>
        <v>0</v>
      </c>
    </row>
    <row r="32" spans="1:6" ht="15" x14ac:dyDescent="0.25">
      <c r="A32" s="3">
        <f t="shared" si="1"/>
        <v>31</v>
      </c>
      <c r="B32" s="15" t="s">
        <v>421</v>
      </c>
      <c r="C32" s="16">
        <f>C27+7</f>
        <v>43430</v>
      </c>
      <c r="D32" s="29">
        <f t="shared" si="3"/>
        <v>0</v>
      </c>
      <c r="E32" s="26">
        <v>0</v>
      </c>
      <c r="F32" s="26">
        <f t="shared" si="0"/>
        <v>0</v>
      </c>
    </row>
    <row r="33" spans="1:6" ht="15" x14ac:dyDescent="0.25">
      <c r="A33" s="3">
        <f t="shared" si="1"/>
        <v>32</v>
      </c>
      <c r="B33" s="15" t="s">
        <v>422</v>
      </c>
      <c r="C33" s="16">
        <f t="shared" si="2"/>
        <v>43431</v>
      </c>
      <c r="D33" s="29">
        <f t="shared" si="3"/>
        <v>0</v>
      </c>
      <c r="E33" s="26">
        <v>0</v>
      </c>
      <c r="F33" s="26">
        <f t="shared" si="0"/>
        <v>0</v>
      </c>
    </row>
    <row r="34" spans="1:6" ht="15" x14ac:dyDescent="0.25">
      <c r="A34" s="3">
        <f t="shared" si="1"/>
        <v>33</v>
      </c>
      <c r="B34" s="15" t="s">
        <v>423</v>
      </c>
      <c r="C34" s="16">
        <f t="shared" si="2"/>
        <v>43432</v>
      </c>
      <c r="D34" s="29">
        <f t="shared" si="3"/>
        <v>0</v>
      </c>
      <c r="E34" s="26">
        <v>0</v>
      </c>
      <c r="F34" s="26">
        <f t="shared" si="0"/>
        <v>0</v>
      </c>
    </row>
    <row r="35" spans="1:6" ht="15" x14ac:dyDescent="0.25">
      <c r="A35" s="3">
        <f t="shared" si="1"/>
        <v>34</v>
      </c>
      <c r="B35" s="15" t="s">
        <v>424</v>
      </c>
      <c r="C35" s="16">
        <f t="shared" si="2"/>
        <v>43433</v>
      </c>
      <c r="D35" s="29">
        <f t="shared" si="3"/>
        <v>0</v>
      </c>
      <c r="E35" s="26">
        <v>0</v>
      </c>
      <c r="F35" s="26">
        <f t="shared" si="0"/>
        <v>0</v>
      </c>
    </row>
    <row r="36" spans="1:6" ht="15" x14ac:dyDescent="0.25">
      <c r="A36" s="3">
        <f t="shared" si="1"/>
        <v>35</v>
      </c>
      <c r="B36" s="15" t="s">
        <v>425</v>
      </c>
      <c r="C36" s="16">
        <f t="shared" si="2"/>
        <v>43434</v>
      </c>
      <c r="D36" s="29">
        <f t="shared" si="3"/>
        <v>0</v>
      </c>
      <c r="E36" s="26">
        <v>0</v>
      </c>
      <c r="F36" s="26">
        <f t="shared" si="0"/>
        <v>0</v>
      </c>
    </row>
    <row r="37" spans="1:6" ht="15" x14ac:dyDescent="0.25">
      <c r="A37" s="3">
        <f t="shared" si="1"/>
        <v>36</v>
      </c>
      <c r="B37" s="15" t="s">
        <v>421</v>
      </c>
      <c r="C37" s="16">
        <f>C32+7</f>
        <v>43437</v>
      </c>
      <c r="D37" s="29">
        <f t="shared" si="3"/>
        <v>0</v>
      </c>
      <c r="E37" s="26">
        <v>0</v>
      </c>
      <c r="F37" s="26">
        <f t="shared" si="0"/>
        <v>0</v>
      </c>
    </row>
    <row r="38" spans="1:6" ht="15" x14ac:dyDescent="0.25">
      <c r="A38" s="3">
        <f t="shared" si="1"/>
        <v>37</v>
      </c>
      <c r="B38" s="15" t="s">
        <v>422</v>
      </c>
      <c r="C38" s="16">
        <f t="shared" si="2"/>
        <v>43438</v>
      </c>
      <c r="D38" s="29">
        <f t="shared" si="3"/>
        <v>0</v>
      </c>
      <c r="E38" s="26">
        <v>152</v>
      </c>
      <c r="F38" s="26">
        <f t="shared" si="0"/>
        <v>0</v>
      </c>
    </row>
    <row r="39" spans="1:6" ht="15" x14ac:dyDescent="0.25">
      <c r="A39" s="3">
        <f t="shared" si="1"/>
        <v>38</v>
      </c>
      <c r="B39" s="15" t="s">
        <v>423</v>
      </c>
      <c r="C39" s="16">
        <f t="shared" si="2"/>
        <v>43439</v>
      </c>
      <c r="D39" s="29">
        <f t="shared" si="3"/>
        <v>0</v>
      </c>
      <c r="E39" s="26">
        <v>152</v>
      </c>
      <c r="F39" s="26">
        <f t="shared" si="0"/>
        <v>0</v>
      </c>
    </row>
    <row r="40" spans="1:6" ht="15" x14ac:dyDescent="0.25">
      <c r="A40" s="3">
        <f t="shared" si="1"/>
        <v>39</v>
      </c>
      <c r="B40" s="15" t="s">
        <v>424</v>
      </c>
      <c r="C40" s="16">
        <f t="shared" si="2"/>
        <v>43440</v>
      </c>
      <c r="D40" s="29">
        <f t="shared" si="3"/>
        <v>0</v>
      </c>
      <c r="E40" s="26">
        <v>152</v>
      </c>
      <c r="F40" s="26">
        <f t="shared" si="0"/>
        <v>0</v>
      </c>
    </row>
    <row r="41" spans="1:6" ht="15" x14ac:dyDescent="0.25">
      <c r="A41" s="3">
        <f t="shared" si="1"/>
        <v>40</v>
      </c>
      <c r="B41" s="15" t="s">
        <v>425</v>
      </c>
      <c r="C41" s="16">
        <f t="shared" si="2"/>
        <v>43441</v>
      </c>
      <c r="D41" s="29">
        <f t="shared" si="3"/>
        <v>0</v>
      </c>
      <c r="E41" s="26">
        <v>122</v>
      </c>
      <c r="F41" s="26">
        <f t="shared" si="0"/>
        <v>0</v>
      </c>
    </row>
    <row r="42" spans="1:6" ht="15" x14ac:dyDescent="0.25">
      <c r="A42" s="3">
        <f t="shared" si="1"/>
        <v>41</v>
      </c>
      <c r="B42" s="15" t="s">
        <v>421</v>
      </c>
      <c r="C42" s="16">
        <f>C37+7</f>
        <v>43444</v>
      </c>
      <c r="D42" s="29">
        <f t="shared" si="3"/>
        <v>0</v>
      </c>
      <c r="E42" s="26">
        <v>122</v>
      </c>
      <c r="F42" s="26">
        <f t="shared" si="0"/>
        <v>0</v>
      </c>
    </row>
    <row r="43" spans="1:6" ht="15" x14ac:dyDescent="0.25">
      <c r="A43" s="3">
        <f t="shared" si="1"/>
        <v>42</v>
      </c>
      <c r="B43" s="15" t="s">
        <v>422</v>
      </c>
      <c r="C43" s="16">
        <f t="shared" si="2"/>
        <v>43445</v>
      </c>
      <c r="D43" s="29">
        <f t="shared" si="3"/>
        <v>0</v>
      </c>
      <c r="E43" s="26">
        <v>122</v>
      </c>
      <c r="F43" s="26">
        <f t="shared" si="0"/>
        <v>0</v>
      </c>
    </row>
    <row r="44" spans="1:6" ht="15" x14ac:dyDescent="0.25">
      <c r="A44" s="3">
        <f t="shared" si="1"/>
        <v>43</v>
      </c>
      <c r="B44" s="15" t="s">
        <v>423</v>
      </c>
      <c r="C44" s="16">
        <f t="shared" si="2"/>
        <v>43446</v>
      </c>
      <c r="D44" s="29">
        <f t="shared" si="3"/>
        <v>0</v>
      </c>
      <c r="E44" s="26">
        <v>122</v>
      </c>
      <c r="F44" s="26">
        <f t="shared" si="0"/>
        <v>0</v>
      </c>
    </row>
    <row r="45" spans="1:6" ht="15" x14ac:dyDescent="0.25">
      <c r="A45" s="3">
        <f t="shared" si="1"/>
        <v>44</v>
      </c>
      <c r="B45" s="15" t="s">
        <v>424</v>
      </c>
      <c r="C45" s="16">
        <f t="shared" si="2"/>
        <v>43447</v>
      </c>
      <c r="D45" s="29">
        <f t="shared" si="3"/>
        <v>0</v>
      </c>
      <c r="E45" s="26">
        <v>122</v>
      </c>
      <c r="F45" s="26">
        <f t="shared" si="0"/>
        <v>0</v>
      </c>
    </row>
    <row r="46" spans="1:6" ht="15" x14ac:dyDescent="0.25">
      <c r="A46" s="3">
        <f t="shared" si="1"/>
        <v>45</v>
      </c>
      <c r="B46" s="15" t="s">
        <v>425</v>
      </c>
      <c r="C46" s="16">
        <f t="shared" si="2"/>
        <v>43448</v>
      </c>
      <c r="D46" s="29">
        <f t="shared" si="3"/>
        <v>0</v>
      </c>
      <c r="E46" s="26">
        <v>122</v>
      </c>
      <c r="F46" s="26">
        <f t="shared" si="0"/>
        <v>0</v>
      </c>
    </row>
    <row r="47" spans="1:6" ht="15" x14ac:dyDescent="0.25">
      <c r="A47" s="3">
        <f t="shared" si="1"/>
        <v>46</v>
      </c>
      <c r="B47" s="15" t="s">
        <v>421</v>
      </c>
      <c r="C47" s="16">
        <f>C42+7</f>
        <v>43451</v>
      </c>
      <c r="D47" s="29">
        <f t="shared" si="3"/>
        <v>0</v>
      </c>
      <c r="E47" s="26">
        <v>122</v>
      </c>
      <c r="F47" s="26">
        <f t="shared" si="0"/>
        <v>0</v>
      </c>
    </row>
    <row r="48" spans="1:6" ht="15" x14ac:dyDescent="0.25">
      <c r="A48" s="3">
        <f t="shared" si="1"/>
        <v>47</v>
      </c>
      <c r="B48" s="15" t="s">
        <v>422</v>
      </c>
      <c r="C48" s="16">
        <f t="shared" si="2"/>
        <v>43452</v>
      </c>
      <c r="D48" s="29">
        <f t="shared" si="3"/>
        <v>0</v>
      </c>
      <c r="E48" s="26">
        <v>122</v>
      </c>
      <c r="F48" s="26">
        <f t="shared" si="0"/>
        <v>0</v>
      </c>
    </row>
    <row r="49" spans="1:6" ht="15" x14ac:dyDescent="0.25">
      <c r="A49" s="3">
        <f t="shared" si="1"/>
        <v>48</v>
      </c>
      <c r="B49" s="15" t="s">
        <v>423</v>
      </c>
      <c r="C49" s="16">
        <f t="shared" si="2"/>
        <v>43453</v>
      </c>
      <c r="D49" s="29">
        <f t="shared" si="3"/>
        <v>0</v>
      </c>
      <c r="E49" s="26">
        <v>122</v>
      </c>
      <c r="F49" s="26">
        <f t="shared" si="0"/>
        <v>0</v>
      </c>
    </row>
    <row r="50" spans="1:6" ht="15" x14ac:dyDescent="0.25">
      <c r="A50" s="3">
        <f t="shared" si="1"/>
        <v>49</v>
      </c>
      <c r="B50" s="15" t="s">
        <v>424</v>
      </c>
      <c r="C50" s="16">
        <f t="shared" si="2"/>
        <v>43454</v>
      </c>
      <c r="D50" s="29">
        <f t="shared" si="3"/>
        <v>0</v>
      </c>
      <c r="E50" s="26">
        <v>122</v>
      </c>
      <c r="F50" s="26">
        <f t="shared" si="0"/>
        <v>0</v>
      </c>
    </row>
    <row r="51" spans="1:6" ht="15" x14ac:dyDescent="0.25">
      <c r="A51" s="3">
        <f t="shared" si="1"/>
        <v>50</v>
      </c>
      <c r="B51" s="15" t="s">
        <v>425</v>
      </c>
      <c r="C51" s="16">
        <f t="shared" si="2"/>
        <v>43455</v>
      </c>
      <c r="D51" s="29">
        <f t="shared" si="3"/>
        <v>0</v>
      </c>
      <c r="E51" s="26">
        <v>122</v>
      </c>
      <c r="F51" s="26">
        <f t="shared" si="0"/>
        <v>0</v>
      </c>
    </row>
    <row r="52" spans="1:6" x14ac:dyDescent="0.2">
      <c r="C52" s="26" t="str">
        <f t="shared" ref="C52:C53" si="4">IF(LEN($E52)=0,"",ROW()-1)</f>
        <v/>
      </c>
      <c r="F52" s="26" t="str">
        <f t="shared" si="0"/>
        <v/>
      </c>
    </row>
    <row r="53" spans="1:6" x14ac:dyDescent="0.2">
      <c r="C53" s="26" t="str">
        <f t="shared" si="4"/>
        <v/>
      </c>
      <c r="F53" s="26" t="str">
        <f t="shared" si="0"/>
        <v/>
      </c>
    </row>
  </sheetData>
  <pageMargins left="0.75" right="0.75" top="1" bottom="1" header="0.3" footer="0.3"/>
  <pageSetup orientation="portrai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tint="-0.249977111117893"/>
    <pageSetUpPr fitToPage="1"/>
  </sheetPr>
  <dimension ref="A2:AD69"/>
  <sheetViews>
    <sheetView topLeftCell="A7" zoomScale="68" zoomScaleNormal="68" zoomScaleSheetLayoutView="50" workbookViewId="0">
      <selection activeCell="AA32" sqref="AA32"/>
    </sheetView>
  </sheetViews>
  <sheetFormatPr defaultRowHeight="15.75" x14ac:dyDescent="0.25"/>
  <cols>
    <col min="3" max="3" width="9" customWidth="1"/>
    <col min="15" max="15" width="2.75" customWidth="1"/>
    <col min="29" max="29" width="3.125" customWidth="1"/>
  </cols>
  <sheetData>
    <row r="2" spans="1:30" ht="21" x14ac:dyDescent="0.35">
      <c r="B2" s="24" t="s">
        <v>636</v>
      </c>
      <c r="P2" s="24" t="s">
        <v>637</v>
      </c>
      <c r="AD2" t="s">
        <v>638</v>
      </c>
    </row>
    <row r="3" spans="1:30" ht="15.75" customHeight="1" x14ac:dyDescent="0.25">
      <c r="A3" s="121" t="s">
        <v>641</v>
      </c>
    </row>
    <row r="4" spans="1:30" x14ac:dyDescent="0.25">
      <c r="A4" s="121"/>
    </row>
    <row r="5" spans="1:30" x14ac:dyDescent="0.25">
      <c r="A5" s="121"/>
    </row>
    <row r="6" spans="1:30" x14ac:dyDescent="0.25">
      <c r="A6" s="121"/>
    </row>
    <row r="7" spans="1:30" x14ac:dyDescent="0.25">
      <c r="A7" s="121"/>
    </row>
    <row r="8" spans="1:30" x14ac:dyDescent="0.25">
      <c r="A8" s="121"/>
    </row>
    <row r="9" spans="1:30" x14ac:dyDescent="0.25">
      <c r="A9" s="121"/>
    </row>
    <row r="10" spans="1:30" x14ac:dyDescent="0.25">
      <c r="A10" s="121"/>
    </row>
    <row r="11" spans="1:30" x14ac:dyDescent="0.25">
      <c r="A11" s="121"/>
    </row>
    <row r="12" spans="1:30" x14ac:dyDescent="0.25">
      <c r="A12" s="121"/>
    </row>
    <row r="13" spans="1:30" x14ac:dyDescent="0.25">
      <c r="A13" s="121"/>
    </row>
    <row r="14" spans="1:30" x14ac:dyDescent="0.25">
      <c r="A14" s="121"/>
    </row>
    <row r="15" spans="1:30" x14ac:dyDescent="0.25">
      <c r="A15" s="121"/>
    </row>
    <row r="16" spans="1:30" x14ac:dyDescent="0.25">
      <c r="A16" s="121"/>
    </row>
    <row r="17" spans="1:1" x14ac:dyDescent="0.25">
      <c r="A17" s="121"/>
    </row>
    <row r="18" spans="1:1" x14ac:dyDescent="0.25">
      <c r="A18" s="121"/>
    </row>
    <row r="19" spans="1:1" x14ac:dyDescent="0.25">
      <c r="A19" s="121"/>
    </row>
    <row r="20" spans="1:1" x14ac:dyDescent="0.25">
      <c r="A20" s="121"/>
    </row>
    <row r="21" spans="1:1" x14ac:dyDescent="0.25">
      <c r="A21" s="121"/>
    </row>
    <row r="22" spans="1:1" x14ac:dyDescent="0.25">
      <c r="A22" s="121"/>
    </row>
    <row r="23" spans="1:1" x14ac:dyDescent="0.25">
      <c r="A23" s="121"/>
    </row>
    <row r="24" spans="1:1" x14ac:dyDescent="0.25">
      <c r="A24" s="121"/>
    </row>
    <row r="25" spans="1:1" x14ac:dyDescent="0.25">
      <c r="A25" s="121"/>
    </row>
    <row r="26" spans="1:1" x14ac:dyDescent="0.25">
      <c r="A26" s="121"/>
    </row>
    <row r="27" spans="1:1" x14ac:dyDescent="0.25">
      <c r="A27" s="121"/>
    </row>
    <row r="28" spans="1:1" x14ac:dyDescent="0.25">
      <c r="A28" s="121"/>
    </row>
    <row r="29" spans="1:1" x14ac:dyDescent="0.25">
      <c r="A29" s="121"/>
    </row>
    <row r="30" spans="1:1" x14ac:dyDescent="0.25">
      <c r="A30" s="121"/>
    </row>
    <row r="31" spans="1:1" x14ac:dyDescent="0.25">
      <c r="A31" s="121"/>
    </row>
    <row r="32" spans="1:1" x14ac:dyDescent="0.25">
      <c r="A32" s="121"/>
    </row>
    <row r="33" spans="1:1" x14ac:dyDescent="0.25">
      <c r="A33" s="121"/>
    </row>
    <row r="34" spans="1:1" x14ac:dyDescent="0.25">
      <c r="A34" s="121"/>
    </row>
    <row r="35" spans="1:1" x14ac:dyDescent="0.25">
      <c r="A35" s="121"/>
    </row>
    <row r="38" spans="1:1" x14ac:dyDescent="0.25">
      <c r="A38" s="121" t="s">
        <v>639</v>
      </c>
    </row>
    <row r="39" spans="1:1" x14ac:dyDescent="0.25">
      <c r="A39" s="121"/>
    </row>
    <row r="40" spans="1:1" x14ac:dyDescent="0.25">
      <c r="A40" s="121"/>
    </row>
    <row r="41" spans="1:1" x14ac:dyDescent="0.25">
      <c r="A41" s="121"/>
    </row>
    <row r="42" spans="1:1" x14ac:dyDescent="0.25">
      <c r="A42" s="121"/>
    </row>
    <row r="43" spans="1:1" x14ac:dyDescent="0.25">
      <c r="A43" s="121"/>
    </row>
    <row r="44" spans="1:1" x14ac:dyDescent="0.25">
      <c r="A44" s="121"/>
    </row>
    <row r="45" spans="1:1" x14ac:dyDescent="0.25">
      <c r="A45" s="121"/>
    </row>
    <row r="46" spans="1:1" x14ac:dyDescent="0.25">
      <c r="A46" s="121"/>
    </row>
    <row r="47" spans="1:1" x14ac:dyDescent="0.25">
      <c r="A47" s="121"/>
    </row>
    <row r="48" spans="1:1" x14ac:dyDescent="0.25">
      <c r="A48" s="121"/>
    </row>
    <row r="49" spans="1:1" x14ac:dyDescent="0.25">
      <c r="A49" s="121"/>
    </row>
    <row r="50" spans="1:1" x14ac:dyDescent="0.25">
      <c r="A50" s="121"/>
    </row>
    <row r="51" spans="1:1" x14ac:dyDescent="0.25">
      <c r="A51" s="121"/>
    </row>
    <row r="52" spans="1:1" x14ac:dyDescent="0.25">
      <c r="A52" s="121"/>
    </row>
    <row r="55" spans="1:1" x14ac:dyDescent="0.25">
      <c r="A55" s="121" t="s">
        <v>640</v>
      </c>
    </row>
    <row r="56" spans="1:1" x14ac:dyDescent="0.25">
      <c r="A56" s="121"/>
    </row>
    <row r="57" spans="1:1" x14ac:dyDescent="0.25">
      <c r="A57" s="121"/>
    </row>
    <row r="58" spans="1:1" x14ac:dyDescent="0.25">
      <c r="A58" s="121"/>
    </row>
    <row r="59" spans="1:1" x14ac:dyDescent="0.25">
      <c r="A59" s="121"/>
    </row>
    <row r="60" spans="1:1" x14ac:dyDescent="0.25">
      <c r="A60" s="121"/>
    </row>
    <row r="61" spans="1:1" x14ac:dyDescent="0.25">
      <c r="A61" s="121"/>
    </row>
    <row r="62" spans="1:1" x14ac:dyDescent="0.25">
      <c r="A62" s="121"/>
    </row>
    <row r="63" spans="1:1" x14ac:dyDescent="0.25">
      <c r="A63" s="121"/>
    </row>
    <row r="64" spans="1:1" x14ac:dyDescent="0.25">
      <c r="A64" s="121"/>
    </row>
    <row r="65" spans="1:1" x14ac:dyDescent="0.25">
      <c r="A65" s="121"/>
    </row>
    <row r="66" spans="1:1" x14ac:dyDescent="0.25">
      <c r="A66" s="121"/>
    </row>
    <row r="67" spans="1:1" x14ac:dyDescent="0.25">
      <c r="A67" s="121"/>
    </row>
    <row r="68" spans="1:1" x14ac:dyDescent="0.25">
      <c r="A68" s="121"/>
    </row>
    <row r="69" spans="1:1" x14ac:dyDescent="0.25">
      <c r="A69" s="121"/>
    </row>
  </sheetData>
  <mergeCells count="3">
    <mergeCell ref="A3:A35"/>
    <mergeCell ref="A38:A52"/>
    <mergeCell ref="A55:A69"/>
  </mergeCells>
  <pageMargins left="0.7" right="0.7" top="0.75" bottom="0.75" header="0.3" footer="0.3"/>
  <pageSetup paperSize="9" scale="32" fitToHeight="0" orientation="landscape"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8" tint="-0.249977111117893"/>
  </sheetPr>
  <dimension ref="A2:F58"/>
  <sheetViews>
    <sheetView topLeftCell="D1" zoomScale="90" zoomScaleNormal="90" zoomScalePageLayoutView="90" workbookViewId="0">
      <selection activeCell="F3" sqref="F3"/>
    </sheetView>
  </sheetViews>
  <sheetFormatPr defaultColWidth="11" defaultRowHeight="15.75" x14ac:dyDescent="0.25"/>
  <cols>
    <col min="1" max="1" width="16.625" hidden="1" customWidth="1"/>
    <col min="2" max="2" width="39.375" hidden="1" customWidth="1"/>
    <col min="3" max="3" width="13.625" hidden="1" customWidth="1"/>
    <col min="4" max="4" width="70.125" customWidth="1"/>
    <col min="5" max="5" width="14.5" customWidth="1"/>
    <col min="6" max="6" width="17.625" customWidth="1"/>
  </cols>
  <sheetData>
    <row r="2" spans="1:6" x14ac:dyDescent="0.25">
      <c r="E2">
        <f>SUM(E4:E58)</f>
        <v>0</v>
      </c>
      <c r="F2">
        <f>SUM(F4:F58)</f>
        <v>0</v>
      </c>
    </row>
    <row r="3" spans="1:6" ht="42" x14ac:dyDescent="0.35">
      <c r="D3" s="1" t="s">
        <v>0</v>
      </c>
      <c r="E3" s="2" t="s">
        <v>2</v>
      </c>
      <c r="F3" s="2" t="s">
        <v>1</v>
      </c>
    </row>
    <row r="4" spans="1:6" ht="42" customHeight="1" x14ac:dyDescent="0.25">
      <c r="A4" s="12" t="s">
        <v>69</v>
      </c>
      <c r="B4" s="12" t="s">
        <v>68</v>
      </c>
      <c r="C4" s="12" t="s">
        <v>399</v>
      </c>
      <c r="D4" s="13" t="str">
        <f t="shared" ref="D4:D27" si="0">CONCATENATE(IF(LEN(CONCATENATE("[",A4,"] ",B4))&lt;=60,CONCATENATE("[",A4,"] ",B4),CONCATENATE("[",A4,"] ",LEFT(B4,30)," … ",RIGHT(B4,30))), " / ", C4)</f>
        <v>[TSKACTION-217] Action: Session Management / RTD</v>
      </c>
      <c r="E4" s="10">
        <v>0</v>
      </c>
      <c r="F4" s="10">
        <v>0</v>
      </c>
    </row>
    <row r="5" spans="1:6" ht="42" customHeight="1" x14ac:dyDescent="0.25">
      <c r="A5" s="12" t="s">
        <v>82</v>
      </c>
      <c r="B5" s="12" t="s">
        <v>81</v>
      </c>
      <c r="C5" s="12" t="s">
        <v>399</v>
      </c>
      <c r="D5" s="13" t="str">
        <f t="shared" si="0"/>
        <v>[CCDOCLIST-165] Provide pre/post operation cal … peration callbacks to business / RTD</v>
      </c>
      <c r="E5" s="10">
        <v>0</v>
      </c>
      <c r="F5" s="10">
        <v>0</v>
      </c>
    </row>
    <row r="6" spans="1:6" x14ac:dyDescent="0.25">
      <c r="A6" s="12" t="s">
        <v>4795</v>
      </c>
      <c r="B6" s="12" t="s">
        <v>4796</v>
      </c>
      <c r="C6" s="12" t="s">
        <v>399</v>
      </c>
      <c r="D6" s="13" t="str">
        <f t="shared" si="0"/>
        <v>[TSKACTION-278] Action: Deep Link-simple / RTD</v>
      </c>
      <c r="E6" s="10">
        <v>0</v>
      </c>
      <c r="F6" s="10">
        <v>0</v>
      </c>
    </row>
    <row r="7" spans="1:6" x14ac:dyDescent="0.25">
      <c r="A7" s="12" t="s">
        <v>290</v>
      </c>
      <c r="B7" s="12" t="s">
        <v>289</v>
      </c>
      <c r="C7" s="12" t="s">
        <v>399</v>
      </c>
      <c r="D7" s="13" t="str">
        <f t="shared" si="0"/>
        <v>[TSKACTION-245] Action: Parallel Actors / Support task / RTD</v>
      </c>
      <c r="E7" s="10">
        <v>0</v>
      </c>
      <c r="F7" s="10">
        <v>0</v>
      </c>
    </row>
    <row r="8" spans="1:6" x14ac:dyDescent="0.25">
      <c r="A8" s="12" t="s">
        <v>218</v>
      </c>
      <c r="B8" s="12" t="s">
        <v>217</v>
      </c>
      <c r="C8" s="12" t="s">
        <v>399</v>
      </c>
      <c r="D8" s="13" t="str">
        <f t="shared" si="0"/>
        <v>[CCTASK-533] Adoption of OpenID security model / RTD</v>
      </c>
      <c r="E8" s="10">
        <v>0</v>
      </c>
      <c r="F8" s="10">
        <v>0</v>
      </c>
    </row>
    <row r="9" spans="1:6" x14ac:dyDescent="0.25">
      <c r="A9" s="12" t="s">
        <v>4790</v>
      </c>
      <c r="B9" s="12" t="s">
        <v>4791</v>
      </c>
      <c r="C9" s="12" t="s">
        <v>399</v>
      </c>
      <c r="D9" s="13" t="str">
        <f t="shared" si="0"/>
        <v>[TSKACTION-76] Config Management / RTD</v>
      </c>
      <c r="E9" s="10">
        <v>0</v>
      </c>
      <c r="F9" s="10">
        <v>0</v>
      </c>
    </row>
    <row r="10" spans="1:6" x14ac:dyDescent="0.25">
      <c r="A10" s="12" t="s">
        <v>222</v>
      </c>
      <c r="B10" s="12" t="s">
        <v>221</v>
      </c>
      <c r="C10" s="12" t="s">
        <v>399</v>
      </c>
      <c r="D10" s="13" t="str">
        <f t="shared" si="0"/>
        <v>[CCDOCLIST-156] Configuration of presentation - compact view / RTD</v>
      </c>
      <c r="E10" s="10">
        <v>0</v>
      </c>
      <c r="F10" s="10">
        <v>0</v>
      </c>
    </row>
    <row r="11" spans="1:6" x14ac:dyDescent="0.25">
      <c r="A11" s="12" t="s">
        <v>225</v>
      </c>
      <c r="B11" s="12" t="s">
        <v>224</v>
      </c>
      <c r="C11" s="12" t="s">
        <v>399</v>
      </c>
      <c r="D11" s="13" t="str">
        <f t="shared" si="0"/>
        <v>[CCDOCLIST-19] Document list read-only mode / RTD</v>
      </c>
      <c r="E11" s="10">
        <v>0</v>
      </c>
      <c r="F11" s="10">
        <v>0</v>
      </c>
    </row>
    <row r="12" spans="1:6" x14ac:dyDescent="0.25">
      <c r="A12" s="12" t="s">
        <v>228</v>
      </c>
      <c r="B12" s="12" t="s">
        <v>227</v>
      </c>
      <c r="C12" s="12" t="s">
        <v>399</v>
      </c>
      <c r="D12" s="13" t="str">
        <f t="shared" si="0"/>
        <v>[CCDOCLIST-157] Filter the Document List at ru … ment List at runtime (backend) / RTD</v>
      </c>
      <c r="E12" s="10">
        <v>0</v>
      </c>
      <c r="F12" s="10">
        <v>0</v>
      </c>
    </row>
    <row r="13" spans="1:6" x14ac:dyDescent="0.25">
      <c r="A13" s="12" t="s">
        <v>272</v>
      </c>
      <c r="B13" s="12" t="s">
        <v>4787</v>
      </c>
      <c r="C13" s="12" t="s">
        <v>399</v>
      </c>
      <c r="D13" s="13" t="str">
        <f t="shared" si="0"/>
        <v>[CCTASK-534] Readiness for Translation Service / RTD</v>
      </c>
      <c r="E13" s="10">
        <v>0</v>
      </c>
      <c r="F13" s="10">
        <v>0</v>
      </c>
    </row>
    <row r="14" spans="1:6" x14ac:dyDescent="0.25">
      <c r="A14" s="12" t="s">
        <v>276</v>
      </c>
      <c r="B14" s="12" t="s">
        <v>275</v>
      </c>
      <c r="C14" s="12" t="s">
        <v>399</v>
      </c>
      <c r="D14" s="13" t="str">
        <f t="shared" si="0"/>
        <v>[CCDOCLIST-17] Configuration management / RTD</v>
      </c>
      <c r="E14" s="10">
        <v>0</v>
      </c>
      <c r="F14" s="10">
        <v>0</v>
      </c>
    </row>
    <row r="15" spans="1:6" x14ac:dyDescent="0.25">
      <c r="A15" s="12" t="s">
        <v>280</v>
      </c>
      <c r="B15" s="12" t="s">
        <v>279</v>
      </c>
      <c r="C15" s="12" t="s">
        <v>399</v>
      </c>
      <c r="D15" s="13" t="str">
        <f t="shared" si="0"/>
        <v>[CCDOCLIST-27] Configuration override / RTD</v>
      </c>
      <c r="E15" s="10">
        <v>0</v>
      </c>
      <c r="F15" s="10">
        <v>0</v>
      </c>
    </row>
    <row r="16" spans="1:6" x14ac:dyDescent="0.25">
      <c r="A16" s="12" t="s">
        <v>296</v>
      </c>
      <c r="B16" s="12" t="s">
        <v>293</v>
      </c>
      <c r="C16" s="12" t="s">
        <v>399</v>
      </c>
      <c r="D16" s="13" t="str">
        <f t="shared" si="0"/>
        <v>[CCTASK-579] Integration with Config Admin / RTD</v>
      </c>
      <c r="E16" s="10">
        <v>0</v>
      </c>
      <c r="F16" s="10">
        <v>0</v>
      </c>
    </row>
    <row r="17" spans="1:6" x14ac:dyDescent="0.25">
      <c r="A17" s="12" t="s">
        <v>283</v>
      </c>
      <c r="B17" s="12" t="s">
        <v>282</v>
      </c>
      <c r="C17" s="12" t="s">
        <v>399</v>
      </c>
      <c r="D17" s="13" t="str">
        <f t="shared" si="0"/>
        <v>[CCDOCLIST-25] Manage document encryption / RTD</v>
      </c>
      <c r="E17" s="10">
        <v>0</v>
      </c>
      <c r="F17" s="10">
        <v>0</v>
      </c>
    </row>
    <row r="18" spans="1:6" x14ac:dyDescent="0.25">
      <c r="A18" s="12" t="s">
        <v>302</v>
      </c>
      <c r="B18" s="12" t="s">
        <v>301</v>
      </c>
      <c r="C18" s="12" t="s">
        <v>399</v>
      </c>
      <c r="D18" s="13" t="str">
        <f t="shared" si="0"/>
        <v>[CCTASK-272] Signature on Outcome / RTD</v>
      </c>
      <c r="E18" s="10">
        <v>0</v>
      </c>
      <c r="F18" s="10">
        <v>0</v>
      </c>
    </row>
    <row r="19" spans="1:6" x14ac:dyDescent="0.25">
      <c r="A19" s="12" t="s">
        <v>234</v>
      </c>
      <c r="B19" s="12" t="s">
        <v>304</v>
      </c>
      <c r="C19" s="12" t="s">
        <v>399</v>
      </c>
      <c r="D19" s="13" t="str">
        <f t="shared" si="0"/>
        <v>[CCTASK-519] Taxonomy multiple references a … and events (for ProcessCentre) / RTD</v>
      </c>
      <c r="E19" s="10">
        <v>0</v>
      </c>
      <c r="F19" s="10">
        <v>0</v>
      </c>
    </row>
    <row r="20" spans="1:6" x14ac:dyDescent="0.25">
      <c r="A20" s="12" t="s">
        <v>307</v>
      </c>
      <c r="B20" s="12" t="s">
        <v>306</v>
      </c>
      <c r="C20" s="12" t="s">
        <v>399</v>
      </c>
      <c r="D20" s="13" t="str">
        <f t="shared" si="0"/>
        <v>[CCDOCLIST-174] The client should be able to r … en a business variable changes / RTD</v>
      </c>
      <c r="E20" s="10">
        <v>0</v>
      </c>
      <c r="F20" s="10">
        <v>0</v>
      </c>
    </row>
    <row r="21" spans="1:6" x14ac:dyDescent="0.25">
      <c r="A21" s="12" t="s">
        <v>310</v>
      </c>
      <c r="B21" s="12" t="s">
        <v>309</v>
      </c>
      <c r="C21" s="12" t="s">
        <v>399</v>
      </c>
      <c r="D21" s="13" t="str">
        <f t="shared" si="0"/>
        <v>[CCTASK-476] UX - Post Checks (error handli … ror handling on task complete) / RTD</v>
      </c>
      <c r="E21" s="10">
        <v>0</v>
      </c>
      <c r="F21" s="10">
        <v>0</v>
      </c>
    </row>
    <row r="22" spans="1:6" x14ac:dyDescent="0.25">
      <c r="A22" s="12" t="s">
        <v>331</v>
      </c>
      <c r="B22" s="12" t="s">
        <v>330</v>
      </c>
      <c r="C22" s="12" t="s">
        <v>399</v>
      </c>
      <c r="D22" s="13" t="str">
        <f t="shared" si="0"/>
        <v>[TSKACTION-56] Action: Document review/download link / RTD</v>
      </c>
      <c r="E22" s="10">
        <v>0</v>
      </c>
      <c r="F22" s="10">
        <v>0</v>
      </c>
    </row>
    <row r="23" spans="1:6" x14ac:dyDescent="0.25">
      <c r="A23" s="12" t="s">
        <v>362</v>
      </c>
      <c r="B23" s="12" t="s">
        <v>361</v>
      </c>
      <c r="C23" s="12" t="s">
        <v>399</v>
      </c>
      <c r="D23" s="13" t="str">
        <f t="shared" si="0"/>
        <v>[CCTASK-532] Impersonation / RTD</v>
      </c>
      <c r="E23" s="10">
        <v>0</v>
      </c>
      <c r="F23" s="10">
        <v>0</v>
      </c>
    </row>
    <row r="24" spans="1:6" x14ac:dyDescent="0.25">
      <c r="A24" s="12" t="s">
        <v>294</v>
      </c>
      <c r="B24" s="12" t="s">
        <v>293</v>
      </c>
      <c r="C24" s="12" t="s">
        <v>399</v>
      </c>
      <c r="D24" s="13" t="str">
        <f t="shared" si="0"/>
        <v>[CCDOCLIST-181] Integration with Config Admin / RTD</v>
      </c>
      <c r="E24" s="10">
        <v>0</v>
      </c>
      <c r="F24" s="10">
        <v>0</v>
      </c>
    </row>
    <row r="25" spans="1:6" x14ac:dyDescent="0.25">
      <c r="A25" s="12" t="s">
        <v>364</v>
      </c>
      <c r="B25" s="12" t="s">
        <v>363</v>
      </c>
      <c r="C25" s="12" t="s">
        <v>399</v>
      </c>
      <c r="D25" s="13" t="str">
        <f t="shared" si="0"/>
        <v>[CCDOCLIST-116] Mandatory documents / RTD</v>
      </c>
      <c r="E25" s="10">
        <v>0</v>
      </c>
      <c r="F25" s="10">
        <v>0</v>
      </c>
    </row>
    <row r="26" spans="1:6" x14ac:dyDescent="0.25">
      <c r="A26" s="12" t="s">
        <v>385</v>
      </c>
      <c r="B26" s="12" t="s">
        <v>384</v>
      </c>
      <c r="C26" s="12" t="s">
        <v>399</v>
      </c>
      <c r="D26" s="13" t="str">
        <f t="shared" si="0"/>
        <v>[CCTASK-518] Taxonomy link to CCM2 / RTD</v>
      </c>
      <c r="E26" s="10">
        <v>0</v>
      </c>
      <c r="F26" s="10">
        <v>0</v>
      </c>
    </row>
    <row r="27" spans="1:6" x14ac:dyDescent="0.25">
      <c r="A27" s="12"/>
      <c r="B27" s="12"/>
      <c r="C27" s="12"/>
      <c r="D27" s="13" t="str">
        <f t="shared" si="0"/>
        <v xml:space="preserve">[]  / </v>
      </c>
      <c r="E27" s="10"/>
      <c r="F27" s="10"/>
    </row>
    <row r="28" spans="1:6" x14ac:dyDescent="0.25">
      <c r="A28" s="12"/>
      <c r="B28" s="12"/>
      <c r="C28" s="12"/>
      <c r="D28" s="13" t="str">
        <f t="shared" ref="D28:D58" si="1">CONCATENATE(IF(LEN(CONCATENATE("[",A28,"] ",B28))&lt;=60,CONCATENATE("[",A28,"] ",B28),CONCATENATE("[",A28,"] ",LEFT(B28,30)," … ",RIGHT(B28,30))), " / ", C28)</f>
        <v xml:space="preserve">[]  / </v>
      </c>
      <c r="E28" s="10"/>
      <c r="F28" s="10"/>
    </row>
    <row r="29" spans="1:6" x14ac:dyDescent="0.25">
      <c r="A29" s="12"/>
      <c r="B29" s="12"/>
      <c r="C29" s="12"/>
      <c r="D29" s="13" t="str">
        <f t="shared" si="1"/>
        <v xml:space="preserve">[]  / </v>
      </c>
      <c r="E29" s="10"/>
      <c r="F29" s="10"/>
    </row>
    <row r="30" spans="1:6" x14ac:dyDescent="0.25">
      <c r="A30" s="12"/>
      <c r="B30" s="12"/>
      <c r="C30" s="12"/>
      <c r="D30" s="13" t="str">
        <f t="shared" si="1"/>
        <v xml:space="preserve">[]  / </v>
      </c>
      <c r="E30" s="10"/>
      <c r="F30" s="10"/>
    </row>
    <row r="31" spans="1:6" x14ac:dyDescent="0.25">
      <c r="A31" s="12"/>
      <c r="B31" s="12"/>
      <c r="C31" s="12"/>
      <c r="D31" s="13" t="str">
        <f t="shared" si="1"/>
        <v xml:space="preserve">[]  / </v>
      </c>
      <c r="E31" s="10"/>
      <c r="F31" s="10"/>
    </row>
    <row r="32" spans="1:6" x14ac:dyDescent="0.25">
      <c r="A32" s="12"/>
      <c r="B32" s="12"/>
      <c r="C32" s="12"/>
      <c r="D32" s="13" t="str">
        <f t="shared" si="1"/>
        <v xml:space="preserve">[]  / </v>
      </c>
      <c r="E32" s="10"/>
      <c r="F32" s="10"/>
    </row>
    <row r="33" spans="1:6" x14ac:dyDescent="0.25">
      <c r="A33" s="12"/>
      <c r="B33" s="12"/>
      <c r="C33" s="12"/>
      <c r="D33" s="13" t="str">
        <f t="shared" si="1"/>
        <v xml:space="preserve">[]  / </v>
      </c>
      <c r="E33" s="10"/>
      <c r="F33" s="10"/>
    </row>
    <row r="34" spans="1:6" x14ac:dyDescent="0.25">
      <c r="A34" s="12"/>
      <c r="B34" s="12"/>
      <c r="C34" s="12"/>
      <c r="D34" s="13" t="str">
        <f t="shared" si="1"/>
        <v xml:space="preserve">[]  / </v>
      </c>
      <c r="E34" s="10"/>
      <c r="F34" s="10"/>
    </row>
    <row r="35" spans="1:6" x14ac:dyDescent="0.25">
      <c r="A35" s="12"/>
      <c r="B35" s="12"/>
      <c r="C35" s="12"/>
      <c r="D35" s="13" t="str">
        <f t="shared" si="1"/>
        <v xml:space="preserve">[]  / </v>
      </c>
      <c r="E35" s="10"/>
      <c r="F35" s="10"/>
    </row>
    <row r="36" spans="1:6" x14ac:dyDescent="0.25">
      <c r="A36" s="12"/>
      <c r="B36" s="12"/>
      <c r="C36" s="12"/>
      <c r="D36" s="13" t="str">
        <f t="shared" si="1"/>
        <v xml:space="preserve">[]  / </v>
      </c>
      <c r="E36" s="10"/>
      <c r="F36" s="10"/>
    </row>
    <row r="37" spans="1:6" x14ac:dyDescent="0.25">
      <c r="A37" s="12"/>
      <c r="B37" s="12"/>
      <c r="C37" s="12"/>
      <c r="D37" s="13" t="str">
        <f t="shared" si="1"/>
        <v xml:space="preserve">[]  / </v>
      </c>
      <c r="E37" s="10"/>
      <c r="F37" s="10"/>
    </row>
    <row r="38" spans="1:6" x14ac:dyDescent="0.25">
      <c r="A38" s="12"/>
      <c r="B38" s="12"/>
      <c r="C38" s="12"/>
      <c r="D38" s="13" t="str">
        <f t="shared" si="1"/>
        <v xml:space="preserve">[]  / </v>
      </c>
      <c r="E38" s="10"/>
      <c r="F38" s="10"/>
    </row>
    <row r="39" spans="1:6" x14ac:dyDescent="0.25">
      <c r="A39" s="12"/>
      <c r="B39" s="12"/>
      <c r="C39" s="12"/>
      <c r="D39" s="13" t="str">
        <f t="shared" si="1"/>
        <v xml:space="preserve">[]  / </v>
      </c>
      <c r="E39" s="10"/>
      <c r="F39" s="10"/>
    </row>
    <row r="40" spans="1:6" x14ac:dyDescent="0.25">
      <c r="A40" s="12"/>
      <c r="B40" s="12"/>
      <c r="C40" s="12"/>
      <c r="D40" s="13" t="str">
        <f t="shared" si="1"/>
        <v xml:space="preserve">[]  / </v>
      </c>
      <c r="E40" s="10"/>
      <c r="F40" s="10"/>
    </row>
    <row r="41" spans="1:6" x14ac:dyDescent="0.25">
      <c r="A41" s="12"/>
      <c r="B41" s="12"/>
      <c r="C41" s="12"/>
      <c r="D41" s="13" t="str">
        <f t="shared" si="1"/>
        <v xml:space="preserve">[]  / </v>
      </c>
      <c r="E41" s="10"/>
      <c r="F41" s="10"/>
    </row>
    <row r="42" spans="1:6" x14ac:dyDescent="0.25">
      <c r="A42" s="12"/>
      <c r="B42" s="12"/>
      <c r="C42" s="12"/>
      <c r="D42" s="13" t="str">
        <f t="shared" si="1"/>
        <v xml:space="preserve">[]  / </v>
      </c>
      <c r="E42" s="10"/>
      <c r="F42" s="10"/>
    </row>
    <row r="43" spans="1:6" x14ac:dyDescent="0.25">
      <c r="A43" s="12"/>
      <c r="B43" s="12"/>
      <c r="C43" s="12"/>
      <c r="D43" s="13" t="str">
        <f t="shared" si="1"/>
        <v xml:space="preserve">[]  / </v>
      </c>
      <c r="E43" s="10"/>
      <c r="F43" s="10"/>
    </row>
    <row r="44" spans="1:6" x14ac:dyDescent="0.25">
      <c r="A44" s="12"/>
      <c r="B44" s="12"/>
      <c r="C44" s="12"/>
      <c r="D44" s="13" t="str">
        <f t="shared" si="1"/>
        <v xml:space="preserve">[]  / </v>
      </c>
      <c r="E44" s="10"/>
      <c r="F44" s="10"/>
    </row>
    <row r="45" spans="1:6" x14ac:dyDescent="0.25">
      <c r="A45" s="12"/>
      <c r="B45" s="12"/>
      <c r="C45" s="12"/>
      <c r="D45" s="13" t="str">
        <f t="shared" si="1"/>
        <v xml:space="preserve">[]  / </v>
      </c>
      <c r="E45" s="10"/>
      <c r="F45" s="10"/>
    </row>
    <row r="46" spans="1:6" x14ac:dyDescent="0.25">
      <c r="A46" s="12"/>
      <c r="B46" s="12"/>
      <c r="C46" s="12"/>
      <c r="D46" s="13" t="str">
        <f t="shared" si="1"/>
        <v xml:space="preserve">[]  / </v>
      </c>
      <c r="E46" s="10"/>
      <c r="F46" s="10"/>
    </row>
    <row r="47" spans="1:6" x14ac:dyDescent="0.25">
      <c r="A47" s="12"/>
      <c r="B47" s="12"/>
      <c r="C47" s="12"/>
      <c r="D47" s="13" t="str">
        <f t="shared" si="1"/>
        <v xml:space="preserve">[]  / </v>
      </c>
      <c r="E47" s="10"/>
      <c r="F47" s="10"/>
    </row>
    <row r="48" spans="1:6" x14ac:dyDescent="0.25">
      <c r="A48" s="12"/>
      <c r="B48" s="12"/>
      <c r="C48" s="12"/>
      <c r="D48" s="13" t="str">
        <f t="shared" si="1"/>
        <v xml:space="preserve">[]  / </v>
      </c>
      <c r="E48" s="10"/>
      <c r="F48" s="10"/>
    </row>
    <row r="49" spans="1:6" x14ac:dyDescent="0.25">
      <c r="A49" s="12"/>
      <c r="B49" s="9"/>
      <c r="C49" s="9"/>
      <c r="D49" s="13" t="str">
        <f t="shared" si="1"/>
        <v xml:space="preserve">[]  / </v>
      </c>
      <c r="E49" s="10"/>
      <c r="F49" s="10"/>
    </row>
    <row r="50" spans="1:6" x14ac:dyDescent="0.25">
      <c r="A50" s="12"/>
      <c r="B50" s="9"/>
      <c r="C50" s="9"/>
      <c r="D50" s="13" t="str">
        <f t="shared" si="1"/>
        <v xml:space="preserve">[]  / </v>
      </c>
      <c r="E50" s="10"/>
      <c r="F50" s="10"/>
    </row>
    <row r="51" spans="1:6" x14ac:dyDescent="0.25">
      <c r="A51" s="12"/>
      <c r="B51" s="9"/>
      <c r="C51" s="9"/>
      <c r="D51" s="13" t="str">
        <f t="shared" si="1"/>
        <v xml:space="preserve">[]  / </v>
      </c>
      <c r="E51" s="10"/>
      <c r="F51" s="10"/>
    </row>
    <row r="52" spans="1:6" x14ac:dyDescent="0.25">
      <c r="A52" s="12"/>
      <c r="B52" s="9"/>
      <c r="C52" s="9"/>
      <c r="D52" s="13" t="str">
        <f t="shared" si="1"/>
        <v xml:space="preserve">[]  / </v>
      </c>
      <c r="E52" s="10"/>
      <c r="F52" s="10"/>
    </row>
    <row r="53" spans="1:6" x14ac:dyDescent="0.25">
      <c r="A53" s="12"/>
      <c r="B53" s="9"/>
      <c r="C53" s="9"/>
      <c r="D53" s="13" t="str">
        <f t="shared" si="1"/>
        <v xml:space="preserve">[]  / </v>
      </c>
      <c r="E53" s="10"/>
      <c r="F53" s="10"/>
    </row>
    <row r="54" spans="1:6" x14ac:dyDescent="0.25">
      <c r="A54" s="12"/>
      <c r="B54" s="9"/>
      <c r="C54" s="9"/>
      <c r="D54" s="13" t="str">
        <f t="shared" si="1"/>
        <v xml:space="preserve">[]  / </v>
      </c>
      <c r="E54" s="10"/>
      <c r="F54" s="10"/>
    </row>
    <row r="55" spans="1:6" x14ac:dyDescent="0.25">
      <c r="A55" s="12"/>
      <c r="B55" s="9"/>
      <c r="C55" s="9"/>
      <c r="D55" s="13" t="str">
        <f t="shared" si="1"/>
        <v xml:space="preserve">[]  / </v>
      </c>
      <c r="E55" s="10"/>
      <c r="F55" s="10"/>
    </row>
    <row r="56" spans="1:6" x14ac:dyDescent="0.25">
      <c r="A56" s="12"/>
      <c r="B56" s="9"/>
      <c r="C56" s="9"/>
      <c r="D56" s="13" t="str">
        <f t="shared" si="1"/>
        <v xml:space="preserve">[]  / </v>
      </c>
      <c r="E56" s="10"/>
      <c r="F56" s="10"/>
    </row>
    <row r="57" spans="1:6" x14ac:dyDescent="0.25">
      <c r="A57" s="12"/>
      <c r="B57" s="9"/>
      <c r="C57" s="9"/>
      <c r="D57" s="13" t="str">
        <f t="shared" si="1"/>
        <v xml:space="preserve">[]  / </v>
      </c>
      <c r="E57" s="10"/>
      <c r="F57" s="10"/>
    </row>
    <row r="58" spans="1:6" x14ac:dyDescent="0.25">
      <c r="A58" s="12"/>
      <c r="B58" s="9"/>
      <c r="C58" s="9"/>
      <c r="D58" s="13" t="str">
        <f t="shared" si="1"/>
        <v xml:space="preserve">[]  / </v>
      </c>
      <c r="E58" s="10"/>
      <c r="F58" s="10"/>
    </row>
  </sheetData>
  <sortState ref="A4:F27">
    <sortCondition ref="C4"/>
  </sortState>
  <pageMargins left="0.7" right="0.7" top="0.75" bottom="0.75" header="0.3" footer="0.3"/>
  <pageSetup paperSize="9"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8" tint="-0.249977111117893"/>
  </sheetPr>
  <dimension ref="A2:F57"/>
  <sheetViews>
    <sheetView zoomScale="50" zoomScaleNormal="50" zoomScalePageLayoutView="90" workbookViewId="0">
      <selection activeCell="F2" sqref="F2"/>
    </sheetView>
  </sheetViews>
  <sheetFormatPr defaultColWidth="11" defaultRowHeight="15.75" x14ac:dyDescent="0.25"/>
  <cols>
    <col min="2" max="2" width="64.125" customWidth="1"/>
    <col min="3" max="3" width="47.125" customWidth="1"/>
    <col min="4" max="4" width="64.125" customWidth="1"/>
    <col min="5" max="5" width="14.5" customWidth="1"/>
    <col min="6" max="6" width="17.625" customWidth="1"/>
  </cols>
  <sheetData>
    <row r="2" spans="1:6" x14ac:dyDescent="0.25">
      <c r="E2">
        <f>SUM(E4:E57)</f>
        <v>0</v>
      </c>
      <c r="F2">
        <f>SUM(F4:F57)</f>
        <v>18</v>
      </c>
    </row>
    <row r="3" spans="1:6" ht="42" customHeight="1" x14ac:dyDescent="0.35">
      <c r="A3" s="1" t="s">
        <v>299</v>
      </c>
      <c r="B3" s="1" t="s">
        <v>298</v>
      </c>
      <c r="C3" s="1" t="s">
        <v>399</v>
      </c>
      <c r="D3" s="1" t="s">
        <v>0</v>
      </c>
      <c r="E3" s="2">
        <v>0</v>
      </c>
      <c r="F3" s="2">
        <v>23</v>
      </c>
    </row>
    <row r="4" spans="1:6" x14ac:dyDescent="0.25">
      <c r="A4" s="9" t="s">
        <v>299</v>
      </c>
      <c r="B4" s="9" t="s">
        <v>298</v>
      </c>
      <c r="C4" s="9" t="s">
        <v>399</v>
      </c>
      <c r="D4" s="9" t="str">
        <f t="shared" ref="D4:D57" si="0">CONCATENATE(IF(LEN(CONCATENATE("[",A4,"] ",B4))&lt;=60,CONCATENATE("[",A4,"] ",B4),CONCATENATE("[",A4,"] ",LEFT(B4,30)," … ",RIGHT(B4,30))), " / ", C4)</f>
        <v>[CCTASK-527] SSE Bridge / RTD</v>
      </c>
      <c r="E4" s="10">
        <v>0</v>
      </c>
      <c r="F4" s="10">
        <v>18</v>
      </c>
    </row>
    <row r="5" spans="1:6" x14ac:dyDescent="0.25">
      <c r="A5" s="9"/>
      <c r="B5" s="9"/>
      <c r="C5" s="9"/>
      <c r="D5" s="9" t="str">
        <f t="shared" si="0"/>
        <v xml:space="preserve">[]  / </v>
      </c>
      <c r="E5" s="10"/>
      <c r="F5" s="10"/>
    </row>
    <row r="6" spans="1:6" x14ac:dyDescent="0.25">
      <c r="A6" s="9"/>
      <c r="B6" s="9"/>
      <c r="C6" s="9"/>
      <c r="D6" s="9" t="str">
        <f t="shared" si="0"/>
        <v xml:space="preserve">[]  / </v>
      </c>
      <c r="E6" s="10"/>
      <c r="F6" s="10"/>
    </row>
    <row r="7" spans="1:6" x14ac:dyDescent="0.25">
      <c r="A7" s="9"/>
      <c r="B7" s="9"/>
      <c r="C7" s="9"/>
      <c r="D7" s="9" t="str">
        <f t="shared" si="0"/>
        <v xml:space="preserve">[]  / </v>
      </c>
      <c r="E7" s="10"/>
      <c r="F7" s="10"/>
    </row>
    <row r="8" spans="1:6" x14ac:dyDescent="0.25">
      <c r="A8" s="9"/>
      <c r="B8" s="9"/>
      <c r="C8" s="9"/>
      <c r="D8" s="9" t="str">
        <f t="shared" si="0"/>
        <v xml:space="preserve">[]  / </v>
      </c>
      <c r="E8" s="10"/>
      <c r="F8" s="10"/>
    </row>
    <row r="9" spans="1:6" x14ac:dyDescent="0.25">
      <c r="A9" s="9"/>
      <c r="B9" s="9"/>
      <c r="C9" s="9"/>
      <c r="D9" s="9" t="str">
        <f t="shared" si="0"/>
        <v xml:space="preserve">[]  / </v>
      </c>
      <c r="E9" s="10"/>
      <c r="F9" s="10"/>
    </row>
    <row r="10" spans="1:6" x14ac:dyDescent="0.25">
      <c r="A10" s="9"/>
      <c r="B10" s="9"/>
      <c r="C10" s="9"/>
      <c r="D10" s="9" t="str">
        <f t="shared" si="0"/>
        <v xml:space="preserve">[]  / </v>
      </c>
      <c r="E10" s="10"/>
      <c r="F10" s="10"/>
    </row>
    <row r="11" spans="1:6" x14ac:dyDescent="0.25">
      <c r="A11" s="9"/>
      <c r="B11" s="9"/>
      <c r="C11" s="9"/>
      <c r="D11" s="9" t="str">
        <f t="shared" si="0"/>
        <v xml:space="preserve">[]  / </v>
      </c>
      <c r="E11" s="10"/>
      <c r="F11" s="10"/>
    </row>
    <row r="12" spans="1:6" x14ac:dyDescent="0.25">
      <c r="A12" s="9"/>
      <c r="B12" s="9"/>
      <c r="C12" s="9"/>
      <c r="D12" s="9" t="str">
        <f t="shared" si="0"/>
        <v xml:space="preserve">[]  / </v>
      </c>
      <c r="E12" s="10"/>
      <c r="F12" s="10"/>
    </row>
    <row r="13" spans="1:6" x14ac:dyDescent="0.25">
      <c r="A13" s="9"/>
      <c r="B13" s="9"/>
      <c r="C13" s="9"/>
      <c r="D13" s="9" t="str">
        <f t="shared" si="0"/>
        <v xml:space="preserve">[]  / </v>
      </c>
      <c r="E13" s="10"/>
      <c r="F13" s="10"/>
    </row>
    <row r="14" spans="1:6" x14ac:dyDescent="0.25">
      <c r="A14" s="9"/>
      <c r="B14" s="9"/>
      <c r="C14" s="9"/>
      <c r="D14" s="9" t="str">
        <f t="shared" si="0"/>
        <v xml:space="preserve">[]  / </v>
      </c>
      <c r="E14" s="10"/>
      <c r="F14" s="10"/>
    </row>
    <row r="15" spans="1:6" x14ac:dyDescent="0.25">
      <c r="A15" s="9"/>
      <c r="B15" s="9"/>
      <c r="C15" s="9"/>
      <c r="D15" s="9" t="str">
        <f t="shared" si="0"/>
        <v xml:space="preserve">[]  / </v>
      </c>
      <c r="E15" s="10"/>
      <c r="F15" s="10"/>
    </row>
    <row r="16" spans="1:6" x14ac:dyDescent="0.25">
      <c r="A16" s="9"/>
      <c r="B16" s="9"/>
      <c r="C16" s="9"/>
      <c r="D16" s="9" t="str">
        <f t="shared" si="0"/>
        <v xml:space="preserve">[]  / </v>
      </c>
      <c r="E16" s="10"/>
      <c r="F16" s="10"/>
    </row>
    <row r="17" spans="1:6" x14ac:dyDescent="0.25">
      <c r="A17" s="9"/>
      <c r="B17" s="9"/>
      <c r="C17" s="9"/>
      <c r="D17" s="9" t="str">
        <f t="shared" si="0"/>
        <v xml:space="preserve">[]  / </v>
      </c>
      <c r="E17" s="10"/>
      <c r="F17" s="10"/>
    </row>
    <row r="18" spans="1:6" x14ac:dyDescent="0.25">
      <c r="A18" s="9"/>
      <c r="B18" s="9"/>
      <c r="C18" s="9"/>
      <c r="D18" s="9" t="str">
        <f t="shared" si="0"/>
        <v xml:space="preserve">[]  / </v>
      </c>
      <c r="E18" s="10"/>
      <c r="F18" s="10"/>
    </row>
    <row r="19" spans="1:6" x14ac:dyDescent="0.25">
      <c r="A19" s="9"/>
      <c r="B19" s="9"/>
      <c r="C19" s="9"/>
      <c r="D19" s="9" t="str">
        <f t="shared" si="0"/>
        <v xml:space="preserve">[]  / </v>
      </c>
      <c r="E19" s="10"/>
      <c r="F19" s="10"/>
    </row>
    <row r="20" spans="1:6" x14ac:dyDescent="0.25">
      <c r="A20" s="9"/>
      <c r="B20" s="9"/>
      <c r="C20" s="9"/>
      <c r="D20" s="9" t="str">
        <f t="shared" si="0"/>
        <v xml:space="preserve">[]  / </v>
      </c>
      <c r="E20" s="10"/>
      <c r="F20" s="10"/>
    </row>
    <row r="21" spans="1:6" x14ac:dyDescent="0.25">
      <c r="A21" s="9"/>
      <c r="B21" s="9"/>
      <c r="C21" s="9"/>
      <c r="D21" s="9" t="str">
        <f t="shared" si="0"/>
        <v xml:space="preserve">[]  / </v>
      </c>
      <c r="E21" s="10"/>
      <c r="F21" s="10"/>
    </row>
    <row r="22" spans="1:6" x14ac:dyDescent="0.25">
      <c r="A22" s="9"/>
      <c r="B22" s="9"/>
      <c r="C22" s="9"/>
      <c r="D22" s="9" t="str">
        <f t="shared" si="0"/>
        <v xml:space="preserve">[]  / </v>
      </c>
      <c r="E22" s="10"/>
      <c r="F22" s="10"/>
    </row>
    <row r="23" spans="1:6" x14ac:dyDescent="0.25">
      <c r="A23" s="9"/>
      <c r="B23" s="9"/>
      <c r="C23" s="9"/>
      <c r="D23" s="9" t="str">
        <f t="shared" si="0"/>
        <v xml:space="preserve">[]  / </v>
      </c>
      <c r="E23" s="10"/>
      <c r="F23" s="10"/>
    </row>
    <row r="24" spans="1:6" x14ac:dyDescent="0.25">
      <c r="A24" s="9"/>
      <c r="B24" s="9"/>
      <c r="C24" s="9"/>
      <c r="D24" s="9" t="str">
        <f t="shared" si="0"/>
        <v xml:space="preserve">[]  / </v>
      </c>
      <c r="E24" s="10"/>
      <c r="F24" s="10"/>
    </row>
    <row r="25" spans="1:6" x14ac:dyDescent="0.25">
      <c r="A25" s="9"/>
      <c r="B25" s="9"/>
      <c r="C25" s="9"/>
      <c r="D25" s="9" t="str">
        <f t="shared" si="0"/>
        <v xml:space="preserve">[]  / </v>
      </c>
      <c r="E25" s="10"/>
      <c r="F25" s="10"/>
    </row>
    <row r="26" spans="1:6" x14ac:dyDescent="0.25">
      <c r="A26" s="9"/>
      <c r="B26" s="9"/>
      <c r="C26" s="9"/>
      <c r="D26" s="9" t="str">
        <f t="shared" si="0"/>
        <v xml:space="preserve">[]  / </v>
      </c>
      <c r="E26" s="10"/>
      <c r="F26" s="10"/>
    </row>
    <row r="27" spans="1:6" x14ac:dyDescent="0.25">
      <c r="A27" s="9"/>
      <c r="B27" s="9"/>
      <c r="C27" s="9"/>
      <c r="D27" s="9" t="str">
        <f t="shared" si="0"/>
        <v xml:space="preserve">[]  / </v>
      </c>
      <c r="E27" s="10"/>
      <c r="F27" s="10"/>
    </row>
    <row r="28" spans="1:6" x14ac:dyDescent="0.25">
      <c r="A28" s="9"/>
      <c r="B28" s="9"/>
      <c r="C28" s="9"/>
      <c r="D28" s="9" t="str">
        <f t="shared" si="0"/>
        <v xml:space="preserve">[]  / </v>
      </c>
      <c r="E28" s="10"/>
      <c r="F28" s="10"/>
    </row>
    <row r="29" spans="1:6" x14ac:dyDescent="0.25">
      <c r="A29" s="9"/>
      <c r="B29" s="9"/>
      <c r="C29" s="9"/>
      <c r="D29" s="9" t="str">
        <f t="shared" si="0"/>
        <v xml:space="preserve">[]  / </v>
      </c>
      <c r="E29" s="10"/>
      <c r="F29" s="10"/>
    </row>
    <row r="30" spans="1:6" x14ac:dyDescent="0.25">
      <c r="A30" s="9"/>
      <c r="B30" s="9"/>
      <c r="C30" s="9"/>
      <c r="D30" s="9" t="str">
        <f t="shared" si="0"/>
        <v xml:space="preserve">[]  / </v>
      </c>
      <c r="E30" s="10"/>
      <c r="F30" s="10"/>
    </row>
    <row r="31" spans="1:6" x14ac:dyDescent="0.25">
      <c r="A31" s="9"/>
      <c r="B31" s="9"/>
      <c r="C31" s="9"/>
      <c r="D31" s="9" t="str">
        <f t="shared" si="0"/>
        <v xml:space="preserve">[]  / </v>
      </c>
      <c r="E31" s="10"/>
      <c r="F31" s="10"/>
    </row>
    <row r="32" spans="1:6" x14ac:dyDescent="0.25">
      <c r="A32" s="9"/>
      <c r="B32" s="9"/>
      <c r="C32" s="9"/>
      <c r="D32" s="9" t="str">
        <f t="shared" si="0"/>
        <v xml:space="preserve">[]  / </v>
      </c>
      <c r="E32" s="10"/>
      <c r="F32" s="10"/>
    </row>
    <row r="33" spans="1:6" x14ac:dyDescent="0.25">
      <c r="A33" s="9"/>
      <c r="B33" s="9"/>
      <c r="C33" s="9"/>
      <c r="D33" s="9" t="str">
        <f t="shared" si="0"/>
        <v xml:space="preserve">[]  / </v>
      </c>
      <c r="E33" s="10"/>
      <c r="F33" s="10"/>
    </row>
    <row r="34" spans="1:6" x14ac:dyDescent="0.25">
      <c r="A34" s="9"/>
      <c r="B34" s="9"/>
      <c r="C34" s="9"/>
      <c r="D34" s="9" t="str">
        <f t="shared" si="0"/>
        <v xml:space="preserve">[]  / </v>
      </c>
      <c r="E34" s="10"/>
      <c r="F34" s="10"/>
    </row>
    <row r="35" spans="1:6" x14ac:dyDescent="0.25">
      <c r="A35" s="9"/>
      <c r="B35" s="9"/>
      <c r="C35" s="9"/>
      <c r="D35" s="9" t="str">
        <f t="shared" si="0"/>
        <v xml:space="preserve">[]  / </v>
      </c>
      <c r="E35" s="10"/>
      <c r="F35" s="10"/>
    </row>
    <row r="36" spans="1:6" x14ac:dyDescent="0.25">
      <c r="A36" s="9"/>
      <c r="B36" s="9"/>
      <c r="C36" s="9"/>
      <c r="D36" s="9" t="str">
        <f t="shared" si="0"/>
        <v xml:space="preserve">[]  / </v>
      </c>
      <c r="E36" s="10"/>
      <c r="F36" s="10"/>
    </row>
    <row r="37" spans="1:6" x14ac:dyDescent="0.25">
      <c r="A37" s="9"/>
      <c r="B37" s="9"/>
      <c r="C37" s="9"/>
      <c r="D37" s="9" t="str">
        <f t="shared" si="0"/>
        <v xml:space="preserve">[]  / </v>
      </c>
      <c r="E37" s="10"/>
      <c r="F37" s="10"/>
    </row>
    <row r="38" spans="1:6" x14ac:dyDescent="0.25">
      <c r="A38" s="9"/>
      <c r="B38" s="9"/>
      <c r="C38" s="9"/>
      <c r="D38" s="9" t="str">
        <f t="shared" si="0"/>
        <v xml:space="preserve">[]  / </v>
      </c>
      <c r="E38" s="10"/>
      <c r="F38" s="10"/>
    </row>
    <row r="39" spans="1:6" x14ac:dyDescent="0.25">
      <c r="A39" s="9"/>
      <c r="B39" s="9"/>
      <c r="C39" s="9"/>
      <c r="D39" s="9" t="str">
        <f t="shared" si="0"/>
        <v xml:space="preserve">[]  / </v>
      </c>
      <c r="E39" s="10"/>
      <c r="F39" s="10"/>
    </row>
    <row r="40" spans="1:6" x14ac:dyDescent="0.25">
      <c r="A40" s="9"/>
      <c r="B40" s="9"/>
      <c r="C40" s="9"/>
      <c r="D40" s="9" t="str">
        <f t="shared" si="0"/>
        <v xml:space="preserve">[]  / </v>
      </c>
      <c r="E40" s="10"/>
      <c r="F40" s="10"/>
    </row>
    <row r="41" spans="1:6" x14ac:dyDescent="0.25">
      <c r="A41" s="9"/>
      <c r="B41" s="9"/>
      <c r="C41" s="9"/>
      <c r="D41" s="9" t="str">
        <f t="shared" si="0"/>
        <v xml:space="preserve">[]  / </v>
      </c>
      <c r="E41" s="10"/>
      <c r="F41" s="10"/>
    </row>
    <row r="42" spans="1:6" x14ac:dyDescent="0.25">
      <c r="A42" s="9"/>
      <c r="B42" s="9"/>
      <c r="C42" s="9"/>
      <c r="D42" s="9" t="str">
        <f t="shared" si="0"/>
        <v xml:space="preserve">[]  / </v>
      </c>
      <c r="E42" s="10"/>
      <c r="F42" s="10"/>
    </row>
    <row r="43" spans="1:6" x14ac:dyDescent="0.25">
      <c r="A43" s="9"/>
      <c r="B43" s="9"/>
      <c r="C43" s="9"/>
      <c r="D43" s="9" t="str">
        <f t="shared" si="0"/>
        <v xml:space="preserve">[]  / </v>
      </c>
      <c r="E43" s="10"/>
      <c r="F43" s="10"/>
    </row>
    <row r="44" spans="1:6" x14ac:dyDescent="0.25">
      <c r="A44" s="9"/>
      <c r="B44" s="9"/>
      <c r="C44" s="9"/>
      <c r="D44" s="9" t="str">
        <f t="shared" si="0"/>
        <v xml:space="preserve">[]  / </v>
      </c>
      <c r="E44" s="10"/>
      <c r="F44" s="10"/>
    </row>
    <row r="45" spans="1:6" x14ac:dyDescent="0.25">
      <c r="A45" s="9"/>
      <c r="B45" s="9"/>
      <c r="C45" s="9"/>
      <c r="D45" s="9" t="str">
        <f t="shared" si="0"/>
        <v xml:space="preserve">[]  / </v>
      </c>
      <c r="E45" s="10"/>
      <c r="F45" s="10"/>
    </row>
    <row r="46" spans="1:6" x14ac:dyDescent="0.25">
      <c r="A46" s="9"/>
      <c r="B46" s="9"/>
      <c r="C46" s="9"/>
      <c r="D46" s="9" t="str">
        <f t="shared" si="0"/>
        <v xml:space="preserve">[]  / </v>
      </c>
      <c r="E46" s="10"/>
      <c r="F46" s="10"/>
    </row>
    <row r="47" spans="1:6" x14ac:dyDescent="0.25">
      <c r="A47" s="9"/>
      <c r="B47" s="9"/>
      <c r="C47" s="9"/>
      <c r="D47" s="9" t="str">
        <f t="shared" si="0"/>
        <v xml:space="preserve">[]  / </v>
      </c>
      <c r="E47" s="10"/>
      <c r="F47" s="10"/>
    </row>
    <row r="48" spans="1:6" x14ac:dyDescent="0.25">
      <c r="A48" s="9"/>
      <c r="B48" s="9"/>
      <c r="C48" s="9"/>
      <c r="D48" s="9" t="str">
        <f t="shared" si="0"/>
        <v xml:space="preserve">[]  / </v>
      </c>
      <c r="E48" s="10"/>
      <c r="F48" s="10"/>
    </row>
    <row r="49" spans="1:6" x14ac:dyDescent="0.25">
      <c r="A49" s="9"/>
      <c r="B49" s="9"/>
      <c r="C49" s="9"/>
      <c r="D49" s="9" t="str">
        <f t="shared" si="0"/>
        <v xml:space="preserve">[]  / </v>
      </c>
      <c r="E49" s="10"/>
      <c r="F49" s="10"/>
    </row>
    <row r="50" spans="1:6" x14ac:dyDescent="0.25">
      <c r="A50" s="9"/>
      <c r="B50" s="9"/>
      <c r="C50" s="9"/>
      <c r="D50" s="9" t="str">
        <f t="shared" si="0"/>
        <v xml:space="preserve">[]  / </v>
      </c>
      <c r="E50" s="10"/>
      <c r="F50" s="10"/>
    </row>
    <row r="51" spans="1:6" x14ac:dyDescent="0.25">
      <c r="A51" s="9"/>
      <c r="B51" s="9"/>
      <c r="C51" s="9"/>
      <c r="D51" s="9" t="str">
        <f t="shared" si="0"/>
        <v xml:space="preserve">[]  / </v>
      </c>
      <c r="E51" s="10"/>
      <c r="F51" s="10"/>
    </row>
    <row r="52" spans="1:6" x14ac:dyDescent="0.25">
      <c r="A52" s="9"/>
      <c r="B52" s="9"/>
      <c r="C52" s="9"/>
      <c r="D52" s="9" t="str">
        <f t="shared" si="0"/>
        <v xml:space="preserve">[]  / </v>
      </c>
      <c r="E52" s="10"/>
      <c r="F52" s="10"/>
    </row>
    <row r="53" spans="1:6" x14ac:dyDescent="0.25">
      <c r="A53" s="9"/>
      <c r="B53" s="9"/>
      <c r="C53" s="9"/>
      <c r="D53" s="9" t="str">
        <f t="shared" si="0"/>
        <v xml:space="preserve">[]  / </v>
      </c>
      <c r="E53" s="10"/>
      <c r="F53" s="10"/>
    </row>
    <row r="54" spans="1:6" x14ac:dyDescent="0.25">
      <c r="A54" s="9"/>
      <c r="B54" s="9"/>
      <c r="C54" s="9"/>
      <c r="D54" s="9" t="str">
        <f t="shared" si="0"/>
        <v xml:space="preserve">[]  / </v>
      </c>
      <c r="E54" s="10"/>
      <c r="F54" s="10"/>
    </row>
    <row r="55" spans="1:6" x14ac:dyDescent="0.25">
      <c r="A55" s="9"/>
      <c r="B55" s="9"/>
      <c r="C55" s="9"/>
      <c r="D55" s="9" t="str">
        <f t="shared" si="0"/>
        <v xml:space="preserve">[]  / </v>
      </c>
      <c r="E55" s="10"/>
      <c r="F55" s="10"/>
    </row>
    <row r="56" spans="1:6" x14ac:dyDescent="0.25">
      <c r="A56" s="9"/>
      <c r="B56" s="9"/>
      <c r="C56" s="9"/>
      <c r="D56" s="9" t="str">
        <f t="shared" si="0"/>
        <v xml:space="preserve">[]  / </v>
      </c>
      <c r="E56" s="10"/>
      <c r="F56" s="10"/>
    </row>
    <row r="57" spans="1:6" x14ac:dyDescent="0.25">
      <c r="A57" s="9"/>
      <c r="B57" s="9"/>
      <c r="C57" s="9"/>
      <c r="D57" s="9" t="str">
        <f t="shared" si="0"/>
        <v xml:space="preserve">[]  / </v>
      </c>
      <c r="E57" s="10"/>
      <c r="F57" s="10"/>
    </row>
  </sheetData>
  <sortState ref="A4:F4">
    <sortCondition ref="C4"/>
  </sortState>
  <pageMargins left="0.7" right="0.7" top="0.75" bottom="0.75" header="0.3" footer="0.3"/>
  <pageSetup paperSize="9"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8" tint="-0.249977111117893"/>
  </sheetPr>
  <dimension ref="A1:K51"/>
  <sheetViews>
    <sheetView topLeftCell="A13" workbookViewId="0">
      <selection activeCell="R48" sqref="R48"/>
    </sheetView>
  </sheetViews>
  <sheetFormatPr defaultColWidth="8.875" defaultRowHeight="15" x14ac:dyDescent="0.25"/>
  <cols>
    <col min="1" max="1" width="8.875" style="3"/>
    <col min="2" max="2" width="6.25" style="3" customWidth="1"/>
    <col min="3" max="3" width="12.125" style="3" customWidth="1"/>
    <col min="4" max="11" width="3" style="3" customWidth="1"/>
    <col min="12" max="16384" width="8.875" style="3"/>
  </cols>
  <sheetData>
    <row r="1" spans="1:11" ht="134.25" thickBot="1" x14ac:dyDescent="0.35">
      <c r="A1" s="4" t="s">
        <v>414</v>
      </c>
      <c r="B1" s="4"/>
      <c r="C1" s="4" t="s">
        <v>3</v>
      </c>
      <c r="D1" s="14" t="s">
        <v>415</v>
      </c>
      <c r="E1" s="14" t="s">
        <v>416</v>
      </c>
      <c r="F1" s="14" t="s">
        <v>417</v>
      </c>
      <c r="G1" s="14" t="s">
        <v>19</v>
      </c>
      <c r="H1" s="14" t="s">
        <v>418</v>
      </c>
      <c r="I1" s="14" t="s">
        <v>419</v>
      </c>
      <c r="J1" s="14" t="s">
        <v>420</v>
      </c>
      <c r="K1" s="14" t="s">
        <v>15</v>
      </c>
    </row>
    <row r="2" spans="1:11" ht="15.75" thickTop="1" x14ac:dyDescent="0.25">
      <c r="A2" s="3">
        <v>1</v>
      </c>
      <c r="B2" s="15" t="s">
        <v>421</v>
      </c>
      <c r="C2" s="16">
        <v>43388</v>
      </c>
      <c r="D2" s="22">
        <v>0</v>
      </c>
      <c r="E2" s="22">
        <v>0</v>
      </c>
      <c r="F2" s="22">
        <v>0</v>
      </c>
      <c r="G2" s="22">
        <v>0</v>
      </c>
      <c r="H2" s="22">
        <v>0</v>
      </c>
      <c r="I2" s="22">
        <v>0</v>
      </c>
      <c r="J2" s="22">
        <v>0</v>
      </c>
      <c r="K2" s="22">
        <v>0</v>
      </c>
    </row>
    <row r="3" spans="1:11" x14ac:dyDescent="0.25">
      <c r="A3" s="3">
        <f>A2+1</f>
        <v>2</v>
      </c>
      <c r="B3" s="15" t="s">
        <v>422</v>
      </c>
      <c r="C3" s="16">
        <f>C2+1</f>
        <v>43389</v>
      </c>
      <c r="D3" s="22">
        <v>0</v>
      </c>
      <c r="E3" s="22">
        <v>0</v>
      </c>
      <c r="F3" s="22">
        <v>0</v>
      </c>
      <c r="G3" s="22">
        <v>0</v>
      </c>
      <c r="H3" s="22">
        <v>0</v>
      </c>
      <c r="I3" s="22">
        <v>0</v>
      </c>
      <c r="J3" s="22">
        <v>0</v>
      </c>
      <c r="K3" s="22">
        <v>0</v>
      </c>
    </row>
    <row r="4" spans="1:11" x14ac:dyDescent="0.25">
      <c r="A4" s="3">
        <f t="shared" ref="A4:A51" si="0">A3+1</f>
        <v>3</v>
      </c>
      <c r="B4" s="15" t="s">
        <v>423</v>
      </c>
      <c r="C4" s="16">
        <f t="shared" ref="C4:C51" si="1">C3+1</f>
        <v>43390</v>
      </c>
      <c r="D4" s="22">
        <v>0</v>
      </c>
      <c r="E4" s="22">
        <v>0</v>
      </c>
      <c r="F4" s="22">
        <v>0</v>
      </c>
      <c r="G4" s="22">
        <v>0</v>
      </c>
      <c r="H4" s="22">
        <v>0</v>
      </c>
      <c r="I4" s="22">
        <v>0</v>
      </c>
      <c r="J4" s="22">
        <v>0</v>
      </c>
      <c r="K4" s="22">
        <v>0</v>
      </c>
    </row>
    <row r="5" spans="1:11" x14ac:dyDescent="0.25">
      <c r="A5" s="3">
        <f t="shared" si="0"/>
        <v>4</v>
      </c>
      <c r="B5" s="15" t="s">
        <v>424</v>
      </c>
      <c r="C5" s="16">
        <f t="shared" si="1"/>
        <v>43391</v>
      </c>
      <c r="D5" s="22">
        <v>0</v>
      </c>
      <c r="E5" s="22">
        <v>0</v>
      </c>
      <c r="F5" s="22">
        <v>0</v>
      </c>
      <c r="G5" s="22">
        <v>0</v>
      </c>
      <c r="H5" s="22">
        <v>0</v>
      </c>
      <c r="I5" s="22">
        <v>0</v>
      </c>
      <c r="J5" s="22">
        <v>0</v>
      </c>
      <c r="K5" s="22">
        <v>0</v>
      </c>
    </row>
    <row r="6" spans="1:11" x14ac:dyDescent="0.25">
      <c r="A6" s="3">
        <f t="shared" si="0"/>
        <v>5</v>
      </c>
      <c r="B6" s="15" t="s">
        <v>425</v>
      </c>
      <c r="C6" s="16">
        <f t="shared" si="1"/>
        <v>43392</v>
      </c>
      <c r="D6" s="22">
        <v>0</v>
      </c>
      <c r="E6" s="22">
        <v>0</v>
      </c>
      <c r="F6" s="22">
        <v>0</v>
      </c>
      <c r="G6" s="22">
        <v>0</v>
      </c>
      <c r="H6" s="22">
        <v>0</v>
      </c>
      <c r="I6" s="22">
        <v>0</v>
      </c>
      <c r="J6" s="22">
        <v>0</v>
      </c>
      <c r="K6" s="22">
        <v>0</v>
      </c>
    </row>
    <row r="7" spans="1:11" x14ac:dyDescent="0.25">
      <c r="A7" s="3">
        <f t="shared" si="0"/>
        <v>6</v>
      </c>
      <c r="B7" s="15" t="s">
        <v>421</v>
      </c>
      <c r="C7" s="16">
        <f>C2+7</f>
        <v>43395</v>
      </c>
      <c r="D7" s="22">
        <v>0</v>
      </c>
      <c r="E7" s="22">
        <v>0</v>
      </c>
      <c r="F7" s="22">
        <v>0</v>
      </c>
      <c r="G7" s="22">
        <v>0</v>
      </c>
      <c r="H7" s="22">
        <v>0</v>
      </c>
      <c r="I7" s="22">
        <v>0</v>
      </c>
      <c r="J7" s="22">
        <v>0</v>
      </c>
      <c r="K7" s="22">
        <v>0</v>
      </c>
    </row>
    <row r="8" spans="1:11" x14ac:dyDescent="0.25">
      <c r="A8" s="3">
        <f t="shared" si="0"/>
        <v>7</v>
      </c>
      <c r="B8" s="15" t="s">
        <v>422</v>
      </c>
      <c r="C8" s="16">
        <f t="shared" si="1"/>
        <v>43396</v>
      </c>
      <c r="D8" s="22">
        <v>0</v>
      </c>
      <c r="E8" s="22">
        <v>0</v>
      </c>
      <c r="F8" s="22">
        <v>0</v>
      </c>
      <c r="G8" s="22">
        <v>0</v>
      </c>
      <c r="H8" s="22">
        <v>0</v>
      </c>
      <c r="I8" s="22">
        <v>0</v>
      </c>
      <c r="J8" s="22">
        <v>0</v>
      </c>
      <c r="K8" s="22">
        <v>0</v>
      </c>
    </row>
    <row r="9" spans="1:11" x14ac:dyDescent="0.25">
      <c r="A9" s="3">
        <f t="shared" si="0"/>
        <v>8</v>
      </c>
      <c r="B9" s="15" t="s">
        <v>423</v>
      </c>
      <c r="C9" s="16">
        <f t="shared" si="1"/>
        <v>43397</v>
      </c>
      <c r="D9" s="22">
        <v>0</v>
      </c>
      <c r="E9" s="22">
        <v>0</v>
      </c>
      <c r="F9" s="22">
        <v>0</v>
      </c>
      <c r="G9" s="22">
        <v>0</v>
      </c>
      <c r="H9" s="22">
        <v>0</v>
      </c>
      <c r="I9" s="22">
        <v>0</v>
      </c>
      <c r="J9" s="22">
        <v>0</v>
      </c>
      <c r="K9" s="22">
        <v>0</v>
      </c>
    </row>
    <row r="10" spans="1:11" x14ac:dyDescent="0.25">
      <c r="A10" s="3">
        <f t="shared" si="0"/>
        <v>9</v>
      </c>
      <c r="B10" s="15" t="s">
        <v>424</v>
      </c>
      <c r="C10" s="16">
        <f t="shared" si="1"/>
        <v>43398</v>
      </c>
      <c r="D10" s="22">
        <v>0</v>
      </c>
      <c r="E10" s="22">
        <v>0</v>
      </c>
      <c r="F10" s="22">
        <v>0</v>
      </c>
      <c r="G10" s="22">
        <v>0</v>
      </c>
      <c r="H10" s="22">
        <v>0</v>
      </c>
      <c r="I10" s="22">
        <v>0</v>
      </c>
      <c r="J10" s="22">
        <v>0</v>
      </c>
      <c r="K10" s="22">
        <v>0</v>
      </c>
    </row>
    <row r="11" spans="1:11" x14ac:dyDescent="0.25">
      <c r="A11" s="3">
        <f t="shared" si="0"/>
        <v>10</v>
      </c>
      <c r="B11" s="15" t="s">
        <v>425</v>
      </c>
      <c r="C11" s="16">
        <f t="shared" si="1"/>
        <v>43399</v>
      </c>
      <c r="D11" s="22">
        <v>0</v>
      </c>
      <c r="E11" s="22">
        <v>0</v>
      </c>
      <c r="F11" s="22">
        <v>0</v>
      </c>
      <c r="G11" s="22">
        <v>0</v>
      </c>
      <c r="H11" s="22">
        <v>0</v>
      </c>
      <c r="I11" s="22">
        <v>0</v>
      </c>
      <c r="J11" s="22">
        <v>0</v>
      </c>
      <c r="K11" s="22">
        <v>0</v>
      </c>
    </row>
    <row r="12" spans="1:11" x14ac:dyDescent="0.25">
      <c r="A12" s="3">
        <f t="shared" si="0"/>
        <v>11</v>
      </c>
      <c r="B12" s="15" t="s">
        <v>421</v>
      </c>
      <c r="C12" s="16">
        <f>C7+7</f>
        <v>43402</v>
      </c>
      <c r="D12" s="22">
        <v>0</v>
      </c>
      <c r="E12" s="22">
        <v>0</v>
      </c>
      <c r="F12" s="22">
        <v>0</v>
      </c>
      <c r="G12" s="22">
        <v>0</v>
      </c>
      <c r="H12" s="22">
        <v>0</v>
      </c>
      <c r="I12" s="22">
        <v>0</v>
      </c>
      <c r="J12" s="22">
        <v>0</v>
      </c>
      <c r="K12" s="22">
        <v>0</v>
      </c>
    </row>
    <row r="13" spans="1:11" x14ac:dyDescent="0.25">
      <c r="A13" s="3">
        <f t="shared" si="0"/>
        <v>12</v>
      </c>
      <c r="B13" s="15" t="s">
        <v>422</v>
      </c>
      <c r="C13" s="16">
        <f t="shared" si="1"/>
        <v>43403</v>
      </c>
      <c r="D13" s="22">
        <v>0</v>
      </c>
      <c r="E13" s="22">
        <v>0</v>
      </c>
      <c r="F13" s="22">
        <v>0</v>
      </c>
      <c r="G13" s="22">
        <v>0</v>
      </c>
      <c r="H13" s="22">
        <v>0</v>
      </c>
      <c r="I13" s="22">
        <v>0</v>
      </c>
      <c r="J13" s="22">
        <v>0</v>
      </c>
      <c r="K13" s="22">
        <v>0</v>
      </c>
    </row>
    <row r="14" spans="1:11" x14ac:dyDescent="0.25">
      <c r="A14" s="3">
        <f t="shared" si="0"/>
        <v>13</v>
      </c>
      <c r="B14" s="15" t="s">
        <v>423</v>
      </c>
      <c r="C14" s="16">
        <f t="shared" si="1"/>
        <v>43404</v>
      </c>
      <c r="D14" s="22">
        <v>0</v>
      </c>
      <c r="E14" s="22">
        <v>0</v>
      </c>
      <c r="F14" s="22">
        <v>0</v>
      </c>
      <c r="G14" s="22">
        <v>0</v>
      </c>
      <c r="H14" s="22">
        <v>0</v>
      </c>
      <c r="I14" s="22">
        <v>0</v>
      </c>
      <c r="J14" s="22">
        <v>0</v>
      </c>
      <c r="K14" s="22">
        <v>0</v>
      </c>
    </row>
    <row r="15" spans="1:11" x14ac:dyDescent="0.25">
      <c r="A15" s="3">
        <f t="shared" si="0"/>
        <v>14</v>
      </c>
      <c r="B15" s="15" t="s">
        <v>424</v>
      </c>
      <c r="C15" s="16">
        <f t="shared" si="1"/>
        <v>43405</v>
      </c>
      <c r="D15" s="22">
        <v>0</v>
      </c>
      <c r="E15" s="22">
        <v>0</v>
      </c>
      <c r="F15" s="22">
        <v>0</v>
      </c>
      <c r="G15" s="22">
        <v>0</v>
      </c>
      <c r="H15" s="22">
        <v>0</v>
      </c>
      <c r="I15" s="22">
        <v>0</v>
      </c>
      <c r="J15" s="22">
        <v>0</v>
      </c>
      <c r="K15" s="22">
        <v>0</v>
      </c>
    </row>
    <row r="16" spans="1:11" x14ac:dyDescent="0.25">
      <c r="A16" s="3">
        <f t="shared" si="0"/>
        <v>15</v>
      </c>
      <c r="B16" s="15" t="s">
        <v>425</v>
      </c>
      <c r="C16" s="16">
        <f t="shared" si="1"/>
        <v>43406</v>
      </c>
      <c r="D16" s="22">
        <v>0</v>
      </c>
      <c r="E16" s="22">
        <v>0</v>
      </c>
      <c r="F16" s="22">
        <v>0</v>
      </c>
      <c r="G16" s="22">
        <v>0</v>
      </c>
      <c r="H16" s="22">
        <v>0</v>
      </c>
      <c r="I16" s="22">
        <v>0</v>
      </c>
      <c r="J16" s="22">
        <v>0</v>
      </c>
      <c r="K16" s="22">
        <v>0</v>
      </c>
    </row>
    <row r="17" spans="1:11" x14ac:dyDescent="0.25">
      <c r="A17" s="3">
        <f t="shared" si="0"/>
        <v>16</v>
      </c>
      <c r="B17" s="15" t="s">
        <v>421</v>
      </c>
      <c r="C17" s="16">
        <f>C12+7</f>
        <v>43409</v>
      </c>
      <c r="D17" s="22">
        <v>0</v>
      </c>
      <c r="E17" s="22">
        <v>0</v>
      </c>
      <c r="F17" s="22">
        <v>0</v>
      </c>
      <c r="G17" s="22">
        <v>0</v>
      </c>
      <c r="H17" s="22">
        <v>0</v>
      </c>
      <c r="I17" s="22">
        <v>0</v>
      </c>
      <c r="J17" s="22">
        <v>0</v>
      </c>
      <c r="K17" s="22">
        <v>0</v>
      </c>
    </row>
    <row r="18" spans="1:11" x14ac:dyDescent="0.25">
      <c r="A18" s="3">
        <f t="shared" si="0"/>
        <v>17</v>
      </c>
      <c r="B18" s="15" t="s">
        <v>422</v>
      </c>
      <c r="C18" s="16">
        <f t="shared" si="1"/>
        <v>43410</v>
      </c>
      <c r="D18" s="22">
        <v>0</v>
      </c>
      <c r="E18" s="22">
        <v>0</v>
      </c>
      <c r="F18" s="22">
        <v>0</v>
      </c>
      <c r="G18" s="22">
        <v>0</v>
      </c>
      <c r="H18" s="22">
        <v>0</v>
      </c>
      <c r="I18" s="22">
        <v>0</v>
      </c>
      <c r="J18" s="22">
        <v>0</v>
      </c>
      <c r="K18" s="22">
        <v>0</v>
      </c>
    </row>
    <row r="19" spans="1:11" x14ac:dyDescent="0.25">
      <c r="A19" s="3">
        <f t="shared" si="0"/>
        <v>18</v>
      </c>
      <c r="B19" s="15" t="s">
        <v>423</v>
      </c>
      <c r="C19" s="16">
        <f t="shared" si="1"/>
        <v>43411</v>
      </c>
      <c r="D19" s="22">
        <v>0</v>
      </c>
      <c r="E19" s="22">
        <v>0</v>
      </c>
      <c r="F19" s="22">
        <v>0</v>
      </c>
      <c r="G19" s="22">
        <v>0</v>
      </c>
      <c r="H19" s="22">
        <v>0</v>
      </c>
      <c r="I19" s="22">
        <v>0</v>
      </c>
      <c r="J19" s="22">
        <v>0</v>
      </c>
      <c r="K19" s="22">
        <v>0</v>
      </c>
    </row>
    <row r="20" spans="1:11" x14ac:dyDescent="0.25">
      <c r="A20" s="3">
        <f t="shared" si="0"/>
        <v>19</v>
      </c>
      <c r="B20" s="15" t="s">
        <v>424</v>
      </c>
      <c r="C20" s="16">
        <f t="shared" si="1"/>
        <v>43412</v>
      </c>
      <c r="D20" s="22">
        <v>0</v>
      </c>
      <c r="E20" s="22">
        <v>0</v>
      </c>
      <c r="F20" s="22">
        <v>0</v>
      </c>
      <c r="G20" s="22">
        <v>0</v>
      </c>
      <c r="H20" s="22">
        <v>0</v>
      </c>
      <c r="I20" s="22">
        <v>0</v>
      </c>
      <c r="J20" s="22">
        <v>0</v>
      </c>
      <c r="K20" s="22">
        <v>0</v>
      </c>
    </row>
    <row r="21" spans="1:11" x14ac:dyDescent="0.25">
      <c r="A21" s="3">
        <f t="shared" si="0"/>
        <v>20</v>
      </c>
      <c r="B21" s="15" t="s">
        <v>425</v>
      </c>
      <c r="C21" s="16">
        <f t="shared" si="1"/>
        <v>43413</v>
      </c>
      <c r="D21" s="22">
        <v>0</v>
      </c>
      <c r="E21" s="22">
        <v>0</v>
      </c>
      <c r="F21" s="22">
        <v>0</v>
      </c>
      <c r="G21" s="22">
        <v>0</v>
      </c>
      <c r="H21" s="22">
        <v>0</v>
      </c>
      <c r="I21" s="22">
        <v>0</v>
      </c>
      <c r="J21" s="22">
        <v>0</v>
      </c>
      <c r="K21" s="22">
        <v>0</v>
      </c>
    </row>
    <row r="22" spans="1:11" x14ac:dyDescent="0.25">
      <c r="A22" s="3">
        <f t="shared" si="0"/>
        <v>21</v>
      </c>
      <c r="B22" s="15" t="s">
        <v>421</v>
      </c>
      <c r="C22" s="16">
        <f>C17+7</f>
        <v>43416</v>
      </c>
      <c r="D22" s="22">
        <v>0</v>
      </c>
      <c r="E22" s="22">
        <v>0</v>
      </c>
      <c r="F22" s="22">
        <v>0</v>
      </c>
      <c r="G22" s="22">
        <v>0</v>
      </c>
      <c r="H22" s="22">
        <v>0</v>
      </c>
      <c r="I22" s="22">
        <v>0</v>
      </c>
      <c r="J22" s="22">
        <v>0</v>
      </c>
      <c r="K22" s="22">
        <v>0</v>
      </c>
    </row>
    <row r="23" spans="1:11" x14ac:dyDescent="0.25">
      <c r="A23" s="3">
        <f t="shared" si="0"/>
        <v>22</v>
      </c>
      <c r="B23" s="15" t="s">
        <v>422</v>
      </c>
      <c r="C23" s="16">
        <f t="shared" si="1"/>
        <v>43417</v>
      </c>
      <c r="D23" s="22">
        <v>0</v>
      </c>
      <c r="E23" s="22">
        <v>0</v>
      </c>
      <c r="F23" s="22">
        <v>0</v>
      </c>
      <c r="G23" s="22">
        <v>0</v>
      </c>
      <c r="H23" s="22">
        <v>0</v>
      </c>
      <c r="I23" s="22">
        <v>0</v>
      </c>
      <c r="J23" s="22">
        <v>0</v>
      </c>
      <c r="K23" s="22">
        <v>0</v>
      </c>
    </row>
    <row r="24" spans="1:11" x14ac:dyDescent="0.25">
      <c r="A24" s="3">
        <f t="shared" si="0"/>
        <v>23</v>
      </c>
      <c r="B24" s="15" t="s">
        <v>423</v>
      </c>
      <c r="C24" s="16">
        <f t="shared" si="1"/>
        <v>43418</v>
      </c>
      <c r="D24" s="22">
        <v>0</v>
      </c>
      <c r="E24" s="22">
        <v>0</v>
      </c>
      <c r="F24" s="22">
        <v>0</v>
      </c>
      <c r="G24" s="22">
        <v>0</v>
      </c>
      <c r="H24" s="22">
        <v>0</v>
      </c>
      <c r="I24" s="22">
        <v>0</v>
      </c>
      <c r="J24" s="22">
        <v>0</v>
      </c>
      <c r="K24" s="22">
        <v>0</v>
      </c>
    </row>
    <row r="25" spans="1:11" x14ac:dyDescent="0.25">
      <c r="A25" s="3">
        <f t="shared" si="0"/>
        <v>24</v>
      </c>
      <c r="B25" s="15" t="s">
        <v>424</v>
      </c>
      <c r="C25" s="16">
        <f t="shared" si="1"/>
        <v>43419</v>
      </c>
      <c r="D25" s="22">
        <v>0</v>
      </c>
      <c r="E25" s="22">
        <v>0</v>
      </c>
      <c r="F25" s="22">
        <v>0</v>
      </c>
      <c r="G25" s="22">
        <v>0</v>
      </c>
      <c r="H25" s="22">
        <v>0</v>
      </c>
      <c r="I25" s="22">
        <v>0</v>
      </c>
      <c r="J25" s="22">
        <v>0</v>
      </c>
      <c r="K25" s="22">
        <v>0</v>
      </c>
    </row>
    <row r="26" spans="1:11" x14ac:dyDescent="0.25">
      <c r="A26" s="3">
        <f t="shared" si="0"/>
        <v>25</v>
      </c>
      <c r="B26" s="15" t="s">
        <v>425</v>
      </c>
      <c r="C26" s="16">
        <f t="shared" si="1"/>
        <v>43420</v>
      </c>
      <c r="D26" s="22">
        <v>0</v>
      </c>
      <c r="E26" s="22">
        <v>0</v>
      </c>
      <c r="F26" s="22">
        <v>0</v>
      </c>
      <c r="G26" s="22">
        <v>0</v>
      </c>
      <c r="H26" s="22">
        <v>0</v>
      </c>
      <c r="I26" s="22">
        <v>0</v>
      </c>
      <c r="J26" s="22">
        <v>0</v>
      </c>
      <c r="K26" s="22">
        <v>0</v>
      </c>
    </row>
    <row r="27" spans="1:11" x14ac:dyDescent="0.25">
      <c r="A27" s="3">
        <f t="shared" si="0"/>
        <v>26</v>
      </c>
      <c r="B27" s="15" t="s">
        <v>421</v>
      </c>
      <c r="C27" s="16">
        <f>C22+7</f>
        <v>43423</v>
      </c>
      <c r="D27" s="22">
        <v>0</v>
      </c>
      <c r="E27" s="22">
        <v>0</v>
      </c>
      <c r="F27" s="22">
        <v>0</v>
      </c>
      <c r="G27" s="22">
        <v>0</v>
      </c>
      <c r="H27" s="22">
        <v>0</v>
      </c>
      <c r="I27" s="22">
        <v>0</v>
      </c>
      <c r="J27" s="22">
        <v>0</v>
      </c>
      <c r="K27" s="22">
        <v>0</v>
      </c>
    </row>
    <row r="28" spans="1:11" x14ac:dyDescent="0.25">
      <c r="A28" s="3">
        <f t="shared" si="0"/>
        <v>27</v>
      </c>
      <c r="B28" s="15" t="s">
        <v>422</v>
      </c>
      <c r="C28" s="16">
        <f t="shared" si="1"/>
        <v>43424</v>
      </c>
      <c r="D28" s="22">
        <v>0</v>
      </c>
      <c r="E28" s="22">
        <v>0</v>
      </c>
      <c r="F28" s="22">
        <v>0</v>
      </c>
      <c r="G28" s="22">
        <v>0</v>
      </c>
      <c r="H28" s="22">
        <v>0</v>
      </c>
      <c r="I28" s="22">
        <v>0</v>
      </c>
      <c r="J28" s="22">
        <v>0</v>
      </c>
      <c r="K28" s="22">
        <v>0</v>
      </c>
    </row>
    <row r="29" spans="1:11" x14ac:dyDescent="0.25">
      <c r="A29" s="3">
        <f t="shared" si="0"/>
        <v>28</v>
      </c>
      <c r="B29" s="15" t="s">
        <v>423</v>
      </c>
      <c r="C29" s="16">
        <f t="shared" si="1"/>
        <v>43425</v>
      </c>
      <c r="D29" s="22">
        <v>0</v>
      </c>
      <c r="E29" s="22">
        <v>0</v>
      </c>
      <c r="F29" s="22">
        <v>0</v>
      </c>
      <c r="G29" s="22">
        <v>0</v>
      </c>
      <c r="H29" s="22">
        <v>0</v>
      </c>
      <c r="I29" s="22">
        <v>0</v>
      </c>
      <c r="J29" s="22">
        <v>0</v>
      </c>
      <c r="K29" s="22">
        <v>0</v>
      </c>
    </row>
    <row r="30" spans="1:11" x14ac:dyDescent="0.25">
      <c r="A30" s="3">
        <f t="shared" si="0"/>
        <v>29</v>
      </c>
      <c r="B30" s="15" t="s">
        <v>424</v>
      </c>
      <c r="C30" s="16">
        <f t="shared" si="1"/>
        <v>43426</v>
      </c>
      <c r="D30" s="22">
        <v>0</v>
      </c>
      <c r="E30" s="22">
        <v>0</v>
      </c>
      <c r="F30" s="22">
        <v>0</v>
      </c>
      <c r="G30" s="22">
        <v>0</v>
      </c>
      <c r="H30" s="22">
        <v>0</v>
      </c>
      <c r="I30" s="22">
        <v>0</v>
      </c>
      <c r="J30" s="22">
        <v>0</v>
      </c>
      <c r="K30" s="22">
        <v>0</v>
      </c>
    </row>
    <row r="31" spans="1:11" x14ac:dyDescent="0.25">
      <c r="A31" s="3">
        <f t="shared" si="0"/>
        <v>30</v>
      </c>
      <c r="B31" s="15" t="s">
        <v>425</v>
      </c>
      <c r="C31" s="16">
        <f t="shared" si="1"/>
        <v>43427</v>
      </c>
      <c r="D31" s="22">
        <v>0</v>
      </c>
      <c r="E31" s="22">
        <v>0</v>
      </c>
      <c r="F31" s="22">
        <v>0</v>
      </c>
      <c r="G31" s="22">
        <v>0</v>
      </c>
      <c r="H31" s="22">
        <v>0</v>
      </c>
      <c r="I31" s="22">
        <v>0</v>
      </c>
      <c r="J31" s="22">
        <v>0</v>
      </c>
      <c r="K31" s="22">
        <v>0</v>
      </c>
    </row>
    <row r="32" spans="1:11" x14ac:dyDescent="0.25">
      <c r="A32" s="3">
        <f t="shared" si="0"/>
        <v>31</v>
      </c>
      <c r="B32" s="15" t="s">
        <v>421</v>
      </c>
      <c r="C32" s="16">
        <f>C27+7</f>
        <v>43430</v>
      </c>
      <c r="D32" s="22">
        <v>0</v>
      </c>
      <c r="E32" s="22">
        <v>0</v>
      </c>
      <c r="F32" s="22">
        <v>0</v>
      </c>
      <c r="G32" s="22">
        <v>0</v>
      </c>
      <c r="H32" s="22">
        <v>0</v>
      </c>
      <c r="I32" s="22">
        <v>0</v>
      </c>
      <c r="J32" s="22">
        <v>0</v>
      </c>
      <c r="K32" s="22">
        <v>0</v>
      </c>
    </row>
    <row r="33" spans="1:11" x14ac:dyDescent="0.25">
      <c r="A33" s="3">
        <f t="shared" si="0"/>
        <v>32</v>
      </c>
      <c r="B33" s="15" t="s">
        <v>422</v>
      </c>
      <c r="C33" s="16">
        <f t="shared" si="1"/>
        <v>43431</v>
      </c>
      <c r="D33" s="22">
        <v>0</v>
      </c>
      <c r="E33" s="22">
        <v>0</v>
      </c>
      <c r="F33" s="22">
        <v>0</v>
      </c>
      <c r="G33" s="22">
        <v>0</v>
      </c>
      <c r="H33" s="22">
        <v>0</v>
      </c>
      <c r="I33" s="22">
        <v>0</v>
      </c>
      <c r="J33" s="22">
        <v>0</v>
      </c>
      <c r="K33" s="22">
        <v>0</v>
      </c>
    </row>
    <row r="34" spans="1:11" x14ac:dyDescent="0.25">
      <c r="A34" s="3">
        <f t="shared" si="0"/>
        <v>33</v>
      </c>
      <c r="B34" s="15" t="s">
        <v>423</v>
      </c>
      <c r="C34" s="16">
        <f t="shared" si="1"/>
        <v>43432</v>
      </c>
      <c r="D34" s="22">
        <v>0</v>
      </c>
      <c r="E34" s="22">
        <v>0</v>
      </c>
      <c r="F34" s="22">
        <v>0</v>
      </c>
      <c r="G34" s="22">
        <v>0</v>
      </c>
      <c r="H34" s="22">
        <v>0</v>
      </c>
      <c r="I34" s="22">
        <v>0</v>
      </c>
      <c r="J34" s="22">
        <v>0</v>
      </c>
      <c r="K34" s="22">
        <v>0</v>
      </c>
    </row>
    <row r="35" spans="1:11" x14ac:dyDescent="0.25">
      <c r="A35" s="3">
        <f t="shared" si="0"/>
        <v>34</v>
      </c>
      <c r="B35" s="15" t="s">
        <v>424</v>
      </c>
      <c r="C35" s="16">
        <f t="shared" si="1"/>
        <v>43433</v>
      </c>
      <c r="D35" s="22">
        <v>0</v>
      </c>
      <c r="E35" s="22">
        <v>0</v>
      </c>
      <c r="F35" s="22">
        <v>0</v>
      </c>
      <c r="G35" s="22">
        <v>0</v>
      </c>
      <c r="H35" s="22">
        <v>0</v>
      </c>
      <c r="I35" s="22">
        <v>0</v>
      </c>
      <c r="J35" s="22">
        <v>0</v>
      </c>
      <c r="K35" s="22">
        <v>0</v>
      </c>
    </row>
    <row r="36" spans="1:11" x14ac:dyDescent="0.25">
      <c r="A36" s="3">
        <f t="shared" si="0"/>
        <v>35</v>
      </c>
      <c r="B36" s="15" t="s">
        <v>425</v>
      </c>
      <c r="C36" s="16">
        <f t="shared" si="1"/>
        <v>43434</v>
      </c>
      <c r="D36" s="22">
        <v>0</v>
      </c>
      <c r="E36" s="22">
        <v>0</v>
      </c>
      <c r="F36" s="22">
        <v>0</v>
      </c>
      <c r="G36" s="22">
        <v>0</v>
      </c>
      <c r="H36" s="22">
        <v>0</v>
      </c>
      <c r="I36" s="22">
        <v>0</v>
      </c>
      <c r="J36" s="22">
        <v>0</v>
      </c>
      <c r="K36" s="22">
        <v>0</v>
      </c>
    </row>
    <row r="37" spans="1:11" x14ac:dyDescent="0.25">
      <c r="A37" s="3">
        <f t="shared" si="0"/>
        <v>36</v>
      </c>
      <c r="B37" s="15" t="s">
        <v>421</v>
      </c>
      <c r="C37" s="16">
        <f>C32+7</f>
        <v>43437</v>
      </c>
      <c r="D37" s="22">
        <v>0</v>
      </c>
      <c r="E37" s="22">
        <v>0</v>
      </c>
      <c r="F37" s="22">
        <v>0</v>
      </c>
      <c r="G37" s="22">
        <v>0</v>
      </c>
      <c r="H37" s="22">
        <v>0</v>
      </c>
      <c r="I37" s="22">
        <v>0</v>
      </c>
      <c r="J37" s="22">
        <v>0</v>
      </c>
      <c r="K37" s="22">
        <v>0</v>
      </c>
    </row>
    <row r="38" spans="1:11" x14ac:dyDescent="0.25">
      <c r="A38" s="3">
        <f t="shared" si="0"/>
        <v>37</v>
      </c>
      <c r="B38" s="15" t="s">
        <v>422</v>
      </c>
      <c r="C38" s="16">
        <f t="shared" si="1"/>
        <v>43438</v>
      </c>
      <c r="D38" s="22">
        <v>2</v>
      </c>
      <c r="E38" s="22">
        <v>2</v>
      </c>
      <c r="F38" s="22">
        <v>4</v>
      </c>
      <c r="G38" s="22">
        <v>5</v>
      </c>
      <c r="H38" s="22">
        <v>1</v>
      </c>
      <c r="I38" s="22">
        <v>0</v>
      </c>
      <c r="J38" s="22">
        <v>0</v>
      </c>
      <c r="K38" s="22">
        <v>6</v>
      </c>
    </row>
    <row r="39" spans="1:11" x14ac:dyDescent="0.25">
      <c r="A39" s="3">
        <f t="shared" si="0"/>
        <v>38</v>
      </c>
      <c r="B39" s="15" t="s">
        <v>423</v>
      </c>
      <c r="C39" s="16">
        <f t="shared" si="1"/>
        <v>43439</v>
      </c>
      <c r="D39" s="22">
        <v>2</v>
      </c>
      <c r="E39" s="22">
        <v>2</v>
      </c>
      <c r="F39" s="22">
        <v>4</v>
      </c>
      <c r="G39" s="22">
        <v>5</v>
      </c>
      <c r="H39" s="22">
        <v>1</v>
      </c>
      <c r="I39" s="22">
        <v>0</v>
      </c>
      <c r="J39" s="22">
        <v>0</v>
      </c>
      <c r="K39" s="22">
        <v>6</v>
      </c>
    </row>
    <row r="40" spans="1:11" x14ac:dyDescent="0.25">
      <c r="A40" s="3">
        <f t="shared" si="0"/>
        <v>39</v>
      </c>
      <c r="B40" s="15" t="s">
        <v>424</v>
      </c>
      <c r="C40" s="16">
        <f t="shared" si="1"/>
        <v>43440</v>
      </c>
      <c r="D40" s="22">
        <v>2</v>
      </c>
      <c r="E40" s="22">
        <v>2</v>
      </c>
      <c r="F40" s="22">
        <v>4</v>
      </c>
      <c r="G40" s="22">
        <v>5</v>
      </c>
      <c r="H40" s="22">
        <v>1</v>
      </c>
      <c r="I40" s="22">
        <v>0</v>
      </c>
      <c r="J40" s="22">
        <v>0</v>
      </c>
      <c r="K40" s="22">
        <v>6</v>
      </c>
    </row>
    <row r="41" spans="1:11" x14ac:dyDescent="0.25">
      <c r="A41" s="3">
        <f t="shared" si="0"/>
        <v>40</v>
      </c>
      <c r="B41" s="15" t="s">
        <v>425</v>
      </c>
      <c r="C41" s="16">
        <f t="shared" si="1"/>
        <v>43441</v>
      </c>
      <c r="D41" s="22">
        <v>2</v>
      </c>
      <c r="E41" s="22">
        <v>2</v>
      </c>
      <c r="F41" s="22">
        <v>4</v>
      </c>
      <c r="G41" s="22">
        <v>5</v>
      </c>
      <c r="H41" s="22">
        <v>1</v>
      </c>
      <c r="I41" s="22">
        <v>0</v>
      </c>
      <c r="J41" s="22">
        <v>0</v>
      </c>
      <c r="K41" s="22">
        <v>6</v>
      </c>
    </row>
    <row r="42" spans="1:11" x14ac:dyDescent="0.25">
      <c r="A42" s="3">
        <f t="shared" si="0"/>
        <v>41</v>
      </c>
      <c r="B42" s="15" t="s">
        <v>421</v>
      </c>
      <c r="C42" s="16">
        <f>C37+7</f>
        <v>43444</v>
      </c>
      <c r="D42" s="22">
        <v>2</v>
      </c>
      <c r="E42" s="22">
        <v>2</v>
      </c>
      <c r="F42" s="22">
        <v>4</v>
      </c>
      <c r="G42" s="22">
        <v>5</v>
      </c>
      <c r="H42" s="22">
        <v>1</v>
      </c>
      <c r="I42" s="22">
        <v>0</v>
      </c>
      <c r="J42" s="22">
        <v>0</v>
      </c>
      <c r="K42" s="22">
        <v>6</v>
      </c>
    </row>
    <row r="43" spans="1:11" x14ac:dyDescent="0.25">
      <c r="A43" s="3">
        <f t="shared" si="0"/>
        <v>42</v>
      </c>
      <c r="B43" s="15" t="s">
        <v>422</v>
      </c>
      <c r="C43" s="16">
        <f t="shared" si="1"/>
        <v>43445</v>
      </c>
      <c r="D43" s="22">
        <v>2</v>
      </c>
      <c r="E43" s="22">
        <v>2</v>
      </c>
      <c r="F43" s="22">
        <v>4</v>
      </c>
      <c r="G43" s="22">
        <v>5</v>
      </c>
      <c r="H43" s="22">
        <v>1</v>
      </c>
      <c r="I43" s="22">
        <v>0</v>
      </c>
      <c r="J43" s="22">
        <v>0</v>
      </c>
      <c r="K43" s="22">
        <v>6</v>
      </c>
    </row>
    <row r="44" spans="1:11" x14ac:dyDescent="0.25">
      <c r="A44" s="3">
        <f t="shared" si="0"/>
        <v>43</v>
      </c>
      <c r="B44" s="15" t="s">
        <v>423</v>
      </c>
      <c r="C44" s="16">
        <f t="shared" si="1"/>
        <v>43446</v>
      </c>
      <c r="D44" s="22">
        <v>2</v>
      </c>
      <c r="E44" s="22">
        <v>1</v>
      </c>
      <c r="F44" s="22">
        <v>4</v>
      </c>
      <c r="G44" s="22">
        <v>2</v>
      </c>
      <c r="H44" s="22">
        <v>2</v>
      </c>
      <c r="I44" s="22">
        <v>0</v>
      </c>
      <c r="J44" s="22">
        <v>0</v>
      </c>
      <c r="K44" s="22">
        <v>11</v>
      </c>
    </row>
    <row r="45" spans="1:11" x14ac:dyDescent="0.25">
      <c r="A45" s="3">
        <f t="shared" si="0"/>
        <v>44</v>
      </c>
      <c r="B45" s="15" t="s">
        <v>424</v>
      </c>
      <c r="C45" s="16">
        <f t="shared" si="1"/>
        <v>43447</v>
      </c>
      <c r="D45" s="22">
        <v>2</v>
      </c>
      <c r="E45" s="22">
        <v>1</v>
      </c>
      <c r="F45" s="22">
        <v>4</v>
      </c>
      <c r="G45" s="22">
        <v>2</v>
      </c>
      <c r="H45" s="22">
        <v>2</v>
      </c>
      <c r="I45" s="22">
        <v>0</v>
      </c>
      <c r="J45" s="22">
        <v>0</v>
      </c>
      <c r="K45" s="22">
        <v>11</v>
      </c>
    </row>
    <row r="46" spans="1:11" x14ac:dyDescent="0.25">
      <c r="A46" s="3">
        <f t="shared" si="0"/>
        <v>45</v>
      </c>
      <c r="B46" s="15" t="s">
        <v>425</v>
      </c>
      <c r="C46" s="16">
        <f t="shared" si="1"/>
        <v>43448</v>
      </c>
      <c r="D46" s="22">
        <v>2</v>
      </c>
      <c r="E46" s="22">
        <v>1</v>
      </c>
      <c r="F46" s="22">
        <v>4</v>
      </c>
      <c r="G46" s="22">
        <v>2</v>
      </c>
      <c r="H46" s="22">
        <v>2</v>
      </c>
      <c r="I46" s="22">
        <v>0</v>
      </c>
      <c r="J46" s="22">
        <v>0</v>
      </c>
      <c r="K46" s="22">
        <v>11</v>
      </c>
    </row>
    <row r="47" spans="1:11" x14ac:dyDescent="0.25">
      <c r="A47" s="3">
        <f t="shared" si="0"/>
        <v>46</v>
      </c>
      <c r="B47" s="15" t="s">
        <v>421</v>
      </c>
      <c r="C47" s="16">
        <f>C42+7</f>
        <v>43451</v>
      </c>
      <c r="D47" s="22">
        <v>2</v>
      </c>
      <c r="E47" s="22">
        <v>1</v>
      </c>
      <c r="F47" s="22">
        <v>4</v>
      </c>
      <c r="G47" s="22">
        <v>2</v>
      </c>
      <c r="H47" s="22">
        <v>2</v>
      </c>
      <c r="I47" s="22">
        <v>0</v>
      </c>
      <c r="J47" s="22">
        <v>0</v>
      </c>
      <c r="K47" s="22">
        <v>11</v>
      </c>
    </row>
    <row r="48" spans="1:11" x14ac:dyDescent="0.25">
      <c r="A48" s="3">
        <f t="shared" si="0"/>
        <v>47</v>
      </c>
      <c r="B48" s="15" t="s">
        <v>422</v>
      </c>
      <c r="C48" s="16">
        <f t="shared" si="1"/>
        <v>43452</v>
      </c>
      <c r="D48" s="22">
        <v>2</v>
      </c>
      <c r="E48" s="22">
        <v>1</v>
      </c>
      <c r="F48" s="22">
        <v>4</v>
      </c>
      <c r="G48" s="22">
        <v>2</v>
      </c>
      <c r="H48" s="22">
        <v>2</v>
      </c>
      <c r="I48" s="22">
        <v>0</v>
      </c>
      <c r="J48" s="22">
        <v>0</v>
      </c>
      <c r="K48" s="22">
        <v>11</v>
      </c>
    </row>
    <row r="49" spans="1:11" x14ac:dyDescent="0.25">
      <c r="A49" s="3">
        <f t="shared" si="0"/>
        <v>48</v>
      </c>
      <c r="B49" s="15" t="s">
        <v>423</v>
      </c>
      <c r="C49" s="16">
        <f t="shared" si="1"/>
        <v>43453</v>
      </c>
      <c r="D49" s="22">
        <v>2</v>
      </c>
      <c r="E49" s="22">
        <v>1</v>
      </c>
      <c r="F49" s="22">
        <v>4</v>
      </c>
      <c r="G49" s="22">
        <v>2</v>
      </c>
      <c r="H49" s="22">
        <v>2</v>
      </c>
      <c r="I49" s="22">
        <v>0</v>
      </c>
      <c r="J49" s="22">
        <v>0</v>
      </c>
      <c r="K49" s="22">
        <v>11</v>
      </c>
    </row>
    <row r="50" spans="1:11" x14ac:dyDescent="0.25">
      <c r="A50" s="3">
        <f t="shared" si="0"/>
        <v>49</v>
      </c>
      <c r="B50" s="15" t="s">
        <v>424</v>
      </c>
      <c r="C50" s="16">
        <f t="shared" si="1"/>
        <v>43454</v>
      </c>
      <c r="D50" s="22">
        <v>2</v>
      </c>
      <c r="E50" s="22">
        <v>1</v>
      </c>
      <c r="F50" s="22">
        <v>4</v>
      </c>
      <c r="G50" s="22">
        <v>2</v>
      </c>
      <c r="H50" s="22">
        <v>2</v>
      </c>
      <c r="I50" s="22">
        <v>0</v>
      </c>
      <c r="J50" s="22">
        <v>0</v>
      </c>
      <c r="K50" s="22">
        <v>11</v>
      </c>
    </row>
    <row r="51" spans="1:11" x14ac:dyDescent="0.25">
      <c r="A51" s="3">
        <f t="shared" si="0"/>
        <v>50</v>
      </c>
      <c r="B51" s="15" t="s">
        <v>425</v>
      </c>
      <c r="C51" s="16">
        <f t="shared" si="1"/>
        <v>43455</v>
      </c>
      <c r="D51" s="22">
        <v>2</v>
      </c>
      <c r="E51" s="22">
        <v>1</v>
      </c>
      <c r="F51" s="22">
        <v>4</v>
      </c>
      <c r="G51" s="22">
        <v>2</v>
      </c>
      <c r="H51" s="22">
        <v>2</v>
      </c>
      <c r="I51" s="22">
        <v>0</v>
      </c>
      <c r="J51" s="22">
        <v>0</v>
      </c>
      <c r="K51" s="22">
        <v>11</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8" tint="-0.249977111117893"/>
  </sheetPr>
  <dimension ref="A1:K51"/>
  <sheetViews>
    <sheetView topLeftCell="A10" workbookViewId="0">
      <selection activeCell="R48" sqref="R48"/>
    </sheetView>
  </sheetViews>
  <sheetFormatPr defaultColWidth="8.875" defaultRowHeight="15" x14ac:dyDescent="0.25"/>
  <cols>
    <col min="1" max="1" width="8.875" style="3"/>
    <col min="2" max="2" width="6.25" style="3" customWidth="1"/>
    <col min="3" max="3" width="12.125" style="3" customWidth="1"/>
    <col min="4" max="11" width="3" style="3" customWidth="1"/>
    <col min="12" max="16384" width="8.875" style="3"/>
  </cols>
  <sheetData>
    <row r="1" spans="1:11" ht="134.25" thickBot="1" x14ac:dyDescent="0.35">
      <c r="A1" s="4" t="s">
        <v>414</v>
      </c>
      <c r="B1" s="4"/>
      <c r="C1" s="4" t="s">
        <v>3</v>
      </c>
      <c r="D1" s="14" t="s">
        <v>415</v>
      </c>
      <c r="E1" s="14" t="s">
        <v>416</v>
      </c>
      <c r="F1" s="14" t="s">
        <v>417</v>
      </c>
      <c r="G1" s="14" t="s">
        <v>19</v>
      </c>
      <c r="H1" s="14" t="s">
        <v>418</v>
      </c>
      <c r="I1" s="14" t="s">
        <v>419</v>
      </c>
      <c r="J1" s="14" t="s">
        <v>420</v>
      </c>
      <c r="K1" s="14" t="s">
        <v>15</v>
      </c>
    </row>
    <row r="2" spans="1:11" ht="15.75" thickTop="1" x14ac:dyDescent="0.25">
      <c r="A2" s="3">
        <v>1</v>
      </c>
      <c r="B2" s="15" t="s">
        <v>421</v>
      </c>
      <c r="C2" s="16">
        <v>43388</v>
      </c>
      <c r="D2" s="22">
        <v>0</v>
      </c>
      <c r="E2" s="22">
        <v>0</v>
      </c>
      <c r="F2" s="22">
        <v>0</v>
      </c>
      <c r="G2" s="22">
        <v>0</v>
      </c>
      <c r="H2" s="22">
        <v>0</v>
      </c>
      <c r="I2" s="22">
        <v>0</v>
      </c>
      <c r="J2" s="22">
        <v>0</v>
      </c>
      <c r="K2" s="22">
        <v>0</v>
      </c>
    </row>
    <row r="3" spans="1:11" x14ac:dyDescent="0.25">
      <c r="A3" s="3">
        <f>A2+1</f>
        <v>2</v>
      </c>
      <c r="B3" s="15" t="s">
        <v>422</v>
      </c>
      <c r="C3" s="16">
        <f>C2+1</f>
        <v>43389</v>
      </c>
      <c r="D3" s="22">
        <v>0</v>
      </c>
      <c r="E3" s="22">
        <v>0</v>
      </c>
      <c r="F3" s="22">
        <v>0</v>
      </c>
      <c r="G3" s="22">
        <v>0</v>
      </c>
      <c r="H3" s="22">
        <v>0</v>
      </c>
      <c r="I3" s="22">
        <v>0</v>
      </c>
      <c r="J3" s="22">
        <v>0</v>
      </c>
      <c r="K3" s="22">
        <v>0</v>
      </c>
    </row>
    <row r="4" spans="1:11" x14ac:dyDescent="0.25">
      <c r="A4" s="3">
        <f t="shared" ref="A4:A51" si="0">A3+1</f>
        <v>3</v>
      </c>
      <c r="B4" s="15" t="s">
        <v>423</v>
      </c>
      <c r="C4" s="16">
        <f t="shared" ref="C4:C51" si="1">C3+1</f>
        <v>43390</v>
      </c>
      <c r="D4" s="22">
        <v>0</v>
      </c>
      <c r="E4" s="22">
        <v>0</v>
      </c>
      <c r="F4" s="22">
        <v>0</v>
      </c>
      <c r="G4" s="22">
        <v>0</v>
      </c>
      <c r="H4" s="22">
        <v>0</v>
      </c>
      <c r="I4" s="22">
        <v>0</v>
      </c>
      <c r="J4" s="22">
        <v>0</v>
      </c>
      <c r="K4" s="22">
        <v>0</v>
      </c>
    </row>
    <row r="5" spans="1:11" x14ac:dyDescent="0.25">
      <c r="A5" s="3">
        <f t="shared" si="0"/>
        <v>4</v>
      </c>
      <c r="B5" s="15" t="s">
        <v>424</v>
      </c>
      <c r="C5" s="16">
        <f t="shared" si="1"/>
        <v>43391</v>
      </c>
      <c r="D5" s="22">
        <v>0</v>
      </c>
      <c r="E5" s="22">
        <v>0</v>
      </c>
      <c r="F5" s="22">
        <v>0</v>
      </c>
      <c r="G5" s="22">
        <v>0</v>
      </c>
      <c r="H5" s="22">
        <v>0</v>
      </c>
      <c r="I5" s="22">
        <v>0</v>
      </c>
      <c r="J5" s="22">
        <v>0</v>
      </c>
      <c r="K5" s="22">
        <v>0</v>
      </c>
    </row>
    <row r="6" spans="1:11" x14ac:dyDescent="0.25">
      <c r="A6" s="3">
        <f t="shared" si="0"/>
        <v>5</v>
      </c>
      <c r="B6" s="15" t="s">
        <v>425</v>
      </c>
      <c r="C6" s="16">
        <f t="shared" si="1"/>
        <v>43392</v>
      </c>
      <c r="D6" s="22">
        <v>0</v>
      </c>
      <c r="E6" s="22">
        <v>0</v>
      </c>
      <c r="F6" s="22">
        <v>0</v>
      </c>
      <c r="G6" s="22">
        <v>0</v>
      </c>
      <c r="H6" s="22">
        <v>0</v>
      </c>
      <c r="I6" s="22">
        <v>0</v>
      </c>
      <c r="J6" s="22">
        <v>0</v>
      </c>
      <c r="K6" s="22">
        <v>0</v>
      </c>
    </row>
    <row r="7" spans="1:11" x14ac:dyDescent="0.25">
      <c r="A7" s="3">
        <f t="shared" si="0"/>
        <v>6</v>
      </c>
      <c r="B7" s="15" t="s">
        <v>421</v>
      </c>
      <c r="C7" s="16">
        <f>C2+7</f>
        <v>43395</v>
      </c>
      <c r="D7" s="22">
        <v>0</v>
      </c>
      <c r="E7" s="22">
        <v>0</v>
      </c>
      <c r="F7" s="22">
        <v>0</v>
      </c>
      <c r="G7" s="22">
        <v>0</v>
      </c>
      <c r="H7" s="22">
        <v>0</v>
      </c>
      <c r="I7" s="22">
        <v>0</v>
      </c>
      <c r="J7" s="22">
        <v>0</v>
      </c>
      <c r="K7" s="22">
        <v>0</v>
      </c>
    </row>
    <row r="8" spans="1:11" x14ac:dyDescent="0.25">
      <c r="A8" s="3">
        <f t="shared" si="0"/>
        <v>7</v>
      </c>
      <c r="B8" s="15" t="s">
        <v>422</v>
      </c>
      <c r="C8" s="16">
        <f t="shared" si="1"/>
        <v>43396</v>
      </c>
      <c r="D8" s="22">
        <v>0</v>
      </c>
      <c r="E8" s="22">
        <v>0</v>
      </c>
      <c r="F8" s="22">
        <v>0</v>
      </c>
      <c r="G8" s="22">
        <v>0</v>
      </c>
      <c r="H8" s="22">
        <v>0</v>
      </c>
      <c r="I8" s="22">
        <v>0</v>
      </c>
      <c r="J8" s="22">
        <v>0</v>
      </c>
      <c r="K8" s="22">
        <v>0</v>
      </c>
    </row>
    <row r="9" spans="1:11" x14ac:dyDescent="0.25">
      <c r="A9" s="3">
        <f t="shared" si="0"/>
        <v>8</v>
      </c>
      <c r="B9" s="15" t="s">
        <v>423</v>
      </c>
      <c r="C9" s="16">
        <f t="shared" si="1"/>
        <v>43397</v>
      </c>
      <c r="D9" s="22">
        <v>0</v>
      </c>
      <c r="E9" s="22">
        <v>0</v>
      </c>
      <c r="F9" s="22">
        <v>0</v>
      </c>
      <c r="G9" s="22">
        <v>0</v>
      </c>
      <c r="H9" s="22">
        <v>0</v>
      </c>
      <c r="I9" s="22">
        <v>0</v>
      </c>
      <c r="J9" s="22">
        <v>0</v>
      </c>
      <c r="K9" s="22">
        <v>0</v>
      </c>
    </row>
    <row r="10" spans="1:11" x14ac:dyDescent="0.25">
      <c r="A10" s="3">
        <f t="shared" si="0"/>
        <v>9</v>
      </c>
      <c r="B10" s="15" t="s">
        <v>424</v>
      </c>
      <c r="C10" s="16">
        <f t="shared" si="1"/>
        <v>43398</v>
      </c>
      <c r="D10" s="22">
        <v>0</v>
      </c>
      <c r="E10" s="22">
        <v>0</v>
      </c>
      <c r="F10" s="22">
        <v>0</v>
      </c>
      <c r="G10" s="22">
        <v>0</v>
      </c>
      <c r="H10" s="22">
        <v>0</v>
      </c>
      <c r="I10" s="22">
        <v>0</v>
      </c>
      <c r="J10" s="22">
        <v>0</v>
      </c>
      <c r="K10" s="22">
        <v>0</v>
      </c>
    </row>
    <row r="11" spans="1:11" x14ac:dyDescent="0.25">
      <c r="A11" s="3">
        <f t="shared" si="0"/>
        <v>10</v>
      </c>
      <c r="B11" s="15" t="s">
        <v>425</v>
      </c>
      <c r="C11" s="16">
        <f t="shared" si="1"/>
        <v>43399</v>
      </c>
      <c r="D11" s="22">
        <v>0</v>
      </c>
      <c r="E11" s="22">
        <v>0</v>
      </c>
      <c r="F11" s="22">
        <v>0</v>
      </c>
      <c r="G11" s="22">
        <v>0</v>
      </c>
      <c r="H11" s="22">
        <v>0</v>
      </c>
      <c r="I11" s="22">
        <v>0</v>
      </c>
      <c r="J11" s="22">
        <v>0</v>
      </c>
      <c r="K11" s="22">
        <v>0</v>
      </c>
    </row>
    <row r="12" spans="1:11" x14ac:dyDescent="0.25">
      <c r="A12" s="3">
        <f t="shared" si="0"/>
        <v>11</v>
      </c>
      <c r="B12" s="15" t="s">
        <v>421</v>
      </c>
      <c r="C12" s="16">
        <f>C7+7</f>
        <v>43402</v>
      </c>
      <c r="D12" s="22">
        <v>0</v>
      </c>
      <c r="E12" s="22">
        <v>0</v>
      </c>
      <c r="F12" s="22">
        <v>0</v>
      </c>
      <c r="G12" s="22">
        <v>0</v>
      </c>
      <c r="H12" s="22">
        <v>0</v>
      </c>
      <c r="I12" s="22">
        <v>0</v>
      </c>
      <c r="J12" s="22">
        <v>0</v>
      </c>
      <c r="K12" s="22">
        <v>0</v>
      </c>
    </row>
    <row r="13" spans="1:11" x14ac:dyDescent="0.25">
      <c r="A13" s="3">
        <f t="shared" si="0"/>
        <v>12</v>
      </c>
      <c r="B13" s="15" t="s">
        <v>422</v>
      </c>
      <c r="C13" s="16">
        <f t="shared" si="1"/>
        <v>43403</v>
      </c>
      <c r="D13" s="22">
        <v>0</v>
      </c>
      <c r="E13" s="22">
        <v>0</v>
      </c>
      <c r="F13" s="22">
        <v>0</v>
      </c>
      <c r="G13" s="22">
        <v>0</v>
      </c>
      <c r="H13" s="22">
        <v>0</v>
      </c>
      <c r="I13" s="22">
        <v>0</v>
      </c>
      <c r="J13" s="22">
        <v>0</v>
      </c>
      <c r="K13" s="22">
        <v>0</v>
      </c>
    </row>
    <row r="14" spans="1:11" x14ac:dyDescent="0.25">
      <c r="A14" s="3">
        <f t="shared" si="0"/>
        <v>13</v>
      </c>
      <c r="B14" s="15" t="s">
        <v>423</v>
      </c>
      <c r="C14" s="16">
        <f t="shared" si="1"/>
        <v>43404</v>
      </c>
      <c r="D14" s="22">
        <v>0</v>
      </c>
      <c r="E14" s="22">
        <v>0</v>
      </c>
      <c r="F14" s="22">
        <v>0</v>
      </c>
      <c r="G14" s="22">
        <v>0</v>
      </c>
      <c r="H14" s="22">
        <v>0</v>
      </c>
      <c r="I14" s="22">
        <v>0</v>
      </c>
      <c r="J14" s="22">
        <v>0</v>
      </c>
      <c r="K14" s="22">
        <v>0</v>
      </c>
    </row>
    <row r="15" spans="1:11" x14ac:dyDescent="0.25">
      <c r="A15" s="3">
        <f t="shared" si="0"/>
        <v>14</v>
      </c>
      <c r="B15" s="15" t="s">
        <v>424</v>
      </c>
      <c r="C15" s="16">
        <f t="shared" si="1"/>
        <v>43405</v>
      </c>
      <c r="D15" s="22">
        <v>0</v>
      </c>
      <c r="E15" s="22">
        <v>0</v>
      </c>
      <c r="F15" s="22">
        <v>0</v>
      </c>
      <c r="G15" s="22">
        <v>0</v>
      </c>
      <c r="H15" s="22">
        <v>0</v>
      </c>
      <c r="I15" s="22">
        <v>0</v>
      </c>
      <c r="J15" s="22">
        <v>0</v>
      </c>
      <c r="K15" s="22">
        <v>0</v>
      </c>
    </row>
    <row r="16" spans="1:11" x14ac:dyDescent="0.25">
      <c r="A16" s="3">
        <f t="shared" si="0"/>
        <v>15</v>
      </c>
      <c r="B16" s="15" t="s">
        <v>425</v>
      </c>
      <c r="C16" s="16">
        <f t="shared" si="1"/>
        <v>43406</v>
      </c>
      <c r="D16" s="22">
        <v>0</v>
      </c>
      <c r="E16" s="22">
        <v>0</v>
      </c>
      <c r="F16" s="22">
        <v>0</v>
      </c>
      <c r="G16" s="22">
        <v>0</v>
      </c>
      <c r="H16" s="22">
        <v>0</v>
      </c>
      <c r="I16" s="22">
        <v>0</v>
      </c>
      <c r="J16" s="22">
        <v>0</v>
      </c>
      <c r="K16" s="22">
        <v>0</v>
      </c>
    </row>
    <row r="17" spans="1:11" x14ac:dyDescent="0.25">
      <c r="A17" s="3">
        <f t="shared" si="0"/>
        <v>16</v>
      </c>
      <c r="B17" s="15" t="s">
        <v>421</v>
      </c>
      <c r="C17" s="16">
        <f>C12+7</f>
        <v>43409</v>
      </c>
      <c r="D17" s="22">
        <v>0</v>
      </c>
      <c r="E17" s="22">
        <v>0</v>
      </c>
      <c r="F17" s="22">
        <v>0</v>
      </c>
      <c r="G17" s="22">
        <v>0</v>
      </c>
      <c r="H17" s="22">
        <v>0</v>
      </c>
      <c r="I17" s="22">
        <v>0</v>
      </c>
      <c r="J17" s="22">
        <v>0</v>
      </c>
      <c r="K17" s="22">
        <v>0</v>
      </c>
    </row>
    <row r="18" spans="1:11" x14ac:dyDescent="0.25">
      <c r="A18" s="3">
        <f t="shared" si="0"/>
        <v>17</v>
      </c>
      <c r="B18" s="15" t="s">
        <v>422</v>
      </c>
      <c r="C18" s="16">
        <f t="shared" si="1"/>
        <v>43410</v>
      </c>
      <c r="D18" s="22">
        <v>0</v>
      </c>
      <c r="E18" s="22">
        <v>0</v>
      </c>
      <c r="F18" s="22">
        <v>0</v>
      </c>
      <c r="G18" s="22">
        <v>0</v>
      </c>
      <c r="H18" s="22">
        <v>0</v>
      </c>
      <c r="I18" s="22">
        <v>0</v>
      </c>
      <c r="J18" s="22">
        <v>0</v>
      </c>
      <c r="K18" s="22">
        <v>0</v>
      </c>
    </row>
    <row r="19" spans="1:11" x14ac:dyDescent="0.25">
      <c r="A19" s="3">
        <f t="shared" si="0"/>
        <v>18</v>
      </c>
      <c r="B19" s="15" t="s">
        <v>423</v>
      </c>
      <c r="C19" s="16">
        <f t="shared" si="1"/>
        <v>43411</v>
      </c>
      <c r="D19" s="22">
        <v>0</v>
      </c>
      <c r="E19" s="22">
        <v>0</v>
      </c>
      <c r="F19" s="22">
        <v>0</v>
      </c>
      <c r="G19" s="22">
        <v>0</v>
      </c>
      <c r="H19" s="22">
        <v>0</v>
      </c>
      <c r="I19" s="22">
        <v>0</v>
      </c>
      <c r="J19" s="22">
        <v>0</v>
      </c>
      <c r="K19" s="22">
        <v>0</v>
      </c>
    </row>
    <row r="20" spans="1:11" x14ac:dyDescent="0.25">
      <c r="A20" s="3">
        <f t="shared" si="0"/>
        <v>19</v>
      </c>
      <c r="B20" s="15" t="s">
        <v>424</v>
      </c>
      <c r="C20" s="16">
        <f t="shared" si="1"/>
        <v>43412</v>
      </c>
      <c r="D20" s="22">
        <v>0</v>
      </c>
      <c r="E20" s="22">
        <v>0</v>
      </c>
      <c r="F20" s="22">
        <v>0</v>
      </c>
      <c r="G20" s="22">
        <v>0</v>
      </c>
      <c r="H20" s="22">
        <v>0</v>
      </c>
      <c r="I20" s="22">
        <v>0</v>
      </c>
      <c r="J20" s="22">
        <v>0</v>
      </c>
      <c r="K20" s="22">
        <v>0</v>
      </c>
    </row>
    <row r="21" spans="1:11" x14ac:dyDescent="0.25">
      <c r="A21" s="3">
        <f t="shared" si="0"/>
        <v>20</v>
      </c>
      <c r="B21" s="15" t="s">
        <v>425</v>
      </c>
      <c r="C21" s="16">
        <f t="shared" si="1"/>
        <v>43413</v>
      </c>
      <c r="D21" s="22">
        <v>0</v>
      </c>
      <c r="E21" s="22">
        <v>0</v>
      </c>
      <c r="F21" s="22">
        <v>0</v>
      </c>
      <c r="G21" s="22">
        <v>0</v>
      </c>
      <c r="H21" s="22">
        <v>0</v>
      </c>
      <c r="I21" s="22">
        <v>0</v>
      </c>
      <c r="J21" s="22">
        <v>0</v>
      </c>
      <c r="K21" s="22">
        <v>0</v>
      </c>
    </row>
    <row r="22" spans="1:11" x14ac:dyDescent="0.25">
      <c r="A22" s="3">
        <f t="shared" si="0"/>
        <v>21</v>
      </c>
      <c r="B22" s="15" t="s">
        <v>421</v>
      </c>
      <c r="C22" s="16">
        <f>C17+7</f>
        <v>43416</v>
      </c>
      <c r="D22" s="22">
        <v>0</v>
      </c>
      <c r="E22" s="22">
        <v>0</v>
      </c>
      <c r="F22" s="22">
        <v>0</v>
      </c>
      <c r="G22" s="22">
        <v>0</v>
      </c>
      <c r="H22" s="22">
        <v>0</v>
      </c>
      <c r="I22" s="22">
        <v>0</v>
      </c>
      <c r="J22" s="22">
        <v>0</v>
      </c>
      <c r="K22" s="22">
        <v>0</v>
      </c>
    </row>
    <row r="23" spans="1:11" x14ac:dyDescent="0.25">
      <c r="A23" s="3">
        <f t="shared" si="0"/>
        <v>22</v>
      </c>
      <c r="B23" s="15" t="s">
        <v>422</v>
      </c>
      <c r="C23" s="16">
        <f t="shared" si="1"/>
        <v>43417</v>
      </c>
      <c r="D23" s="22">
        <v>0</v>
      </c>
      <c r="E23" s="22">
        <v>0</v>
      </c>
      <c r="F23" s="22">
        <v>0</v>
      </c>
      <c r="G23" s="22">
        <v>0</v>
      </c>
      <c r="H23" s="22">
        <v>0</v>
      </c>
      <c r="I23" s="22">
        <v>0</v>
      </c>
      <c r="J23" s="22">
        <v>0</v>
      </c>
      <c r="K23" s="22">
        <v>0</v>
      </c>
    </row>
    <row r="24" spans="1:11" x14ac:dyDescent="0.25">
      <c r="A24" s="3">
        <f t="shared" si="0"/>
        <v>23</v>
      </c>
      <c r="B24" s="15" t="s">
        <v>423</v>
      </c>
      <c r="C24" s="16">
        <f t="shared" si="1"/>
        <v>43418</v>
      </c>
      <c r="D24" s="22">
        <v>0</v>
      </c>
      <c r="E24" s="22">
        <v>0</v>
      </c>
      <c r="F24" s="22">
        <v>0</v>
      </c>
      <c r="G24" s="22">
        <v>0</v>
      </c>
      <c r="H24" s="22">
        <v>0</v>
      </c>
      <c r="I24" s="22">
        <v>0</v>
      </c>
      <c r="J24" s="22">
        <v>0</v>
      </c>
      <c r="K24" s="22">
        <v>0</v>
      </c>
    </row>
    <row r="25" spans="1:11" x14ac:dyDescent="0.25">
      <c r="A25" s="3">
        <f t="shared" si="0"/>
        <v>24</v>
      </c>
      <c r="B25" s="15" t="s">
        <v>424</v>
      </c>
      <c r="C25" s="16">
        <f t="shared" si="1"/>
        <v>43419</v>
      </c>
      <c r="D25" s="22">
        <v>0</v>
      </c>
      <c r="E25" s="22">
        <v>0</v>
      </c>
      <c r="F25" s="22">
        <v>0</v>
      </c>
      <c r="G25" s="22">
        <v>0</v>
      </c>
      <c r="H25" s="22">
        <v>0</v>
      </c>
      <c r="I25" s="22">
        <v>0</v>
      </c>
      <c r="J25" s="22">
        <v>0</v>
      </c>
      <c r="K25" s="22">
        <v>0</v>
      </c>
    </row>
    <row r="26" spans="1:11" x14ac:dyDescent="0.25">
      <c r="A26" s="3">
        <f t="shared" si="0"/>
        <v>25</v>
      </c>
      <c r="B26" s="15" t="s">
        <v>425</v>
      </c>
      <c r="C26" s="16">
        <f t="shared" si="1"/>
        <v>43420</v>
      </c>
      <c r="D26" s="22">
        <v>0</v>
      </c>
      <c r="E26" s="22">
        <v>0</v>
      </c>
      <c r="F26" s="22">
        <v>0</v>
      </c>
      <c r="G26" s="22">
        <v>0</v>
      </c>
      <c r="H26" s="22">
        <v>0</v>
      </c>
      <c r="I26" s="22">
        <v>0</v>
      </c>
      <c r="J26" s="22">
        <v>0</v>
      </c>
      <c r="K26" s="22">
        <v>0</v>
      </c>
    </row>
    <row r="27" spans="1:11" x14ac:dyDescent="0.25">
      <c r="A27" s="3">
        <f t="shared" si="0"/>
        <v>26</v>
      </c>
      <c r="B27" s="15" t="s">
        <v>421</v>
      </c>
      <c r="C27" s="16">
        <f>C22+7</f>
        <v>43423</v>
      </c>
      <c r="D27" s="22">
        <v>0</v>
      </c>
      <c r="E27" s="22">
        <v>0</v>
      </c>
      <c r="F27" s="22">
        <v>0</v>
      </c>
      <c r="G27" s="22">
        <v>0</v>
      </c>
      <c r="H27" s="22">
        <v>0</v>
      </c>
      <c r="I27" s="22">
        <v>0</v>
      </c>
      <c r="J27" s="22">
        <v>0</v>
      </c>
      <c r="K27" s="22">
        <v>0</v>
      </c>
    </row>
    <row r="28" spans="1:11" x14ac:dyDescent="0.25">
      <c r="A28" s="3">
        <f t="shared" si="0"/>
        <v>27</v>
      </c>
      <c r="B28" s="15" t="s">
        <v>422</v>
      </c>
      <c r="C28" s="16">
        <f t="shared" si="1"/>
        <v>43424</v>
      </c>
      <c r="D28" s="22">
        <v>0</v>
      </c>
      <c r="E28" s="22">
        <v>0</v>
      </c>
      <c r="F28" s="22">
        <v>0</v>
      </c>
      <c r="G28" s="22">
        <v>0</v>
      </c>
      <c r="H28" s="22">
        <v>0</v>
      </c>
      <c r="I28" s="22">
        <v>0</v>
      </c>
      <c r="J28" s="22">
        <v>0</v>
      </c>
      <c r="K28" s="22">
        <v>0</v>
      </c>
    </row>
    <row r="29" spans="1:11" x14ac:dyDescent="0.25">
      <c r="A29" s="3">
        <f t="shared" si="0"/>
        <v>28</v>
      </c>
      <c r="B29" s="15" t="s">
        <v>423</v>
      </c>
      <c r="C29" s="16">
        <f t="shared" si="1"/>
        <v>43425</v>
      </c>
      <c r="D29" s="22">
        <v>0</v>
      </c>
      <c r="E29" s="22">
        <v>0</v>
      </c>
      <c r="F29" s="22">
        <v>0</v>
      </c>
      <c r="G29" s="22">
        <v>0</v>
      </c>
      <c r="H29" s="22">
        <v>0</v>
      </c>
      <c r="I29" s="22">
        <v>0</v>
      </c>
      <c r="J29" s="22">
        <v>0</v>
      </c>
      <c r="K29" s="22">
        <v>0</v>
      </c>
    </row>
    <row r="30" spans="1:11" x14ac:dyDescent="0.25">
      <c r="A30" s="3">
        <f t="shared" si="0"/>
        <v>29</v>
      </c>
      <c r="B30" s="15" t="s">
        <v>424</v>
      </c>
      <c r="C30" s="16">
        <f t="shared" si="1"/>
        <v>43426</v>
      </c>
      <c r="D30" s="22">
        <v>0</v>
      </c>
      <c r="E30" s="22">
        <v>0</v>
      </c>
      <c r="F30" s="22">
        <v>0</v>
      </c>
      <c r="G30" s="22">
        <v>0</v>
      </c>
      <c r="H30" s="22">
        <v>0</v>
      </c>
      <c r="I30" s="22">
        <v>0</v>
      </c>
      <c r="J30" s="22">
        <v>0</v>
      </c>
      <c r="K30" s="22">
        <v>0</v>
      </c>
    </row>
    <row r="31" spans="1:11" x14ac:dyDescent="0.25">
      <c r="A31" s="3">
        <f t="shared" si="0"/>
        <v>30</v>
      </c>
      <c r="B31" s="15" t="s">
        <v>425</v>
      </c>
      <c r="C31" s="16">
        <f t="shared" si="1"/>
        <v>43427</v>
      </c>
      <c r="D31" s="22">
        <v>0</v>
      </c>
      <c r="E31" s="22">
        <v>0</v>
      </c>
      <c r="F31" s="22">
        <v>0</v>
      </c>
      <c r="G31" s="22">
        <v>0</v>
      </c>
      <c r="H31" s="22">
        <v>0</v>
      </c>
      <c r="I31" s="22">
        <v>0</v>
      </c>
      <c r="J31" s="22">
        <v>0</v>
      </c>
      <c r="K31" s="22">
        <v>0</v>
      </c>
    </row>
    <row r="32" spans="1:11" x14ac:dyDescent="0.25">
      <c r="A32" s="3">
        <f t="shared" si="0"/>
        <v>31</v>
      </c>
      <c r="B32" s="15" t="s">
        <v>421</v>
      </c>
      <c r="C32" s="16">
        <f>C27+7</f>
        <v>43430</v>
      </c>
      <c r="D32" s="22">
        <v>0</v>
      </c>
      <c r="E32" s="22">
        <v>0</v>
      </c>
      <c r="F32" s="22">
        <v>0</v>
      </c>
      <c r="G32" s="22">
        <v>0</v>
      </c>
      <c r="H32" s="22">
        <v>0</v>
      </c>
      <c r="I32" s="22">
        <v>0</v>
      </c>
      <c r="J32" s="22">
        <v>0</v>
      </c>
      <c r="K32" s="22">
        <v>0</v>
      </c>
    </row>
    <row r="33" spans="1:11" x14ac:dyDescent="0.25">
      <c r="A33" s="3">
        <f t="shared" si="0"/>
        <v>32</v>
      </c>
      <c r="B33" s="15" t="s">
        <v>422</v>
      </c>
      <c r="C33" s="16">
        <f t="shared" si="1"/>
        <v>43431</v>
      </c>
      <c r="D33" s="22">
        <v>0</v>
      </c>
      <c r="E33" s="22">
        <v>0</v>
      </c>
      <c r="F33" s="22">
        <v>0</v>
      </c>
      <c r="G33" s="22">
        <v>0</v>
      </c>
      <c r="H33" s="22">
        <v>0</v>
      </c>
      <c r="I33" s="22">
        <v>0</v>
      </c>
      <c r="J33" s="22">
        <v>0</v>
      </c>
      <c r="K33" s="22">
        <v>0</v>
      </c>
    </row>
    <row r="34" spans="1:11" x14ac:dyDescent="0.25">
      <c r="A34" s="3">
        <f t="shared" si="0"/>
        <v>33</v>
      </c>
      <c r="B34" s="15" t="s">
        <v>423</v>
      </c>
      <c r="C34" s="16">
        <f t="shared" si="1"/>
        <v>43432</v>
      </c>
      <c r="D34" s="22">
        <v>0</v>
      </c>
      <c r="E34" s="22">
        <v>0</v>
      </c>
      <c r="F34" s="22">
        <v>0</v>
      </c>
      <c r="G34" s="22">
        <v>0</v>
      </c>
      <c r="H34" s="22">
        <v>0</v>
      </c>
      <c r="I34" s="22">
        <v>0</v>
      </c>
      <c r="J34" s="22">
        <v>0</v>
      </c>
      <c r="K34" s="22">
        <v>0</v>
      </c>
    </row>
    <row r="35" spans="1:11" x14ac:dyDescent="0.25">
      <c r="A35" s="3">
        <f t="shared" si="0"/>
        <v>34</v>
      </c>
      <c r="B35" s="15" t="s">
        <v>424</v>
      </c>
      <c r="C35" s="16">
        <f t="shared" si="1"/>
        <v>43433</v>
      </c>
      <c r="D35" s="22">
        <v>0</v>
      </c>
      <c r="E35" s="22">
        <v>0</v>
      </c>
      <c r="F35" s="22">
        <v>0</v>
      </c>
      <c r="G35" s="22">
        <v>0</v>
      </c>
      <c r="H35" s="22">
        <v>0</v>
      </c>
      <c r="I35" s="22">
        <v>0</v>
      </c>
      <c r="J35" s="22">
        <v>0</v>
      </c>
      <c r="K35" s="22">
        <v>0</v>
      </c>
    </row>
    <row r="36" spans="1:11" x14ac:dyDescent="0.25">
      <c r="A36" s="3">
        <f t="shared" si="0"/>
        <v>35</v>
      </c>
      <c r="B36" s="15" t="s">
        <v>425</v>
      </c>
      <c r="C36" s="16">
        <f t="shared" si="1"/>
        <v>43434</v>
      </c>
      <c r="D36" s="22">
        <v>0</v>
      </c>
      <c r="E36" s="22">
        <v>0</v>
      </c>
      <c r="F36" s="22">
        <v>0</v>
      </c>
      <c r="G36" s="22">
        <v>0</v>
      </c>
      <c r="H36" s="22">
        <v>0</v>
      </c>
      <c r="I36" s="22">
        <v>0</v>
      </c>
      <c r="J36" s="22">
        <v>0</v>
      </c>
      <c r="K36" s="22">
        <v>0</v>
      </c>
    </row>
    <row r="37" spans="1:11" x14ac:dyDescent="0.25">
      <c r="A37" s="3">
        <f t="shared" si="0"/>
        <v>36</v>
      </c>
      <c r="B37" s="15" t="s">
        <v>421</v>
      </c>
      <c r="C37" s="16">
        <f>C32+7</f>
        <v>43437</v>
      </c>
      <c r="D37" s="22">
        <v>0</v>
      </c>
      <c r="E37" s="22">
        <v>0</v>
      </c>
      <c r="F37" s="22">
        <v>2</v>
      </c>
      <c r="G37" s="22">
        <v>4</v>
      </c>
      <c r="H37" s="22">
        <v>0</v>
      </c>
      <c r="I37" s="22">
        <v>0</v>
      </c>
      <c r="J37" s="22">
        <v>0</v>
      </c>
      <c r="K37" s="22">
        <v>0</v>
      </c>
    </row>
    <row r="38" spans="1:11" x14ac:dyDescent="0.25">
      <c r="A38" s="3">
        <f t="shared" si="0"/>
        <v>37</v>
      </c>
      <c r="B38" s="15" t="s">
        <v>422</v>
      </c>
      <c r="C38" s="16">
        <f t="shared" si="1"/>
        <v>43438</v>
      </c>
      <c r="D38" s="22">
        <v>0</v>
      </c>
      <c r="E38" s="22">
        <v>0</v>
      </c>
      <c r="F38" s="22">
        <v>0</v>
      </c>
      <c r="G38" s="22">
        <v>1</v>
      </c>
      <c r="H38" s="22">
        <v>0</v>
      </c>
      <c r="I38" s="22">
        <v>0</v>
      </c>
      <c r="J38" s="22">
        <v>0</v>
      </c>
      <c r="K38" s="22">
        <v>0</v>
      </c>
    </row>
    <row r="39" spans="1:11" x14ac:dyDescent="0.25">
      <c r="A39" s="3">
        <f t="shared" si="0"/>
        <v>38</v>
      </c>
      <c r="B39" s="15" t="s">
        <v>423</v>
      </c>
      <c r="C39" s="16">
        <f t="shared" si="1"/>
        <v>43439</v>
      </c>
      <c r="D39" s="22">
        <v>0</v>
      </c>
      <c r="E39" s="22">
        <v>0</v>
      </c>
      <c r="F39" s="22">
        <v>0</v>
      </c>
      <c r="G39" s="22">
        <v>1</v>
      </c>
      <c r="H39" s="22">
        <v>0</v>
      </c>
      <c r="I39" s="22">
        <v>0</v>
      </c>
      <c r="J39" s="22">
        <v>0</v>
      </c>
      <c r="K39" s="22">
        <v>0</v>
      </c>
    </row>
    <row r="40" spans="1:11" x14ac:dyDescent="0.25">
      <c r="A40" s="3">
        <f t="shared" si="0"/>
        <v>39</v>
      </c>
      <c r="B40" s="15" t="s">
        <v>424</v>
      </c>
      <c r="C40" s="16">
        <f t="shared" si="1"/>
        <v>43440</v>
      </c>
      <c r="D40" s="22">
        <v>0</v>
      </c>
      <c r="E40" s="22">
        <v>0</v>
      </c>
      <c r="F40" s="22">
        <v>0</v>
      </c>
      <c r="G40" s="22">
        <v>1</v>
      </c>
      <c r="H40" s="22">
        <v>0</v>
      </c>
      <c r="I40" s="22">
        <v>0</v>
      </c>
      <c r="J40" s="22">
        <v>0</v>
      </c>
      <c r="K40" s="22">
        <v>0</v>
      </c>
    </row>
    <row r="41" spans="1:11" x14ac:dyDescent="0.25">
      <c r="A41" s="3">
        <f t="shared" si="0"/>
        <v>40</v>
      </c>
      <c r="B41" s="15" t="s">
        <v>425</v>
      </c>
      <c r="C41" s="16">
        <f t="shared" si="1"/>
        <v>43441</v>
      </c>
      <c r="D41" s="22">
        <v>0</v>
      </c>
      <c r="E41" s="22">
        <v>0</v>
      </c>
      <c r="F41" s="22">
        <v>0</v>
      </c>
      <c r="G41" s="22">
        <v>0</v>
      </c>
      <c r="H41" s="22">
        <v>0</v>
      </c>
      <c r="I41" s="22">
        <v>0</v>
      </c>
      <c r="J41" s="22">
        <v>0</v>
      </c>
      <c r="K41" s="22">
        <v>0</v>
      </c>
    </row>
    <row r="42" spans="1:11" x14ac:dyDescent="0.25">
      <c r="A42" s="3">
        <f t="shared" si="0"/>
        <v>41</v>
      </c>
      <c r="B42" s="15" t="s">
        <v>421</v>
      </c>
      <c r="C42" s="16">
        <f>C37+7</f>
        <v>43444</v>
      </c>
      <c r="D42" s="22">
        <v>0</v>
      </c>
      <c r="E42" s="22">
        <v>0</v>
      </c>
      <c r="F42" s="22">
        <v>0</v>
      </c>
      <c r="G42" s="22">
        <v>0</v>
      </c>
      <c r="H42" s="22">
        <v>0</v>
      </c>
      <c r="I42" s="22">
        <v>0</v>
      </c>
      <c r="J42" s="22">
        <v>0</v>
      </c>
      <c r="K42" s="22">
        <v>0</v>
      </c>
    </row>
    <row r="43" spans="1:11" x14ac:dyDescent="0.25">
      <c r="A43" s="3">
        <f t="shared" si="0"/>
        <v>42</v>
      </c>
      <c r="B43" s="15" t="s">
        <v>422</v>
      </c>
      <c r="C43" s="16">
        <f t="shared" si="1"/>
        <v>43445</v>
      </c>
      <c r="D43" s="22">
        <v>0</v>
      </c>
      <c r="E43" s="22">
        <v>0</v>
      </c>
      <c r="F43" s="22">
        <v>0</v>
      </c>
      <c r="G43" s="22">
        <v>0</v>
      </c>
      <c r="H43" s="22">
        <v>0</v>
      </c>
      <c r="I43" s="22">
        <v>0</v>
      </c>
      <c r="J43" s="22">
        <v>0</v>
      </c>
      <c r="K43" s="22">
        <v>0</v>
      </c>
    </row>
    <row r="44" spans="1:11" x14ac:dyDescent="0.25">
      <c r="A44" s="3">
        <f t="shared" si="0"/>
        <v>43</v>
      </c>
      <c r="B44" s="15" t="s">
        <v>423</v>
      </c>
      <c r="C44" s="16">
        <f t="shared" si="1"/>
        <v>43446</v>
      </c>
      <c r="D44" s="22">
        <v>0</v>
      </c>
      <c r="E44" s="22">
        <v>0</v>
      </c>
      <c r="F44" s="22">
        <v>0</v>
      </c>
      <c r="G44" s="22">
        <v>0</v>
      </c>
      <c r="H44" s="22">
        <v>0</v>
      </c>
      <c r="I44" s="22">
        <v>0</v>
      </c>
      <c r="J44" s="22">
        <v>0</v>
      </c>
      <c r="K44" s="22">
        <v>0</v>
      </c>
    </row>
    <row r="45" spans="1:11" x14ac:dyDescent="0.25">
      <c r="A45" s="3">
        <f t="shared" si="0"/>
        <v>44</v>
      </c>
      <c r="B45" s="15" t="s">
        <v>424</v>
      </c>
      <c r="C45" s="16">
        <f t="shared" si="1"/>
        <v>43447</v>
      </c>
      <c r="D45" s="22">
        <v>0</v>
      </c>
      <c r="E45" s="22">
        <v>0</v>
      </c>
      <c r="F45" s="22">
        <v>0</v>
      </c>
      <c r="G45" s="22">
        <v>0</v>
      </c>
      <c r="H45" s="22">
        <v>0</v>
      </c>
      <c r="I45" s="22">
        <v>0</v>
      </c>
      <c r="J45" s="22">
        <v>0</v>
      </c>
      <c r="K45" s="22">
        <v>0</v>
      </c>
    </row>
    <row r="46" spans="1:11" x14ac:dyDescent="0.25">
      <c r="A46" s="3">
        <f t="shared" si="0"/>
        <v>45</v>
      </c>
      <c r="B46" s="15" t="s">
        <v>425</v>
      </c>
      <c r="C46" s="16">
        <f t="shared" si="1"/>
        <v>43448</v>
      </c>
      <c r="D46" s="22">
        <v>0</v>
      </c>
      <c r="E46" s="22">
        <v>0</v>
      </c>
      <c r="F46" s="22">
        <v>0</v>
      </c>
      <c r="G46" s="22">
        <v>0</v>
      </c>
      <c r="H46" s="22">
        <v>0</v>
      </c>
      <c r="I46" s="22">
        <v>0</v>
      </c>
      <c r="J46" s="22">
        <v>0</v>
      </c>
      <c r="K46" s="22">
        <v>0</v>
      </c>
    </row>
    <row r="47" spans="1:11" x14ac:dyDescent="0.25">
      <c r="A47" s="3">
        <f t="shared" si="0"/>
        <v>46</v>
      </c>
      <c r="B47" s="15" t="s">
        <v>421</v>
      </c>
      <c r="C47" s="16">
        <f>C42+7</f>
        <v>43451</v>
      </c>
      <c r="D47" s="22">
        <v>0</v>
      </c>
      <c r="E47" s="22">
        <v>0</v>
      </c>
      <c r="F47" s="22">
        <v>0</v>
      </c>
      <c r="G47" s="22">
        <v>0</v>
      </c>
      <c r="H47" s="22">
        <v>0</v>
      </c>
      <c r="I47" s="22">
        <v>0</v>
      </c>
      <c r="J47" s="22">
        <v>0</v>
      </c>
      <c r="K47" s="22">
        <v>0</v>
      </c>
    </row>
    <row r="48" spans="1:11" x14ac:dyDescent="0.25">
      <c r="A48" s="3">
        <f t="shared" si="0"/>
        <v>47</v>
      </c>
      <c r="B48" s="15" t="s">
        <v>422</v>
      </c>
      <c r="C48" s="16">
        <f t="shared" si="1"/>
        <v>43452</v>
      </c>
      <c r="D48" s="22">
        <v>0</v>
      </c>
      <c r="E48" s="22">
        <v>0</v>
      </c>
      <c r="F48" s="22">
        <v>0</v>
      </c>
      <c r="G48" s="22">
        <v>0</v>
      </c>
      <c r="H48" s="22">
        <v>0</v>
      </c>
      <c r="I48" s="22">
        <v>0</v>
      </c>
      <c r="J48" s="22">
        <v>0</v>
      </c>
      <c r="K48" s="22">
        <v>0</v>
      </c>
    </row>
    <row r="49" spans="1:11" x14ac:dyDescent="0.25">
      <c r="A49" s="3">
        <f t="shared" si="0"/>
        <v>48</v>
      </c>
      <c r="B49" s="15" t="s">
        <v>423</v>
      </c>
      <c r="C49" s="16">
        <f t="shared" si="1"/>
        <v>43453</v>
      </c>
      <c r="D49" s="22">
        <v>0</v>
      </c>
      <c r="E49" s="22">
        <v>0</v>
      </c>
      <c r="F49" s="22">
        <v>0</v>
      </c>
      <c r="G49" s="22">
        <v>0</v>
      </c>
      <c r="H49" s="22">
        <v>0</v>
      </c>
      <c r="I49" s="22">
        <v>0</v>
      </c>
      <c r="J49" s="22">
        <v>0</v>
      </c>
      <c r="K49" s="22">
        <v>0</v>
      </c>
    </row>
    <row r="50" spans="1:11" x14ac:dyDescent="0.25">
      <c r="A50" s="3">
        <f t="shared" si="0"/>
        <v>49</v>
      </c>
      <c r="B50" s="15" t="s">
        <v>424</v>
      </c>
      <c r="C50" s="16">
        <f t="shared" si="1"/>
        <v>43454</v>
      </c>
      <c r="D50" s="22">
        <v>0</v>
      </c>
      <c r="E50" s="22">
        <v>0</v>
      </c>
      <c r="F50" s="22">
        <v>0</v>
      </c>
      <c r="G50" s="22">
        <v>0</v>
      </c>
      <c r="H50" s="22">
        <v>0</v>
      </c>
      <c r="I50" s="22">
        <v>0</v>
      </c>
      <c r="J50" s="22">
        <v>0</v>
      </c>
      <c r="K50" s="22">
        <v>0</v>
      </c>
    </row>
    <row r="51" spans="1:11" x14ac:dyDescent="0.25">
      <c r="A51" s="3">
        <f t="shared" si="0"/>
        <v>50</v>
      </c>
      <c r="B51" s="15" t="s">
        <v>425</v>
      </c>
      <c r="C51" s="16">
        <f t="shared" si="1"/>
        <v>43455</v>
      </c>
      <c r="D51" s="22">
        <v>0</v>
      </c>
      <c r="E51" s="22">
        <v>0</v>
      </c>
      <c r="F51" s="22">
        <v>0</v>
      </c>
      <c r="G51" s="22">
        <v>0</v>
      </c>
      <c r="H51" s="22">
        <v>0</v>
      </c>
      <c r="I51" s="22">
        <v>0</v>
      </c>
      <c r="J51" s="22">
        <v>0</v>
      </c>
      <c r="K51" s="22">
        <v>0</v>
      </c>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8" tint="-0.249977111117893"/>
  </sheetPr>
  <dimension ref="A1:H51"/>
  <sheetViews>
    <sheetView topLeftCell="A10" workbookViewId="0">
      <selection activeCell="R48" sqref="R48"/>
    </sheetView>
  </sheetViews>
  <sheetFormatPr defaultColWidth="8.875" defaultRowHeight="15" x14ac:dyDescent="0.25"/>
  <cols>
    <col min="1" max="1" width="8.875" style="3"/>
    <col min="2" max="2" width="6.25" style="3" customWidth="1"/>
    <col min="3" max="3" width="12.125" style="3" customWidth="1"/>
    <col min="4" max="8" width="3" style="3" customWidth="1"/>
    <col min="9" max="16384" width="8.875" style="3"/>
  </cols>
  <sheetData>
    <row r="1" spans="1:8" ht="67.5" thickBot="1" x14ac:dyDescent="0.35">
      <c r="A1" s="4" t="s">
        <v>414</v>
      </c>
      <c r="B1" s="4"/>
      <c r="C1" s="4" t="s">
        <v>3</v>
      </c>
      <c r="D1" s="14" t="s">
        <v>13</v>
      </c>
      <c r="E1" s="14" t="s">
        <v>14</v>
      </c>
      <c r="F1" s="14" t="s">
        <v>16</v>
      </c>
      <c r="G1" s="14" t="s">
        <v>635</v>
      </c>
      <c r="H1" s="14" t="s">
        <v>15</v>
      </c>
    </row>
    <row r="2" spans="1:8" ht="15.75" thickTop="1" x14ac:dyDescent="0.25">
      <c r="A2" s="3">
        <v>1</v>
      </c>
      <c r="B2" s="15" t="s">
        <v>421</v>
      </c>
      <c r="C2" s="16">
        <v>43388</v>
      </c>
      <c r="D2" s="22">
        <v>0</v>
      </c>
      <c r="E2" s="22">
        <v>0</v>
      </c>
      <c r="F2" s="22">
        <v>0</v>
      </c>
      <c r="G2" s="22">
        <v>0</v>
      </c>
      <c r="H2" s="22">
        <v>0</v>
      </c>
    </row>
    <row r="3" spans="1:8" x14ac:dyDescent="0.25">
      <c r="A3" s="3">
        <f>A2+1</f>
        <v>2</v>
      </c>
      <c r="B3" s="15" t="s">
        <v>422</v>
      </c>
      <c r="C3" s="16">
        <f>C2+1</f>
        <v>43389</v>
      </c>
      <c r="D3" s="22">
        <v>0</v>
      </c>
      <c r="E3" s="22">
        <v>0</v>
      </c>
      <c r="F3" s="22">
        <v>0</v>
      </c>
      <c r="G3" s="22">
        <v>0</v>
      </c>
      <c r="H3" s="22">
        <v>0</v>
      </c>
    </row>
    <row r="4" spans="1:8" x14ac:dyDescent="0.25">
      <c r="A4" s="3">
        <f t="shared" ref="A4:A51" si="0">A3+1</f>
        <v>3</v>
      </c>
      <c r="B4" s="15" t="s">
        <v>423</v>
      </c>
      <c r="C4" s="16">
        <f t="shared" ref="C4:C51" si="1">C3+1</f>
        <v>43390</v>
      </c>
      <c r="D4" s="22">
        <v>0</v>
      </c>
      <c r="E4" s="22">
        <v>0</v>
      </c>
      <c r="F4" s="22">
        <v>0</v>
      </c>
      <c r="G4" s="22">
        <v>0</v>
      </c>
      <c r="H4" s="22">
        <v>0</v>
      </c>
    </row>
    <row r="5" spans="1:8" x14ac:dyDescent="0.25">
      <c r="A5" s="3">
        <f t="shared" si="0"/>
        <v>4</v>
      </c>
      <c r="B5" s="15" t="s">
        <v>424</v>
      </c>
      <c r="C5" s="16">
        <f t="shared" si="1"/>
        <v>43391</v>
      </c>
      <c r="D5" s="22">
        <v>0</v>
      </c>
      <c r="E5" s="22">
        <v>0</v>
      </c>
      <c r="F5" s="22">
        <v>0</v>
      </c>
      <c r="G5" s="22">
        <v>0</v>
      </c>
      <c r="H5" s="22">
        <v>0</v>
      </c>
    </row>
    <row r="6" spans="1:8" x14ac:dyDescent="0.25">
      <c r="A6" s="3">
        <f t="shared" si="0"/>
        <v>5</v>
      </c>
      <c r="B6" s="15" t="s">
        <v>425</v>
      </c>
      <c r="C6" s="16">
        <f t="shared" si="1"/>
        <v>43392</v>
      </c>
      <c r="D6" s="22">
        <v>0</v>
      </c>
      <c r="E6" s="22">
        <v>0</v>
      </c>
      <c r="F6" s="22">
        <v>0</v>
      </c>
      <c r="G6" s="22">
        <v>0</v>
      </c>
      <c r="H6" s="22">
        <v>0</v>
      </c>
    </row>
    <row r="7" spans="1:8" x14ac:dyDescent="0.25">
      <c r="A7" s="3">
        <f t="shared" si="0"/>
        <v>6</v>
      </c>
      <c r="B7" s="15" t="s">
        <v>421</v>
      </c>
      <c r="C7" s="16">
        <f>C2+7</f>
        <v>43395</v>
      </c>
      <c r="D7" s="22">
        <v>0</v>
      </c>
      <c r="E7" s="22">
        <v>0</v>
      </c>
      <c r="F7" s="22">
        <v>0</v>
      </c>
      <c r="G7" s="22">
        <v>0</v>
      </c>
      <c r="H7" s="22">
        <v>0</v>
      </c>
    </row>
    <row r="8" spans="1:8" x14ac:dyDescent="0.25">
      <c r="A8" s="3">
        <f t="shared" si="0"/>
        <v>7</v>
      </c>
      <c r="B8" s="15" t="s">
        <v>422</v>
      </c>
      <c r="C8" s="16">
        <f t="shared" si="1"/>
        <v>43396</v>
      </c>
      <c r="D8" s="22">
        <v>0</v>
      </c>
      <c r="E8" s="22">
        <v>0</v>
      </c>
      <c r="F8" s="22">
        <v>0</v>
      </c>
      <c r="G8" s="22">
        <v>0</v>
      </c>
      <c r="H8" s="22">
        <v>0</v>
      </c>
    </row>
    <row r="9" spans="1:8" x14ac:dyDescent="0.25">
      <c r="A9" s="3">
        <f t="shared" si="0"/>
        <v>8</v>
      </c>
      <c r="B9" s="15" t="s">
        <v>423</v>
      </c>
      <c r="C9" s="16">
        <f t="shared" si="1"/>
        <v>43397</v>
      </c>
      <c r="D9" s="22">
        <v>0</v>
      </c>
      <c r="E9" s="22">
        <v>0</v>
      </c>
      <c r="F9" s="22">
        <v>0</v>
      </c>
      <c r="G9" s="22">
        <v>0</v>
      </c>
      <c r="H9" s="22">
        <v>0</v>
      </c>
    </row>
    <row r="10" spans="1:8" x14ac:dyDescent="0.25">
      <c r="A10" s="3">
        <f t="shared" si="0"/>
        <v>9</v>
      </c>
      <c r="B10" s="15" t="s">
        <v>424</v>
      </c>
      <c r="C10" s="16">
        <f t="shared" si="1"/>
        <v>43398</v>
      </c>
      <c r="D10" s="22">
        <v>0</v>
      </c>
      <c r="E10" s="22">
        <v>0</v>
      </c>
      <c r="F10" s="22">
        <v>0</v>
      </c>
      <c r="G10" s="22">
        <v>0</v>
      </c>
      <c r="H10" s="22">
        <v>0</v>
      </c>
    </row>
    <row r="11" spans="1:8" x14ac:dyDescent="0.25">
      <c r="A11" s="3">
        <f t="shared" si="0"/>
        <v>10</v>
      </c>
      <c r="B11" s="15" t="s">
        <v>425</v>
      </c>
      <c r="C11" s="16">
        <f t="shared" si="1"/>
        <v>43399</v>
      </c>
      <c r="D11" s="22">
        <v>0</v>
      </c>
      <c r="E11" s="22">
        <v>0</v>
      </c>
      <c r="F11" s="22">
        <v>0</v>
      </c>
      <c r="G11" s="22">
        <v>0</v>
      </c>
      <c r="H11" s="22">
        <v>0</v>
      </c>
    </row>
    <row r="12" spans="1:8" x14ac:dyDescent="0.25">
      <c r="A12" s="3">
        <f t="shared" si="0"/>
        <v>11</v>
      </c>
      <c r="B12" s="15" t="s">
        <v>421</v>
      </c>
      <c r="C12" s="16">
        <f>C7+7</f>
        <v>43402</v>
      </c>
      <c r="D12" s="22">
        <v>0</v>
      </c>
      <c r="E12" s="22">
        <v>0</v>
      </c>
      <c r="F12" s="22">
        <v>0</v>
      </c>
      <c r="G12" s="22">
        <v>0</v>
      </c>
      <c r="H12" s="22">
        <v>0</v>
      </c>
    </row>
    <row r="13" spans="1:8" x14ac:dyDescent="0.25">
      <c r="A13" s="3">
        <f t="shared" si="0"/>
        <v>12</v>
      </c>
      <c r="B13" s="15" t="s">
        <v>422</v>
      </c>
      <c r="C13" s="16">
        <f t="shared" si="1"/>
        <v>43403</v>
      </c>
      <c r="D13" s="22">
        <v>0</v>
      </c>
      <c r="E13" s="22">
        <v>0</v>
      </c>
      <c r="F13" s="22">
        <v>0</v>
      </c>
      <c r="G13" s="22">
        <v>0</v>
      </c>
      <c r="H13" s="22">
        <v>0</v>
      </c>
    </row>
    <row r="14" spans="1:8" x14ac:dyDescent="0.25">
      <c r="A14" s="3">
        <f t="shared" si="0"/>
        <v>13</v>
      </c>
      <c r="B14" s="15" t="s">
        <v>423</v>
      </c>
      <c r="C14" s="16">
        <f t="shared" si="1"/>
        <v>43404</v>
      </c>
      <c r="D14" s="22">
        <v>0</v>
      </c>
      <c r="E14" s="22">
        <v>0</v>
      </c>
      <c r="F14" s="22">
        <v>0</v>
      </c>
      <c r="G14" s="22">
        <v>0</v>
      </c>
      <c r="H14" s="22">
        <v>0</v>
      </c>
    </row>
    <row r="15" spans="1:8" x14ac:dyDescent="0.25">
      <c r="A15" s="3">
        <f t="shared" si="0"/>
        <v>14</v>
      </c>
      <c r="B15" s="15" t="s">
        <v>424</v>
      </c>
      <c r="C15" s="16">
        <f t="shared" si="1"/>
        <v>43405</v>
      </c>
      <c r="D15" s="22">
        <v>0</v>
      </c>
      <c r="E15" s="22">
        <v>0</v>
      </c>
      <c r="F15" s="22">
        <v>0</v>
      </c>
      <c r="G15" s="22">
        <v>0</v>
      </c>
      <c r="H15" s="22">
        <v>0</v>
      </c>
    </row>
    <row r="16" spans="1:8" x14ac:dyDescent="0.25">
      <c r="A16" s="3">
        <f t="shared" si="0"/>
        <v>15</v>
      </c>
      <c r="B16" s="15" t="s">
        <v>425</v>
      </c>
      <c r="C16" s="16">
        <f t="shared" si="1"/>
        <v>43406</v>
      </c>
      <c r="D16" s="22">
        <v>0</v>
      </c>
      <c r="E16" s="22">
        <v>0</v>
      </c>
      <c r="F16" s="22">
        <v>0</v>
      </c>
      <c r="G16" s="22">
        <v>0</v>
      </c>
      <c r="H16" s="22">
        <v>0</v>
      </c>
    </row>
    <row r="17" spans="1:8" x14ac:dyDescent="0.25">
      <c r="A17" s="3">
        <f t="shared" si="0"/>
        <v>16</v>
      </c>
      <c r="B17" s="15" t="s">
        <v>421</v>
      </c>
      <c r="C17" s="16">
        <f>C12+7</f>
        <v>43409</v>
      </c>
      <c r="D17" s="22">
        <v>0</v>
      </c>
      <c r="E17" s="22">
        <v>0</v>
      </c>
      <c r="F17" s="22">
        <v>0</v>
      </c>
      <c r="G17" s="22">
        <v>0</v>
      </c>
      <c r="H17" s="22">
        <v>0</v>
      </c>
    </row>
    <row r="18" spans="1:8" x14ac:dyDescent="0.25">
      <c r="A18" s="3">
        <f t="shared" si="0"/>
        <v>17</v>
      </c>
      <c r="B18" s="15" t="s">
        <v>422</v>
      </c>
      <c r="C18" s="16">
        <f t="shared" si="1"/>
        <v>43410</v>
      </c>
      <c r="D18" s="22">
        <v>0</v>
      </c>
      <c r="E18" s="22">
        <v>0</v>
      </c>
      <c r="F18" s="22">
        <v>0</v>
      </c>
      <c r="G18" s="22">
        <v>0</v>
      </c>
      <c r="H18" s="22">
        <v>0</v>
      </c>
    </row>
    <row r="19" spans="1:8" x14ac:dyDescent="0.25">
      <c r="A19" s="3">
        <f t="shared" si="0"/>
        <v>18</v>
      </c>
      <c r="B19" s="15" t="s">
        <v>423</v>
      </c>
      <c r="C19" s="16">
        <f t="shared" si="1"/>
        <v>43411</v>
      </c>
      <c r="D19" s="22">
        <v>0</v>
      </c>
      <c r="E19" s="22">
        <v>0</v>
      </c>
      <c r="F19" s="22">
        <v>0</v>
      </c>
      <c r="G19" s="22">
        <v>0</v>
      </c>
      <c r="H19" s="22">
        <v>0</v>
      </c>
    </row>
    <row r="20" spans="1:8" x14ac:dyDescent="0.25">
      <c r="A20" s="3">
        <f t="shared" si="0"/>
        <v>19</v>
      </c>
      <c r="B20" s="15" t="s">
        <v>424</v>
      </c>
      <c r="C20" s="16">
        <f t="shared" si="1"/>
        <v>43412</v>
      </c>
      <c r="D20" s="22">
        <v>0</v>
      </c>
      <c r="E20" s="22">
        <v>0</v>
      </c>
      <c r="F20" s="22">
        <v>0</v>
      </c>
      <c r="G20" s="22">
        <v>0</v>
      </c>
      <c r="H20" s="22">
        <v>0</v>
      </c>
    </row>
    <row r="21" spans="1:8" x14ac:dyDescent="0.25">
      <c r="A21" s="3">
        <f t="shared" si="0"/>
        <v>20</v>
      </c>
      <c r="B21" s="15" t="s">
        <v>425</v>
      </c>
      <c r="C21" s="16">
        <f t="shared" si="1"/>
        <v>43413</v>
      </c>
      <c r="D21" s="22">
        <v>0</v>
      </c>
      <c r="E21" s="22">
        <v>0</v>
      </c>
      <c r="F21" s="22">
        <v>0</v>
      </c>
      <c r="G21" s="22">
        <v>0</v>
      </c>
      <c r="H21" s="22">
        <v>0</v>
      </c>
    </row>
    <row r="22" spans="1:8" x14ac:dyDescent="0.25">
      <c r="A22" s="3">
        <f t="shared" si="0"/>
        <v>21</v>
      </c>
      <c r="B22" s="15" t="s">
        <v>421</v>
      </c>
      <c r="C22" s="16">
        <f>C17+7</f>
        <v>43416</v>
      </c>
      <c r="D22" s="22">
        <v>0</v>
      </c>
      <c r="E22" s="22">
        <v>0</v>
      </c>
      <c r="F22" s="22">
        <v>0</v>
      </c>
      <c r="G22" s="22">
        <v>0</v>
      </c>
      <c r="H22" s="22">
        <v>0</v>
      </c>
    </row>
    <row r="23" spans="1:8" x14ac:dyDescent="0.25">
      <c r="A23" s="3">
        <f t="shared" si="0"/>
        <v>22</v>
      </c>
      <c r="B23" s="15" t="s">
        <v>422</v>
      </c>
      <c r="C23" s="16">
        <f t="shared" si="1"/>
        <v>43417</v>
      </c>
      <c r="D23" s="22">
        <v>0</v>
      </c>
      <c r="E23" s="22">
        <v>0</v>
      </c>
      <c r="F23" s="22">
        <v>0</v>
      </c>
      <c r="G23" s="22">
        <v>0</v>
      </c>
      <c r="H23" s="22">
        <v>0</v>
      </c>
    </row>
    <row r="24" spans="1:8" x14ac:dyDescent="0.25">
      <c r="A24" s="3">
        <f t="shared" si="0"/>
        <v>23</v>
      </c>
      <c r="B24" s="15" t="s">
        <v>423</v>
      </c>
      <c r="C24" s="16">
        <f t="shared" si="1"/>
        <v>43418</v>
      </c>
      <c r="D24" s="22">
        <v>0</v>
      </c>
      <c r="E24" s="22">
        <v>0</v>
      </c>
      <c r="F24" s="22">
        <v>0</v>
      </c>
      <c r="G24" s="22">
        <v>0</v>
      </c>
      <c r="H24" s="22">
        <v>0</v>
      </c>
    </row>
    <row r="25" spans="1:8" x14ac:dyDescent="0.25">
      <c r="A25" s="3">
        <f t="shared" si="0"/>
        <v>24</v>
      </c>
      <c r="B25" s="15" t="s">
        <v>424</v>
      </c>
      <c r="C25" s="16">
        <f t="shared" si="1"/>
        <v>43419</v>
      </c>
      <c r="D25" s="22">
        <v>0</v>
      </c>
      <c r="E25" s="22">
        <v>0</v>
      </c>
      <c r="F25" s="22">
        <v>0</v>
      </c>
      <c r="G25" s="22">
        <v>0</v>
      </c>
      <c r="H25" s="22">
        <v>0</v>
      </c>
    </row>
    <row r="26" spans="1:8" x14ac:dyDescent="0.25">
      <c r="A26" s="3">
        <f t="shared" si="0"/>
        <v>25</v>
      </c>
      <c r="B26" s="15" t="s">
        <v>425</v>
      </c>
      <c r="C26" s="16">
        <f t="shared" si="1"/>
        <v>43420</v>
      </c>
      <c r="D26" s="22">
        <v>0</v>
      </c>
      <c r="E26" s="22">
        <v>0</v>
      </c>
      <c r="F26" s="22">
        <v>0</v>
      </c>
      <c r="G26" s="22">
        <v>0</v>
      </c>
      <c r="H26" s="22">
        <v>0</v>
      </c>
    </row>
    <row r="27" spans="1:8" x14ac:dyDescent="0.25">
      <c r="A27" s="3">
        <f t="shared" si="0"/>
        <v>26</v>
      </c>
      <c r="B27" s="15" t="s">
        <v>421</v>
      </c>
      <c r="C27" s="16">
        <f>C22+7</f>
        <v>43423</v>
      </c>
      <c r="D27" s="22">
        <v>0</v>
      </c>
      <c r="E27" s="22">
        <v>0</v>
      </c>
      <c r="F27" s="22">
        <v>0</v>
      </c>
      <c r="G27" s="22">
        <v>0</v>
      </c>
      <c r="H27" s="22">
        <v>0</v>
      </c>
    </row>
    <row r="28" spans="1:8" x14ac:dyDescent="0.25">
      <c r="A28" s="3">
        <f t="shared" si="0"/>
        <v>27</v>
      </c>
      <c r="B28" s="15" t="s">
        <v>422</v>
      </c>
      <c r="C28" s="16">
        <f t="shared" si="1"/>
        <v>43424</v>
      </c>
      <c r="D28" s="22">
        <v>0</v>
      </c>
      <c r="E28" s="22">
        <v>0</v>
      </c>
      <c r="F28" s="22">
        <v>0</v>
      </c>
      <c r="G28" s="22">
        <v>0</v>
      </c>
      <c r="H28" s="22">
        <v>0</v>
      </c>
    </row>
    <row r="29" spans="1:8" x14ac:dyDescent="0.25">
      <c r="A29" s="3">
        <f t="shared" si="0"/>
        <v>28</v>
      </c>
      <c r="B29" s="15" t="s">
        <v>423</v>
      </c>
      <c r="C29" s="16">
        <f t="shared" si="1"/>
        <v>43425</v>
      </c>
      <c r="D29" s="22">
        <v>0</v>
      </c>
      <c r="E29" s="22">
        <v>0</v>
      </c>
      <c r="F29" s="22">
        <v>0</v>
      </c>
      <c r="G29" s="22">
        <v>0</v>
      </c>
      <c r="H29" s="22">
        <v>0</v>
      </c>
    </row>
    <row r="30" spans="1:8" x14ac:dyDescent="0.25">
      <c r="A30" s="3">
        <f t="shared" si="0"/>
        <v>29</v>
      </c>
      <c r="B30" s="15" t="s">
        <v>424</v>
      </c>
      <c r="C30" s="16">
        <f t="shared" si="1"/>
        <v>43426</v>
      </c>
      <c r="D30" s="22">
        <v>0</v>
      </c>
      <c r="E30" s="22">
        <v>0</v>
      </c>
      <c r="F30" s="22">
        <v>0</v>
      </c>
      <c r="G30" s="22">
        <v>0</v>
      </c>
      <c r="H30" s="22">
        <v>0</v>
      </c>
    </row>
    <row r="31" spans="1:8" x14ac:dyDescent="0.25">
      <c r="A31" s="3">
        <f t="shared" si="0"/>
        <v>30</v>
      </c>
      <c r="B31" s="15" t="s">
        <v>425</v>
      </c>
      <c r="C31" s="16">
        <f t="shared" si="1"/>
        <v>43427</v>
      </c>
      <c r="D31" s="22">
        <v>0</v>
      </c>
      <c r="E31" s="22">
        <v>0</v>
      </c>
      <c r="F31" s="22">
        <v>0</v>
      </c>
      <c r="G31" s="22">
        <v>0</v>
      </c>
      <c r="H31" s="22">
        <v>0</v>
      </c>
    </row>
    <row r="32" spans="1:8" x14ac:dyDescent="0.25">
      <c r="A32" s="3">
        <f t="shared" si="0"/>
        <v>31</v>
      </c>
      <c r="B32" s="15" t="s">
        <v>421</v>
      </c>
      <c r="C32" s="16">
        <f>C27+7</f>
        <v>43430</v>
      </c>
      <c r="D32" s="22">
        <v>0</v>
      </c>
      <c r="E32" s="22">
        <v>0</v>
      </c>
      <c r="F32" s="22">
        <v>0</v>
      </c>
      <c r="G32" s="22">
        <v>0</v>
      </c>
      <c r="H32" s="22">
        <v>0</v>
      </c>
    </row>
    <row r="33" spans="1:8" x14ac:dyDescent="0.25">
      <c r="A33" s="3">
        <f t="shared" si="0"/>
        <v>32</v>
      </c>
      <c r="B33" s="15" t="s">
        <v>422</v>
      </c>
      <c r="C33" s="16">
        <f t="shared" si="1"/>
        <v>43431</v>
      </c>
      <c r="D33" s="22">
        <v>0</v>
      </c>
      <c r="E33" s="22">
        <v>0</v>
      </c>
      <c r="F33" s="22">
        <v>0</v>
      </c>
      <c r="G33" s="22">
        <v>0</v>
      </c>
      <c r="H33" s="22">
        <v>0</v>
      </c>
    </row>
    <row r="34" spans="1:8" x14ac:dyDescent="0.25">
      <c r="A34" s="3">
        <f t="shared" si="0"/>
        <v>33</v>
      </c>
      <c r="B34" s="15" t="s">
        <v>423</v>
      </c>
      <c r="C34" s="16">
        <f t="shared" si="1"/>
        <v>43432</v>
      </c>
      <c r="D34" s="22">
        <v>0</v>
      </c>
      <c r="E34" s="22">
        <v>0</v>
      </c>
      <c r="F34" s="22">
        <v>0</v>
      </c>
      <c r="G34" s="22">
        <v>0</v>
      </c>
      <c r="H34" s="22">
        <v>0</v>
      </c>
    </row>
    <row r="35" spans="1:8" x14ac:dyDescent="0.25">
      <c r="A35" s="3">
        <f t="shared" si="0"/>
        <v>34</v>
      </c>
      <c r="B35" s="15" t="s">
        <v>424</v>
      </c>
      <c r="C35" s="16">
        <f t="shared" si="1"/>
        <v>43433</v>
      </c>
      <c r="D35" s="22">
        <v>0</v>
      </c>
      <c r="E35" s="22">
        <v>0</v>
      </c>
      <c r="F35" s="22">
        <v>0</v>
      </c>
      <c r="G35" s="22">
        <v>0</v>
      </c>
      <c r="H35" s="22">
        <v>0</v>
      </c>
    </row>
    <row r="36" spans="1:8" x14ac:dyDescent="0.25">
      <c r="A36" s="3">
        <f t="shared" si="0"/>
        <v>35</v>
      </c>
      <c r="B36" s="15" t="s">
        <v>425</v>
      </c>
      <c r="C36" s="16">
        <f t="shared" si="1"/>
        <v>43434</v>
      </c>
      <c r="D36" s="22">
        <v>0</v>
      </c>
      <c r="E36" s="22">
        <v>0</v>
      </c>
      <c r="F36" s="22">
        <v>0</v>
      </c>
      <c r="G36" s="22">
        <v>0</v>
      </c>
      <c r="H36" s="22">
        <v>0</v>
      </c>
    </row>
    <row r="37" spans="1:8" x14ac:dyDescent="0.25">
      <c r="A37" s="3">
        <f t="shared" si="0"/>
        <v>36</v>
      </c>
      <c r="B37" s="15" t="s">
        <v>421</v>
      </c>
      <c r="C37" s="16">
        <f>C32+7</f>
        <v>43437</v>
      </c>
      <c r="D37" s="22">
        <v>0</v>
      </c>
      <c r="E37" s="22">
        <v>0</v>
      </c>
      <c r="F37" s="22">
        <v>0</v>
      </c>
      <c r="G37" s="22">
        <v>0</v>
      </c>
      <c r="H37" s="22">
        <v>0</v>
      </c>
    </row>
    <row r="38" spans="1:8" x14ac:dyDescent="0.25">
      <c r="A38" s="3">
        <f t="shared" si="0"/>
        <v>37</v>
      </c>
      <c r="B38" s="15" t="s">
        <v>422</v>
      </c>
      <c r="C38" s="16">
        <f t="shared" si="1"/>
        <v>43438</v>
      </c>
      <c r="D38" s="22">
        <v>22</v>
      </c>
      <c r="E38" s="22">
        <v>11</v>
      </c>
      <c r="F38" s="22">
        <v>5</v>
      </c>
      <c r="G38" s="22">
        <v>1</v>
      </c>
      <c r="H38" s="22">
        <v>38</v>
      </c>
    </row>
    <row r="39" spans="1:8" x14ac:dyDescent="0.25">
      <c r="A39" s="3">
        <f t="shared" si="0"/>
        <v>38</v>
      </c>
      <c r="B39" s="15" t="s">
        <v>423</v>
      </c>
      <c r="C39" s="16">
        <f t="shared" si="1"/>
        <v>43439</v>
      </c>
      <c r="D39" s="22">
        <v>22</v>
      </c>
      <c r="E39" s="22">
        <v>11</v>
      </c>
      <c r="F39" s="22">
        <v>5</v>
      </c>
      <c r="G39" s="22">
        <v>1</v>
      </c>
      <c r="H39" s="22">
        <v>38</v>
      </c>
    </row>
    <row r="40" spans="1:8" x14ac:dyDescent="0.25">
      <c r="A40" s="3">
        <f t="shared" si="0"/>
        <v>39</v>
      </c>
      <c r="B40" s="15" t="s">
        <v>424</v>
      </c>
      <c r="C40" s="16">
        <f t="shared" si="1"/>
        <v>43440</v>
      </c>
      <c r="D40" s="22">
        <v>22</v>
      </c>
      <c r="E40" s="22">
        <v>11</v>
      </c>
      <c r="F40" s="22">
        <v>5</v>
      </c>
      <c r="G40" s="22">
        <v>1</v>
      </c>
      <c r="H40" s="22">
        <v>38</v>
      </c>
    </row>
    <row r="41" spans="1:8" x14ac:dyDescent="0.25">
      <c r="A41" s="3">
        <f t="shared" si="0"/>
        <v>40</v>
      </c>
      <c r="B41" s="15" t="s">
        <v>425</v>
      </c>
      <c r="C41" s="16">
        <f t="shared" si="1"/>
        <v>43441</v>
      </c>
      <c r="D41" s="22">
        <v>21</v>
      </c>
      <c r="E41" s="22">
        <v>11</v>
      </c>
      <c r="F41" s="22">
        <v>6</v>
      </c>
      <c r="G41" s="22">
        <v>1</v>
      </c>
      <c r="H41" s="22">
        <v>38</v>
      </c>
    </row>
    <row r="42" spans="1:8" x14ac:dyDescent="0.25">
      <c r="A42" s="3">
        <f t="shared" si="0"/>
        <v>41</v>
      </c>
      <c r="B42" s="15" t="s">
        <v>421</v>
      </c>
      <c r="C42" s="16">
        <f>C37+7</f>
        <v>43444</v>
      </c>
      <c r="D42" s="22">
        <v>21</v>
      </c>
      <c r="E42" s="22">
        <v>11</v>
      </c>
      <c r="F42" s="22">
        <v>6</v>
      </c>
      <c r="G42" s="22">
        <v>1</v>
      </c>
      <c r="H42" s="22">
        <v>38</v>
      </c>
    </row>
    <row r="43" spans="1:8" x14ac:dyDescent="0.25">
      <c r="A43" s="3">
        <f t="shared" si="0"/>
        <v>42</v>
      </c>
      <c r="B43" s="15" t="s">
        <v>422</v>
      </c>
      <c r="C43" s="16">
        <f t="shared" si="1"/>
        <v>43445</v>
      </c>
      <c r="D43" s="22">
        <v>21</v>
      </c>
      <c r="E43" s="22">
        <v>11</v>
      </c>
      <c r="F43" s="22">
        <v>6</v>
      </c>
      <c r="G43" s="22">
        <v>1</v>
      </c>
      <c r="H43" s="22">
        <v>38</v>
      </c>
    </row>
    <row r="44" spans="1:8" x14ac:dyDescent="0.25">
      <c r="A44" s="3">
        <f t="shared" si="0"/>
        <v>43</v>
      </c>
      <c r="B44" s="15" t="s">
        <v>423</v>
      </c>
      <c r="C44" s="16">
        <f t="shared" si="1"/>
        <v>43446</v>
      </c>
      <c r="D44" s="22">
        <v>21</v>
      </c>
      <c r="E44" s="22">
        <v>11</v>
      </c>
      <c r="F44" s="22">
        <v>6</v>
      </c>
      <c r="G44" s="22">
        <v>1</v>
      </c>
      <c r="H44" s="22">
        <v>38</v>
      </c>
    </row>
    <row r="45" spans="1:8" x14ac:dyDescent="0.25">
      <c r="A45" s="3">
        <f t="shared" si="0"/>
        <v>44</v>
      </c>
      <c r="B45" s="15" t="s">
        <v>424</v>
      </c>
      <c r="C45" s="16">
        <f t="shared" si="1"/>
        <v>43447</v>
      </c>
      <c r="D45" s="22">
        <v>21</v>
      </c>
      <c r="E45" s="22">
        <v>11</v>
      </c>
      <c r="F45" s="22">
        <v>6</v>
      </c>
      <c r="G45" s="22">
        <v>1</v>
      </c>
      <c r="H45" s="22">
        <v>38</v>
      </c>
    </row>
    <row r="46" spans="1:8" x14ac:dyDescent="0.25">
      <c r="A46" s="3">
        <f t="shared" si="0"/>
        <v>45</v>
      </c>
      <c r="B46" s="15" t="s">
        <v>425</v>
      </c>
      <c r="C46" s="16">
        <f t="shared" si="1"/>
        <v>43448</v>
      </c>
      <c r="D46" s="22">
        <v>21</v>
      </c>
      <c r="E46" s="22">
        <v>11</v>
      </c>
      <c r="F46" s="22">
        <v>6</v>
      </c>
      <c r="G46" s="22">
        <v>1</v>
      </c>
      <c r="H46" s="22">
        <v>38</v>
      </c>
    </row>
    <row r="47" spans="1:8" x14ac:dyDescent="0.25">
      <c r="A47" s="3">
        <f t="shared" si="0"/>
        <v>46</v>
      </c>
      <c r="B47" s="15" t="s">
        <v>421</v>
      </c>
      <c r="C47" s="16">
        <f>C42+7</f>
        <v>43451</v>
      </c>
      <c r="D47" s="22">
        <v>21</v>
      </c>
      <c r="E47" s="22">
        <v>11</v>
      </c>
      <c r="F47" s="22">
        <v>6</v>
      </c>
      <c r="G47" s="22">
        <v>1</v>
      </c>
      <c r="H47" s="22">
        <v>38</v>
      </c>
    </row>
    <row r="48" spans="1:8" x14ac:dyDescent="0.25">
      <c r="A48" s="3">
        <f t="shared" si="0"/>
        <v>47</v>
      </c>
      <c r="B48" s="15" t="s">
        <v>422</v>
      </c>
      <c r="C48" s="16">
        <f t="shared" si="1"/>
        <v>43452</v>
      </c>
      <c r="D48" s="22">
        <v>21</v>
      </c>
      <c r="E48" s="22">
        <v>11</v>
      </c>
      <c r="F48" s="22">
        <v>6</v>
      </c>
      <c r="G48" s="22">
        <v>1</v>
      </c>
      <c r="H48" s="22">
        <v>38</v>
      </c>
    </row>
    <row r="49" spans="1:8" x14ac:dyDescent="0.25">
      <c r="A49" s="3">
        <f t="shared" si="0"/>
        <v>48</v>
      </c>
      <c r="B49" s="15" t="s">
        <v>423</v>
      </c>
      <c r="C49" s="16">
        <f t="shared" si="1"/>
        <v>43453</v>
      </c>
      <c r="D49" s="22">
        <v>21</v>
      </c>
      <c r="E49" s="22">
        <v>11</v>
      </c>
      <c r="F49" s="22">
        <v>6</v>
      </c>
      <c r="G49" s="22">
        <v>1</v>
      </c>
      <c r="H49" s="22">
        <v>38</v>
      </c>
    </row>
    <row r="50" spans="1:8" x14ac:dyDescent="0.25">
      <c r="A50" s="3">
        <f t="shared" si="0"/>
        <v>49</v>
      </c>
      <c r="B50" s="15" t="s">
        <v>424</v>
      </c>
      <c r="C50" s="16">
        <f t="shared" si="1"/>
        <v>43454</v>
      </c>
      <c r="D50" s="22">
        <v>21</v>
      </c>
      <c r="E50" s="22">
        <v>11</v>
      </c>
      <c r="F50" s="22">
        <v>6</v>
      </c>
      <c r="G50" s="22">
        <v>1</v>
      </c>
      <c r="H50" s="22">
        <v>38</v>
      </c>
    </row>
    <row r="51" spans="1:8" x14ac:dyDescent="0.25">
      <c r="A51" s="3">
        <f t="shared" si="0"/>
        <v>50</v>
      </c>
      <c r="B51" s="15" t="s">
        <v>425</v>
      </c>
      <c r="C51" s="16">
        <f t="shared" si="1"/>
        <v>43455</v>
      </c>
      <c r="D51" s="22">
        <v>21</v>
      </c>
      <c r="E51" s="22">
        <v>11</v>
      </c>
      <c r="F51" s="22">
        <v>6</v>
      </c>
      <c r="G51" s="22">
        <v>1</v>
      </c>
      <c r="H51" s="22">
        <v>38</v>
      </c>
    </row>
  </sheetData>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8" tint="-0.249977111117893"/>
  </sheetPr>
  <dimension ref="A1:K51"/>
  <sheetViews>
    <sheetView topLeftCell="A10" workbookViewId="0">
      <selection activeCell="R48" sqref="R48"/>
    </sheetView>
  </sheetViews>
  <sheetFormatPr defaultColWidth="8.875" defaultRowHeight="15" x14ac:dyDescent="0.25"/>
  <cols>
    <col min="1" max="1" width="8.875" style="3"/>
    <col min="2" max="2" width="6.25" style="3" customWidth="1"/>
    <col min="3" max="3" width="12.125" style="3" customWidth="1"/>
    <col min="4" max="11" width="3" style="3" customWidth="1"/>
    <col min="12" max="16384" width="8.875" style="3"/>
  </cols>
  <sheetData>
    <row r="1" spans="1:11" ht="134.25" thickBot="1" x14ac:dyDescent="0.35">
      <c r="A1" s="4" t="s">
        <v>414</v>
      </c>
      <c r="B1" s="4"/>
      <c r="C1" s="4" t="s">
        <v>3</v>
      </c>
      <c r="D1" s="14" t="s">
        <v>415</v>
      </c>
      <c r="E1" s="14" t="s">
        <v>416</v>
      </c>
      <c r="F1" s="14" t="s">
        <v>417</v>
      </c>
      <c r="G1" s="14" t="s">
        <v>19</v>
      </c>
      <c r="H1" s="14" t="s">
        <v>418</v>
      </c>
      <c r="I1" s="14" t="s">
        <v>419</v>
      </c>
      <c r="J1" s="14" t="s">
        <v>420</v>
      </c>
      <c r="K1" s="14" t="s">
        <v>15</v>
      </c>
    </row>
    <row r="2" spans="1:11" ht="15.75" thickTop="1" x14ac:dyDescent="0.25">
      <c r="A2" s="3">
        <v>1</v>
      </c>
      <c r="B2" s="15" t="s">
        <v>421</v>
      </c>
      <c r="C2" s="16">
        <v>43388</v>
      </c>
      <c r="D2" s="22">
        <v>0</v>
      </c>
      <c r="E2" s="22">
        <v>0</v>
      </c>
      <c r="F2" s="22">
        <v>0</v>
      </c>
      <c r="G2" s="22">
        <v>0</v>
      </c>
      <c r="H2" s="22">
        <v>0</v>
      </c>
      <c r="I2" s="22">
        <v>0</v>
      </c>
      <c r="J2" s="22">
        <v>0</v>
      </c>
      <c r="K2" s="22">
        <v>0</v>
      </c>
    </row>
    <row r="3" spans="1:11" x14ac:dyDescent="0.25">
      <c r="A3" s="3">
        <f>A2+1</f>
        <v>2</v>
      </c>
      <c r="B3" s="15" t="s">
        <v>422</v>
      </c>
      <c r="C3" s="16">
        <f>C2+1</f>
        <v>43389</v>
      </c>
      <c r="D3" s="22">
        <v>0</v>
      </c>
      <c r="E3" s="22">
        <v>0</v>
      </c>
      <c r="F3" s="22">
        <v>0</v>
      </c>
      <c r="G3" s="22">
        <v>0</v>
      </c>
      <c r="H3" s="22">
        <v>0</v>
      </c>
      <c r="I3" s="22">
        <v>0</v>
      </c>
      <c r="J3" s="22">
        <v>0</v>
      </c>
      <c r="K3" s="22">
        <v>0</v>
      </c>
    </row>
    <row r="4" spans="1:11" x14ac:dyDescent="0.25">
      <c r="A4" s="3">
        <f t="shared" ref="A4:A51" si="0">A3+1</f>
        <v>3</v>
      </c>
      <c r="B4" s="15" t="s">
        <v>423</v>
      </c>
      <c r="C4" s="16">
        <f t="shared" ref="C4:C51" si="1">C3+1</f>
        <v>43390</v>
      </c>
      <c r="D4" s="22">
        <v>0</v>
      </c>
      <c r="E4" s="22">
        <v>0</v>
      </c>
      <c r="F4" s="22">
        <v>0</v>
      </c>
      <c r="G4" s="22">
        <v>0</v>
      </c>
      <c r="H4" s="22">
        <v>0</v>
      </c>
      <c r="I4" s="22">
        <v>0</v>
      </c>
      <c r="J4" s="22">
        <v>0</v>
      </c>
      <c r="K4" s="22">
        <v>0</v>
      </c>
    </row>
    <row r="5" spans="1:11" x14ac:dyDescent="0.25">
      <c r="A5" s="3">
        <f t="shared" si="0"/>
        <v>4</v>
      </c>
      <c r="B5" s="15" t="s">
        <v>424</v>
      </c>
      <c r="C5" s="16">
        <f t="shared" si="1"/>
        <v>43391</v>
      </c>
      <c r="D5" s="22">
        <v>0</v>
      </c>
      <c r="E5" s="22">
        <v>0</v>
      </c>
      <c r="F5" s="22">
        <v>0</v>
      </c>
      <c r="G5" s="22">
        <v>0</v>
      </c>
      <c r="H5" s="22">
        <v>0</v>
      </c>
      <c r="I5" s="22">
        <v>0</v>
      </c>
      <c r="J5" s="22">
        <v>0</v>
      </c>
      <c r="K5" s="22">
        <v>0</v>
      </c>
    </row>
    <row r="6" spans="1:11" x14ac:dyDescent="0.25">
      <c r="A6" s="3">
        <f t="shared" si="0"/>
        <v>5</v>
      </c>
      <c r="B6" s="15" t="s">
        <v>425</v>
      </c>
      <c r="C6" s="16">
        <f t="shared" si="1"/>
        <v>43392</v>
      </c>
      <c r="D6" s="22">
        <v>0</v>
      </c>
      <c r="E6" s="22">
        <v>0</v>
      </c>
      <c r="F6" s="22">
        <v>0</v>
      </c>
      <c r="G6" s="22">
        <v>0</v>
      </c>
      <c r="H6" s="22">
        <v>0</v>
      </c>
      <c r="I6" s="22">
        <v>0</v>
      </c>
      <c r="J6" s="22">
        <v>0</v>
      </c>
      <c r="K6" s="22">
        <v>0</v>
      </c>
    </row>
    <row r="7" spans="1:11" x14ac:dyDescent="0.25">
      <c r="A7" s="3">
        <f t="shared" si="0"/>
        <v>6</v>
      </c>
      <c r="B7" s="15" t="s">
        <v>421</v>
      </c>
      <c r="C7" s="16">
        <f>C2+7</f>
        <v>43395</v>
      </c>
      <c r="D7" s="22">
        <v>0</v>
      </c>
      <c r="E7" s="22">
        <v>0</v>
      </c>
      <c r="F7" s="22">
        <v>0</v>
      </c>
      <c r="G7" s="22">
        <v>0</v>
      </c>
      <c r="H7" s="22">
        <v>0</v>
      </c>
      <c r="I7" s="22">
        <v>0</v>
      </c>
      <c r="J7" s="22">
        <v>0</v>
      </c>
      <c r="K7" s="22">
        <v>0</v>
      </c>
    </row>
    <row r="8" spans="1:11" x14ac:dyDescent="0.25">
      <c r="A8" s="3">
        <f t="shared" si="0"/>
        <v>7</v>
      </c>
      <c r="B8" s="15" t="s">
        <v>422</v>
      </c>
      <c r="C8" s="16">
        <f t="shared" si="1"/>
        <v>43396</v>
      </c>
      <c r="D8" s="22">
        <v>0</v>
      </c>
      <c r="E8" s="22">
        <v>0</v>
      </c>
      <c r="F8" s="22">
        <v>0</v>
      </c>
      <c r="G8" s="22">
        <v>0</v>
      </c>
      <c r="H8" s="22">
        <v>0</v>
      </c>
      <c r="I8" s="22">
        <v>0</v>
      </c>
      <c r="J8" s="22">
        <v>0</v>
      </c>
      <c r="K8" s="22">
        <v>0</v>
      </c>
    </row>
    <row r="9" spans="1:11" x14ac:dyDescent="0.25">
      <c r="A9" s="3">
        <f t="shared" si="0"/>
        <v>8</v>
      </c>
      <c r="B9" s="15" t="s">
        <v>423</v>
      </c>
      <c r="C9" s="16">
        <f t="shared" si="1"/>
        <v>43397</v>
      </c>
      <c r="D9" s="22">
        <v>0</v>
      </c>
      <c r="E9" s="22">
        <v>0</v>
      </c>
      <c r="F9" s="22">
        <v>0</v>
      </c>
      <c r="G9" s="22">
        <v>0</v>
      </c>
      <c r="H9" s="22">
        <v>0</v>
      </c>
      <c r="I9" s="22">
        <v>0</v>
      </c>
      <c r="J9" s="22">
        <v>0</v>
      </c>
      <c r="K9" s="22">
        <v>0</v>
      </c>
    </row>
    <row r="10" spans="1:11" x14ac:dyDescent="0.25">
      <c r="A10" s="3">
        <f t="shared" si="0"/>
        <v>9</v>
      </c>
      <c r="B10" s="15" t="s">
        <v>424</v>
      </c>
      <c r="C10" s="16">
        <f t="shared" si="1"/>
        <v>43398</v>
      </c>
      <c r="D10" s="22">
        <v>0</v>
      </c>
      <c r="E10" s="22">
        <v>0</v>
      </c>
      <c r="F10" s="22">
        <v>0</v>
      </c>
      <c r="G10" s="22">
        <v>0</v>
      </c>
      <c r="H10" s="22">
        <v>0</v>
      </c>
      <c r="I10" s="22">
        <v>0</v>
      </c>
      <c r="J10" s="22">
        <v>0</v>
      </c>
      <c r="K10" s="22">
        <v>0</v>
      </c>
    </row>
    <row r="11" spans="1:11" x14ac:dyDescent="0.25">
      <c r="A11" s="3">
        <f t="shared" si="0"/>
        <v>10</v>
      </c>
      <c r="B11" s="15" t="s">
        <v>425</v>
      </c>
      <c r="C11" s="16">
        <f t="shared" si="1"/>
        <v>43399</v>
      </c>
      <c r="D11" s="22">
        <v>0</v>
      </c>
      <c r="E11" s="22">
        <v>0</v>
      </c>
      <c r="F11" s="22">
        <v>0</v>
      </c>
      <c r="G11" s="22">
        <v>0</v>
      </c>
      <c r="H11" s="22">
        <v>0</v>
      </c>
      <c r="I11" s="22">
        <v>0</v>
      </c>
      <c r="J11" s="22">
        <v>0</v>
      </c>
      <c r="K11" s="22">
        <v>0</v>
      </c>
    </row>
    <row r="12" spans="1:11" x14ac:dyDescent="0.25">
      <c r="A12" s="3">
        <f t="shared" si="0"/>
        <v>11</v>
      </c>
      <c r="B12" s="15" t="s">
        <v>421</v>
      </c>
      <c r="C12" s="16">
        <f>C7+7</f>
        <v>43402</v>
      </c>
      <c r="D12" s="22">
        <v>0</v>
      </c>
      <c r="E12" s="22">
        <v>0</v>
      </c>
      <c r="F12" s="22">
        <v>0</v>
      </c>
      <c r="G12" s="22">
        <v>0</v>
      </c>
      <c r="H12" s="22">
        <v>0</v>
      </c>
      <c r="I12" s="22">
        <v>0</v>
      </c>
      <c r="J12" s="22">
        <v>0</v>
      </c>
      <c r="K12" s="22">
        <v>0</v>
      </c>
    </row>
    <row r="13" spans="1:11" x14ac:dyDescent="0.25">
      <c r="A13" s="3">
        <f t="shared" si="0"/>
        <v>12</v>
      </c>
      <c r="B13" s="15" t="s">
        <v>422</v>
      </c>
      <c r="C13" s="16">
        <f t="shared" si="1"/>
        <v>43403</v>
      </c>
      <c r="D13" s="22">
        <v>0</v>
      </c>
      <c r="E13" s="22">
        <v>0</v>
      </c>
      <c r="F13" s="22">
        <v>0</v>
      </c>
      <c r="G13" s="22">
        <v>0</v>
      </c>
      <c r="H13" s="22">
        <v>0</v>
      </c>
      <c r="I13" s="22">
        <v>0</v>
      </c>
      <c r="J13" s="22">
        <v>0</v>
      </c>
      <c r="K13" s="22">
        <v>0</v>
      </c>
    </row>
    <row r="14" spans="1:11" x14ac:dyDescent="0.25">
      <c r="A14" s="3">
        <f t="shared" si="0"/>
        <v>13</v>
      </c>
      <c r="B14" s="15" t="s">
        <v>423</v>
      </c>
      <c r="C14" s="16">
        <f t="shared" si="1"/>
        <v>43404</v>
      </c>
      <c r="D14" s="22">
        <v>0</v>
      </c>
      <c r="E14" s="22">
        <v>0</v>
      </c>
      <c r="F14" s="22">
        <v>0</v>
      </c>
      <c r="G14" s="22">
        <v>0</v>
      </c>
      <c r="H14" s="22">
        <v>0</v>
      </c>
      <c r="I14" s="22">
        <v>0</v>
      </c>
      <c r="J14" s="22">
        <v>0</v>
      </c>
      <c r="K14" s="22">
        <v>0</v>
      </c>
    </row>
    <row r="15" spans="1:11" x14ac:dyDescent="0.25">
      <c r="A15" s="3">
        <f t="shared" si="0"/>
        <v>14</v>
      </c>
      <c r="B15" s="15" t="s">
        <v>424</v>
      </c>
      <c r="C15" s="16">
        <f t="shared" si="1"/>
        <v>43405</v>
      </c>
      <c r="D15" s="22">
        <v>0</v>
      </c>
      <c r="E15" s="22">
        <v>0</v>
      </c>
      <c r="F15" s="22">
        <v>0</v>
      </c>
      <c r="G15" s="22">
        <v>0</v>
      </c>
      <c r="H15" s="22">
        <v>0</v>
      </c>
      <c r="I15" s="22">
        <v>0</v>
      </c>
      <c r="J15" s="22">
        <v>0</v>
      </c>
      <c r="K15" s="22">
        <v>0</v>
      </c>
    </row>
    <row r="16" spans="1:11" x14ac:dyDescent="0.25">
      <c r="A16" s="3">
        <f t="shared" si="0"/>
        <v>15</v>
      </c>
      <c r="B16" s="15" t="s">
        <v>425</v>
      </c>
      <c r="C16" s="16">
        <f t="shared" si="1"/>
        <v>43406</v>
      </c>
      <c r="D16" s="22">
        <v>0</v>
      </c>
      <c r="E16" s="22">
        <v>0</v>
      </c>
      <c r="F16" s="22">
        <v>0</v>
      </c>
      <c r="G16" s="22">
        <v>0</v>
      </c>
      <c r="H16" s="22">
        <v>0</v>
      </c>
      <c r="I16" s="22">
        <v>0</v>
      </c>
      <c r="J16" s="22">
        <v>0</v>
      </c>
      <c r="K16" s="22">
        <v>0</v>
      </c>
    </row>
    <row r="17" spans="1:11" x14ac:dyDescent="0.25">
      <c r="A17" s="3">
        <f t="shared" si="0"/>
        <v>16</v>
      </c>
      <c r="B17" s="15" t="s">
        <v>421</v>
      </c>
      <c r="C17" s="16">
        <f>C12+7</f>
        <v>43409</v>
      </c>
      <c r="D17" s="22">
        <v>0</v>
      </c>
      <c r="E17" s="22">
        <v>0</v>
      </c>
      <c r="F17" s="22">
        <v>0</v>
      </c>
      <c r="G17" s="22">
        <v>0</v>
      </c>
      <c r="H17" s="22">
        <v>0</v>
      </c>
      <c r="I17" s="22">
        <v>0</v>
      </c>
      <c r="J17" s="22">
        <v>0</v>
      </c>
      <c r="K17" s="22">
        <v>0</v>
      </c>
    </row>
    <row r="18" spans="1:11" x14ac:dyDescent="0.25">
      <c r="A18" s="3">
        <f t="shared" si="0"/>
        <v>17</v>
      </c>
      <c r="B18" s="15" t="s">
        <v>422</v>
      </c>
      <c r="C18" s="16">
        <f t="shared" si="1"/>
        <v>43410</v>
      </c>
      <c r="D18" s="22">
        <v>0</v>
      </c>
      <c r="E18" s="22">
        <v>0</v>
      </c>
      <c r="F18" s="22">
        <v>0</v>
      </c>
      <c r="G18" s="22">
        <v>0</v>
      </c>
      <c r="H18" s="22">
        <v>0</v>
      </c>
      <c r="I18" s="22">
        <v>0</v>
      </c>
      <c r="J18" s="22">
        <v>0</v>
      </c>
      <c r="K18" s="22">
        <v>0</v>
      </c>
    </row>
    <row r="19" spans="1:11" x14ac:dyDescent="0.25">
      <c r="A19" s="3">
        <f t="shared" si="0"/>
        <v>18</v>
      </c>
      <c r="B19" s="15" t="s">
        <v>423</v>
      </c>
      <c r="C19" s="16">
        <f t="shared" si="1"/>
        <v>43411</v>
      </c>
      <c r="D19" s="22">
        <v>0</v>
      </c>
      <c r="E19" s="22">
        <v>0</v>
      </c>
      <c r="F19" s="22">
        <v>0</v>
      </c>
      <c r="G19" s="22">
        <v>0</v>
      </c>
      <c r="H19" s="22">
        <v>0</v>
      </c>
      <c r="I19" s="22">
        <v>0</v>
      </c>
      <c r="J19" s="22">
        <v>0</v>
      </c>
      <c r="K19" s="22">
        <v>0</v>
      </c>
    </row>
    <row r="20" spans="1:11" x14ac:dyDescent="0.25">
      <c r="A20" s="3">
        <f t="shared" si="0"/>
        <v>19</v>
      </c>
      <c r="B20" s="15" t="s">
        <v>424</v>
      </c>
      <c r="C20" s="16">
        <f t="shared" si="1"/>
        <v>43412</v>
      </c>
      <c r="D20" s="22">
        <v>0</v>
      </c>
      <c r="E20" s="22">
        <v>0</v>
      </c>
      <c r="F20" s="22">
        <v>0</v>
      </c>
      <c r="G20" s="22">
        <v>0</v>
      </c>
      <c r="H20" s="22">
        <v>0</v>
      </c>
      <c r="I20" s="22">
        <v>0</v>
      </c>
      <c r="J20" s="22">
        <v>0</v>
      </c>
      <c r="K20" s="22">
        <v>0</v>
      </c>
    </row>
    <row r="21" spans="1:11" x14ac:dyDescent="0.25">
      <c r="A21" s="3">
        <f t="shared" si="0"/>
        <v>20</v>
      </c>
      <c r="B21" s="15" t="s">
        <v>425</v>
      </c>
      <c r="C21" s="16">
        <f t="shared" si="1"/>
        <v>43413</v>
      </c>
      <c r="D21" s="22">
        <v>0</v>
      </c>
      <c r="E21" s="22">
        <v>0</v>
      </c>
      <c r="F21" s="22">
        <v>0</v>
      </c>
      <c r="G21" s="22">
        <v>0</v>
      </c>
      <c r="H21" s="22">
        <v>0</v>
      </c>
      <c r="I21" s="22">
        <v>0</v>
      </c>
      <c r="J21" s="22">
        <v>0</v>
      </c>
      <c r="K21" s="22">
        <v>0</v>
      </c>
    </row>
    <row r="22" spans="1:11" x14ac:dyDescent="0.25">
      <c r="A22" s="3">
        <f t="shared" si="0"/>
        <v>21</v>
      </c>
      <c r="B22" s="15" t="s">
        <v>421</v>
      </c>
      <c r="C22" s="16">
        <f>C17+7</f>
        <v>43416</v>
      </c>
      <c r="D22" s="22">
        <v>0</v>
      </c>
      <c r="E22" s="22">
        <v>0</v>
      </c>
      <c r="F22" s="22">
        <v>0</v>
      </c>
      <c r="G22" s="22">
        <v>0</v>
      </c>
      <c r="H22" s="22">
        <v>0</v>
      </c>
      <c r="I22" s="22">
        <v>0</v>
      </c>
      <c r="J22" s="22">
        <v>0</v>
      </c>
      <c r="K22" s="22">
        <v>0</v>
      </c>
    </row>
    <row r="23" spans="1:11" x14ac:dyDescent="0.25">
      <c r="A23" s="3">
        <f t="shared" si="0"/>
        <v>22</v>
      </c>
      <c r="B23" s="15" t="s">
        <v>422</v>
      </c>
      <c r="C23" s="16">
        <f t="shared" si="1"/>
        <v>43417</v>
      </c>
      <c r="D23" s="22">
        <v>0</v>
      </c>
      <c r="E23" s="22">
        <v>0</v>
      </c>
      <c r="F23" s="22">
        <v>0</v>
      </c>
      <c r="G23" s="22">
        <v>0</v>
      </c>
      <c r="H23" s="22">
        <v>0</v>
      </c>
      <c r="I23" s="22">
        <v>0</v>
      </c>
      <c r="J23" s="22">
        <v>0</v>
      </c>
      <c r="K23" s="22">
        <v>0</v>
      </c>
    </row>
    <row r="24" spans="1:11" x14ac:dyDescent="0.25">
      <c r="A24" s="3">
        <f t="shared" si="0"/>
        <v>23</v>
      </c>
      <c r="B24" s="15" t="s">
        <v>423</v>
      </c>
      <c r="C24" s="16">
        <f t="shared" si="1"/>
        <v>43418</v>
      </c>
      <c r="D24" s="22">
        <v>0</v>
      </c>
      <c r="E24" s="22">
        <v>0</v>
      </c>
      <c r="F24" s="22">
        <v>0</v>
      </c>
      <c r="G24" s="22">
        <v>0</v>
      </c>
      <c r="H24" s="22">
        <v>0</v>
      </c>
      <c r="I24" s="22">
        <v>0</v>
      </c>
      <c r="J24" s="22">
        <v>0</v>
      </c>
      <c r="K24" s="22">
        <v>0</v>
      </c>
    </row>
    <row r="25" spans="1:11" x14ac:dyDescent="0.25">
      <c r="A25" s="3">
        <f t="shared" si="0"/>
        <v>24</v>
      </c>
      <c r="B25" s="15" t="s">
        <v>424</v>
      </c>
      <c r="C25" s="16">
        <f t="shared" si="1"/>
        <v>43419</v>
      </c>
      <c r="D25" s="22">
        <v>0</v>
      </c>
      <c r="E25" s="22">
        <v>0</v>
      </c>
      <c r="F25" s="22">
        <v>0</v>
      </c>
      <c r="G25" s="22">
        <v>0</v>
      </c>
      <c r="H25" s="22">
        <v>0</v>
      </c>
      <c r="I25" s="22">
        <v>0</v>
      </c>
      <c r="J25" s="22">
        <v>0</v>
      </c>
      <c r="K25" s="22">
        <v>0</v>
      </c>
    </row>
    <row r="26" spans="1:11" x14ac:dyDescent="0.25">
      <c r="A26" s="3">
        <f t="shared" si="0"/>
        <v>25</v>
      </c>
      <c r="B26" s="15" t="s">
        <v>425</v>
      </c>
      <c r="C26" s="16">
        <f t="shared" si="1"/>
        <v>43420</v>
      </c>
      <c r="D26" s="22">
        <v>0</v>
      </c>
      <c r="E26" s="22">
        <v>0</v>
      </c>
      <c r="F26" s="22">
        <v>0</v>
      </c>
      <c r="G26" s="22">
        <v>0</v>
      </c>
      <c r="H26" s="22">
        <v>0</v>
      </c>
      <c r="I26" s="22">
        <v>0</v>
      </c>
      <c r="J26" s="22">
        <v>0</v>
      </c>
      <c r="K26" s="22">
        <v>0</v>
      </c>
    </row>
    <row r="27" spans="1:11" x14ac:dyDescent="0.25">
      <c r="A27" s="3">
        <f t="shared" si="0"/>
        <v>26</v>
      </c>
      <c r="B27" s="15" t="s">
        <v>421</v>
      </c>
      <c r="C27" s="16">
        <f>C22+7</f>
        <v>43423</v>
      </c>
      <c r="D27" s="22">
        <v>0</v>
      </c>
      <c r="E27" s="22">
        <v>0</v>
      </c>
      <c r="F27" s="22">
        <v>0</v>
      </c>
      <c r="G27" s="22">
        <v>0</v>
      </c>
      <c r="H27" s="22">
        <v>0</v>
      </c>
      <c r="I27" s="22">
        <v>0</v>
      </c>
      <c r="J27" s="22">
        <v>0</v>
      </c>
      <c r="K27" s="22">
        <v>0</v>
      </c>
    </row>
    <row r="28" spans="1:11" x14ac:dyDescent="0.25">
      <c r="A28" s="3">
        <f t="shared" si="0"/>
        <v>27</v>
      </c>
      <c r="B28" s="15" t="s">
        <v>422</v>
      </c>
      <c r="C28" s="16">
        <f t="shared" si="1"/>
        <v>43424</v>
      </c>
      <c r="D28" s="22">
        <v>0</v>
      </c>
      <c r="E28" s="22">
        <v>0</v>
      </c>
      <c r="F28" s="22">
        <v>0</v>
      </c>
      <c r="G28" s="22">
        <v>0</v>
      </c>
      <c r="H28" s="22">
        <v>0</v>
      </c>
      <c r="I28" s="22">
        <v>0</v>
      </c>
      <c r="J28" s="22">
        <v>0</v>
      </c>
      <c r="K28" s="22">
        <v>0</v>
      </c>
    </row>
    <row r="29" spans="1:11" x14ac:dyDescent="0.25">
      <c r="A29" s="3">
        <f t="shared" si="0"/>
        <v>28</v>
      </c>
      <c r="B29" s="15" t="s">
        <v>423</v>
      </c>
      <c r="C29" s="16">
        <f t="shared" si="1"/>
        <v>43425</v>
      </c>
      <c r="D29" s="22">
        <v>0</v>
      </c>
      <c r="E29" s="22">
        <v>0</v>
      </c>
      <c r="F29" s="22">
        <v>0</v>
      </c>
      <c r="G29" s="22">
        <v>0</v>
      </c>
      <c r="H29" s="22">
        <v>0</v>
      </c>
      <c r="I29" s="22">
        <v>0</v>
      </c>
      <c r="J29" s="22">
        <v>0</v>
      </c>
      <c r="K29" s="22">
        <v>0</v>
      </c>
    </row>
    <row r="30" spans="1:11" x14ac:dyDescent="0.25">
      <c r="A30" s="3">
        <f t="shared" si="0"/>
        <v>29</v>
      </c>
      <c r="B30" s="15" t="s">
        <v>424</v>
      </c>
      <c r="C30" s="16">
        <f t="shared" si="1"/>
        <v>43426</v>
      </c>
      <c r="D30" s="22">
        <v>0</v>
      </c>
      <c r="E30" s="22">
        <v>0</v>
      </c>
      <c r="F30" s="22">
        <v>0</v>
      </c>
      <c r="G30" s="22">
        <v>0</v>
      </c>
      <c r="H30" s="22">
        <v>0</v>
      </c>
      <c r="I30" s="22">
        <v>0</v>
      </c>
      <c r="J30" s="22">
        <v>0</v>
      </c>
      <c r="K30" s="22">
        <v>0</v>
      </c>
    </row>
    <row r="31" spans="1:11" x14ac:dyDescent="0.25">
      <c r="A31" s="3">
        <f t="shared" si="0"/>
        <v>30</v>
      </c>
      <c r="B31" s="15" t="s">
        <v>425</v>
      </c>
      <c r="C31" s="16">
        <f t="shared" si="1"/>
        <v>43427</v>
      </c>
      <c r="D31" s="22">
        <v>0</v>
      </c>
      <c r="E31" s="22">
        <v>0</v>
      </c>
      <c r="F31" s="22">
        <v>0</v>
      </c>
      <c r="G31" s="22">
        <v>0</v>
      </c>
      <c r="H31" s="22">
        <v>0</v>
      </c>
      <c r="I31" s="22">
        <v>0</v>
      </c>
      <c r="J31" s="22">
        <v>0</v>
      </c>
      <c r="K31" s="22">
        <v>0</v>
      </c>
    </row>
    <row r="32" spans="1:11" x14ac:dyDescent="0.25">
      <c r="A32" s="3">
        <f t="shared" si="0"/>
        <v>31</v>
      </c>
      <c r="B32" s="15" t="s">
        <v>421</v>
      </c>
      <c r="C32" s="16">
        <f>C27+7</f>
        <v>43430</v>
      </c>
      <c r="D32" s="22">
        <v>0</v>
      </c>
      <c r="E32" s="22">
        <v>0</v>
      </c>
      <c r="F32" s="22">
        <v>0</v>
      </c>
      <c r="G32" s="22">
        <v>0</v>
      </c>
      <c r="H32" s="22">
        <v>0</v>
      </c>
      <c r="I32" s="22">
        <v>0</v>
      </c>
      <c r="J32" s="22">
        <v>0</v>
      </c>
      <c r="K32" s="22">
        <v>0</v>
      </c>
    </row>
    <row r="33" spans="1:11" x14ac:dyDescent="0.25">
      <c r="A33" s="3">
        <f t="shared" si="0"/>
        <v>32</v>
      </c>
      <c r="B33" s="15" t="s">
        <v>422</v>
      </c>
      <c r="C33" s="16">
        <f t="shared" si="1"/>
        <v>43431</v>
      </c>
      <c r="D33" s="22">
        <v>0</v>
      </c>
      <c r="E33" s="22">
        <v>0</v>
      </c>
      <c r="F33" s="22">
        <v>0</v>
      </c>
      <c r="G33" s="22">
        <v>0</v>
      </c>
      <c r="H33" s="22">
        <v>0</v>
      </c>
      <c r="I33" s="22">
        <v>0</v>
      </c>
      <c r="J33" s="22">
        <v>0</v>
      </c>
      <c r="K33" s="22">
        <v>0</v>
      </c>
    </row>
    <row r="34" spans="1:11" x14ac:dyDescent="0.25">
      <c r="A34" s="3">
        <f t="shared" si="0"/>
        <v>33</v>
      </c>
      <c r="B34" s="15" t="s">
        <v>423</v>
      </c>
      <c r="C34" s="16">
        <f t="shared" si="1"/>
        <v>43432</v>
      </c>
      <c r="D34" s="22">
        <v>0</v>
      </c>
      <c r="E34" s="22">
        <v>0</v>
      </c>
      <c r="F34" s="22">
        <v>0</v>
      </c>
      <c r="G34" s="22">
        <v>0</v>
      </c>
      <c r="H34" s="22">
        <v>0</v>
      </c>
      <c r="I34" s="22">
        <v>0</v>
      </c>
      <c r="J34" s="22">
        <v>0</v>
      </c>
      <c r="K34" s="22">
        <v>0</v>
      </c>
    </row>
    <row r="35" spans="1:11" x14ac:dyDescent="0.25">
      <c r="A35" s="3">
        <f t="shared" si="0"/>
        <v>34</v>
      </c>
      <c r="B35" s="15" t="s">
        <v>424</v>
      </c>
      <c r="C35" s="16">
        <f t="shared" si="1"/>
        <v>43433</v>
      </c>
      <c r="D35" s="22">
        <v>0</v>
      </c>
      <c r="E35" s="22">
        <v>0</v>
      </c>
      <c r="F35" s="22">
        <v>0</v>
      </c>
      <c r="G35" s="22">
        <v>0</v>
      </c>
      <c r="H35" s="22">
        <v>0</v>
      </c>
      <c r="I35" s="22">
        <v>0</v>
      </c>
      <c r="J35" s="22">
        <v>0</v>
      </c>
      <c r="K35" s="22">
        <v>0</v>
      </c>
    </row>
    <row r="36" spans="1:11" x14ac:dyDescent="0.25">
      <c r="A36" s="3">
        <f t="shared" si="0"/>
        <v>35</v>
      </c>
      <c r="B36" s="15" t="s">
        <v>425</v>
      </c>
      <c r="C36" s="16">
        <f t="shared" si="1"/>
        <v>43434</v>
      </c>
      <c r="D36" s="22">
        <v>0</v>
      </c>
      <c r="E36" s="22">
        <v>0</v>
      </c>
      <c r="F36" s="22">
        <v>0</v>
      </c>
      <c r="G36" s="22">
        <v>0</v>
      </c>
      <c r="H36" s="22">
        <v>0</v>
      </c>
      <c r="I36" s="22">
        <v>0</v>
      </c>
      <c r="J36" s="22">
        <v>0</v>
      </c>
      <c r="K36" s="22">
        <v>0</v>
      </c>
    </row>
    <row r="37" spans="1:11" x14ac:dyDescent="0.25">
      <c r="A37" s="3">
        <f t="shared" si="0"/>
        <v>36</v>
      </c>
      <c r="B37" s="15" t="s">
        <v>421</v>
      </c>
      <c r="C37" s="16">
        <f>C32+7</f>
        <v>43437</v>
      </c>
      <c r="D37" s="22">
        <v>0</v>
      </c>
      <c r="E37" s="22">
        <v>0</v>
      </c>
      <c r="F37" s="22">
        <v>0</v>
      </c>
      <c r="G37" s="22">
        <v>0</v>
      </c>
      <c r="H37" s="22">
        <v>0</v>
      </c>
      <c r="I37" s="22">
        <v>0</v>
      </c>
      <c r="J37" s="22">
        <v>0</v>
      </c>
      <c r="K37" s="22">
        <v>0</v>
      </c>
    </row>
    <row r="38" spans="1:11" x14ac:dyDescent="0.25">
      <c r="A38" s="3">
        <f t="shared" si="0"/>
        <v>37</v>
      </c>
      <c r="B38" s="15" t="s">
        <v>422</v>
      </c>
      <c r="C38" s="16">
        <f t="shared" si="1"/>
        <v>43438</v>
      </c>
      <c r="D38" s="22">
        <v>3</v>
      </c>
      <c r="E38" s="22">
        <v>3</v>
      </c>
      <c r="F38" s="22">
        <v>3</v>
      </c>
      <c r="G38" s="22">
        <v>13</v>
      </c>
      <c r="H38" s="22">
        <v>2</v>
      </c>
      <c r="I38" s="22">
        <v>0</v>
      </c>
      <c r="J38" s="22">
        <v>0</v>
      </c>
      <c r="K38" s="22">
        <v>8</v>
      </c>
    </row>
    <row r="39" spans="1:11" x14ac:dyDescent="0.25">
      <c r="A39" s="3">
        <f t="shared" si="0"/>
        <v>38</v>
      </c>
      <c r="B39" s="15" t="s">
        <v>423</v>
      </c>
      <c r="C39" s="16">
        <f t="shared" si="1"/>
        <v>43439</v>
      </c>
      <c r="D39" s="22">
        <v>3</v>
      </c>
      <c r="E39" s="22">
        <v>3</v>
      </c>
      <c r="F39" s="22">
        <v>3</v>
      </c>
      <c r="G39" s="22">
        <v>13</v>
      </c>
      <c r="H39" s="22">
        <v>2</v>
      </c>
      <c r="I39" s="22">
        <v>0</v>
      </c>
      <c r="J39" s="22">
        <v>0</v>
      </c>
      <c r="K39" s="22">
        <v>8</v>
      </c>
    </row>
    <row r="40" spans="1:11" x14ac:dyDescent="0.25">
      <c r="A40" s="3">
        <f t="shared" si="0"/>
        <v>39</v>
      </c>
      <c r="B40" s="15" t="s">
        <v>424</v>
      </c>
      <c r="C40" s="16">
        <f t="shared" si="1"/>
        <v>43440</v>
      </c>
      <c r="D40" s="22">
        <v>3</v>
      </c>
      <c r="E40" s="22">
        <v>3</v>
      </c>
      <c r="F40" s="22">
        <v>3</v>
      </c>
      <c r="G40" s="22">
        <v>13</v>
      </c>
      <c r="H40" s="22">
        <v>2</v>
      </c>
      <c r="I40" s="22">
        <v>0</v>
      </c>
      <c r="J40" s="22">
        <v>0</v>
      </c>
      <c r="K40" s="22">
        <v>8</v>
      </c>
    </row>
    <row r="41" spans="1:11" x14ac:dyDescent="0.25">
      <c r="A41" s="3">
        <f t="shared" si="0"/>
        <v>40</v>
      </c>
      <c r="B41" s="15" t="s">
        <v>425</v>
      </c>
      <c r="C41" s="16">
        <f t="shared" si="1"/>
        <v>43441</v>
      </c>
      <c r="D41" s="22">
        <v>3</v>
      </c>
      <c r="E41" s="22">
        <v>3</v>
      </c>
      <c r="F41" s="22">
        <v>3</v>
      </c>
      <c r="G41" s="22">
        <v>13</v>
      </c>
      <c r="H41" s="22">
        <v>2</v>
      </c>
      <c r="I41" s="22">
        <v>0</v>
      </c>
      <c r="J41" s="22">
        <v>0</v>
      </c>
      <c r="K41" s="22">
        <v>8</v>
      </c>
    </row>
    <row r="42" spans="1:11" x14ac:dyDescent="0.25">
      <c r="A42" s="3">
        <f t="shared" si="0"/>
        <v>41</v>
      </c>
      <c r="B42" s="15" t="s">
        <v>421</v>
      </c>
      <c r="C42" s="16">
        <f>C37+7</f>
        <v>43444</v>
      </c>
      <c r="D42" s="22">
        <v>3</v>
      </c>
      <c r="E42" s="22">
        <v>3</v>
      </c>
      <c r="F42" s="22">
        <v>3</v>
      </c>
      <c r="G42" s="22">
        <v>13</v>
      </c>
      <c r="H42" s="22">
        <v>2</v>
      </c>
      <c r="I42" s="22">
        <v>0</v>
      </c>
      <c r="J42" s="22">
        <v>0</v>
      </c>
      <c r="K42" s="22">
        <v>8</v>
      </c>
    </row>
    <row r="43" spans="1:11" x14ac:dyDescent="0.25">
      <c r="A43" s="3">
        <f t="shared" si="0"/>
        <v>42</v>
      </c>
      <c r="B43" s="15" t="s">
        <v>422</v>
      </c>
      <c r="C43" s="16">
        <f t="shared" si="1"/>
        <v>43445</v>
      </c>
      <c r="D43" s="22">
        <v>3</v>
      </c>
      <c r="E43" s="22">
        <v>3</v>
      </c>
      <c r="F43" s="22">
        <v>3</v>
      </c>
      <c r="G43" s="22">
        <v>13</v>
      </c>
      <c r="H43" s="22">
        <v>2</v>
      </c>
      <c r="I43" s="22">
        <v>0</v>
      </c>
      <c r="J43" s="22">
        <v>0</v>
      </c>
      <c r="K43" s="22">
        <v>8</v>
      </c>
    </row>
    <row r="44" spans="1:11" x14ac:dyDescent="0.25">
      <c r="A44" s="3">
        <f t="shared" si="0"/>
        <v>43</v>
      </c>
      <c r="B44" s="15" t="s">
        <v>423</v>
      </c>
      <c r="C44" s="16">
        <f t="shared" si="1"/>
        <v>43446</v>
      </c>
      <c r="D44" s="22">
        <v>0</v>
      </c>
      <c r="E44" s="22">
        <v>0</v>
      </c>
      <c r="F44" s="22">
        <v>0</v>
      </c>
      <c r="G44" s="22">
        <v>0</v>
      </c>
      <c r="H44" s="22">
        <v>0</v>
      </c>
      <c r="I44" s="22">
        <v>0</v>
      </c>
      <c r="J44" s="22">
        <v>0</v>
      </c>
      <c r="K44" s="22">
        <v>0</v>
      </c>
    </row>
    <row r="45" spans="1:11" x14ac:dyDescent="0.25">
      <c r="A45" s="3">
        <f t="shared" si="0"/>
        <v>44</v>
      </c>
      <c r="B45" s="15" t="s">
        <v>424</v>
      </c>
      <c r="C45" s="16">
        <f t="shared" si="1"/>
        <v>43447</v>
      </c>
      <c r="D45" s="22">
        <v>0</v>
      </c>
      <c r="E45" s="22">
        <v>0</v>
      </c>
      <c r="F45" s="22">
        <v>0</v>
      </c>
      <c r="G45" s="22">
        <v>0</v>
      </c>
      <c r="H45" s="22">
        <v>0</v>
      </c>
      <c r="I45" s="22">
        <v>0</v>
      </c>
      <c r="J45" s="22">
        <v>0</v>
      </c>
      <c r="K45" s="22">
        <v>0</v>
      </c>
    </row>
    <row r="46" spans="1:11" x14ac:dyDescent="0.25">
      <c r="A46" s="3">
        <f t="shared" si="0"/>
        <v>45</v>
      </c>
      <c r="B46" s="15" t="s">
        <v>425</v>
      </c>
      <c r="C46" s="16">
        <f t="shared" si="1"/>
        <v>43448</v>
      </c>
      <c r="D46" s="22">
        <v>0</v>
      </c>
      <c r="E46" s="22">
        <v>0</v>
      </c>
      <c r="F46" s="22">
        <v>0</v>
      </c>
      <c r="G46" s="22">
        <v>0</v>
      </c>
      <c r="H46" s="22">
        <v>0</v>
      </c>
      <c r="I46" s="22">
        <v>0</v>
      </c>
      <c r="J46" s="22">
        <v>0</v>
      </c>
      <c r="K46" s="22">
        <v>0</v>
      </c>
    </row>
    <row r="47" spans="1:11" x14ac:dyDescent="0.25">
      <c r="A47" s="3">
        <f t="shared" si="0"/>
        <v>46</v>
      </c>
      <c r="B47" s="15" t="s">
        <v>421</v>
      </c>
      <c r="C47" s="16">
        <f>C42+7</f>
        <v>43451</v>
      </c>
      <c r="D47" s="22">
        <v>0</v>
      </c>
      <c r="E47" s="22">
        <v>0</v>
      </c>
      <c r="F47" s="22">
        <v>0</v>
      </c>
      <c r="G47" s="22">
        <v>0</v>
      </c>
      <c r="H47" s="22">
        <v>0</v>
      </c>
      <c r="I47" s="22">
        <v>0</v>
      </c>
      <c r="J47" s="22">
        <v>0</v>
      </c>
      <c r="K47" s="22">
        <v>0</v>
      </c>
    </row>
    <row r="48" spans="1:11" x14ac:dyDescent="0.25">
      <c r="A48" s="3">
        <f t="shared" si="0"/>
        <v>47</v>
      </c>
      <c r="B48" s="15" t="s">
        <v>422</v>
      </c>
      <c r="C48" s="16">
        <f t="shared" si="1"/>
        <v>43452</v>
      </c>
      <c r="D48" s="22">
        <v>0</v>
      </c>
      <c r="E48" s="22">
        <v>0</v>
      </c>
      <c r="F48" s="22">
        <v>0</v>
      </c>
      <c r="G48" s="22">
        <v>0</v>
      </c>
      <c r="H48" s="22">
        <v>0</v>
      </c>
      <c r="I48" s="22">
        <v>0</v>
      </c>
      <c r="J48" s="22">
        <v>0</v>
      </c>
      <c r="K48" s="22">
        <v>0</v>
      </c>
    </row>
    <row r="49" spans="1:11" x14ac:dyDescent="0.25">
      <c r="A49" s="3">
        <f t="shared" si="0"/>
        <v>48</v>
      </c>
      <c r="B49" s="15" t="s">
        <v>423</v>
      </c>
      <c r="C49" s="16">
        <f t="shared" si="1"/>
        <v>43453</v>
      </c>
      <c r="D49" s="22">
        <v>0</v>
      </c>
      <c r="E49" s="22">
        <v>0</v>
      </c>
      <c r="F49" s="22">
        <v>0</v>
      </c>
      <c r="G49" s="22">
        <v>0</v>
      </c>
      <c r="H49" s="22">
        <v>0</v>
      </c>
      <c r="I49" s="22">
        <v>0</v>
      </c>
      <c r="J49" s="22">
        <v>0</v>
      </c>
      <c r="K49" s="22">
        <v>0</v>
      </c>
    </row>
    <row r="50" spans="1:11" x14ac:dyDescent="0.25">
      <c r="A50" s="3">
        <f t="shared" si="0"/>
        <v>49</v>
      </c>
      <c r="B50" s="15" t="s">
        <v>424</v>
      </c>
      <c r="C50" s="16">
        <f t="shared" si="1"/>
        <v>43454</v>
      </c>
      <c r="D50" s="22">
        <v>0</v>
      </c>
      <c r="E50" s="22">
        <v>0</v>
      </c>
      <c r="F50" s="22">
        <v>0</v>
      </c>
      <c r="G50" s="22">
        <v>0</v>
      </c>
      <c r="H50" s="22">
        <v>0</v>
      </c>
      <c r="I50" s="22">
        <v>0</v>
      </c>
      <c r="J50" s="22">
        <v>0</v>
      </c>
      <c r="K50" s="22">
        <v>0</v>
      </c>
    </row>
    <row r="51" spans="1:11" x14ac:dyDescent="0.25">
      <c r="A51" s="3">
        <f t="shared" si="0"/>
        <v>50</v>
      </c>
      <c r="B51" s="15" t="s">
        <v>425</v>
      </c>
      <c r="C51" s="16">
        <f t="shared" si="1"/>
        <v>43455</v>
      </c>
      <c r="D51" s="22">
        <v>0</v>
      </c>
      <c r="E51" s="22">
        <v>0</v>
      </c>
      <c r="F51" s="22">
        <v>0</v>
      </c>
      <c r="G51" s="22">
        <v>0</v>
      </c>
      <c r="H51" s="22">
        <v>0</v>
      </c>
      <c r="I51" s="22">
        <v>0</v>
      </c>
      <c r="J51" s="22">
        <v>0</v>
      </c>
      <c r="K51" s="22">
        <v>0</v>
      </c>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8" tint="-0.249977111117893"/>
  </sheetPr>
  <dimension ref="A1:K51"/>
  <sheetViews>
    <sheetView topLeftCell="A7" workbookViewId="0">
      <selection activeCell="Z47" sqref="Z47"/>
    </sheetView>
  </sheetViews>
  <sheetFormatPr defaultColWidth="8.875" defaultRowHeight="15" x14ac:dyDescent="0.25"/>
  <cols>
    <col min="1" max="1" width="8.875" style="3"/>
    <col min="2" max="2" width="6.25" style="3" customWidth="1"/>
    <col min="3" max="3" width="12.125" style="3" customWidth="1"/>
    <col min="4" max="11" width="3" style="3" customWidth="1"/>
    <col min="12" max="16384" width="8.875" style="3"/>
  </cols>
  <sheetData>
    <row r="1" spans="1:11" ht="134.25" thickBot="1" x14ac:dyDescent="0.35">
      <c r="A1" s="4" t="s">
        <v>414</v>
      </c>
      <c r="B1" s="4"/>
      <c r="C1" s="4" t="s">
        <v>3</v>
      </c>
      <c r="D1" s="14" t="s">
        <v>415</v>
      </c>
      <c r="E1" s="14" t="s">
        <v>416</v>
      </c>
      <c r="F1" s="14" t="s">
        <v>417</v>
      </c>
      <c r="G1" s="14" t="s">
        <v>19</v>
      </c>
      <c r="H1" s="14" t="s">
        <v>418</v>
      </c>
      <c r="I1" s="14" t="s">
        <v>419</v>
      </c>
      <c r="J1" s="14" t="s">
        <v>420</v>
      </c>
      <c r="K1" s="14" t="s">
        <v>15</v>
      </c>
    </row>
    <row r="2" spans="1:11" ht="15.75" thickTop="1" x14ac:dyDescent="0.25">
      <c r="A2" s="3">
        <v>1</v>
      </c>
      <c r="B2" s="15" t="s">
        <v>421</v>
      </c>
      <c r="C2" s="16">
        <v>43388</v>
      </c>
      <c r="D2" s="22">
        <v>0</v>
      </c>
      <c r="E2" s="22">
        <v>0</v>
      </c>
      <c r="F2" s="22">
        <v>0</v>
      </c>
      <c r="G2" s="22">
        <v>0</v>
      </c>
      <c r="H2" s="22">
        <v>0</v>
      </c>
      <c r="I2" s="22">
        <v>0</v>
      </c>
      <c r="J2" s="22">
        <v>0</v>
      </c>
      <c r="K2" s="22">
        <v>0</v>
      </c>
    </row>
    <row r="3" spans="1:11" x14ac:dyDescent="0.25">
      <c r="A3" s="3">
        <f>A2+1</f>
        <v>2</v>
      </c>
      <c r="B3" s="15" t="s">
        <v>422</v>
      </c>
      <c r="C3" s="16">
        <f>C2+1</f>
        <v>43389</v>
      </c>
      <c r="D3" s="22">
        <v>0</v>
      </c>
      <c r="E3" s="22">
        <v>0</v>
      </c>
      <c r="F3" s="22">
        <v>0</v>
      </c>
      <c r="G3" s="22">
        <v>0</v>
      </c>
      <c r="H3" s="22">
        <v>0</v>
      </c>
      <c r="I3" s="22">
        <v>0</v>
      </c>
      <c r="J3" s="22">
        <v>0</v>
      </c>
      <c r="K3" s="22">
        <v>0</v>
      </c>
    </row>
    <row r="4" spans="1:11" x14ac:dyDescent="0.25">
      <c r="A4" s="3">
        <f t="shared" ref="A4:A51" si="0">A3+1</f>
        <v>3</v>
      </c>
      <c r="B4" s="15" t="s">
        <v>423</v>
      </c>
      <c r="C4" s="16">
        <f t="shared" ref="C4:C51" si="1">C3+1</f>
        <v>43390</v>
      </c>
      <c r="D4" s="22">
        <v>0</v>
      </c>
      <c r="E4" s="22">
        <v>0</v>
      </c>
      <c r="F4" s="22">
        <v>0</v>
      </c>
      <c r="G4" s="22">
        <v>0</v>
      </c>
      <c r="H4" s="22">
        <v>0</v>
      </c>
      <c r="I4" s="22">
        <v>0</v>
      </c>
      <c r="J4" s="22">
        <v>0</v>
      </c>
      <c r="K4" s="22">
        <v>0</v>
      </c>
    </row>
    <row r="5" spans="1:11" x14ac:dyDescent="0.25">
      <c r="A5" s="3">
        <f t="shared" si="0"/>
        <v>4</v>
      </c>
      <c r="B5" s="15" t="s">
        <v>424</v>
      </c>
      <c r="C5" s="16">
        <f t="shared" si="1"/>
        <v>43391</v>
      </c>
      <c r="D5" s="22">
        <v>0</v>
      </c>
      <c r="E5" s="22">
        <v>0</v>
      </c>
      <c r="F5" s="22">
        <v>0</v>
      </c>
      <c r="G5" s="22">
        <v>0</v>
      </c>
      <c r="H5" s="22">
        <v>0</v>
      </c>
      <c r="I5" s="22">
        <v>0</v>
      </c>
      <c r="J5" s="22">
        <v>0</v>
      </c>
      <c r="K5" s="22">
        <v>0</v>
      </c>
    </row>
    <row r="6" spans="1:11" x14ac:dyDescent="0.25">
      <c r="A6" s="3">
        <f t="shared" si="0"/>
        <v>5</v>
      </c>
      <c r="B6" s="15" t="s">
        <v>425</v>
      </c>
      <c r="C6" s="16">
        <f t="shared" si="1"/>
        <v>43392</v>
      </c>
      <c r="D6" s="22">
        <v>0</v>
      </c>
      <c r="E6" s="22">
        <v>0</v>
      </c>
      <c r="F6" s="22">
        <v>0</v>
      </c>
      <c r="G6" s="22">
        <v>0</v>
      </c>
      <c r="H6" s="22">
        <v>0</v>
      </c>
      <c r="I6" s="22">
        <v>0</v>
      </c>
      <c r="J6" s="22">
        <v>0</v>
      </c>
      <c r="K6" s="22">
        <v>0</v>
      </c>
    </row>
    <row r="7" spans="1:11" x14ac:dyDescent="0.25">
      <c r="A7" s="3">
        <f t="shared" si="0"/>
        <v>6</v>
      </c>
      <c r="B7" s="15" t="s">
        <v>421</v>
      </c>
      <c r="C7" s="16">
        <f>C2+7</f>
        <v>43395</v>
      </c>
      <c r="D7" s="22">
        <v>0</v>
      </c>
      <c r="E7" s="22">
        <v>0</v>
      </c>
      <c r="F7" s="22">
        <v>0</v>
      </c>
      <c r="G7" s="22">
        <v>0</v>
      </c>
      <c r="H7" s="22">
        <v>0</v>
      </c>
      <c r="I7" s="22">
        <v>0</v>
      </c>
      <c r="J7" s="22">
        <v>0</v>
      </c>
      <c r="K7" s="22">
        <v>0</v>
      </c>
    </row>
    <row r="8" spans="1:11" x14ac:dyDescent="0.25">
      <c r="A8" s="3">
        <f t="shared" si="0"/>
        <v>7</v>
      </c>
      <c r="B8" s="15" t="s">
        <v>422</v>
      </c>
      <c r="C8" s="16">
        <f t="shared" si="1"/>
        <v>43396</v>
      </c>
      <c r="D8" s="22">
        <v>0</v>
      </c>
      <c r="E8" s="22">
        <v>0</v>
      </c>
      <c r="F8" s="22">
        <v>0</v>
      </c>
      <c r="G8" s="22">
        <v>0</v>
      </c>
      <c r="H8" s="22">
        <v>0</v>
      </c>
      <c r="I8" s="22">
        <v>0</v>
      </c>
      <c r="J8" s="22">
        <v>0</v>
      </c>
      <c r="K8" s="22">
        <v>0</v>
      </c>
    </row>
    <row r="9" spans="1:11" x14ac:dyDescent="0.25">
      <c r="A9" s="3">
        <f t="shared" si="0"/>
        <v>8</v>
      </c>
      <c r="B9" s="15" t="s">
        <v>423</v>
      </c>
      <c r="C9" s="16">
        <f t="shared" si="1"/>
        <v>43397</v>
      </c>
      <c r="D9" s="22">
        <v>0</v>
      </c>
      <c r="E9" s="22">
        <v>0</v>
      </c>
      <c r="F9" s="22">
        <v>0</v>
      </c>
      <c r="G9" s="22">
        <v>0</v>
      </c>
      <c r="H9" s="22">
        <v>0</v>
      </c>
      <c r="I9" s="22">
        <v>0</v>
      </c>
      <c r="J9" s="22">
        <v>0</v>
      </c>
      <c r="K9" s="22">
        <v>0</v>
      </c>
    </row>
    <row r="10" spans="1:11" x14ac:dyDescent="0.25">
      <c r="A10" s="3">
        <f t="shared" si="0"/>
        <v>9</v>
      </c>
      <c r="B10" s="15" t="s">
        <v>424</v>
      </c>
      <c r="C10" s="16">
        <f t="shared" si="1"/>
        <v>43398</v>
      </c>
      <c r="D10" s="22">
        <v>0</v>
      </c>
      <c r="E10" s="22">
        <v>0</v>
      </c>
      <c r="F10" s="22">
        <v>0</v>
      </c>
      <c r="G10" s="22">
        <v>0</v>
      </c>
      <c r="H10" s="22">
        <v>0</v>
      </c>
      <c r="I10" s="22">
        <v>0</v>
      </c>
      <c r="J10" s="22">
        <v>0</v>
      </c>
      <c r="K10" s="22">
        <v>0</v>
      </c>
    </row>
    <row r="11" spans="1:11" x14ac:dyDescent="0.25">
      <c r="A11" s="3">
        <f t="shared" si="0"/>
        <v>10</v>
      </c>
      <c r="B11" s="15" t="s">
        <v>425</v>
      </c>
      <c r="C11" s="16">
        <f t="shared" si="1"/>
        <v>43399</v>
      </c>
      <c r="D11" s="22">
        <v>0</v>
      </c>
      <c r="E11" s="22">
        <v>0</v>
      </c>
      <c r="F11" s="22">
        <v>0</v>
      </c>
      <c r="G11" s="22">
        <v>0</v>
      </c>
      <c r="H11" s="22">
        <v>0</v>
      </c>
      <c r="I11" s="22">
        <v>0</v>
      </c>
      <c r="J11" s="22">
        <v>0</v>
      </c>
      <c r="K11" s="22">
        <v>0</v>
      </c>
    </row>
    <row r="12" spans="1:11" x14ac:dyDescent="0.25">
      <c r="A12" s="3">
        <f t="shared" si="0"/>
        <v>11</v>
      </c>
      <c r="B12" s="15" t="s">
        <v>421</v>
      </c>
      <c r="C12" s="16">
        <f>C7+7</f>
        <v>43402</v>
      </c>
      <c r="D12" s="22">
        <v>0</v>
      </c>
      <c r="E12" s="22">
        <v>0</v>
      </c>
      <c r="F12" s="22">
        <v>0</v>
      </c>
      <c r="G12" s="22">
        <v>0</v>
      </c>
      <c r="H12" s="22">
        <v>0</v>
      </c>
      <c r="I12" s="22">
        <v>0</v>
      </c>
      <c r="J12" s="22">
        <v>0</v>
      </c>
      <c r="K12" s="22">
        <v>0</v>
      </c>
    </row>
    <row r="13" spans="1:11" x14ac:dyDescent="0.25">
      <c r="A13" s="3">
        <f t="shared" si="0"/>
        <v>12</v>
      </c>
      <c r="B13" s="15" t="s">
        <v>422</v>
      </c>
      <c r="C13" s="16">
        <f t="shared" si="1"/>
        <v>43403</v>
      </c>
      <c r="D13" s="22">
        <v>0</v>
      </c>
      <c r="E13" s="22">
        <v>0</v>
      </c>
      <c r="F13" s="22">
        <v>0</v>
      </c>
      <c r="G13" s="22">
        <v>0</v>
      </c>
      <c r="H13" s="22">
        <v>0</v>
      </c>
      <c r="I13" s="22">
        <v>0</v>
      </c>
      <c r="J13" s="22">
        <v>0</v>
      </c>
      <c r="K13" s="22">
        <v>0</v>
      </c>
    </row>
    <row r="14" spans="1:11" x14ac:dyDescent="0.25">
      <c r="A14" s="3">
        <f t="shared" si="0"/>
        <v>13</v>
      </c>
      <c r="B14" s="15" t="s">
        <v>423</v>
      </c>
      <c r="C14" s="16">
        <f t="shared" si="1"/>
        <v>43404</v>
      </c>
      <c r="D14" s="22">
        <v>0</v>
      </c>
      <c r="E14" s="22">
        <v>0</v>
      </c>
      <c r="F14" s="22">
        <v>0</v>
      </c>
      <c r="G14" s="22">
        <v>0</v>
      </c>
      <c r="H14" s="22">
        <v>0</v>
      </c>
      <c r="I14" s="22">
        <v>0</v>
      </c>
      <c r="J14" s="22">
        <v>0</v>
      </c>
      <c r="K14" s="22">
        <v>0</v>
      </c>
    </row>
    <row r="15" spans="1:11" x14ac:dyDescent="0.25">
      <c r="A15" s="3">
        <f t="shared" si="0"/>
        <v>14</v>
      </c>
      <c r="B15" s="15" t="s">
        <v>424</v>
      </c>
      <c r="C15" s="16">
        <f t="shared" si="1"/>
        <v>43405</v>
      </c>
      <c r="D15" s="22">
        <v>0</v>
      </c>
      <c r="E15" s="22">
        <v>0</v>
      </c>
      <c r="F15" s="22">
        <v>0</v>
      </c>
      <c r="G15" s="22">
        <v>0</v>
      </c>
      <c r="H15" s="22">
        <v>0</v>
      </c>
      <c r="I15" s="22">
        <v>0</v>
      </c>
      <c r="J15" s="22">
        <v>0</v>
      </c>
      <c r="K15" s="22">
        <v>0</v>
      </c>
    </row>
    <row r="16" spans="1:11" x14ac:dyDescent="0.25">
      <c r="A16" s="3">
        <f t="shared" si="0"/>
        <v>15</v>
      </c>
      <c r="B16" s="15" t="s">
        <v>425</v>
      </c>
      <c r="C16" s="16">
        <f t="shared" si="1"/>
        <v>43406</v>
      </c>
      <c r="D16" s="22">
        <v>0</v>
      </c>
      <c r="E16" s="22">
        <v>0</v>
      </c>
      <c r="F16" s="22">
        <v>0</v>
      </c>
      <c r="G16" s="22">
        <v>0</v>
      </c>
      <c r="H16" s="22">
        <v>0</v>
      </c>
      <c r="I16" s="22">
        <v>0</v>
      </c>
      <c r="J16" s="22">
        <v>0</v>
      </c>
      <c r="K16" s="22">
        <v>0</v>
      </c>
    </row>
    <row r="17" spans="1:11" x14ac:dyDescent="0.25">
      <c r="A17" s="3">
        <f t="shared" si="0"/>
        <v>16</v>
      </c>
      <c r="B17" s="15" t="s">
        <v>421</v>
      </c>
      <c r="C17" s="16">
        <f>C12+7</f>
        <v>43409</v>
      </c>
      <c r="D17" s="22">
        <v>0</v>
      </c>
      <c r="E17" s="22">
        <v>0</v>
      </c>
      <c r="F17" s="22">
        <v>0</v>
      </c>
      <c r="G17" s="22">
        <v>0</v>
      </c>
      <c r="H17" s="22">
        <v>0</v>
      </c>
      <c r="I17" s="22">
        <v>0</v>
      </c>
      <c r="J17" s="22">
        <v>0</v>
      </c>
      <c r="K17" s="22">
        <v>0</v>
      </c>
    </row>
    <row r="18" spans="1:11" x14ac:dyDescent="0.25">
      <c r="A18" s="3">
        <f t="shared" si="0"/>
        <v>17</v>
      </c>
      <c r="B18" s="15" t="s">
        <v>422</v>
      </c>
      <c r="C18" s="16">
        <f t="shared" si="1"/>
        <v>43410</v>
      </c>
      <c r="D18" s="22">
        <v>0</v>
      </c>
      <c r="E18" s="22">
        <v>0</v>
      </c>
      <c r="F18" s="22">
        <v>0</v>
      </c>
      <c r="G18" s="22">
        <v>0</v>
      </c>
      <c r="H18" s="22">
        <v>0</v>
      </c>
      <c r="I18" s="22">
        <v>0</v>
      </c>
      <c r="J18" s="22">
        <v>0</v>
      </c>
      <c r="K18" s="22">
        <v>0</v>
      </c>
    </row>
    <row r="19" spans="1:11" x14ac:dyDescent="0.25">
      <c r="A19" s="3">
        <f t="shared" si="0"/>
        <v>18</v>
      </c>
      <c r="B19" s="15" t="s">
        <v>423</v>
      </c>
      <c r="C19" s="16">
        <f t="shared" si="1"/>
        <v>43411</v>
      </c>
      <c r="D19" s="22">
        <v>0</v>
      </c>
      <c r="E19" s="22">
        <v>0</v>
      </c>
      <c r="F19" s="22">
        <v>0</v>
      </c>
      <c r="G19" s="22">
        <v>0</v>
      </c>
      <c r="H19" s="22">
        <v>0</v>
      </c>
      <c r="I19" s="22">
        <v>0</v>
      </c>
      <c r="J19" s="22">
        <v>0</v>
      </c>
      <c r="K19" s="22">
        <v>0</v>
      </c>
    </row>
    <row r="20" spans="1:11" x14ac:dyDescent="0.25">
      <c r="A20" s="3">
        <f t="shared" si="0"/>
        <v>19</v>
      </c>
      <c r="B20" s="15" t="s">
        <v>424</v>
      </c>
      <c r="C20" s="16">
        <f t="shared" si="1"/>
        <v>43412</v>
      </c>
      <c r="D20" s="22">
        <v>0</v>
      </c>
      <c r="E20" s="22">
        <v>0</v>
      </c>
      <c r="F20" s="22">
        <v>0</v>
      </c>
      <c r="G20" s="22">
        <v>0</v>
      </c>
      <c r="H20" s="22">
        <v>0</v>
      </c>
      <c r="I20" s="22">
        <v>0</v>
      </c>
      <c r="J20" s="22">
        <v>0</v>
      </c>
      <c r="K20" s="22">
        <v>0</v>
      </c>
    </row>
    <row r="21" spans="1:11" x14ac:dyDescent="0.25">
      <c r="A21" s="3">
        <f t="shared" si="0"/>
        <v>20</v>
      </c>
      <c r="B21" s="15" t="s">
        <v>425</v>
      </c>
      <c r="C21" s="16">
        <f t="shared" si="1"/>
        <v>43413</v>
      </c>
      <c r="D21" s="22">
        <v>0</v>
      </c>
      <c r="E21" s="22">
        <v>0</v>
      </c>
      <c r="F21" s="22">
        <v>0</v>
      </c>
      <c r="G21" s="22">
        <v>0</v>
      </c>
      <c r="H21" s="22">
        <v>0</v>
      </c>
      <c r="I21" s="22">
        <v>0</v>
      </c>
      <c r="J21" s="22">
        <v>0</v>
      </c>
      <c r="K21" s="22">
        <v>0</v>
      </c>
    </row>
    <row r="22" spans="1:11" x14ac:dyDescent="0.25">
      <c r="A22" s="3">
        <f t="shared" si="0"/>
        <v>21</v>
      </c>
      <c r="B22" s="15" t="s">
        <v>421</v>
      </c>
      <c r="C22" s="16">
        <f>C17+7</f>
        <v>43416</v>
      </c>
      <c r="D22" s="22">
        <v>0</v>
      </c>
      <c r="E22" s="22">
        <v>0</v>
      </c>
      <c r="F22" s="22">
        <v>0</v>
      </c>
      <c r="G22" s="22">
        <v>0</v>
      </c>
      <c r="H22" s="22">
        <v>0</v>
      </c>
      <c r="I22" s="22">
        <v>0</v>
      </c>
      <c r="J22" s="22">
        <v>0</v>
      </c>
      <c r="K22" s="22">
        <v>0</v>
      </c>
    </row>
    <row r="23" spans="1:11" x14ac:dyDescent="0.25">
      <c r="A23" s="3">
        <f t="shared" si="0"/>
        <v>22</v>
      </c>
      <c r="B23" s="15" t="s">
        <v>422</v>
      </c>
      <c r="C23" s="16">
        <f t="shared" si="1"/>
        <v>43417</v>
      </c>
      <c r="D23" s="22">
        <v>0</v>
      </c>
      <c r="E23" s="22">
        <v>0</v>
      </c>
      <c r="F23" s="22">
        <v>0</v>
      </c>
      <c r="G23" s="22">
        <v>0</v>
      </c>
      <c r="H23" s="22">
        <v>0</v>
      </c>
      <c r="I23" s="22">
        <v>0</v>
      </c>
      <c r="J23" s="22">
        <v>0</v>
      </c>
      <c r="K23" s="22">
        <v>0</v>
      </c>
    </row>
    <row r="24" spans="1:11" x14ac:dyDescent="0.25">
      <c r="A24" s="3">
        <f t="shared" si="0"/>
        <v>23</v>
      </c>
      <c r="B24" s="15" t="s">
        <v>423</v>
      </c>
      <c r="C24" s="16">
        <f t="shared" si="1"/>
        <v>43418</v>
      </c>
      <c r="D24" s="22">
        <v>0</v>
      </c>
      <c r="E24" s="22">
        <v>0</v>
      </c>
      <c r="F24" s="22">
        <v>0</v>
      </c>
      <c r="G24" s="22">
        <v>0</v>
      </c>
      <c r="H24" s="22">
        <v>0</v>
      </c>
      <c r="I24" s="22">
        <v>0</v>
      </c>
      <c r="J24" s="22">
        <v>0</v>
      </c>
      <c r="K24" s="22">
        <v>0</v>
      </c>
    </row>
    <row r="25" spans="1:11" x14ac:dyDescent="0.25">
      <c r="A25" s="3">
        <f t="shared" si="0"/>
        <v>24</v>
      </c>
      <c r="B25" s="15" t="s">
        <v>424</v>
      </c>
      <c r="C25" s="16">
        <f t="shared" si="1"/>
        <v>43419</v>
      </c>
      <c r="D25" s="22">
        <v>0</v>
      </c>
      <c r="E25" s="22">
        <v>0</v>
      </c>
      <c r="F25" s="22">
        <v>0</v>
      </c>
      <c r="G25" s="22">
        <v>0</v>
      </c>
      <c r="H25" s="22">
        <v>0</v>
      </c>
      <c r="I25" s="22">
        <v>0</v>
      </c>
      <c r="J25" s="22">
        <v>0</v>
      </c>
      <c r="K25" s="22">
        <v>0</v>
      </c>
    </row>
    <row r="26" spans="1:11" x14ac:dyDescent="0.25">
      <c r="A26" s="3">
        <f t="shared" si="0"/>
        <v>25</v>
      </c>
      <c r="B26" s="15" t="s">
        <v>425</v>
      </c>
      <c r="C26" s="16">
        <f t="shared" si="1"/>
        <v>43420</v>
      </c>
      <c r="D26" s="22">
        <v>0</v>
      </c>
      <c r="E26" s="22">
        <v>0</v>
      </c>
      <c r="F26" s="22">
        <v>0</v>
      </c>
      <c r="G26" s="22">
        <v>0</v>
      </c>
      <c r="H26" s="22">
        <v>0</v>
      </c>
      <c r="I26" s="22">
        <v>0</v>
      </c>
      <c r="J26" s="22">
        <v>0</v>
      </c>
      <c r="K26" s="22">
        <v>0</v>
      </c>
    </row>
    <row r="27" spans="1:11" x14ac:dyDescent="0.25">
      <c r="A27" s="3">
        <f t="shared" si="0"/>
        <v>26</v>
      </c>
      <c r="B27" s="15" t="s">
        <v>421</v>
      </c>
      <c r="C27" s="16">
        <f>C22+7</f>
        <v>43423</v>
      </c>
      <c r="D27" s="22">
        <v>0</v>
      </c>
      <c r="E27" s="22">
        <v>0</v>
      </c>
      <c r="F27" s="22">
        <v>0</v>
      </c>
      <c r="G27" s="22">
        <v>0</v>
      </c>
      <c r="H27" s="22">
        <v>0</v>
      </c>
      <c r="I27" s="22">
        <v>0</v>
      </c>
      <c r="J27" s="22">
        <v>0</v>
      </c>
      <c r="K27" s="22">
        <v>0</v>
      </c>
    </row>
    <row r="28" spans="1:11" x14ac:dyDescent="0.25">
      <c r="A28" s="3">
        <f t="shared" si="0"/>
        <v>27</v>
      </c>
      <c r="B28" s="15" t="s">
        <v>422</v>
      </c>
      <c r="C28" s="16">
        <f t="shared" si="1"/>
        <v>43424</v>
      </c>
      <c r="D28" s="22">
        <v>0</v>
      </c>
      <c r="E28" s="22">
        <v>0</v>
      </c>
      <c r="F28" s="22">
        <v>0</v>
      </c>
      <c r="G28" s="22">
        <v>0</v>
      </c>
      <c r="H28" s="22">
        <v>0</v>
      </c>
      <c r="I28" s="22">
        <v>0</v>
      </c>
      <c r="J28" s="22">
        <v>0</v>
      </c>
      <c r="K28" s="22">
        <v>0</v>
      </c>
    </row>
    <row r="29" spans="1:11" x14ac:dyDescent="0.25">
      <c r="A29" s="3">
        <f t="shared" si="0"/>
        <v>28</v>
      </c>
      <c r="B29" s="15" t="s">
        <v>423</v>
      </c>
      <c r="C29" s="16">
        <f t="shared" si="1"/>
        <v>43425</v>
      </c>
      <c r="D29" s="22">
        <v>0</v>
      </c>
      <c r="E29" s="22">
        <v>0</v>
      </c>
      <c r="F29" s="22">
        <v>0</v>
      </c>
      <c r="G29" s="22">
        <v>0</v>
      </c>
      <c r="H29" s="22">
        <v>0</v>
      </c>
      <c r="I29" s="22">
        <v>0</v>
      </c>
      <c r="J29" s="22">
        <v>0</v>
      </c>
      <c r="K29" s="22">
        <v>0</v>
      </c>
    </row>
    <row r="30" spans="1:11" x14ac:dyDescent="0.25">
      <c r="A30" s="3">
        <f t="shared" si="0"/>
        <v>29</v>
      </c>
      <c r="B30" s="15" t="s">
        <v>424</v>
      </c>
      <c r="C30" s="16">
        <f t="shared" si="1"/>
        <v>43426</v>
      </c>
      <c r="D30" s="22">
        <v>0</v>
      </c>
      <c r="E30" s="22">
        <v>0</v>
      </c>
      <c r="F30" s="22">
        <v>0</v>
      </c>
      <c r="G30" s="22">
        <v>0</v>
      </c>
      <c r="H30" s="22">
        <v>0</v>
      </c>
      <c r="I30" s="22">
        <v>0</v>
      </c>
      <c r="J30" s="22">
        <v>0</v>
      </c>
      <c r="K30" s="22">
        <v>0</v>
      </c>
    </row>
    <row r="31" spans="1:11" x14ac:dyDescent="0.25">
      <c r="A31" s="3">
        <f t="shared" si="0"/>
        <v>30</v>
      </c>
      <c r="B31" s="15" t="s">
        <v>425</v>
      </c>
      <c r="C31" s="16">
        <f t="shared" si="1"/>
        <v>43427</v>
      </c>
      <c r="D31" s="22">
        <v>0</v>
      </c>
      <c r="E31" s="22">
        <v>0</v>
      </c>
      <c r="F31" s="22">
        <v>0</v>
      </c>
      <c r="G31" s="22">
        <v>0</v>
      </c>
      <c r="H31" s="22">
        <v>0</v>
      </c>
      <c r="I31" s="22">
        <v>0</v>
      </c>
      <c r="J31" s="22">
        <v>0</v>
      </c>
      <c r="K31" s="22">
        <v>0</v>
      </c>
    </row>
    <row r="32" spans="1:11" x14ac:dyDescent="0.25">
      <c r="A32" s="3">
        <f t="shared" si="0"/>
        <v>31</v>
      </c>
      <c r="B32" s="15" t="s">
        <v>421</v>
      </c>
      <c r="C32" s="16">
        <f>C27+7</f>
        <v>43430</v>
      </c>
      <c r="D32" s="22">
        <v>0</v>
      </c>
      <c r="E32" s="22">
        <v>0</v>
      </c>
      <c r="F32" s="22">
        <v>0</v>
      </c>
      <c r="G32" s="22">
        <v>0</v>
      </c>
      <c r="H32" s="22">
        <v>0</v>
      </c>
      <c r="I32" s="22">
        <v>0</v>
      </c>
      <c r="J32" s="22">
        <v>0</v>
      </c>
      <c r="K32" s="22">
        <v>0</v>
      </c>
    </row>
    <row r="33" spans="1:11" x14ac:dyDescent="0.25">
      <c r="A33" s="3">
        <f t="shared" si="0"/>
        <v>32</v>
      </c>
      <c r="B33" s="15" t="s">
        <v>422</v>
      </c>
      <c r="C33" s="16">
        <f t="shared" si="1"/>
        <v>43431</v>
      </c>
      <c r="D33" s="22">
        <v>0</v>
      </c>
      <c r="E33" s="22">
        <v>0</v>
      </c>
      <c r="F33" s="22">
        <v>0</v>
      </c>
      <c r="G33" s="22">
        <v>0</v>
      </c>
      <c r="H33" s="22">
        <v>0</v>
      </c>
      <c r="I33" s="22">
        <v>0</v>
      </c>
      <c r="J33" s="22">
        <v>0</v>
      </c>
      <c r="K33" s="22">
        <v>0</v>
      </c>
    </row>
    <row r="34" spans="1:11" x14ac:dyDescent="0.25">
      <c r="A34" s="3">
        <f t="shared" si="0"/>
        <v>33</v>
      </c>
      <c r="B34" s="15" t="s">
        <v>423</v>
      </c>
      <c r="C34" s="16">
        <f t="shared" si="1"/>
        <v>43432</v>
      </c>
      <c r="D34" s="22">
        <v>0</v>
      </c>
      <c r="E34" s="22">
        <v>0</v>
      </c>
      <c r="F34" s="22">
        <v>0</v>
      </c>
      <c r="G34" s="22">
        <v>0</v>
      </c>
      <c r="H34" s="22">
        <v>0</v>
      </c>
      <c r="I34" s="22">
        <v>0</v>
      </c>
      <c r="J34" s="22">
        <v>0</v>
      </c>
      <c r="K34" s="22">
        <v>0</v>
      </c>
    </row>
    <row r="35" spans="1:11" x14ac:dyDescent="0.25">
      <c r="A35" s="3">
        <f t="shared" si="0"/>
        <v>34</v>
      </c>
      <c r="B35" s="15" t="s">
        <v>424</v>
      </c>
      <c r="C35" s="16">
        <f t="shared" si="1"/>
        <v>43433</v>
      </c>
      <c r="D35" s="22">
        <v>0</v>
      </c>
      <c r="E35" s="22">
        <v>0</v>
      </c>
      <c r="F35" s="22">
        <v>0</v>
      </c>
      <c r="G35" s="22">
        <v>0</v>
      </c>
      <c r="H35" s="22">
        <v>0</v>
      </c>
      <c r="I35" s="22">
        <v>0</v>
      </c>
      <c r="J35" s="22">
        <v>0</v>
      </c>
      <c r="K35" s="22">
        <v>0</v>
      </c>
    </row>
    <row r="36" spans="1:11" x14ac:dyDescent="0.25">
      <c r="A36" s="3">
        <f t="shared" si="0"/>
        <v>35</v>
      </c>
      <c r="B36" s="15" t="s">
        <v>425</v>
      </c>
      <c r="C36" s="16">
        <f t="shared" si="1"/>
        <v>43434</v>
      </c>
      <c r="D36" s="22">
        <v>0</v>
      </c>
      <c r="E36" s="22">
        <v>0</v>
      </c>
      <c r="F36" s="22">
        <v>0</v>
      </c>
      <c r="G36" s="22">
        <v>0</v>
      </c>
      <c r="H36" s="22">
        <v>0</v>
      </c>
      <c r="I36" s="22">
        <v>0</v>
      </c>
      <c r="J36" s="22">
        <v>0</v>
      </c>
      <c r="K36" s="22">
        <v>0</v>
      </c>
    </row>
    <row r="37" spans="1:11" x14ac:dyDescent="0.25">
      <c r="A37" s="3">
        <f t="shared" si="0"/>
        <v>36</v>
      </c>
      <c r="B37" s="15" t="s">
        <v>421</v>
      </c>
      <c r="C37" s="16">
        <f>C32+7</f>
        <v>43437</v>
      </c>
      <c r="D37" s="22">
        <v>0</v>
      </c>
      <c r="E37" s="22">
        <v>0</v>
      </c>
      <c r="F37" s="22">
        <v>0</v>
      </c>
      <c r="G37" s="22">
        <v>1</v>
      </c>
      <c r="H37" s="22">
        <v>0</v>
      </c>
      <c r="I37" s="22">
        <v>0</v>
      </c>
      <c r="J37" s="22">
        <v>0</v>
      </c>
      <c r="K37" s="22">
        <v>0</v>
      </c>
    </row>
    <row r="38" spans="1:11" x14ac:dyDescent="0.25">
      <c r="A38" s="3">
        <f t="shared" si="0"/>
        <v>37</v>
      </c>
      <c r="B38" s="15" t="s">
        <v>422</v>
      </c>
      <c r="C38" s="16">
        <f t="shared" si="1"/>
        <v>43438</v>
      </c>
      <c r="D38" s="22">
        <v>0</v>
      </c>
      <c r="E38" s="22">
        <v>0</v>
      </c>
      <c r="F38" s="22">
        <v>0</v>
      </c>
      <c r="G38" s="22">
        <v>4</v>
      </c>
      <c r="H38" s="22">
        <v>0</v>
      </c>
      <c r="I38" s="22">
        <v>0</v>
      </c>
      <c r="J38" s="22">
        <v>0</v>
      </c>
      <c r="K38" s="22">
        <v>0</v>
      </c>
    </row>
    <row r="39" spans="1:11" x14ac:dyDescent="0.25">
      <c r="A39" s="3">
        <f t="shared" si="0"/>
        <v>38</v>
      </c>
      <c r="B39" s="15" t="s">
        <v>423</v>
      </c>
      <c r="C39" s="16">
        <f t="shared" si="1"/>
        <v>43439</v>
      </c>
      <c r="D39" s="22">
        <v>0</v>
      </c>
      <c r="E39" s="22">
        <v>0</v>
      </c>
      <c r="F39" s="22">
        <v>0</v>
      </c>
      <c r="G39" s="22">
        <v>4</v>
      </c>
      <c r="H39" s="22">
        <v>0</v>
      </c>
      <c r="I39" s="22">
        <v>0</v>
      </c>
      <c r="J39" s="22">
        <v>0</v>
      </c>
      <c r="K39" s="22">
        <v>0</v>
      </c>
    </row>
    <row r="40" spans="1:11" x14ac:dyDescent="0.25">
      <c r="A40" s="3">
        <f t="shared" si="0"/>
        <v>39</v>
      </c>
      <c r="B40" s="15" t="s">
        <v>424</v>
      </c>
      <c r="C40" s="16">
        <f t="shared" si="1"/>
        <v>43440</v>
      </c>
      <c r="D40" s="22">
        <v>0</v>
      </c>
      <c r="E40" s="22">
        <v>0</v>
      </c>
      <c r="F40" s="22">
        <v>0</v>
      </c>
      <c r="G40" s="22">
        <v>4</v>
      </c>
      <c r="H40" s="22">
        <v>0</v>
      </c>
      <c r="I40" s="22">
        <v>0</v>
      </c>
      <c r="J40" s="22">
        <v>0</v>
      </c>
      <c r="K40" s="22">
        <v>0</v>
      </c>
    </row>
    <row r="41" spans="1:11" x14ac:dyDescent="0.25">
      <c r="A41" s="3">
        <f t="shared" si="0"/>
        <v>40</v>
      </c>
      <c r="B41" s="15" t="s">
        <v>425</v>
      </c>
      <c r="C41" s="16">
        <f t="shared" si="1"/>
        <v>43441</v>
      </c>
      <c r="D41" s="22">
        <v>0</v>
      </c>
      <c r="E41" s="22">
        <v>0</v>
      </c>
      <c r="F41" s="22">
        <v>0</v>
      </c>
      <c r="G41" s="22">
        <v>0</v>
      </c>
      <c r="H41" s="22">
        <v>0</v>
      </c>
      <c r="I41" s="22">
        <v>0</v>
      </c>
      <c r="J41" s="22">
        <v>0</v>
      </c>
      <c r="K41" s="22">
        <v>0</v>
      </c>
    </row>
    <row r="42" spans="1:11" x14ac:dyDescent="0.25">
      <c r="A42" s="3">
        <f t="shared" si="0"/>
        <v>41</v>
      </c>
      <c r="B42" s="15" t="s">
        <v>421</v>
      </c>
      <c r="C42" s="16">
        <f>C37+7</f>
        <v>43444</v>
      </c>
      <c r="D42" s="22">
        <v>0</v>
      </c>
      <c r="E42" s="22">
        <v>0</v>
      </c>
      <c r="F42" s="22">
        <v>0</v>
      </c>
      <c r="G42" s="22">
        <v>0</v>
      </c>
      <c r="H42" s="22">
        <v>0</v>
      </c>
      <c r="I42" s="22">
        <v>0</v>
      </c>
      <c r="J42" s="22">
        <v>0</v>
      </c>
      <c r="K42" s="22">
        <v>0</v>
      </c>
    </row>
    <row r="43" spans="1:11" x14ac:dyDescent="0.25">
      <c r="A43" s="3">
        <f t="shared" si="0"/>
        <v>42</v>
      </c>
      <c r="B43" s="15" t="s">
        <v>422</v>
      </c>
      <c r="C43" s="16">
        <f t="shared" si="1"/>
        <v>43445</v>
      </c>
      <c r="D43" s="22">
        <v>0</v>
      </c>
      <c r="E43" s="22">
        <v>0</v>
      </c>
      <c r="F43" s="22">
        <v>0</v>
      </c>
      <c r="G43" s="22">
        <v>0</v>
      </c>
      <c r="H43" s="22">
        <v>0</v>
      </c>
      <c r="I43" s="22">
        <v>0</v>
      </c>
      <c r="J43" s="22">
        <v>0</v>
      </c>
      <c r="K43" s="22">
        <v>0</v>
      </c>
    </row>
    <row r="44" spans="1:11" x14ac:dyDescent="0.25">
      <c r="A44" s="3">
        <f t="shared" si="0"/>
        <v>43</v>
      </c>
      <c r="B44" s="15" t="s">
        <v>423</v>
      </c>
      <c r="C44" s="16">
        <f t="shared" si="1"/>
        <v>43446</v>
      </c>
      <c r="D44" s="22">
        <v>0</v>
      </c>
      <c r="E44" s="22">
        <v>0</v>
      </c>
      <c r="F44" s="22">
        <v>0</v>
      </c>
      <c r="G44" s="22">
        <v>0</v>
      </c>
      <c r="H44" s="22">
        <v>0</v>
      </c>
      <c r="I44" s="22">
        <v>0</v>
      </c>
      <c r="J44" s="22">
        <v>0</v>
      </c>
      <c r="K44" s="22">
        <v>0</v>
      </c>
    </row>
    <row r="45" spans="1:11" x14ac:dyDescent="0.25">
      <c r="A45" s="3">
        <f t="shared" si="0"/>
        <v>44</v>
      </c>
      <c r="B45" s="15" t="s">
        <v>424</v>
      </c>
      <c r="C45" s="16">
        <f t="shared" si="1"/>
        <v>43447</v>
      </c>
      <c r="D45" s="22">
        <v>0</v>
      </c>
      <c r="E45" s="22">
        <v>0</v>
      </c>
      <c r="F45" s="22">
        <v>0</v>
      </c>
      <c r="G45" s="22">
        <v>0</v>
      </c>
      <c r="H45" s="22">
        <v>0</v>
      </c>
      <c r="I45" s="22">
        <v>0</v>
      </c>
      <c r="J45" s="22">
        <v>0</v>
      </c>
      <c r="K45" s="22">
        <v>0</v>
      </c>
    </row>
    <row r="46" spans="1:11" x14ac:dyDescent="0.25">
      <c r="A46" s="3">
        <f t="shared" si="0"/>
        <v>45</v>
      </c>
      <c r="B46" s="15" t="s">
        <v>425</v>
      </c>
      <c r="C46" s="16">
        <f t="shared" si="1"/>
        <v>43448</v>
      </c>
      <c r="D46" s="22">
        <v>0</v>
      </c>
      <c r="E46" s="22">
        <v>0</v>
      </c>
      <c r="F46" s="22">
        <v>0</v>
      </c>
      <c r="G46" s="22">
        <v>0</v>
      </c>
      <c r="H46" s="22">
        <v>0</v>
      </c>
      <c r="I46" s="22">
        <v>0</v>
      </c>
      <c r="J46" s="22">
        <v>0</v>
      </c>
      <c r="K46" s="22">
        <v>0</v>
      </c>
    </row>
    <row r="47" spans="1:11" x14ac:dyDescent="0.25">
      <c r="A47" s="3">
        <f t="shared" si="0"/>
        <v>46</v>
      </c>
      <c r="B47" s="15" t="s">
        <v>421</v>
      </c>
      <c r="C47" s="16">
        <f>C42+7</f>
        <v>43451</v>
      </c>
      <c r="D47" s="22">
        <v>0</v>
      </c>
      <c r="E47" s="22">
        <v>0</v>
      </c>
      <c r="F47" s="22">
        <v>0</v>
      </c>
      <c r="G47" s="22">
        <v>0</v>
      </c>
      <c r="H47" s="22">
        <v>0</v>
      </c>
      <c r="I47" s="22">
        <v>0</v>
      </c>
      <c r="J47" s="22">
        <v>0</v>
      </c>
      <c r="K47" s="22">
        <v>0</v>
      </c>
    </row>
    <row r="48" spans="1:11" x14ac:dyDescent="0.25">
      <c r="A48" s="3">
        <f t="shared" si="0"/>
        <v>47</v>
      </c>
      <c r="B48" s="15" t="s">
        <v>422</v>
      </c>
      <c r="C48" s="16">
        <f t="shared" si="1"/>
        <v>43452</v>
      </c>
      <c r="D48" s="22">
        <v>0</v>
      </c>
      <c r="E48" s="22">
        <v>0</v>
      </c>
      <c r="F48" s="22">
        <v>0</v>
      </c>
      <c r="G48" s="22">
        <v>0</v>
      </c>
      <c r="H48" s="22">
        <v>0</v>
      </c>
      <c r="I48" s="22">
        <v>0</v>
      </c>
      <c r="J48" s="22">
        <v>0</v>
      </c>
      <c r="K48" s="22">
        <v>0</v>
      </c>
    </row>
    <row r="49" spans="1:11" x14ac:dyDescent="0.25">
      <c r="A49" s="3">
        <f t="shared" si="0"/>
        <v>48</v>
      </c>
      <c r="B49" s="15" t="s">
        <v>423</v>
      </c>
      <c r="C49" s="16">
        <f t="shared" si="1"/>
        <v>43453</v>
      </c>
      <c r="D49" s="22">
        <v>0</v>
      </c>
      <c r="E49" s="22">
        <v>0</v>
      </c>
      <c r="F49" s="22">
        <v>0</v>
      </c>
      <c r="G49" s="22">
        <v>0</v>
      </c>
      <c r="H49" s="22">
        <v>0</v>
      </c>
      <c r="I49" s="22">
        <v>0</v>
      </c>
      <c r="J49" s="22">
        <v>0</v>
      </c>
      <c r="K49" s="22">
        <v>0</v>
      </c>
    </row>
    <row r="50" spans="1:11" x14ac:dyDescent="0.25">
      <c r="A50" s="3">
        <f t="shared" si="0"/>
        <v>49</v>
      </c>
      <c r="B50" s="15" t="s">
        <v>424</v>
      </c>
      <c r="C50" s="16">
        <f t="shared" si="1"/>
        <v>43454</v>
      </c>
      <c r="D50" s="22">
        <v>0</v>
      </c>
      <c r="E50" s="22">
        <v>0</v>
      </c>
      <c r="F50" s="22">
        <v>0</v>
      </c>
      <c r="G50" s="22">
        <v>0</v>
      </c>
      <c r="H50" s="22">
        <v>0</v>
      </c>
      <c r="I50" s="22">
        <v>0</v>
      </c>
      <c r="J50" s="22">
        <v>0</v>
      </c>
      <c r="K50" s="22">
        <v>0</v>
      </c>
    </row>
    <row r="51" spans="1:11" x14ac:dyDescent="0.25">
      <c r="A51" s="3">
        <f t="shared" si="0"/>
        <v>50</v>
      </c>
      <c r="B51" s="15" t="s">
        <v>425</v>
      </c>
      <c r="C51" s="16">
        <f t="shared" si="1"/>
        <v>43455</v>
      </c>
      <c r="D51" s="22">
        <v>0</v>
      </c>
      <c r="E51" s="22">
        <v>0</v>
      </c>
      <c r="F51" s="22">
        <v>0</v>
      </c>
      <c r="G51" s="22">
        <v>0</v>
      </c>
      <c r="H51" s="22">
        <v>0</v>
      </c>
      <c r="I51" s="22">
        <v>0</v>
      </c>
      <c r="J51" s="22">
        <v>0</v>
      </c>
      <c r="K51" s="22">
        <v>0</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theme="8" tint="-0.249977111117893"/>
  </sheetPr>
  <dimension ref="A1:H51"/>
  <sheetViews>
    <sheetView topLeftCell="A10" workbookViewId="0">
      <selection activeCell="U54" sqref="U54"/>
    </sheetView>
  </sheetViews>
  <sheetFormatPr defaultColWidth="8.875" defaultRowHeight="15" x14ac:dyDescent="0.25"/>
  <cols>
    <col min="1" max="1" width="8.875" style="3"/>
    <col min="2" max="2" width="6.25" style="3" customWidth="1"/>
    <col min="3" max="3" width="12.125" style="3" customWidth="1"/>
    <col min="4" max="4" width="3.875" style="3" customWidth="1"/>
    <col min="5" max="7" width="3" style="3" customWidth="1"/>
    <col min="8" max="8" width="5.125" style="3" customWidth="1"/>
    <col min="9" max="16384" width="8.875" style="3"/>
  </cols>
  <sheetData>
    <row r="1" spans="1:8" ht="67.5" thickBot="1" x14ac:dyDescent="0.35">
      <c r="A1" s="4" t="s">
        <v>414</v>
      </c>
      <c r="B1" s="4"/>
      <c r="C1" s="4" t="s">
        <v>3</v>
      </c>
      <c r="D1" s="14" t="s">
        <v>13</v>
      </c>
      <c r="E1" s="14" t="s">
        <v>14</v>
      </c>
      <c r="F1" s="14" t="s">
        <v>16</v>
      </c>
      <c r="G1" s="14" t="s">
        <v>635</v>
      </c>
      <c r="H1" s="14" t="s">
        <v>15</v>
      </c>
    </row>
    <row r="2" spans="1:8" ht="15.75" thickTop="1" x14ac:dyDescent="0.25">
      <c r="A2" s="3">
        <v>1</v>
      </c>
      <c r="B2" s="15" t="s">
        <v>421</v>
      </c>
      <c r="C2" s="16">
        <v>43388</v>
      </c>
      <c r="D2" s="22">
        <v>0</v>
      </c>
      <c r="E2" s="22">
        <v>0</v>
      </c>
      <c r="F2" s="22">
        <v>0</v>
      </c>
      <c r="G2" s="22">
        <v>0</v>
      </c>
      <c r="H2" s="22">
        <v>0</v>
      </c>
    </row>
    <row r="3" spans="1:8" x14ac:dyDescent="0.25">
      <c r="A3" s="3">
        <f>A2+1</f>
        <v>2</v>
      </c>
      <c r="B3" s="15" t="s">
        <v>422</v>
      </c>
      <c r="C3" s="16">
        <f>C2+1</f>
        <v>43389</v>
      </c>
      <c r="D3" s="22">
        <v>0</v>
      </c>
      <c r="E3" s="22">
        <v>0</v>
      </c>
      <c r="F3" s="22">
        <v>0</v>
      </c>
      <c r="G3" s="22">
        <v>0</v>
      </c>
      <c r="H3" s="22">
        <v>0</v>
      </c>
    </row>
    <row r="4" spans="1:8" x14ac:dyDescent="0.25">
      <c r="A4" s="3">
        <f t="shared" ref="A4:A51" si="0">A3+1</f>
        <v>3</v>
      </c>
      <c r="B4" s="15" t="s">
        <v>423</v>
      </c>
      <c r="C4" s="16">
        <f t="shared" ref="C4:C51" si="1">C3+1</f>
        <v>43390</v>
      </c>
      <c r="D4" s="22">
        <v>0</v>
      </c>
      <c r="E4" s="22">
        <v>0</v>
      </c>
      <c r="F4" s="22">
        <v>0</v>
      </c>
      <c r="G4" s="22">
        <v>0</v>
      </c>
      <c r="H4" s="22">
        <v>0</v>
      </c>
    </row>
    <row r="5" spans="1:8" x14ac:dyDescent="0.25">
      <c r="A5" s="3">
        <f t="shared" si="0"/>
        <v>4</v>
      </c>
      <c r="B5" s="15" t="s">
        <v>424</v>
      </c>
      <c r="C5" s="16">
        <f t="shared" si="1"/>
        <v>43391</v>
      </c>
      <c r="D5" s="22">
        <v>0</v>
      </c>
      <c r="E5" s="22">
        <v>0</v>
      </c>
      <c r="F5" s="22">
        <v>0</v>
      </c>
      <c r="G5" s="22">
        <v>0</v>
      </c>
      <c r="H5" s="22">
        <v>0</v>
      </c>
    </row>
    <row r="6" spans="1:8" x14ac:dyDescent="0.25">
      <c r="A6" s="3">
        <f t="shared" si="0"/>
        <v>5</v>
      </c>
      <c r="B6" s="15" t="s">
        <v>425</v>
      </c>
      <c r="C6" s="16">
        <f t="shared" si="1"/>
        <v>43392</v>
      </c>
      <c r="D6" s="22">
        <v>0</v>
      </c>
      <c r="E6" s="22">
        <v>0</v>
      </c>
      <c r="F6" s="22">
        <v>0</v>
      </c>
      <c r="G6" s="22">
        <v>0</v>
      </c>
      <c r="H6" s="22">
        <v>0</v>
      </c>
    </row>
    <row r="7" spans="1:8" x14ac:dyDescent="0.25">
      <c r="A7" s="3">
        <f t="shared" si="0"/>
        <v>6</v>
      </c>
      <c r="B7" s="15" t="s">
        <v>421</v>
      </c>
      <c r="C7" s="16">
        <f>C2+7</f>
        <v>43395</v>
      </c>
      <c r="D7" s="22">
        <v>0</v>
      </c>
      <c r="E7" s="22">
        <v>0</v>
      </c>
      <c r="F7" s="22">
        <v>0</v>
      </c>
      <c r="G7" s="22">
        <v>0</v>
      </c>
      <c r="H7" s="22">
        <v>0</v>
      </c>
    </row>
    <row r="8" spans="1:8" x14ac:dyDescent="0.25">
      <c r="A8" s="3">
        <f t="shared" si="0"/>
        <v>7</v>
      </c>
      <c r="B8" s="15" t="s">
        <v>422</v>
      </c>
      <c r="C8" s="16">
        <f t="shared" si="1"/>
        <v>43396</v>
      </c>
      <c r="D8" s="22">
        <v>0</v>
      </c>
      <c r="E8" s="22">
        <v>0</v>
      </c>
      <c r="F8" s="22">
        <v>0</v>
      </c>
      <c r="G8" s="22">
        <v>0</v>
      </c>
      <c r="H8" s="22">
        <v>0</v>
      </c>
    </row>
    <row r="9" spans="1:8" x14ac:dyDescent="0.25">
      <c r="A9" s="3">
        <f t="shared" si="0"/>
        <v>8</v>
      </c>
      <c r="B9" s="15" t="s">
        <v>423</v>
      </c>
      <c r="C9" s="16">
        <f t="shared" si="1"/>
        <v>43397</v>
      </c>
      <c r="D9" s="22">
        <v>0</v>
      </c>
      <c r="E9" s="22">
        <v>0</v>
      </c>
      <c r="F9" s="22">
        <v>0</v>
      </c>
      <c r="G9" s="22">
        <v>0</v>
      </c>
      <c r="H9" s="22">
        <v>0</v>
      </c>
    </row>
    <row r="10" spans="1:8" x14ac:dyDescent="0.25">
      <c r="A10" s="3">
        <f t="shared" si="0"/>
        <v>9</v>
      </c>
      <c r="B10" s="15" t="s">
        <v>424</v>
      </c>
      <c r="C10" s="16">
        <f t="shared" si="1"/>
        <v>43398</v>
      </c>
      <c r="D10" s="22">
        <v>0</v>
      </c>
      <c r="E10" s="22">
        <v>0</v>
      </c>
      <c r="F10" s="22">
        <v>0</v>
      </c>
      <c r="G10" s="22">
        <v>0</v>
      </c>
      <c r="H10" s="22">
        <v>0</v>
      </c>
    </row>
    <row r="11" spans="1:8" x14ac:dyDescent="0.25">
      <c r="A11" s="3">
        <f t="shared" si="0"/>
        <v>10</v>
      </c>
      <c r="B11" s="15" t="s">
        <v>425</v>
      </c>
      <c r="C11" s="16">
        <f t="shared" si="1"/>
        <v>43399</v>
      </c>
      <c r="D11" s="22">
        <v>0</v>
      </c>
      <c r="E11" s="22">
        <v>0</v>
      </c>
      <c r="F11" s="22">
        <v>0</v>
      </c>
      <c r="G11" s="22">
        <v>0</v>
      </c>
      <c r="H11" s="22">
        <v>0</v>
      </c>
    </row>
    <row r="12" spans="1:8" x14ac:dyDescent="0.25">
      <c r="A12" s="3">
        <f t="shared" si="0"/>
        <v>11</v>
      </c>
      <c r="B12" s="15" t="s">
        <v>421</v>
      </c>
      <c r="C12" s="16">
        <f>C7+7</f>
        <v>43402</v>
      </c>
      <c r="D12" s="22">
        <v>0</v>
      </c>
      <c r="E12" s="22">
        <v>0</v>
      </c>
      <c r="F12" s="22">
        <v>0</v>
      </c>
      <c r="G12" s="22">
        <v>0</v>
      </c>
      <c r="H12" s="22">
        <v>0</v>
      </c>
    </row>
    <row r="13" spans="1:8" x14ac:dyDescent="0.25">
      <c r="A13" s="3">
        <f t="shared" si="0"/>
        <v>12</v>
      </c>
      <c r="B13" s="15" t="s">
        <v>422</v>
      </c>
      <c r="C13" s="16">
        <f t="shared" si="1"/>
        <v>43403</v>
      </c>
      <c r="D13" s="22">
        <v>0</v>
      </c>
      <c r="E13" s="22">
        <v>0</v>
      </c>
      <c r="F13" s="22">
        <v>0</v>
      </c>
      <c r="G13" s="22">
        <v>0</v>
      </c>
      <c r="H13" s="22">
        <v>0</v>
      </c>
    </row>
    <row r="14" spans="1:8" x14ac:dyDescent="0.25">
      <c r="A14" s="3">
        <f t="shared" si="0"/>
        <v>13</v>
      </c>
      <c r="B14" s="15" t="s">
        <v>423</v>
      </c>
      <c r="C14" s="16">
        <f t="shared" si="1"/>
        <v>43404</v>
      </c>
      <c r="D14" s="22">
        <v>0</v>
      </c>
      <c r="E14" s="22">
        <v>0</v>
      </c>
      <c r="F14" s="22">
        <v>0</v>
      </c>
      <c r="G14" s="22">
        <v>0</v>
      </c>
      <c r="H14" s="22">
        <v>0</v>
      </c>
    </row>
    <row r="15" spans="1:8" x14ac:dyDescent="0.25">
      <c r="A15" s="3">
        <f t="shared" si="0"/>
        <v>14</v>
      </c>
      <c r="B15" s="15" t="s">
        <v>424</v>
      </c>
      <c r="C15" s="16">
        <f t="shared" si="1"/>
        <v>43405</v>
      </c>
      <c r="D15" s="22">
        <v>0</v>
      </c>
      <c r="E15" s="22">
        <v>0</v>
      </c>
      <c r="F15" s="22">
        <v>0</v>
      </c>
      <c r="G15" s="22">
        <v>0</v>
      </c>
      <c r="H15" s="22">
        <v>0</v>
      </c>
    </row>
    <row r="16" spans="1:8" x14ac:dyDescent="0.25">
      <c r="A16" s="3">
        <f t="shared" si="0"/>
        <v>15</v>
      </c>
      <c r="B16" s="15" t="s">
        <v>425</v>
      </c>
      <c r="C16" s="16">
        <f t="shared" si="1"/>
        <v>43406</v>
      </c>
      <c r="D16" s="22">
        <v>0</v>
      </c>
      <c r="E16" s="22">
        <v>0</v>
      </c>
      <c r="F16" s="22">
        <v>0</v>
      </c>
      <c r="G16" s="22">
        <v>0</v>
      </c>
      <c r="H16" s="22">
        <v>0</v>
      </c>
    </row>
    <row r="17" spans="1:8" x14ac:dyDescent="0.25">
      <c r="A17" s="3">
        <f t="shared" si="0"/>
        <v>16</v>
      </c>
      <c r="B17" s="15" t="s">
        <v>421</v>
      </c>
      <c r="C17" s="16">
        <f>C12+7</f>
        <v>43409</v>
      </c>
      <c r="D17" s="22">
        <v>0</v>
      </c>
      <c r="E17" s="22">
        <v>0</v>
      </c>
      <c r="F17" s="22">
        <v>0</v>
      </c>
      <c r="G17" s="22">
        <v>0</v>
      </c>
      <c r="H17" s="22">
        <v>0</v>
      </c>
    </row>
    <row r="18" spans="1:8" x14ac:dyDescent="0.25">
      <c r="A18" s="3">
        <f t="shared" si="0"/>
        <v>17</v>
      </c>
      <c r="B18" s="15" t="s">
        <v>422</v>
      </c>
      <c r="C18" s="16">
        <f t="shared" si="1"/>
        <v>43410</v>
      </c>
      <c r="D18" s="22">
        <v>0</v>
      </c>
      <c r="E18" s="22">
        <v>0</v>
      </c>
      <c r="F18" s="22">
        <v>0</v>
      </c>
      <c r="G18" s="22">
        <v>0</v>
      </c>
      <c r="H18" s="22">
        <v>0</v>
      </c>
    </row>
    <row r="19" spans="1:8" x14ac:dyDescent="0.25">
      <c r="A19" s="3">
        <f t="shared" si="0"/>
        <v>18</v>
      </c>
      <c r="B19" s="15" t="s">
        <v>423</v>
      </c>
      <c r="C19" s="16">
        <f t="shared" si="1"/>
        <v>43411</v>
      </c>
      <c r="D19" s="22">
        <v>0</v>
      </c>
      <c r="E19" s="22">
        <v>0</v>
      </c>
      <c r="F19" s="22">
        <v>0</v>
      </c>
      <c r="G19" s="22">
        <v>0</v>
      </c>
      <c r="H19" s="22">
        <v>0</v>
      </c>
    </row>
    <row r="20" spans="1:8" x14ac:dyDescent="0.25">
      <c r="A20" s="3">
        <f t="shared" si="0"/>
        <v>19</v>
      </c>
      <c r="B20" s="15" t="s">
        <v>424</v>
      </c>
      <c r="C20" s="16">
        <f t="shared" si="1"/>
        <v>43412</v>
      </c>
      <c r="D20" s="22">
        <v>0</v>
      </c>
      <c r="E20" s="22">
        <v>0</v>
      </c>
      <c r="F20" s="22">
        <v>0</v>
      </c>
      <c r="G20" s="22">
        <v>0</v>
      </c>
      <c r="H20" s="22">
        <v>0</v>
      </c>
    </row>
    <row r="21" spans="1:8" x14ac:dyDescent="0.25">
      <c r="A21" s="3">
        <f t="shared" si="0"/>
        <v>20</v>
      </c>
      <c r="B21" s="15" t="s">
        <v>425</v>
      </c>
      <c r="C21" s="16">
        <f t="shared" si="1"/>
        <v>43413</v>
      </c>
      <c r="D21" s="22">
        <v>0</v>
      </c>
      <c r="E21" s="22">
        <v>0</v>
      </c>
      <c r="F21" s="22">
        <v>0</v>
      </c>
      <c r="G21" s="22">
        <v>0</v>
      </c>
      <c r="H21" s="22">
        <v>0</v>
      </c>
    </row>
    <row r="22" spans="1:8" x14ac:dyDescent="0.25">
      <c r="A22" s="3">
        <f t="shared" si="0"/>
        <v>21</v>
      </c>
      <c r="B22" s="15" t="s">
        <v>421</v>
      </c>
      <c r="C22" s="16">
        <f>C17+7</f>
        <v>43416</v>
      </c>
      <c r="D22" s="22">
        <v>0</v>
      </c>
      <c r="E22" s="22">
        <v>0</v>
      </c>
      <c r="F22" s="22">
        <v>0</v>
      </c>
      <c r="G22" s="22">
        <v>0</v>
      </c>
      <c r="H22" s="22">
        <v>0</v>
      </c>
    </row>
    <row r="23" spans="1:8" x14ac:dyDescent="0.25">
      <c r="A23" s="3">
        <f t="shared" si="0"/>
        <v>22</v>
      </c>
      <c r="B23" s="15" t="s">
        <v>422</v>
      </c>
      <c r="C23" s="16">
        <f t="shared" si="1"/>
        <v>43417</v>
      </c>
      <c r="D23" s="22">
        <v>0</v>
      </c>
      <c r="E23" s="22">
        <v>0</v>
      </c>
      <c r="F23" s="22">
        <v>0</v>
      </c>
      <c r="G23" s="22">
        <v>0</v>
      </c>
      <c r="H23" s="22">
        <v>0</v>
      </c>
    </row>
    <row r="24" spans="1:8" x14ac:dyDescent="0.25">
      <c r="A24" s="3">
        <f t="shared" si="0"/>
        <v>23</v>
      </c>
      <c r="B24" s="15" t="s">
        <v>423</v>
      </c>
      <c r="C24" s="16">
        <f t="shared" si="1"/>
        <v>43418</v>
      </c>
      <c r="D24" s="22">
        <v>0</v>
      </c>
      <c r="E24" s="22">
        <v>0</v>
      </c>
      <c r="F24" s="22">
        <v>0</v>
      </c>
      <c r="G24" s="22">
        <v>0</v>
      </c>
      <c r="H24" s="22">
        <v>0</v>
      </c>
    </row>
    <row r="25" spans="1:8" x14ac:dyDescent="0.25">
      <c r="A25" s="3">
        <f t="shared" si="0"/>
        <v>24</v>
      </c>
      <c r="B25" s="15" t="s">
        <v>424</v>
      </c>
      <c r="C25" s="16">
        <f t="shared" si="1"/>
        <v>43419</v>
      </c>
      <c r="D25" s="22">
        <v>0</v>
      </c>
      <c r="E25" s="22">
        <v>0</v>
      </c>
      <c r="F25" s="22">
        <v>0</v>
      </c>
      <c r="G25" s="22">
        <v>0</v>
      </c>
      <c r="H25" s="22">
        <v>0</v>
      </c>
    </row>
    <row r="26" spans="1:8" x14ac:dyDescent="0.25">
      <c r="A26" s="3">
        <f t="shared" si="0"/>
        <v>25</v>
      </c>
      <c r="B26" s="15" t="s">
        <v>425</v>
      </c>
      <c r="C26" s="16">
        <f t="shared" si="1"/>
        <v>43420</v>
      </c>
      <c r="D26" s="22">
        <v>0</v>
      </c>
      <c r="E26" s="22">
        <v>0</v>
      </c>
      <c r="F26" s="22">
        <v>0</v>
      </c>
      <c r="G26" s="22">
        <v>0</v>
      </c>
      <c r="H26" s="22">
        <v>0</v>
      </c>
    </row>
    <row r="27" spans="1:8" x14ac:dyDescent="0.25">
      <c r="A27" s="3">
        <f t="shared" si="0"/>
        <v>26</v>
      </c>
      <c r="B27" s="15" t="s">
        <v>421</v>
      </c>
      <c r="C27" s="16">
        <f>C22+7</f>
        <v>43423</v>
      </c>
      <c r="D27" s="22">
        <v>0</v>
      </c>
      <c r="E27" s="22">
        <v>0</v>
      </c>
      <c r="F27" s="22">
        <v>0</v>
      </c>
      <c r="G27" s="22">
        <v>0</v>
      </c>
      <c r="H27" s="22">
        <v>0</v>
      </c>
    </row>
    <row r="28" spans="1:8" x14ac:dyDescent="0.25">
      <c r="A28" s="3">
        <f t="shared" si="0"/>
        <v>27</v>
      </c>
      <c r="B28" s="15" t="s">
        <v>422</v>
      </c>
      <c r="C28" s="16">
        <f t="shared" si="1"/>
        <v>43424</v>
      </c>
      <c r="D28" s="22">
        <v>0</v>
      </c>
      <c r="E28" s="22">
        <v>0</v>
      </c>
      <c r="F28" s="22">
        <v>0</v>
      </c>
      <c r="G28" s="22">
        <v>0</v>
      </c>
      <c r="H28" s="22">
        <v>0</v>
      </c>
    </row>
    <row r="29" spans="1:8" x14ac:dyDescent="0.25">
      <c r="A29" s="3">
        <f t="shared" si="0"/>
        <v>28</v>
      </c>
      <c r="B29" s="15" t="s">
        <v>423</v>
      </c>
      <c r="C29" s="16">
        <f t="shared" si="1"/>
        <v>43425</v>
      </c>
      <c r="D29" s="22">
        <v>0</v>
      </c>
      <c r="E29" s="22">
        <v>0</v>
      </c>
      <c r="F29" s="22">
        <v>0</v>
      </c>
      <c r="G29" s="22">
        <v>0</v>
      </c>
      <c r="H29" s="22">
        <v>0</v>
      </c>
    </row>
    <row r="30" spans="1:8" x14ac:dyDescent="0.25">
      <c r="A30" s="3">
        <f t="shared" si="0"/>
        <v>29</v>
      </c>
      <c r="B30" s="15" t="s">
        <v>424</v>
      </c>
      <c r="C30" s="16">
        <f t="shared" si="1"/>
        <v>43426</v>
      </c>
      <c r="D30" s="22">
        <v>0</v>
      </c>
      <c r="E30" s="22">
        <v>0</v>
      </c>
      <c r="F30" s="22">
        <v>0</v>
      </c>
      <c r="G30" s="22">
        <v>0</v>
      </c>
      <c r="H30" s="22">
        <v>0</v>
      </c>
    </row>
    <row r="31" spans="1:8" x14ac:dyDescent="0.25">
      <c r="A31" s="3">
        <f t="shared" si="0"/>
        <v>30</v>
      </c>
      <c r="B31" s="15" t="s">
        <v>425</v>
      </c>
      <c r="C31" s="16">
        <f t="shared" si="1"/>
        <v>43427</v>
      </c>
      <c r="D31" s="22">
        <v>0</v>
      </c>
      <c r="E31" s="22">
        <v>0</v>
      </c>
      <c r="F31" s="22">
        <v>0</v>
      </c>
      <c r="G31" s="22">
        <v>0</v>
      </c>
      <c r="H31" s="22">
        <v>0</v>
      </c>
    </row>
    <row r="32" spans="1:8" x14ac:dyDescent="0.25">
      <c r="A32" s="3">
        <f t="shared" si="0"/>
        <v>31</v>
      </c>
      <c r="B32" s="15" t="s">
        <v>421</v>
      </c>
      <c r="C32" s="16">
        <f>C27+7</f>
        <v>43430</v>
      </c>
      <c r="D32" s="22">
        <v>0</v>
      </c>
      <c r="E32" s="22">
        <v>0</v>
      </c>
      <c r="F32" s="22">
        <v>0</v>
      </c>
      <c r="G32" s="22">
        <v>0</v>
      </c>
      <c r="H32" s="22">
        <v>0</v>
      </c>
    </row>
    <row r="33" spans="1:8" x14ac:dyDescent="0.25">
      <c r="A33" s="3">
        <f t="shared" si="0"/>
        <v>32</v>
      </c>
      <c r="B33" s="15" t="s">
        <v>422</v>
      </c>
      <c r="C33" s="16">
        <f t="shared" si="1"/>
        <v>43431</v>
      </c>
      <c r="D33" s="22">
        <v>0</v>
      </c>
      <c r="E33" s="22">
        <v>0</v>
      </c>
      <c r="F33" s="22">
        <v>0</v>
      </c>
      <c r="G33" s="22">
        <v>0</v>
      </c>
      <c r="H33" s="22">
        <v>0</v>
      </c>
    </row>
    <row r="34" spans="1:8" x14ac:dyDescent="0.25">
      <c r="A34" s="3">
        <f t="shared" si="0"/>
        <v>33</v>
      </c>
      <c r="B34" s="15" t="s">
        <v>423</v>
      </c>
      <c r="C34" s="16">
        <f t="shared" si="1"/>
        <v>43432</v>
      </c>
      <c r="D34" s="22">
        <v>0</v>
      </c>
      <c r="E34" s="22">
        <v>0</v>
      </c>
      <c r="F34" s="22">
        <v>0</v>
      </c>
      <c r="G34" s="22">
        <v>0</v>
      </c>
      <c r="H34" s="22">
        <v>0</v>
      </c>
    </row>
    <row r="35" spans="1:8" x14ac:dyDescent="0.25">
      <c r="A35" s="3">
        <f t="shared" si="0"/>
        <v>34</v>
      </c>
      <c r="B35" s="15" t="s">
        <v>424</v>
      </c>
      <c r="C35" s="16">
        <f t="shared" si="1"/>
        <v>43433</v>
      </c>
      <c r="D35" s="22">
        <v>0</v>
      </c>
      <c r="E35" s="22">
        <v>0</v>
      </c>
      <c r="F35" s="22">
        <v>0</v>
      </c>
      <c r="G35" s="22">
        <v>0</v>
      </c>
      <c r="H35" s="22">
        <v>0</v>
      </c>
    </row>
    <row r="36" spans="1:8" x14ac:dyDescent="0.25">
      <c r="A36" s="3">
        <f t="shared" si="0"/>
        <v>35</v>
      </c>
      <c r="B36" s="15" t="s">
        <v>425</v>
      </c>
      <c r="C36" s="16">
        <f t="shared" si="1"/>
        <v>43434</v>
      </c>
      <c r="D36" s="22">
        <v>0</v>
      </c>
      <c r="E36" s="22">
        <v>0</v>
      </c>
      <c r="F36" s="22">
        <v>0</v>
      </c>
      <c r="G36" s="22">
        <v>0</v>
      </c>
      <c r="H36" s="22">
        <v>0</v>
      </c>
    </row>
    <row r="37" spans="1:8" x14ac:dyDescent="0.25">
      <c r="A37" s="3">
        <f t="shared" si="0"/>
        <v>36</v>
      </c>
      <c r="B37" s="15" t="s">
        <v>421</v>
      </c>
      <c r="C37" s="16">
        <f>C32+7</f>
        <v>43437</v>
      </c>
      <c r="D37" s="22">
        <v>0</v>
      </c>
      <c r="E37" s="22">
        <v>0</v>
      </c>
      <c r="F37" s="22">
        <v>0</v>
      </c>
      <c r="G37" s="22">
        <v>0</v>
      </c>
      <c r="H37" s="22">
        <v>185</v>
      </c>
    </row>
    <row r="38" spans="1:8" x14ac:dyDescent="0.25">
      <c r="A38" s="3">
        <f t="shared" si="0"/>
        <v>37</v>
      </c>
      <c r="B38" s="15" t="s">
        <v>422</v>
      </c>
      <c r="C38" s="16">
        <f t="shared" si="1"/>
        <v>43438</v>
      </c>
      <c r="D38" s="22">
        <v>72</v>
      </c>
      <c r="E38" s="22">
        <v>59</v>
      </c>
      <c r="F38" s="22">
        <v>45</v>
      </c>
      <c r="G38" s="22">
        <v>21</v>
      </c>
      <c r="H38" s="22">
        <v>149</v>
      </c>
    </row>
    <row r="39" spans="1:8" x14ac:dyDescent="0.25">
      <c r="A39" s="3">
        <f t="shared" si="0"/>
        <v>38</v>
      </c>
      <c r="B39" s="15" t="s">
        <v>423</v>
      </c>
      <c r="C39" s="16">
        <f t="shared" si="1"/>
        <v>43439</v>
      </c>
      <c r="D39" s="22">
        <v>72</v>
      </c>
      <c r="E39" s="22">
        <v>59</v>
      </c>
      <c r="F39" s="22">
        <v>45</v>
      </c>
      <c r="G39" s="22">
        <v>21</v>
      </c>
      <c r="H39" s="22">
        <v>149</v>
      </c>
    </row>
    <row r="40" spans="1:8" x14ac:dyDescent="0.25">
      <c r="A40" s="3">
        <f t="shared" si="0"/>
        <v>39</v>
      </c>
      <c r="B40" s="15" t="s">
        <v>424</v>
      </c>
      <c r="C40" s="16">
        <f t="shared" si="1"/>
        <v>43440</v>
      </c>
      <c r="D40" s="22">
        <v>72</v>
      </c>
      <c r="E40" s="22">
        <v>59</v>
      </c>
      <c r="F40" s="22">
        <v>45</v>
      </c>
      <c r="G40" s="22">
        <v>21</v>
      </c>
      <c r="H40" s="22">
        <v>149</v>
      </c>
    </row>
    <row r="41" spans="1:8" x14ac:dyDescent="0.25">
      <c r="A41" s="3">
        <f t="shared" si="0"/>
        <v>40</v>
      </c>
      <c r="B41" s="15" t="s">
        <v>425</v>
      </c>
      <c r="C41" s="16">
        <f t="shared" si="1"/>
        <v>43441</v>
      </c>
      <c r="D41" s="22">
        <v>72</v>
      </c>
      <c r="E41" s="22">
        <v>51</v>
      </c>
      <c r="F41" s="22">
        <v>53</v>
      </c>
      <c r="G41" s="22">
        <v>21</v>
      </c>
      <c r="H41" s="22">
        <v>149</v>
      </c>
    </row>
    <row r="42" spans="1:8" x14ac:dyDescent="0.25">
      <c r="A42" s="3">
        <f t="shared" si="0"/>
        <v>41</v>
      </c>
      <c r="B42" s="15" t="s">
        <v>421</v>
      </c>
      <c r="C42" s="16">
        <f>C37+7</f>
        <v>43444</v>
      </c>
      <c r="D42" s="22">
        <v>72</v>
      </c>
      <c r="E42" s="22">
        <v>51</v>
      </c>
      <c r="F42" s="22">
        <v>53</v>
      </c>
      <c r="G42" s="22">
        <v>21</v>
      </c>
      <c r="H42" s="22">
        <v>149</v>
      </c>
    </row>
    <row r="43" spans="1:8" x14ac:dyDescent="0.25">
      <c r="A43" s="3">
        <f t="shared" si="0"/>
        <v>42</v>
      </c>
      <c r="B43" s="15" t="s">
        <v>422</v>
      </c>
      <c r="C43" s="16">
        <f t="shared" si="1"/>
        <v>43445</v>
      </c>
      <c r="D43" s="22">
        <v>72</v>
      </c>
      <c r="E43" s="22">
        <v>51</v>
      </c>
      <c r="F43" s="22">
        <v>53</v>
      </c>
      <c r="G43" s="22">
        <v>21</v>
      </c>
      <c r="H43" s="22">
        <v>149</v>
      </c>
    </row>
    <row r="44" spans="1:8" x14ac:dyDescent="0.25">
      <c r="A44" s="3">
        <f t="shared" si="0"/>
        <v>43</v>
      </c>
      <c r="B44" s="15" t="s">
        <v>423</v>
      </c>
      <c r="C44" s="16">
        <f t="shared" si="1"/>
        <v>43446</v>
      </c>
      <c r="D44" s="22">
        <v>72</v>
      </c>
      <c r="E44" s="22">
        <v>51</v>
      </c>
      <c r="F44" s="22">
        <v>53</v>
      </c>
      <c r="G44" s="22">
        <v>21</v>
      </c>
      <c r="H44" s="22">
        <v>149</v>
      </c>
    </row>
    <row r="45" spans="1:8" x14ac:dyDescent="0.25">
      <c r="A45" s="3">
        <f t="shared" si="0"/>
        <v>44</v>
      </c>
      <c r="B45" s="15" t="s">
        <v>424</v>
      </c>
      <c r="C45" s="16">
        <f t="shared" si="1"/>
        <v>43447</v>
      </c>
      <c r="D45" s="22">
        <v>72</v>
      </c>
      <c r="E45" s="22">
        <v>51</v>
      </c>
      <c r="F45" s="22">
        <v>53</v>
      </c>
      <c r="G45" s="22">
        <v>21</v>
      </c>
      <c r="H45" s="22">
        <v>149</v>
      </c>
    </row>
    <row r="46" spans="1:8" x14ac:dyDescent="0.25">
      <c r="A46" s="3">
        <f t="shared" si="0"/>
        <v>45</v>
      </c>
      <c r="B46" s="15" t="s">
        <v>425</v>
      </c>
      <c r="C46" s="16">
        <f t="shared" si="1"/>
        <v>43448</v>
      </c>
      <c r="D46" s="22">
        <v>72</v>
      </c>
      <c r="E46" s="22">
        <v>51</v>
      </c>
      <c r="F46" s="22">
        <v>53</v>
      </c>
      <c r="G46" s="22">
        <v>21</v>
      </c>
      <c r="H46" s="22">
        <v>149</v>
      </c>
    </row>
    <row r="47" spans="1:8" x14ac:dyDescent="0.25">
      <c r="A47" s="3">
        <f t="shared" si="0"/>
        <v>46</v>
      </c>
      <c r="B47" s="15" t="s">
        <v>421</v>
      </c>
      <c r="C47" s="16">
        <f>C42+7</f>
        <v>43451</v>
      </c>
      <c r="D47" s="22">
        <v>72</v>
      </c>
      <c r="E47" s="22">
        <v>51</v>
      </c>
      <c r="F47" s="22">
        <v>53</v>
      </c>
      <c r="G47" s="22">
        <v>21</v>
      </c>
      <c r="H47" s="22">
        <v>149</v>
      </c>
    </row>
    <row r="48" spans="1:8" x14ac:dyDescent="0.25">
      <c r="A48" s="3">
        <f t="shared" si="0"/>
        <v>47</v>
      </c>
      <c r="B48" s="15" t="s">
        <v>422</v>
      </c>
      <c r="C48" s="16">
        <f t="shared" si="1"/>
        <v>43452</v>
      </c>
      <c r="D48" s="22">
        <v>72</v>
      </c>
      <c r="E48" s="22">
        <v>51</v>
      </c>
      <c r="F48" s="22">
        <v>53</v>
      </c>
      <c r="G48" s="22">
        <v>21</v>
      </c>
      <c r="H48" s="22">
        <v>149</v>
      </c>
    </row>
    <row r="49" spans="1:8" x14ac:dyDescent="0.25">
      <c r="A49" s="3">
        <f t="shared" si="0"/>
        <v>48</v>
      </c>
      <c r="B49" s="15" t="s">
        <v>423</v>
      </c>
      <c r="C49" s="16">
        <f t="shared" si="1"/>
        <v>43453</v>
      </c>
      <c r="D49" s="22">
        <v>72</v>
      </c>
      <c r="E49" s="22">
        <v>51</v>
      </c>
      <c r="F49" s="22">
        <v>53</v>
      </c>
      <c r="G49" s="22">
        <v>21</v>
      </c>
      <c r="H49" s="22">
        <v>149</v>
      </c>
    </row>
    <row r="50" spans="1:8" x14ac:dyDescent="0.25">
      <c r="A50" s="3">
        <f t="shared" si="0"/>
        <v>49</v>
      </c>
      <c r="B50" s="15" t="s">
        <v>424</v>
      </c>
      <c r="C50" s="16">
        <f t="shared" si="1"/>
        <v>43454</v>
      </c>
      <c r="D50" s="22">
        <v>72</v>
      </c>
      <c r="E50" s="22">
        <v>51</v>
      </c>
      <c r="F50" s="22">
        <v>53</v>
      </c>
      <c r="G50" s="22">
        <v>21</v>
      </c>
      <c r="H50" s="22">
        <v>149</v>
      </c>
    </row>
    <row r="51" spans="1:8" x14ac:dyDescent="0.25">
      <c r="A51" s="3">
        <f t="shared" si="0"/>
        <v>50</v>
      </c>
      <c r="B51" s="15" t="s">
        <v>425</v>
      </c>
      <c r="C51" s="16">
        <f t="shared" si="1"/>
        <v>43455</v>
      </c>
      <c r="D51" s="22">
        <v>72</v>
      </c>
      <c r="E51" s="22">
        <v>51</v>
      </c>
      <c r="F51" s="22">
        <v>53</v>
      </c>
      <c r="G51" s="22">
        <v>21</v>
      </c>
      <c r="H51" s="22">
        <v>149</v>
      </c>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theme="8" tint="-0.249977111117893"/>
  </sheetPr>
  <dimension ref="A1:Q53"/>
  <sheetViews>
    <sheetView topLeftCell="B4" workbookViewId="0">
      <selection activeCell="V46" sqref="V46"/>
    </sheetView>
  </sheetViews>
  <sheetFormatPr defaultColWidth="7.75" defaultRowHeight="12.75" x14ac:dyDescent="0.2"/>
  <cols>
    <col min="1" max="2" width="7.75" style="26"/>
    <col min="3" max="3" width="11.625" style="26" customWidth="1"/>
    <col min="4" max="4" width="7.625" style="26" hidden="1" customWidth="1"/>
    <col min="5" max="5" width="11.625" style="26" customWidth="1"/>
    <col min="6" max="6" width="14.25" style="26" customWidth="1"/>
    <col min="7" max="259" width="7.75" style="26"/>
    <col min="260" max="262" width="11.625" style="26" customWidth="1"/>
    <col min="263" max="515" width="7.75" style="26"/>
    <col min="516" max="518" width="11.625" style="26" customWidth="1"/>
    <col min="519" max="771" width="7.75" style="26"/>
    <col min="772" max="774" width="11.625" style="26" customWidth="1"/>
    <col min="775" max="1027" width="7.75" style="26"/>
    <col min="1028" max="1030" width="11.625" style="26" customWidth="1"/>
    <col min="1031" max="1283" width="7.75" style="26"/>
    <col min="1284" max="1286" width="11.625" style="26" customWidth="1"/>
    <col min="1287" max="1539" width="7.75" style="26"/>
    <col min="1540" max="1542" width="11.625" style="26" customWidth="1"/>
    <col min="1543" max="1795" width="7.75" style="26"/>
    <col min="1796" max="1798" width="11.625" style="26" customWidth="1"/>
    <col min="1799" max="2051" width="7.75" style="26"/>
    <col min="2052" max="2054" width="11.625" style="26" customWidth="1"/>
    <col min="2055" max="2307" width="7.75" style="26"/>
    <col min="2308" max="2310" width="11.625" style="26" customWidth="1"/>
    <col min="2311" max="2563" width="7.75" style="26"/>
    <col min="2564" max="2566" width="11.625" style="26" customWidth="1"/>
    <col min="2567" max="2819" width="7.75" style="26"/>
    <col min="2820" max="2822" width="11.625" style="26" customWidth="1"/>
    <col min="2823" max="3075" width="7.75" style="26"/>
    <col min="3076" max="3078" width="11.625" style="26" customWidth="1"/>
    <col min="3079" max="3331" width="7.75" style="26"/>
    <col min="3332" max="3334" width="11.625" style="26" customWidth="1"/>
    <col min="3335" max="3587" width="7.75" style="26"/>
    <col min="3588" max="3590" width="11.625" style="26" customWidth="1"/>
    <col min="3591" max="3843" width="7.75" style="26"/>
    <col min="3844" max="3846" width="11.625" style="26" customWidth="1"/>
    <col min="3847" max="4099" width="7.75" style="26"/>
    <col min="4100" max="4102" width="11.625" style="26" customWidth="1"/>
    <col min="4103" max="4355" width="7.75" style="26"/>
    <col min="4356" max="4358" width="11.625" style="26" customWidth="1"/>
    <col min="4359" max="4611" width="7.75" style="26"/>
    <col min="4612" max="4614" width="11.625" style="26" customWidth="1"/>
    <col min="4615" max="4867" width="7.75" style="26"/>
    <col min="4868" max="4870" width="11.625" style="26" customWidth="1"/>
    <col min="4871" max="5123" width="7.75" style="26"/>
    <col min="5124" max="5126" width="11.625" style="26" customWidth="1"/>
    <col min="5127" max="5379" width="7.75" style="26"/>
    <col min="5380" max="5382" width="11.625" style="26" customWidth="1"/>
    <col min="5383" max="5635" width="7.75" style="26"/>
    <col min="5636" max="5638" width="11.625" style="26" customWidth="1"/>
    <col min="5639" max="5891" width="7.75" style="26"/>
    <col min="5892" max="5894" width="11.625" style="26" customWidth="1"/>
    <col min="5895" max="6147" width="7.75" style="26"/>
    <col min="6148" max="6150" width="11.625" style="26" customWidth="1"/>
    <col min="6151" max="6403" width="7.75" style="26"/>
    <col min="6404" max="6406" width="11.625" style="26" customWidth="1"/>
    <col min="6407" max="6659" width="7.75" style="26"/>
    <col min="6660" max="6662" width="11.625" style="26" customWidth="1"/>
    <col min="6663" max="6915" width="7.75" style="26"/>
    <col min="6916" max="6918" width="11.625" style="26" customWidth="1"/>
    <col min="6919" max="7171" width="7.75" style="26"/>
    <col min="7172" max="7174" width="11.625" style="26" customWidth="1"/>
    <col min="7175" max="7427" width="7.75" style="26"/>
    <col min="7428" max="7430" width="11.625" style="26" customWidth="1"/>
    <col min="7431" max="7683" width="7.75" style="26"/>
    <col min="7684" max="7686" width="11.625" style="26" customWidth="1"/>
    <col min="7687" max="7939" width="7.75" style="26"/>
    <col min="7940" max="7942" width="11.625" style="26" customWidth="1"/>
    <col min="7943" max="8195" width="7.75" style="26"/>
    <col min="8196" max="8198" width="11.625" style="26" customWidth="1"/>
    <col min="8199" max="8451" width="7.75" style="26"/>
    <col min="8452" max="8454" width="11.625" style="26" customWidth="1"/>
    <col min="8455" max="8707" width="7.75" style="26"/>
    <col min="8708" max="8710" width="11.625" style="26" customWidth="1"/>
    <col min="8711" max="8963" width="7.75" style="26"/>
    <col min="8964" max="8966" width="11.625" style="26" customWidth="1"/>
    <col min="8967" max="9219" width="7.75" style="26"/>
    <col min="9220" max="9222" width="11.625" style="26" customWidth="1"/>
    <col min="9223" max="9475" width="7.75" style="26"/>
    <col min="9476" max="9478" width="11.625" style="26" customWidth="1"/>
    <col min="9479" max="9731" width="7.75" style="26"/>
    <col min="9732" max="9734" width="11.625" style="26" customWidth="1"/>
    <col min="9735" max="9987" width="7.75" style="26"/>
    <col min="9988" max="9990" width="11.625" style="26" customWidth="1"/>
    <col min="9991" max="10243" width="7.75" style="26"/>
    <col min="10244" max="10246" width="11.625" style="26" customWidth="1"/>
    <col min="10247" max="10499" width="7.75" style="26"/>
    <col min="10500" max="10502" width="11.625" style="26" customWidth="1"/>
    <col min="10503" max="10755" width="7.75" style="26"/>
    <col min="10756" max="10758" width="11.625" style="26" customWidth="1"/>
    <col min="10759" max="11011" width="7.75" style="26"/>
    <col min="11012" max="11014" width="11.625" style="26" customWidth="1"/>
    <col min="11015" max="11267" width="7.75" style="26"/>
    <col min="11268" max="11270" width="11.625" style="26" customWidth="1"/>
    <col min="11271" max="11523" width="7.75" style="26"/>
    <col min="11524" max="11526" width="11.625" style="26" customWidth="1"/>
    <col min="11527" max="11779" width="7.75" style="26"/>
    <col min="11780" max="11782" width="11.625" style="26" customWidth="1"/>
    <col min="11783" max="12035" width="7.75" style="26"/>
    <col min="12036" max="12038" width="11.625" style="26" customWidth="1"/>
    <col min="12039" max="12291" width="7.75" style="26"/>
    <col min="12292" max="12294" width="11.625" style="26" customWidth="1"/>
    <col min="12295" max="12547" width="7.75" style="26"/>
    <col min="12548" max="12550" width="11.625" style="26" customWidth="1"/>
    <col min="12551" max="12803" width="7.75" style="26"/>
    <col min="12804" max="12806" width="11.625" style="26" customWidth="1"/>
    <col min="12807" max="13059" width="7.75" style="26"/>
    <col min="13060" max="13062" width="11.625" style="26" customWidth="1"/>
    <col min="13063" max="13315" width="7.75" style="26"/>
    <col min="13316" max="13318" width="11.625" style="26" customWidth="1"/>
    <col min="13319" max="13571" width="7.75" style="26"/>
    <col min="13572" max="13574" width="11.625" style="26" customWidth="1"/>
    <col min="13575" max="13827" width="7.75" style="26"/>
    <col min="13828" max="13830" width="11.625" style="26" customWidth="1"/>
    <col min="13831" max="14083" width="7.75" style="26"/>
    <col min="14084" max="14086" width="11.625" style="26" customWidth="1"/>
    <col min="14087" max="14339" width="7.75" style="26"/>
    <col min="14340" max="14342" width="11.625" style="26" customWidth="1"/>
    <col min="14343" max="14595" width="7.75" style="26"/>
    <col min="14596" max="14598" width="11.625" style="26" customWidth="1"/>
    <col min="14599" max="14851" width="7.75" style="26"/>
    <col min="14852" max="14854" width="11.625" style="26" customWidth="1"/>
    <col min="14855" max="15107" width="7.75" style="26"/>
    <col min="15108" max="15110" width="11.625" style="26" customWidth="1"/>
    <col min="15111" max="15363" width="7.75" style="26"/>
    <col min="15364" max="15366" width="11.625" style="26" customWidth="1"/>
    <col min="15367" max="15619" width="7.75" style="26"/>
    <col min="15620" max="15622" width="11.625" style="26" customWidth="1"/>
    <col min="15623" max="15875" width="7.75" style="26"/>
    <col min="15876" max="15878" width="11.625" style="26" customWidth="1"/>
    <col min="15879" max="16131" width="7.75" style="26"/>
    <col min="16132" max="16134" width="11.625" style="26" customWidth="1"/>
    <col min="16135" max="16384" width="7.75" style="26"/>
  </cols>
  <sheetData>
    <row r="1" spans="1:17" s="25" customFormat="1" ht="18" thickBot="1" x14ac:dyDescent="0.35">
      <c r="A1" s="4" t="s">
        <v>414</v>
      </c>
      <c r="B1" s="4"/>
      <c r="C1" s="4" t="s">
        <v>3</v>
      </c>
      <c r="D1" s="4" t="s">
        <v>643</v>
      </c>
      <c r="E1" s="4" t="s">
        <v>427</v>
      </c>
      <c r="F1" s="4" t="s">
        <v>642</v>
      </c>
      <c r="G1" s="27"/>
      <c r="H1"/>
      <c r="I1"/>
      <c r="J1"/>
      <c r="K1" t="str">
        <f>IF(ISNUMBER(J1),IF(J1&lt;J2,"",(((COLUMN()-1)*'[1]Sprint Information'!#REF!)+'[1]Sprint Information'!#REF!)),"")</f>
        <v/>
      </c>
      <c r="L1" t="str">
        <f>IF(ISNUMBER(K1),IF(K1&lt;K2,"",(((COLUMN()-1)*'[1]Sprint Information'!#REF!)+'[1]Sprint Information'!#REF!)),"")</f>
        <v/>
      </c>
      <c r="M1" t="str">
        <f>IF(ISNUMBER(L1),IF(L1&lt;L2,"",(((COLUMN()-1)*'[1]Sprint Information'!#REF!)+'[1]Sprint Information'!#REF!)),"")</f>
        <v/>
      </c>
      <c r="N1" t="str">
        <f>IF(ISNUMBER(M1),IF(M1&lt;M2,"",(((COLUMN()-1)*'[1]Sprint Information'!#REF!)+'[1]Sprint Information'!#REF!)),"")</f>
        <v/>
      </c>
      <c r="O1" t="str">
        <f>IF(ISNUMBER(N1),IF(N1&lt;N2,"",(((COLUMN()-1)*'[1]Sprint Information'!#REF!)+'[1]Sprint Information'!#REF!)),"")</f>
        <v/>
      </c>
      <c r="P1" t="str">
        <f>IF(ISNUMBER(O1),IF(O1&lt;O2,"",(((COLUMN()-1)*'[1]Sprint Information'!#REF!)+'[1]Sprint Information'!#REF!)),"")</f>
        <v/>
      </c>
      <c r="Q1" t="str">
        <f>IF(ISNUMBER(P1),IF(P1&lt;P2,"",(((COLUMN()-1)*'[1]Sprint Information'!#REF!)+'[1]Sprint Information'!#REF!)),"")</f>
        <v/>
      </c>
    </row>
    <row r="2" spans="1:17" ht="16.5" thickTop="1" x14ac:dyDescent="0.25">
      <c r="A2" s="3">
        <v>1</v>
      </c>
      <c r="B2" s="15" t="s">
        <v>421</v>
      </c>
      <c r="C2" s="16">
        <v>43388</v>
      </c>
      <c r="D2" s="28">
        <f>E2</f>
        <v>0</v>
      </c>
      <c r="E2" s="26">
        <v>0</v>
      </c>
      <c r="F2" s="26">
        <f t="shared" ref="F2:F53" si="0">IF(ISNUMBER($C2),0,"")</f>
        <v>0</v>
      </c>
      <c r="H2"/>
      <c r="I2"/>
      <c r="J2"/>
      <c r="K2" t="str">
        <f>IF(ISNUMBER(K1),(((COLUMN()-1)*'[1]Sprint Information'!#REF!)+'[1]Sprint Information'!#REF!),"")</f>
        <v/>
      </c>
      <c r="L2" t="str">
        <f>IF(ISNUMBER(L1),(((COLUMN()-1)*'[1]Sprint Information'!#REF!)+'[1]Sprint Information'!#REF!),"")</f>
        <v/>
      </c>
      <c r="M2" t="str">
        <f>IF(ISNUMBER(M1),(((COLUMN()-1)*'[1]Sprint Information'!#REF!)+'[1]Sprint Information'!#REF!),"")</f>
        <v/>
      </c>
      <c r="N2" t="str">
        <f>IF(ISNUMBER(N1),(((COLUMN()-1)*'[1]Sprint Information'!#REF!)+'[1]Sprint Information'!#REF!),"")</f>
        <v/>
      </c>
      <c r="O2" t="str">
        <f>IF(ISNUMBER(O1),(((COLUMN()-1)*'[1]Sprint Information'!#REF!)+'[1]Sprint Information'!#REF!),"")</f>
        <v/>
      </c>
      <c r="P2" t="str">
        <f>IF(ISNUMBER(P1),(((COLUMN()-1)*'[1]Sprint Information'!#REF!)+'[1]Sprint Information'!#REF!),"")</f>
        <v/>
      </c>
      <c r="Q2" t="str">
        <f>IF(ISNUMBER(Q1),(((COLUMN()-1)*'[1]Sprint Information'!#REF!)+'[1]Sprint Information'!#REF!),"")</f>
        <v/>
      </c>
    </row>
    <row r="3" spans="1:17" ht="15" x14ac:dyDescent="0.25">
      <c r="A3" s="3">
        <f>A2+1</f>
        <v>2</v>
      </c>
      <c r="B3" s="15" t="s">
        <v>422</v>
      </c>
      <c r="C3" s="16">
        <f>C2+1</f>
        <v>43389</v>
      </c>
      <c r="D3" s="29">
        <f>D2-($D$2/50)</f>
        <v>0</v>
      </c>
      <c r="E3" s="26">
        <v>0</v>
      </c>
      <c r="F3" s="26">
        <v>0</v>
      </c>
    </row>
    <row r="4" spans="1:17" ht="15" x14ac:dyDescent="0.25">
      <c r="A4" s="3">
        <f t="shared" ref="A4:A51" si="1">A3+1</f>
        <v>3</v>
      </c>
      <c r="B4" s="15" t="s">
        <v>423</v>
      </c>
      <c r="C4" s="16">
        <f t="shared" ref="C4:C51" si="2">C3+1</f>
        <v>43390</v>
      </c>
      <c r="D4" s="29">
        <f t="shared" ref="D4:D51" si="3">D3-($D$2/50)</f>
        <v>0</v>
      </c>
      <c r="E4" s="26">
        <v>0</v>
      </c>
      <c r="F4" s="26">
        <v>0</v>
      </c>
    </row>
    <row r="5" spans="1:17" ht="15" x14ac:dyDescent="0.25">
      <c r="A5" s="3">
        <f t="shared" si="1"/>
        <v>4</v>
      </c>
      <c r="B5" s="15" t="s">
        <v>424</v>
      </c>
      <c r="C5" s="16">
        <f t="shared" si="2"/>
        <v>43391</v>
      </c>
      <c r="D5" s="29">
        <f t="shared" si="3"/>
        <v>0</v>
      </c>
      <c r="E5" s="26">
        <v>0</v>
      </c>
      <c r="F5" s="26">
        <v>0</v>
      </c>
    </row>
    <row r="6" spans="1:17" ht="15" x14ac:dyDescent="0.25">
      <c r="A6" s="3">
        <f t="shared" si="1"/>
        <v>5</v>
      </c>
      <c r="B6" s="15" t="s">
        <v>425</v>
      </c>
      <c r="C6" s="16">
        <f t="shared" si="2"/>
        <v>43392</v>
      </c>
      <c r="D6" s="29">
        <f t="shared" si="3"/>
        <v>0</v>
      </c>
      <c r="E6" s="26">
        <v>0</v>
      </c>
      <c r="F6" s="26">
        <f t="shared" si="0"/>
        <v>0</v>
      </c>
    </row>
    <row r="7" spans="1:17" ht="15" x14ac:dyDescent="0.25">
      <c r="A7" s="3">
        <f t="shared" si="1"/>
        <v>6</v>
      </c>
      <c r="B7" s="15" t="s">
        <v>421</v>
      </c>
      <c r="C7" s="16">
        <f>C2+7</f>
        <v>43395</v>
      </c>
      <c r="D7" s="29">
        <f t="shared" si="3"/>
        <v>0</v>
      </c>
      <c r="E7" s="26">
        <v>0</v>
      </c>
      <c r="F7" s="26">
        <f t="shared" si="0"/>
        <v>0</v>
      </c>
    </row>
    <row r="8" spans="1:17" ht="15" x14ac:dyDescent="0.25">
      <c r="A8" s="3">
        <f t="shared" si="1"/>
        <v>7</v>
      </c>
      <c r="B8" s="15" t="s">
        <v>422</v>
      </c>
      <c r="C8" s="16">
        <f t="shared" si="2"/>
        <v>43396</v>
      </c>
      <c r="D8" s="29">
        <f t="shared" si="3"/>
        <v>0</v>
      </c>
      <c r="E8" s="26">
        <v>0</v>
      </c>
      <c r="F8" s="26">
        <f t="shared" si="0"/>
        <v>0</v>
      </c>
    </row>
    <row r="9" spans="1:17" ht="15" x14ac:dyDescent="0.25">
      <c r="A9" s="3">
        <f t="shared" si="1"/>
        <v>8</v>
      </c>
      <c r="B9" s="15" t="s">
        <v>423</v>
      </c>
      <c r="C9" s="16">
        <f t="shared" si="2"/>
        <v>43397</v>
      </c>
      <c r="D9" s="29">
        <f t="shared" si="3"/>
        <v>0</v>
      </c>
      <c r="E9" s="26">
        <v>0</v>
      </c>
      <c r="F9" s="26">
        <f t="shared" si="0"/>
        <v>0</v>
      </c>
    </row>
    <row r="10" spans="1:17" ht="15" x14ac:dyDescent="0.25">
      <c r="A10" s="3">
        <f t="shared" si="1"/>
        <v>9</v>
      </c>
      <c r="B10" s="15" t="s">
        <v>424</v>
      </c>
      <c r="C10" s="16">
        <f t="shared" si="2"/>
        <v>43398</v>
      </c>
      <c r="D10" s="29">
        <f t="shared" si="3"/>
        <v>0</v>
      </c>
      <c r="E10" s="26">
        <v>0</v>
      </c>
      <c r="F10" s="26">
        <f t="shared" si="0"/>
        <v>0</v>
      </c>
    </row>
    <row r="11" spans="1:17" ht="15" x14ac:dyDescent="0.25">
      <c r="A11" s="3">
        <f t="shared" si="1"/>
        <v>10</v>
      </c>
      <c r="B11" s="15" t="s">
        <v>425</v>
      </c>
      <c r="C11" s="16">
        <f t="shared" si="2"/>
        <v>43399</v>
      </c>
      <c r="D11" s="29">
        <f t="shared" si="3"/>
        <v>0</v>
      </c>
      <c r="E11" s="26">
        <v>0</v>
      </c>
      <c r="F11" s="26">
        <f t="shared" si="0"/>
        <v>0</v>
      </c>
    </row>
    <row r="12" spans="1:17" ht="15" x14ac:dyDescent="0.25">
      <c r="A12" s="3">
        <f t="shared" si="1"/>
        <v>11</v>
      </c>
      <c r="B12" s="15" t="s">
        <v>421</v>
      </c>
      <c r="C12" s="16">
        <f>C7+7</f>
        <v>43402</v>
      </c>
      <c r="D12" s="29">
        <f t="shared" si="3"/>
        <v>0</v>
      </c>
      <c r="E12" s="26">
        <v>0</v>
      </c>
      <c r="F12" s="26">
        <f t="shared" si="0"/>
        <v>0</v>
      </c>
    </row>
    <row r="13" spans="1:17" ht="15" x14ac:dyDescent="0.25">
      <c r="A13" s="3">
        <f t="shared" si="1"/>
        <v>12</v>
      </c>
      <c r="B13" s="15" t="s">
        <v>422</v>
      </c>
      <c r="C13" s="16">
        <f t="shared" si="2"/>
        <v>43403</v>
      </c>
      <c r="D13" s="29">
        <f t="shared" si="3"/>
        <v>0</v>
      </c>
      <c r="E13" s="26">
        <v>0</v>
      </c>
      <c r="F13" s="26">
        <f t="shared" si="0"/>
        <v>0</v>
      </c>
    </row>
    <row r="14" spans="1:17" ht="15" x14ac:dyDescent="0.25">
      <c r="A14" s="3">
        <f t="shared" si="1"/>
        <v>13</v>
      </c>
      <c r="B14" s="15" t="s">
        <v>423</v>
      </c>
      <c r="C14" s="16">
        <f t="shared" si="2"/>
        <v>43404</v>
      </c>
      <c r="D14" s="29">
        <f t="shared" si="3"/>
        <v>0</v>
      </c>
      <c r="E14" s="26">
        <v>0</v>
      </c>
      <c r="F14" s="26">
        <f t="shared" si="0"/>
        <v>0</v>
      </c>
    </row>
    <row r="15" spans="1:17" ht="15" x14ac:dyDescent="0.25">
      <c r="A15" s="3">
        <f t="shared" si="1"/>
        <v>14</v>
      </c>
      <c r="B15" s="15" t="s">
        <v>424</v>
      </c>
      <c r="C15" s="16">
        <f t="shared" si="2"/>
        <v>43405</v>
      </c>
      <c r="D15" s="29">
        <f t="shared" si="3"/>
        <v>0</v>
      </c>
      <c r="E15" s="26">
        <v>0</v>
      </c>
      <c r="F15" s="26">
        <f t="shared" si="0"/>
        <v>0</v>
      </c>
    </row>
    <row r="16" spans="1:17" ht="15" x14ac:dyDescent="0.25">
      <c r="A16" s="3">
        <f t="shared" si="1"/>
        <v>15</v>
      </c>
      <c r="B16" s="15" t="s">
        <v>425</v>
      </c>
      <c r="C16" s="16">
        <f t="shared" si="2"/>
        <v>43406</v>
      </c>
      <c r="D16" s="29">
        <f t="shared" si="3"/>
        <v>0</v>
      </c>
      <c r="E16" s="26">
        <v>0</v>
      </c>
      <c r="F16" s="26">
        <f t="shared" si="0"/>
        <v>0</v>
      </c>
    </row>
    <row r="17" spans="1:6" ht="15" x14ac:dyDescent="0.25">
      <c r="A17" s="3">
        <f t="shared" si="1"/>
        <v>16</v>
      </c>
      <c r="B17" s="15" t="s">
        <v>421</v>
      </c>
      <c r="C17" s="16">
        <f>C12+7</f>
        <v>43409</v>
      </c>
      <c r="D17" s="29">
        <f t="shared" si="3"/>
        <v>0</v>
      </c>
      <c r="E17" s="26">
        <v>0</v>
      </c>
      <c r="F17" s="26">
        <f t="shared" si="0"/>
        <v>0</v>
      </c>
    </row>
    <row r="18" spans="1:6" ht="15" x14ac:dyDescent="0.25">
      <c r="A18" s="3">
        <f t="shared" si="1"/>
        <v>17</v>
      </c>
      <c r="B18" s="15" t="s">
        <v>422</v>
      </c>
      <c r="C18" s="16">
        <f t="shared" si="2"/>
        <v>43410</v>
      </c>
      <c r="D18" s="29">
        <f t="shared" si="3"/>
        <v>0</v>
      </c>
      <c r="E18" s="26">
        <v>0</v>
      </c>
      <c r="F18" s="26">
        <f t="shared" si="0"/>
        <v>0</v>
      </c>
    </row>
    <row r="19" spans="1:6" ht="15" x14ac:dyDescent="0.25">
      <c r="A19" s="3">
        <f t="shared" si="1"/>
        <v>18</v>
      </c>
      <c r="B19" s="15" t="s">
        <v>423</v>
      </c>
      <c r="C19" s="16">
        <f t="shared" si="2"/>
        <v>43411</v>
      </c>
      <c r="D19" s="29">
        <f t="shared" si="3"/>
        <v>0</v>
      </c>
      <c r="E19" s="26">
        <v>0</v>
      </c>
      <c r="F19" s="26">
        <f t="shared" si="0"/>
        <v>0</v>
      </c>
    </row>
    <row r="20" spans="1:6" ht="15" x14ac:dyDescent="0.25">
      <c r="A20" s="3">
        <f t="shared" si="1"/>
        <v>19</v>
      </c>
      <c r="B20" s="15" t="s">
        <v>424</v>
      </c>
      <c r="C20" s="16">
        <f t="shared" si="2"/>
        <v>43412</v>
      </c>
      <c r="D20" s="29">
        <f t="shared" si="3"/>
        <v>0</v>
      </c>
      <c r="E20" s="26">
        <v>0</v>
      </c>
      <c r="F20" s="26">
        <f t="shared" si="0"/>
        <v>0</v>
      </c>
    </row>
    <row r="21" spans="1:6" ht="15" x14ac:dyDescent="0.25">
      <c r="A21" s="3">
        <f t="shared" si="1"/>
        <v>20</v>
      </c>
      <c r="B21" s="15" t="s">
        <v>425</v>
      </c>
      <c r="C21" s="16">
        <f t="shared" si="2"/>
        <v>43413</v>
      </c>
      <c r="D21" s="29">
        <f t="shared" si="3"/>
        <v>0</v>
      </c>
      <c r="E21" s="26">
        <v>0</v>
      </c>
      <c r="F21" s="26">
        <f t="shared" si="0"/>
        <v>0</v>
      </c>
    </row>
    <row r="22" spans="1:6" ht="15" x14ac:dyDescent="0.25">
      <c r="A22" s="3">
        <f t="shared" si="1"/>
        <v>21</v>
      </c>
      <c r="B22" s="15" t="s">
        <v>421</v>
      </c>
      <c r="C22" s="16">
        <f>C17+7</f>
        <v>43416</v>
      </c>
      <c r="D22" s="29">
        <f t="shared" si="3"/>
        <v>0</v>
      </c>
      <c r="E22" s="26">
        <v>0</v>
      </c>
      <c r="F22" s="26">
        <f t="shared" si="0"/>
        <v>0</v>
      </c>
    </row>
    <row r="23" spans="1:6" ht="15" x14ac:dyDescent="0.25">
      <c r="A23" s="3">
        <f t="shared" si="1"/>
        <v>22</v>
      </c>
      <c r="B23" s="15" t="s">
        <v>422</v>
      </c>
      <c r="C23" s="16">
        <f t="shared" si="2"/>
        <v>43417</v>
      </c>
      <c r="D23" s="29">
        <f t="shared" si="3"/>
        <v>0</v>
      </c>
      <c r="E23" s="26">
        <v>0</v>
      </c>
      <c r="F23" s="26">
        <f t="shared" si="0"/>
        <v>0</v>
      </c>
    </row>
    <row r="24" spans="1:6" ht="15" x14ac:dyDescent="0.25">
      <c r="A24" s="3">
        <f t="shared" si="1"/>
        <v>23</v>
      </c>
      <c r="B24" s="15" t="s">
        <v>423</v>
      </c>
      <c r="C24" s="16">
        <f t="shared" si="2"/>
        <v>43418</v>
      </c>
      <c r="D24" s="29">
        <f t="shared" si="3"/>
        <v>0</v>
      </c>
      <c r="E24" s="26">
        <v>0</v>
      </c>
      <c r="F24" s="26">
        <f t="shared" si="0"/>
        <v>0</v>
      </c>
    </row>
    <row r="25" spans="1:6" ht="15" x14ac:dyDescent="0.25">
      <c r="A25" s="3">
        <f t="shared" si="1"/>
        <v>24</v>
      </c>
      <c r="B25" s="15" t="s">
        <v>424</v>
      </c>
      <c r="C25" s="16">
        <f t="shared" si="2"/>
        <v>43419</v>
      </c>
      <c r="D25" s="29">
        <f t="shared" si="3"/>
        <v>0</v>
      </c>
      <c r="E25" s="26">
        <v>0</v>
      </c>
      <c r="F25" s="26">
        <f t="shared" si="0"/>
        <v>0</v>
      </c>
    </row>
    <row r="26" spans="1:6" ht="15" x14ac:dyDescent="0.25">
      <c r="A26" s="3">
        <f t="shared" si="1"/>
        <v>25</v>
      </c>
      <c r="B26" s="15" t="s">
        <v>425</v>
      </c>
      <c r="C26" s="16">
        <f t="shared" si="2"/>
        <v>43420</v>
      </c>
      <c r="D26" s="29">
        <f t="shared" si="3"/>
        <v>0</v>
      </c>
      <c r="E26" s="26">
        <v>0</v>
      </c>
      <c r="F26" s="26">
        <f t="shared" si="0"/>
        <v>0</v>
      </c>
    </row>
    <row r="27" spans="1:6" ht="15" x14ac:dyDescent="0.25">
      <c r="A27" s="3">
        <f t="shared" si="1"/>
        <v>26</v>
      </c>
      <c r="B27" s="15" t="s">
        <v>421</v>
      </c>
      <c r="C27" s="16">
        <f>C22+7</f>
        <v>43423</v>
      </c>
      <c r="D27" s="29">
        <f t="shared" si="3"/>
        <v>0</v>
      </c>
      <c r="E27" s="26">
        <v>0</v>
      </c>
      <c r="F27" s="26">
        <f t="shared" si="0"/>
        <v>0</v>
      </c>
    </row>
    <row r="28" spans="1:6" ht="15" x14ac:dyDescent="0.25">
      <c r="A28" s="3">
        <f t="shared" si="1"/>
        <v>27</v>
      </c>
      <c r="B28" s="15" t="s">
        <v>422</v>
      </c>
      <c r="C28" s="16">
        <f t="shared" si="2"/>
        <v>43424</v>
      </c>
      <c r="D28" s="29">
        <f t="shared" si="3"/>
        <v>0</v>
      </c>
      <c r="E28" s="26">
        <v>0</v>
      </c>
      <c r="F28" s="26">
        <f t="shared" si="0"/>
        <v>0</v>
      </c>
    </row>
    <row r="29" spans="1:6" ht="15" x14ac:dyDescent="0.25">
      <c r="A29" s="3">
        <f t="shared" si="1"/>
        <v>28</v>
      </c>
      <c r="B29" s="15" t="s">
        <v>423</v>
      </c>
      <c r="C29" s="16">
        <f t="shared" si="2"/>
        <v>43425</v>
      </c>
      <c r="D29" s="29">
        <f t="shared" si="3"/>
        <v>0</v>
      </c>
      <c r="E29" s="26">
        <v>0</v>
      </c>
      <c r="F29" s="26">
        <f t="shared" si="0"/>
        <v>0</v>
      </c>
    </row>
    <row r="30" spans="1:6" ht="15" x14ac:dyDescent="0.25">
      <c r="A30" s="3">
        <f t="shared" si="1"/>
        <v>29</v>
      </c>
      <c r="B30" s="15" t="s">
        <v>424</v>
      </c>
      <c r="C30" s="16">
        <f t="shared" si="2"/>
        <v>43426</v>
      </c>
      <c r="D30" s="29">
        <f t="shared" si="3"/>
        <v>0</v>
      </c>
      <c r="E30" s="26">
        <v>0</v>
      </c>
      <c r="F30" s="26">
        <f t="shared" si="0"/>
        <v>0</v>
      </c>
    </row>
    <row r="31" spans="1:6" ht="15" x14ac:dyDescent="0.25">
      <c r="A31" s="3">
        <f t="shared" si="1"/>
        <v>30</v>
      </c>
      <c r="B31" s="15" t="s">
        <v>425</v>
      </c>
      <c r="C31" s="16">
        <f t="shared" si="2"/>
        <v>43427</v>
      </c>
      <c r="D31" s="29">
        <f t="shared" si="3"/>
        <v>0</v>
      </c>
      <c r="E31" s="26">
        <v>0</v>
      </c>
      <c r="F31" s="26">
        <f t="shared" si="0"/>
        <v>0</v>
      </c>
    </row>
    <row r="32" spans="1:6" ht="15" x14ac:dyDescent="0.25">
      <c r="A32" s="3">
        <f t="shared" si="1"/>
        <v>31</v>
      </c>
      <c r="B32" s="15" t="s">
        <v>421</v>
      </c>
      <c r="C32" s="16">
        <f>C27+7</f>
        <v>43430</v>
      </c>
      <c r="D32" s="29">
        <f t="shared" si="3"/>
        <v>0</v>
      </c>
      <c r="E32" s="26">
        <v>0</v>
      </c>
      <c r="F32" s="26">
        <f t="shared" si="0"/>
        <v>0</v>
      </c>
    </row>
    <row r="33" spans="1:6" ht="15" x14ac:dyDescent="0.25">
      <c r="A33" s="3">
        <f t="shared" si="1"/>
        <v>32</v>
      </c>
      <c r="B33" s="15" t="s">
        <v>422</v>
      </c>
      <c r="C33" s="16">
        <f t="shared" si="2"/>
        <v>43431</v>
      </c>
      <c r="D33" s="29">
        <f t="shared" si="3"/>
        <v>0</v>
      </c>
      <c r="E33" s="26">
        <v>0</v>
      </c>
      <c r="F33" s="26">
        <f t="shared" si="0"/>
        <v>0</v>
      </c>
    </row>
    <row r="34" spans="1:6" ht="15" x14ac:dyDescent="0.25">
      <c r="A34" s="3">
        <f t="shared" si="1"/>
        <v>33</v>
      </c>
      <c r="B34" s="15" t="s">
        <v>423</v>
      </c>
      <c r="C34" s="16">
        <f t="shared" si="2"/>
        <v>43432</v>
      </c>
      <c r="D34" s="29">
        <f t="shared" si="3"/>
        <v>0</v>
      </c>
      <c r="E34" s="26">
        <v>0</v>
      </c>
      <c r="F34" s="26">
        <f t="shared" si="0"/>
        <v>0</v>
      </c>
    </row>
    <row r="35" spans="1:6" ht="15" x14ac:dyDescent="0.25">
      <c r="A35" s="3">
        <f t="shared" si="1"/>
        <v>34</v>
      </c>
      <c r="B35" s="15" t="s">
        <v>424</v>
      </c>
      <c r="C35" s="16">
        <f t="shared" si="2"/>
        <v>43433</v>
      </c>
      <c r="D35" s="29">
        <f t="shared" si="3"/>
        <v>0</v>
      </c>
      <c r="E35" s="26">
        <v>0</v>
      </c>
      <c r="F35" s="26">
        <f t="shared" si="0"/>
        <v>0</v>
      </c>
    </row>
    <row r="36" spans="1:6" ht="15" x14ac:dyDescent="0.25">
      <c r="A36" s="3">
        <f t="shared" si="1"/>
        <v>35</v>
      </c>
      <c r="B36" s="15" t="s">
        <v>425</v>
      </c>
      <c r="C36" s="16">
        <f t="shared" si="2"/>
        <v>43434</v>
      </c>
      <c r="D36" s="29">
        <f t="shared" si="3"/>
        <v>0</v>
      </c>
      <c r="E36" s="26">
        <v>0</v>
      </c>
      <c r="F36" s="26">
        <f t="shared" si="0"/>
        <v>0</v>
      </c>
    </row>
    <row r="37" spans="1:6" ht="15" x14ac:dyDescent="0.25">
      <c r="A37" s="3">
        <f t="shared" si="1"/>
        <v>36</v>
      </c>
      <c r="B37" s="15" t="s">
        <v>421</v>
      </c>
      <c r="C37" s="16">
        <f>C32+7</f>
        <v>43437</v>
      </c>
      <c r="D37" s="29">
        <f t="shared" si="3"/>
        <v>0</v>
      </c>
      <c r="E37" s="26">
        <v>0</v>
      </c>
      <c r="F37" s="26">
        <f t="shared" si="0"/>
        <v>0</v>
      </c>
    </row>
    <row r="38" spans="1:6" ht="15" x14ac:dyDescent="0.25">
      <c r="A38" s="3">
        <f t="shared" si="1"/>
        <v>37</v>
      </c>
      <c r="B38" s="15" t="s">
        <v>422</v>
      </c>
      <c r="C38" s="16">
        <f t="shared" si="2"/>
        <v>43438</v>
      </c>
      <c r="D38" s="29">
        <f t="shared" si="3"/>
        <v>0</v>
      </c>
      <c r="E38" s="26">
        <v>325</v>
      </c>
      <c r="F38" s="26">
        <f t="shared" si="0"/>
        <v>0</v>
      </c>
    </row>
    <row r="39" spans="1:6" ht="15" x14ac:dyDescent="0.25">
      <c r="A39" s="3">
        <f t="shared" si="1"/>
        <v>38</v>
      </c>
      <c r="B39" s="15" t="s">
        <v>423</v>
      </c>
      <c r="C39" s="16">
        <f t="shared" si="2"/>
        <v>43439</v>
      </c>
      <c r="D39" s="29">
        <f t="shared" si="3"/>
        <v>0</v>
      </c>
      <c r="E39" s="26">
        <v>325</v>
      </c>
      <c r="F39" s="26">
        <f t="shared" si="0"/>
        <v>0</v>
      </c>
    </row>
    <row r="40" spans="1:6" ht="15" x14ac:dyDescent="0.25">
      <c r="A40" s="3">
        <f t="shared" si="1"/>
        <v>39</v>
      </c>
      <c r="B40" s="15" t="s">
        <v>424</v>
      </c>
      <c r="C40" s="16">
        <f t="shared" si="2"/>
        <v>43440</v>
      </c>
      <c r="D40" s="29">
        <f t="shared" si="3"/>
        <v>0</v>
      </c>
      <c r="E40" s="26">
        <v>325</v>
      </c>
      <c r="F40" s="26">
        <f t="shared" si="0"/>
        <v>0</v>
      </c>
    </row>
    <row r="41" spans="1:6" ht="15" x14ac:dyDescent="0.25">
      <c r="A41" s="3">
        <f t="shared" si="1"/>
        <v>40</v>
      </c>
      <c r="B41" s="15" t="s">
        <v>425</v>
      </c>
      <c r="C41" s="16">
        <f t="shared" si="2"/>
        <v>43441</v>
      </c>
      <c r="D41" s="29">
        <f t="shared" si="3"/>
        <v>0</v>
      </c>
      <c r="E41" s="26">
        <v>325</v>
      </c>
      <c r="F41" s="26">
        <f t="shared" si="0"/>
        <v>0</v>
      </c>
    </row>
    <row r="42" spans="1:6" ht="15" x14ac:dyDescent="0.25">
      <c r="A42" s="3">
        <f t="shared" si="1"/>
        <v>41</v>
      </c>
      <c r="B42" s="15" t="s">
        <v>421</v>
      </c>
      <c r="C42" s="16">
        <f>C37+7</f>
        <v>43444</v>
      </c>
      <c r="D42" s="29">
        <f t="shared" si="3"/>
        <v>0</v>
      </c>
      <c r="E42" s="26">
        <v>325</v>
      </c>
      <c r="F42" s="26">
        <f t="shared" si="0"/>
        <v>0</v>
      </c>
    </row>
    <row r="43" spans="1:6" ht="15" x14ac:dyDescent="0.25">
      <c r="A43" s="3">
        <f t="shared" si="1"/>
        <v>42</v>
      </c>
      <c r="B43" s="15" t="s">
        <v>422</v>
      </c>
      <c r="C43" s="16">
        <f t="shared" si="2"/>
        <v>43445</v>
      </c>
      <c r="D43" s="29">
        <f t="shared" si="3"/>
        <v>0</v>
      </c>
      <c r="E43" s="26">
        <v>325</v>
      </c>
      <c r="F43" s="26">
        <f t="shared" si="0"/>
        <v>0</v>
      </c>
    </row>
    <row r="44" spans="1:6" ht="15" x14ac:dyDescent="0.25">
      <c r="A44" s="3">
        <f t="shared" si="1"/>
        <v>43</v>
      </c>
      <c r="B44" s="15" t="s">
        <v>423</v>
      </c>
      <c r="C44" s="16">
        <f t="shared" si="2"/>
        <v>43446</v>
      </c>
      <c r="D44" s="29">
        <f t="shared" si="3"/>
        <v>0</v>
      </c>
      <c r="E44" s="26">
        <v>325</v>
      </c>
      <c r="F44" s="26">
        <f t="shared" si="0"/>
        <v>0</v>
      </c>
    </row>
    <row r="45" spans="1:6" ht="15" x14ac:dyDescent="0.25">
      <c r="A45" s="3">
        <f t="shared" si="1"/>
        <v>44</v>
      </c>
      <c r="B45" s="15" t="s">
        <v>424</v>
      </c>
      <c r="C45" s="16">
        <f t="shared" si="2"/>
        <v>43447</v>
      </c>
      <c r="D45" s="29">
        <f t="shared" si="3"/>
        <v>0</v>
      </c>
      <c r="E45" s="26">
        <v>325</v>
      </c>
      <c r="F45" s="26">
        <f t="shared" si="0"/>
        <v>0</v>
      </c>
    </row>
    <row r="46" spans="1:6" ht="15" x14ac:dyDescent="0.25">
      <c r="A46" s="3">
        <f t="shared" si="1"/>
        <v>45</v>
      </c>
      <c r="B46" s="15" t="s">
        <v>425</v>
      </c>
      <c r="C46" s="16">
        <f t="shared" si="2"/>
        <v>43448</v>
      </c>
      <c r="D46" s="29">
        <f t="shared" si="3"/>
        <v>0</v>
      </c>
      <c r="E46" s="26">
        <v>325</v>
      </c>
      <c r="F46" s="26">
        <f t="shared" si="0"/>
        <v>0</v>
      </c>
    </row>
    <row r="47" spans="1:6" ht="15" x14ac:dyDescent="0.25">
      <c r="A47" s="3">
        <f t="shared" si="1"/>
        <v>46</v>
      </c>
      <c r="B47" s="15" t="s">
        <v>421</v>
      </c>
      <c r="C47" s="16">
        <f>C42+7</f>
        <v>43451</v>
      </c>
      <c r="D47" s="29">
        <f t="shared" si="3"/>
        <v>0</v>
      </c>
      <c r="E47" s="26">
        <v>325</v>
      </c>
      <c r="F47" s="26">
        <f t="shared" si="0"/>
        <v>0</v>
      </c>
    </row>
    <row r="48" spans="1:6" ht="15" x14ac:dyDescent="0.25">
      <c r="A48" s="3">
        <f t="shared" si="1"/>
        <v>47</v>
      </c>
      <c r="B48" s="15" t="s">
        <v>422</v>
      </c>
      <c r="C48" s="16">
        <f t="shared" si="2"/>
        <v>43452</v>
      </c>
      <c r="D48" s="29">
        <f t="shared" si="3"/>
        <v>0</v>
      </c>
      <c r="E48" s="26">
        <v>325</v>
      </c>
      <c r="F48" s="26">
        <f t="shared" si="0"/>
        <v>0</v>
      </c>
    </row>
    <row r="49" spans="1:6" ht="15" x14ac:dyDescent="0.25">
      <c r="A49" s="3">
        <f t="shared" si="1"/>
        <v>48</v>
      </c>
      <c r="B49" s="15" t="s">
        <v>423</v>
      </c>
      <c r="C49" s="16">
        <f t="shared" si="2"/>
        <v>43453</v>
      </c>
      <c r="D49" s="29">
        <f t="shared" si="3"/>
        <v>0</v>
      </c>
      <c r="E49" s="26">
        <v>325</v>
      </c>
      <c r="F49" s="26">
        <f t="shared" si="0"/>
        <v>0</v>
      </c>
    </row>
    <row r="50" spans="1:6" ht="15" x14ac:dyDescent="0.25">
      <c r="A50" s="3">
        <f t="shared" si="1"/>
        <v>49</v>
      </c>
      <c r="B50" s="15" t="s">
        <v>424</v>
      </c>
      <c r="C50" s="16">
        <f t="shared" si="2"/>
        <v>43454</v>
      </c>
      <c r="D50" s="29">
        <f t="shared" si="3"/>
        <v>0</v>
      </c>
      <c r="E50" s="26">
        <v>325</v>
      </c>
      <c r="F50" s="26">
        <f t="shared" si="0"/>
        <v>0</v>
      </c>
    </row>
    <row r="51" spans="1:6" ht="15" x14ac:dyDescent="0.25">
      <c r="A51" s="3">
        <f t="shared" si="1"/>
        <v>50</v>
      </c>
      <c r="B51" s="15" t="s">
        <v>425</v>
      </c>
      <c r="C51" s="16">
        <f t="shared" si="2"/>
        <v>43455</v>
      </c>
      <c r="D51" s="29">
        <f t="shared" si="3"/>
        <v>0</v>
      </c>
      <c r="E51" s="26">
        <v>325</v>
      </c>
      <c r="F51" s="26">
        <f t="shared" si="0"/>
        <v>0</v>
      </c>
    </row>
    <row r="52" spans="1:6" x14ac:dyDescent="0.2">
      <c r="C52" s="26" t="str">
        <f t="shared" ref="C52:C53" si="4">IF(LEN($E52)=0,"",ROW()-1)</f>
        <v/>
      </c>
      <c r="F52" s="26" t="str">
        <f t="shared" si="0"/>
        <v/>
      </c>
    </row>
    <row r="53" spans="1:6" x14ac:dyDescent="0.2">
      <c r="C53" s="26" t="str">
        <f t="shared" si="4"/>
        <v/>
      </c>
      <c r="F53" s="26" t="str">
        <f t="shared" si="0"/>
        <v/>
      </c>
    </row>
  </sheetData>
  <pageMargins left="0.75" right="0.75" top="1" bottom="1" header="0.3" footer="0.3"/>
  <pageSetup orientation="portrai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EC Document" ma:contentTypeID="0x010100258AA79CEB83498886A3A0868112325000B815E5D5322DC248B537749FDF4EA55B" ma:contentTypeVersion="3" ma:contentTypeDescription="Create a new document in this library." ma:contentTypeScope="" ma:versionID="6dfd52e8a508f04eab458b183111d719">
  <xsd:schema xmlns:xsd="http://www.w3.org/2001/XMLSchema" xmlns:xs="http://www.w3.org/2001/XMLSchema" xmlns:p="http://schemas.microsoft.com/office/2006/metadata/properties" xmlns:ns2="http://schemas.microsoft.com/sharepoint/v3/fields" xmlns:ns3="01fb76ba-f1d6-4c22-8aad-389d5f9739b1" xmlns:ns4="1ceba764-4fb5-4af4-9e5b-089663bda63a" targetNamespace="http://schemas.microsoft.com/office/2006/metadata/properties" ma:root="true" ma:fieldsID="66f8dc29175755876586b2d25c6562b5" ns2:_="" ns3:_="" ns4:_="">
    <xsd:import namespace="http://schemas.microsoft.com/sharepoint/v3/fields"/>
    <xsd:import namespace="01fb76ba-f1d6-4c22-8aad-389d5f9739b1"/>
    <xsd:import namespace="1ceba764-4fb5-4af4-9e5b-089663bda63a"/>
    <xsd:element name="properties">
      <xsd:complexType>
        <xsd:sequence>
          <xsd:element name="documentManagement">
            <xsd:complexType>
              <xsd:all>
                <xsd:element ref="ns3:EC_Collab_Reference" minOccurs="0"/>
                <xsd:element ref="ns2:_Status" minOccurs="0"/>
                <xsd:element ref="ns3:EC_Collab_DocumentLanguage"/>
                <xsd:element ref="ns3:EC_Collab_Status"/>
                <xsd:element ref="ns4:_dlc_DocId" minOccurs="0"/>
                <xsd:element ref="ns4:_dlc_DocIdUrl" minOccurs="0"/>
                <xsd:element ref="ns4: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Status" ma:index="13" nillable="true" ma:displayName="Status" ma:default="Not Started" ma:hidden="true" ma:internalName="_Status">
      <xsd:simpleType>
        <xsd:union memberTypes="dms:Text">
          <xsd:simpleType>
            <xsd:restriction base="dms:Choice">
              <xsd:enumeration value="Not Started"/>
              <xsd:enumeration value="Draft"/>
              <xsd:enumeration value="Reviewed"/>
              <xsd:enumeration value="Scheduled"/>
              <xsd:enumeration value="Published"/>
              <xsd:enumeration value="Final"/>
              <xsd:enumeration value="Expired"/>
            </xsd:restriction>
          </xsd:simpleType>
        </xsd:union>
      </xsd:simpleType>
    </xsd:element>
  </xsd:schema>
  <xsd:schema xmlns:xsd="http://www.w3.org/2001/XMLSchema" xmlns:xs="http://www.w3.org/2001/XMLSchema" xmlns:dms="http://schemas.microsoft.com/office/2006/documentManagement/types" xmlns:pc="http://schemas.microsoft.com/office/infopath/2007/PartnerControls" targetNamespace="01fb76ba-f1d6-4c22-8aad-389d5f9739b1" elementFormDefault="qualified">
    <xsd:import namespace="http://schemas.microsoft.com/office/2006/documentManagement/types"/>
    <xsd:import namespace="http://schemas.microsoft.com/office/infopath/2007/PartnerControls"/>
    <xsd:element name="EC_Collab_Reference" ma:index="12" nillable="true" ma:displayName="Reference" ma:internalName="EC_Collab_Reference">
      <xsd:simpleType>
        <xsd:restriction base="dms:Text"/>
      </xsd:simpleType>
    </xsd:element>
    <xsd:element name="EC_Collab_DocumentLanguage" ma:index="14" ma:displayName="Language" ma:default="EN" ma:internalName="EC_Collab_DocumentLanguage">
      <xsd:simpleType>
        <xsd:restriction base="dms:Choice">
          <xsd:enumeration value="BG"/>
          <xsd:enumeration value="ES"/>
          <xsd:enumeration value="CS"/>
          <xsd:enumeration value="DA"/>
          <xsd:enumeration value="DE"/>
          <xsd:enumeration value="ET"/>
          <xsd:enumeration value="EL"/>
          <xsd:enumeration value="EN"/>
          <xsd:enumeration value="FR"/>
          <xsd:enumeration value="GA"/>
          <xsd:enumeration value="IT"/>
          <xsd:enumeration value="LT"/>
          <xsd:enumeration value="LV"/>
          <xsd:enumeration value="HU"/>
          <xsd:enumeration value="MT"/>
          <xsd:enumeration value="NL"/>
          <xsd:enumeration value="PL"/>
          <xsd:enumeration value="PT"/>
          <xsd:enumeration value="RO"/>
          <xsd:enumeration value="SK"/>
          <xsd:enumeration value="SL"/>
          <xsd:enumeration value="FI"/>
          <xsd:enumeration value="SV"/>
          <xsd:enumeration value="HR"/>
          <xsd:enumeration value="MK"/>
          <xsd:enumeration value="TR"/>
          <xsd:enumeration value="EU"/>
          <xsd:enumeration value="CA"/>
          <xsd:enumeration value="GL"/>
          <xsd:enumeration value="AB"/>
          <xsd:enumeration value="AA"/>
          <xsd:enumeration value="AF"/>
          <xsd:enumeration value="AK"/>
          <xsd:enumeration value="SQ"/>
          <xsd:enumeration value="AM"/>
          <xsd:enumeration value="AR"/>
          <xsd:enumeration value="AN"/>
          <xsd:enumeration value="HY"/>
          <xsd:enumeration value="AS"/>
          <xsd:enumeration value="AV"/>
          <xsd:enumeration value="AE"/>
          <xsd:enumeration value="AY"/>
          <xsd:enumeration value="AZ"/>
          <xsd:enumeration value="BM"/>
          <xsd:enumeration value="BA"/>
          <xsd:enumeration value="BE"/>
          <xsd:enumeration value="BN"/>
          <xsd:enumeration value="BH"/>
          <xsd:enumeration value="BI"/>
          <xsd:enumeration value="NB"/>
          <xsd:enumeration value="BS"/>
          <xsd:enumeration value="BR"/>
          <xsd:enumeration value="MY"/>
          <xsd:enumeration value="KM"/>
          <xsd:enumeration value="CH"/>
          <xsd:enumeration value="CE"/>
          <xsd:enumeration value="NY"/>
          <xsd:enumeration value="ZH"/>
          <xsd:enumeration value="CU"/>
          <xsd:enumeration value="CV"/>
          <xsd:enumeration value="KW"/>
          <xsd:enumeration value="CO"/>
          <xsd:enumeration value="CR"/>
          <xsd:enumeration value="DV"/>
          <xsd:enumeration value="DZ"/>
          <xsd:enumeration value="EO"/>
          <xsd:enumeration value="EE"/>
          <xsd:enumeration value="FO"/>
          <xsd:enumeration value="FJ"/>
          <xsd:enumeration value="FF"/>
          <xsd:enumeration value="GD"/>
          <xsd:enumeration value="LG"/>
          <xsd:enumeration value="KA"/>
          <xsd:enumeration value="GN"/>
          <xsd:enumeration value="GU"/>
          <xsd:enumeration value="HT"/>
          <xsd:enumeration value="HA"/>
          <xsd:enumeration value="HE"/>
          <xsd:enumeration value="HZ"/>
          <xsd:enumeration value="HI"/>
          <xsd:enumeration value="HO"/>
          <xsd:enumeration value="IS"/>
          <xsd:enumeration value="IO"/>
          <xsd:enumeration value="IG"/>
          <xsd:enumeration value="ID"/>
          <xsd:enumeration value="IA"/>
          <xsd:enumeration value="IE"/>
          <xsd:enumeration value="IU"/>
          <xsd:enumeration value="IK"/>
          <xsd:enumeration value="JA"/>
          <xsd:enumeration value="JV"/>
          <xsd:enumeration value="KL"/>
          <xsd:enumeration value="KN"/>
          <xsd:enumeration value="KR"/>
          <xsd:enumeration value="KS"/>
          <xsd:enumeration value="KK"/>
          <xsd:enumeration value="KI"/>
          <xsd:enumeration value="RW"/>
          <xsd:enumeration value="KY"/>
          <xsd:enumeration value="KV"/>
          <xsd:enumeration value="KG"/>
          <xsd:enumeration value="KO"/>
          <xsd:enumeration value="KJ"/>
          <xsd:enumeration value="KU"/>
          <xsd:enumeration value="LO"/>
          <xsd:enumeration value="LA"/>
          <xsd:enumeration value="LI"/>
          <xsd:enumeration value="LN"/>
          <xsd:enumeration value="LU"/>
          <xsd:enumeration value="LB"/>
          <xsd:enumeration value="MG"/>
          <xsd:enumeration value="MS"/>
          <xsd:enumeration value="ML"/>
          <xsd:enumeration value="GV"/>
          <xsd:enumeration value="MI"/>
          <xsd:enumeration value="MR"/>
          <xsd:enumeration value="MH"/>
          <xsd:enumeration value="MN"/>
          <xsd:enumeration value="NA"/>
          <xsd:enumeration value="NV"/>
          <xsd:enumeration value="ND"/>
          <xsd:enumeration value="NR"/>
          <xsd:enumeration value="NG"/>
          <xsd:enumeration value="NE"/>
          <xsd:enumeration value="SE"/>
          <xsd:enumeration value="NO"/>
          <xsd:enumeration value="NN"/>
          <xsd:enumeration value="OC"/>
          <xsd:enumeration value="OJ"/>
          <xsd:enumeration value="OR"/>
          <xsd:enumeration value="OM"/>
          <xsd:enumeration value="OS"/>
          <xsd:enumeration value="PI"/>
          <xsd:enumeration value="PA"/>
          <xsd:enumeration value="FA"/>
          <xsd:enumeration value="PS"/>
          <xsd:enumeration value="QU"/>
          <xsd:enumeration value="RM"/>
          <xsd:enumeration value="RN"/>
          <xsd:enumeration value="RU"/>
          <xsd:enumeration value="SM"/>
          <xsd:enumeration value="SG"/>
          <xsd:enumeration value="SA"/>
          <xsd:enumeration value="SC"/>
          <xsd:enumeration value="SR"/>
          <xsd:enumeration value="SN"/>
          <xsd:enumeration value="II"/>
          <xsd:enumeration value="SD"/>
          <xsd:enumeration value="SI"/>
          <xsd:enumeration value="SO"/>
          <xsd:enumeration value="ST"/>
          <xsd:enumeration value="SU"/>
          <xsd:enumeration value="SW"/>
          <xsd:enumeration value="SS"/>
          <xsd:enumeration value="TL"/>
          <xsd:enumeration value="TY"/>
          <xsd:enumeration value="TG"/>
          <xsd:enumeration value="TA"/>
          <xsd:enumeration value="TT"/>
          <xsd:enumeration value="TE"/>
          <xsd:enumeration value="TH"/>
          <xsd:enumeration value="BO"/>
          <xsd:enumeration value="TI"/>
          <xsd:enumeration value="TO"/>
          <xsd:enumeration value="TS"/>
          <xsd:enumeration value="TN"/>
          <xsd:enumeration value="TK"/>
          <xsd:enumeration value="TW"/>
          <xsd:enumeration value="UG"/>
          <xsd:enumeration value="UK"/>
          <xsd:enumeration value="UR"/>
          <xsd:enumeration value="UZ"/>
          <xsd:enumeration value="VE"/>
          <xsd:enumeration value="VI"/>
          <xsd:enumeration value="VO"/>
          <xsd:enumeration value="WA"/>
          <xsd:enumeration value="CY"/>
          <xsd:enumeration value="FY"/>
          <xsd:enumeration value="WO"/>
          <xsd:enumeration value="XH"/>
          <xsd:enumeration value="YI"/>
          <xsd:enumeration value="YO"/>
          <xsd:enumeration value="ZA"/>
          <xsd:enumeration value="ZU"/>
        </xsd:restriction>
      </xsd:simpleType>
    </xsd:element>
    <xsd:element name="EC_Collab_Status" ma:index="15" ma:displayName="EC Status" ma:default="Not Started" ma:internalName="EC_Collab_Status">
      <xsd:simpleType>
        <xsd:restriction base="dms:Choice">
          <xsd:enumeration value="Not Started"/>
          <xsd:enumeration value="Draft"/>
          <xsd:enumeration value="Reviewed"/>
          <xsd:enumeration value="Scheduled"/>
          <xsd:enumeration value="Published"/>
          <xsd:enumeration value="Final"/>
          <xsd:enumeration value="Expired"/>
        </xsd:restriction>
      </xsd:simpleType>
    </xsd:element>
  </xsd:schema>
  <xsd:schema xmlns:xsd="http://www.w3.org/2001/XMLSchema" xmlns:xs="http://www.w3.org/2001/XMLSchema" xmlns:dms="http://schemas.microsoft.com/office/2006/documentManagement/types" xmlns:pc="http://schemas.microsoft.com/office/infopath/2007/PartnerControls" targetNamespace="1ceba764-4fb5-4af4-9e5b-089663bda63a" elementFormDefault="qualified">
    <xsd:import namespace="http://schemas.microsoft.com/office/2006/documentManagement/types"/>
    <xsd:import namespace="http://schemas.microsoft.com/office/infopath/2007/PartnerControls"/>
    <xsd:element name="_dlc_DocId" ma:index="16" nillable="true" ma:displayName="Document ID Value" ma:description="The value of the document ID assigned to this item." ma:internalName="_dlc_DocId" ma:readOnly="true">
      <xsd:simpleType>
        <xsd:restriction base="dms:Text"/>
      </xsd:simpleType>
    </xsd:element>
    <xsd:element name="_dlc_DocIdUrl" ma:index="17"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8"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ma:index="9" ma:displayName="Author"/>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ma:index="8" ma:displayName="Subject"/>
        <xsd:element ref="dc:description" minOccurs="0" maxOccurs="1" ma:index="11" ma:displayName="Comments"/>
        <xsd:element name="keywords" minOccurs="0" maxOccurs="1" type="xsd:string" ma:index="10" ma:displayName="Keywords"/>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ma:displayName="Status"/>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EC_Collab_DocumentLanguage xmlns="01fb76ba-f1d6-4c22-8aad-389d5f9739b1">EN</EC_Collab_DocumentLanguage>
    <_Status xmlns="http://schemas.microsoft.com/sharepoint/v3/fields">Not Started</_Status>
    <EC_Collab_Reference xmlns="01fb76ba-f1d6-4c22-8aad-389d5f9739b1" xsi:nil="true"/>
    <EC_Collab_Status xmlns="01fb76ba-f1d6-4c22-8aad-389d5f9739b1">Not Started</EC_Collab_Status>
    <_dlc_DocId xmlns="1ceba764-4fb5-4af4-9e5b-089663bda63a">OPSYS-1847287575-1230</_dlc_DocId>
    <_dlc_DocIdUrl xmlns="1ceba764-4fb5-4af4-9e5b-089663bda63a">
      <Url>https://myintracomm-collab.ec.europa.eu/projects/Opsys/_layouts/15/DocIdRedir.aspx?ID=OPSYS-1847287575-1230</Url>
      <Description>OPSYS-1847287575-1230</Description>
    </_dlc_DocIdUrl>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00A166A-EF5A-4DA7-8B6E-9829EA5CE791}">
  <ds:schemaRefs>
    <ds:schemaRef ds:uri="http://schemas.microsoft.com/sharepoint/events"/>
  </ds:schemaRefs>
</ds:datastoreItem>
</file>

<file path=customXml/itemProps2.xml><?xml version="1.0" encoding="utf-8"?>
<ds:datastoreItem xmlns:ds="http://schemas.openxmlformats.org/officeDocument/2006/customXml" ds:itemID="{8C6877A0-1309-4F2C-B597-EF2DD16689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01fb76ba-f1d6-4c22-8aad-389d5f9739b1"/>
    <ds:schemaRef ds:uri="1ceba764-4fb5-4af4-9e5b-089663bda63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AE062EC-6B00-48A9-AC9E-81968ACF345E}">
  <ds:schemaRefs>
    <ds:schemaRef ds:uri="http://schemas.microsoft.com/office/2006/documentManagement/types"/>
    <ds:schemaRef ds:uri="http://purl.org/dc/elements/1.1/"/>
    <ds:schemaRef ds:uri="http://purl.org/dc/terms/"/>
    <ds:schemaRef ds:uri="1ceba764-4fb5-4af4-9e5b-089663bda63a"/>
    <ds:schemaRef ds:uri="http://schemas.microsoft.com/office/infopath/2007/PartnerControls"/>
    <ds:schemaRef ds:uri="http://schemas.microsoft.com/office/2006/metadata/properties"/>
    <ds:schemaRef ds:uri="http://schemas.openxmlformats.org/package/2006/metadata/core-properties"/>
    <ds:schemaRef ds:uri="http://www.w3.org/XML/1998/namespace"/>
    <ds:schemaRef ds:uri="01fb76ba-f1d6-4c22-8aad-389d5f9739b1"/>
    <ds:schemaRef ds:uri="http://schemas.microsoft.com/sharepoint/v3/fields"/>
    <ds:schemaRef ds:uri="http://purl.org/dc/dcmitype/"/>
  </ds:schemaRefs>
</ds:datastoreItem>
</file>

<file path=customXml/itemProps4.xml><?xml version="1.0" encoding="utf-8"?>
<ds:datastoreItem xmlns:ds="http://schemas.openxmlformats.org/officeDocument/2006/customXml" ds:itemID="{587CF075-E22A-47A8-BE8C-4B396EFAC1D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57</vt:i4>
      </vt:variant>
      <vt:variant>
        <vt:lpstr>Named Ranges</vt:lpstr>
      </vt:variant>
      <vt:variant>
        <vt:i4>3</vt:i4>
      </vt:variant>
    </vt:vector>
  </HeadingPairs>
  <TitlesOfParts>
    <vt:vector size="60" baseType="lpstr">
      <vt:lpstr>Infos</vt:lpstr>
      <vt:lpstr>Settings (OPSYS)</vt:lpstr>
      <vt:lpstr>Settings (COMPCORP)</vt:lpstr>
      <vt:lpstr>Log</vt:lpstr>
      <vt:lpstr>PI-9 Features (OPSYS)</vt:lpstr>
      <vt:lpstr>PI-9 Stories (OPSYS)</vt:lpstr>
      <vt:lpstr>PI-8 Stories (OPSYS)</vt:lpstr>
      <vt:lpstr>PI-7 Stories (OPSYS)</vt:lpstr>
      <vt:lpstr>PI-6 Stories (OPSYS)</vt:lpstr>
      <vt:lpstr>181212 Features (COMPCORP)</vt:lpstr>
      <vt:lpstr>181207 features</vt:lpstr>
      <vt:lpstr>181207 stories</vt:lpstr>
      <vt:lpstr>181204 features</vt:lpstr>
      <vt:lpstr>181204 stories</vt:lpstr>
      <vt:lpstr>181203 features</vt:lpstr>
      <vt:lpstr>181203 stories</vt:lpstr>
      <vt:lpstr>181129 stories</vt:lpstr>
      <vt:lpstr>181129 features</vt:lpstr>
      <vt:lpstr>PI-4 Objectives (COMPCORP)</vt:lpstr>
      <vt:lpstr>PI-4 Objectives (Busy Bees)</vt:lpstr>
      <vt:lpstr>PI-4 Objectives (Minions)</vt:lpstr>
      <vt:lpstr>PI-4 Objectives (Pink Panthers)</vt:lpstr>
      <vt:lpstr>PI-4 Objectives (RTD)</vt:lpstr>
      <vt:lpstr>PI-4 Objectives (Scape Goats)</vt:lpstr>
      <vt:lpstr>PI-4 Objectives (Guardians)</vt:lpstr>
      <vt:lpstr>Objectives</vt:lpstr>
      <vt:lpstr>Roadmap</vt:lpstr>
      <vt:lpstr>Program </vt:lpstr>
      <vt:lpstr>Features Progress</vt:lpstr>
      <vt:lpstr>Enablers Progress</vt:lpstr>
      <vt:lpstr>CF (Features #)</vt:lpstr>
      <vt:lpstr>CF (Enablers #)</vt:lpstr>
      <vt:lpstr>CF (Stories #)</vt:lpstr>
      <vt:lpstr>CF (Features SP)</vt:lpstr>
      <vt:lpstr>CF (Enablers SP)</vt:lpstr>
      <vt:lpstr>CF (Stories SP)</vt:lpstr>
      <vt:lpstr>PI Burn Down (SP)</vt:lpstr>
      <vt:lpstr>Team A</vt:lpstr>
      <vt:lpstr>A - Features Progress</vt:lpstr>
      <vt:lpstr>A - Enablers Progress</vt:lpstr>
      <vt:lpstr>A - CF (Features #)</vt:lpstr>
      <vt:lpstr>A - CF (Enablers #)</vt:lpstr>
      <vt:lpstr>A - CF (Stories #)</vt:lpstr>
      <vt:lpstr>A - CF (Features SP)</vt:lpstr>
      <vt:lpstr>A - CF (Enablers SP)</vt:lpstr>
      <vt:lpstr>A - CF (Stories SP)</vt:lpstr>
      <vt:lpstr>A - PI Burn Down (SP)</vt:lpstr>
      <vt:lpstr>Team B</vt:lpstr>
      <vt:lpstr>B - Features Progress</vt:lpstr>
      <vt:lpstr>B - Enablers Progress</vt:lpstr>
      <vt:lpstr>B - CF (Features #)</vt:lpstr>
      <vt:lpstr>B - CF (Enablers #)</vt:lpstr>
      <vt:lpstr>B - CF (Stories #)</vt:lpstr>
      <vt:lpstr>B - CF (Features SP)</vt:lpstr>
      <vt:lpstr>B - CF (Enablers SP)</vt:lpstr>
      <vt:lpstr>B - CF (Stories SP)</vt:lpstr>
      <vt:lpstr>B - PI Burn Down (SP)</vt:lpstr>
      <vt:lpstr>'Program '!Print_Area</vt:lpstr>
      <vt:lpstr>'Team A'!Print_Area</vt:lpstr>
      <vt:lpstr>'Team B'!Print_Area</vt:lpstr>
    </vt:vector>
  </TitlesOfParts>
  <Company>Smartouch-Empulsys III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BEGHAIN Olivier</dc:creator>
  <cp:lastModifiedBy>BEGHAIN Olivier</cp:lastModifiedBy>
  <cp:lastPrinted>2018-12-07T13:50:26Z</cp:lastPrinted>
  <dcterms:created xsi:type="dcterms:W3CDTF">2017-04-15T09:58:00Z</dcterms:created>
  <dcterms:modified xsi:type="dcterms:W3CDTF">2018-12-17T12:00:05Z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0x010100258AA79CEB83498886A3A0868112325000B815E5D5322DC248B537749FDF4EA55B</vt:lpwstr>
  </property>
  <property fmtid="{D5CDD505-2E9C-101B-9397-08002B2CF9AE}" pid="3" name="_dlc_DocIdItemGuid">
    <vt:lpwstr>843756b0-a97f-4e65-ac28-4f18b1ae77d6</vt:lpwstr>
  </property>
</Properties>
</file>