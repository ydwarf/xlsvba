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4290" yWindow="30" windowWidth="19440" windowHeight="11040" tabRatio="609"/>
  </bookViews>
  <sheets>
    <sheet name="Program Performance Metrics" sheetId="79" r:id="rId1"/>
    <sheet name="Objectives" sheetId="70" r:id="rId2"/>
    <sheet name="PI-9 Objectives (Results)" sheetId="74" r:id="rId3"/>
    <sheet name="PI-9 Objectives (MWP)" sheetId="77" r:id="rId4"/>
    <sheet name="PI-9 Objectives (Pre-Awards)" sheetId="73" r:id="rId5"/>
    <sheet name="PI-9 Objectives (Post-Awards)" sheetId="72" r:id="rId6"/>
    <sheet name="PI-9 Objectives (IOP)" sheetId="75" r:id="rId7"/>
    <sheet name="PI-9 Objectives (Portal)" sheetId="76" r:id="rId8"/>
    <sheet name="Program Predictability Measure" sheetId="78" r:id="rId9"/>
  </sheets>
  <functionGroups builtInGroupCount="17"/>
  <externalReferences>
    <externalReference r:id="rId10"/>
    <externalReference r:id="rId11"/>
  </externalReferences>
  <definedNames>
    <definedName name="Actual_Days_Remaining">IF(COUNT('[1]Resource Allocation'!$C$9:$DA$9),OFFSET('[1]Resource Allocation'!$B$2,COUNTA('[1]Resource Allocation'!$B$3:$B$31987),1,1,COUNT('[1]Resource Allocation'!$C$9:$DA$9)),0)</definedName>
    <definedName name="Commitment">OFFSET('[1]Actual Allocation'!$A$2,1,0,COUNTA('[1]Actual Allocation'!$A$3:$A$32011)-1,3)</definedName>
    <definedName name="Desired_Trend">IF(COUNT('[1]Sprint Information'!$B$51:$CZ$51),OFFSET('[1]Sprint Information'!$B$51,0,0,1,COUNT('[1]Sprint Information'!$B$51:$CZ$51)),0)</definedName>
    <definedName name="Held_Standup">'[1]Sprint Information'!$B$52:$CZ$52</definedName>
    <definedName name="Individual_Base">OFFSET('[1]Sprint Information'!$B$54,0,0,1,COUNT('[1]Sprint Information'!$B$54:$CZ$54))</definedName>
    <definedName name="ListOfTeams" localSheetId="1">#REF!</definedName>
    <definedName name="ListOfTeams" localSheetId="6">#REF!</definedName>
    <definedName name="ListOfTeams" localSheetId="3">#REF!</definedName>
    <definedName name="ListOfTeams" localSheetId="7">#REF!</definedName>
    <definedName name="ListOfTeams" localSheetId="4">#REF!</definedName>
    <definedName name="ListOfTeams" localSheetId="2">#REF!</definedName>
    <definedName name="ListOfTeams" localSheetId="8">'Program Predictability Measure'!$D$4:$D$7</definedName>
    <definedName name="ListOfTeams">#REF!</definedName>
    <definedName name="Lower_Trend">IF(COUNT(Progress)&lt;2,0,OFFSET('[1]Sprint Information'!$B$59,0,0,1,COUNT('[1]Sprint Information'!$59:$59)))</definedName>
    <definedName name="Number_Tasks">'[1]Sprint Information'!$B$50</definedName>
    <definedName name="Postponed">OFFSET('[1]Burn Down'!$F$1,2,0,Number_Tasks,1)</definedName>
    <definedName name="Postponed_Values">'[1]Sprint Information'!$B$53:$C$53</definedName>
    <definedName name="Progress">IF(COUNT(#REF!)&lt;2,0,OFFSET(#REF!,0,0,COUNT(#REF!),1))</definedName>
    <definedName name="Resource">OFFSET('[1]Resource Allocation'!$B$2,1,0,COUNTA('[1]Resource Allocation'!$B$3:$B$31987)-1,1)</definedName>
    <definedName name="Resource01_Burn">OFFSET('[1]Actual Allocation'!$D$3,0,0,1,COUNT('[1]Actual Allocation'!$D$3:$DB$3))</definedName>
    <definedName name="Resource02_Burn">OFFSET('[1]Actual Allocation'!$D$4,0,0,1,COUNT('[1]Actual Allocation'!$D$4:$DB$4))</definedName>
    <definedName name="Resource03_Burn">OFFSET('[1]Actual Allocation'!$D$5,0,0,1,COUNT('[1]Actual Allocation'!$D$5:$DB$5))</definedName>
    <definedName name="Resource04_Burn">OFFSET('[1]Actual Allocation'!$D$6,0,0,1,COUNT('[1]Actual Allocation'!$D$6:$DB$6))</definedName>
    <definedName name="Resource05_Burn">OFFSET('[1]Actual Allocation'!$D$7,0,0,1,COUNT('[1]Actual Allocation'!$D$7:$DB$7))</definedName>
    <definedName name="Resource06_Burn">OFFSET('[1]Actual Allocation'!$D$8,0,0,1,COUNT('[1]Actual Allocation'!$D$8:$DB$8))</definedName>
    <definedName name="Resource07_Burn">OFFSET('[1]Actual Allocation'!$D$9,0,0,1,COUNT('[1]Actual Allocation'!$D$9:$DB$9))</definedName>
    <definedName name="Resource08_Burn">OFFSET('[1]Actual Allocation'!$D$10,0,0,1,COUNT('[1]Actual Allocation'!$D$10:$DB$10))</definedName>
    <definedName name="Resource09_Burn">OFFSET('[1]Actual Allocation'!$D$11,0,0,1,COUNT('[1]Actual Allocation'!$D$11:$DB$11))</definedName>
    <definedName name="Resource10_Burn">OFFSET('[1]Actual Allocation'!$D$12,0,0,1,COUNT('[1]Actual Allocation'!$D$12:$DB$12))</definedName>
    <definedName name="Resource11_Burn">OFFSET('[1]Actual Allocation'!$D$13,0,0,1,COUNT('[1]Actual Allocation'!$D$13:$DB$13))</definedName>
    <definedName name="Resource12_Burn">OFFSET('[1]Actual Allocation'!$D$14,0,0,1,COUNT('[1]Actual Allocation'!$D$14:$DB$14))</definedName>
    <definedName name="Resource13_Burn">OFFSET('[1]Actual Allocation'!$D$15,0,0,1,COUNT('[1]Actual Allocation'!$D$15:$DB$15))</definedName>
    <definedName name="Resource14_Burn">OFFSET('[1]Actual Allocation'!$D$16,0,0,1,COUNT('[1]Actual Allocation'!$D$16:$DB$16))</definedName>
    <definedName name="Resource15_Burn">OFFSET('[1]Actual Allocation'!$D$17,0,0,1,COUNT('[1]Actual Allocation'!$D$17:$DB$17))</definedName>
    <definedName name="Resource16_Burn">OFFSET('[1]Actual Allocation'!$D$18,0,0,1,COUNT('[1]Actual Allocation'!$D$18:$DB$18))</definedName>
    <definedName name="Resource17_Burn">OFFSET('[1]Actual Allocation'!$D$19,0,0,1,COUNT('[1]Actual Allocation'!$D$19:$DB$19))</definedName>
    <definedName name="Resource18_Burn">OFFSET('[1]Actual Allocation'!$D$20,0,0,1,COUNT('[1]Actual Allocation'!$D$20:$DB$20))</definedName>
    <definedName name="Resource19_Burn">OFFSET('[1]Actual Allocation'!$D$21,0,0,1,COUNT('[1]Actual Allocation'!$D$21:$DB$21))</definedName>
    <definedName name="Resource20_Burn">OFFSET('[1]Actual Allocation'!$D$22,0,0,1,COUNT('[1]Actual Allocation'!$D$22:$DB$22))</definedName>
    <definedName name="Resource21_Burn">OFFSET('[1]Actual Allocation'!$D$23,0,0,1,COUNT('[1]Actual Allocation'!$D$23:$DB$23))</definedName>
    <definedName name="Resource22_Burn">OFFSET('[1]Actual Allocation'!$D$24,0,0,1,COUNT('[1]Actual Allocation'!$D$24:$DB$24))</definedName>
    <definedName name="Resource23_Burn">OFFSET('[1]Actual Allocation'!$D$25,0,0,1,COUNT('[1]Actual Allocation'!$D$26:$DB$26))</definedName>
    <definedName name="Resource24_Burn">OFFSET('[1]Actual Allocation'!$D$26,0,0,1,COUNT('[1]Actual Allocation'!$D$26:$DB$26))</definedName>
    <definedName name="Resource25_Burn">OFFSET('[1]Actual Allocation'!$D$27,0,0,1,COUNT('[1]Actual Allocation'!$D$27:$DB$27))</definedName>
    <definedName name="Resource26_Burn">OFFSET('[1]Actual Allocation'!$D$28,0,0,1,COUNT('[1]Actual Allocation'!$D$3:$DB$28))</definedName>
    <definedName name="Resource27_Burn">OFFSET('[1]Actual Allocation'!$D$29,0,0,1,COUNT('[1]Actual Allocation'!$D$29:$DB$29))</definedName>
    <definedName name="Resource28_Burn">OFFSET('[1]Actual Allocation'!$D$30,0,0,1,COUNT('[1]Actual Allocation'!$D$30:$DB$30))</definedName>
    <definedName name="Resource29_Burn">OFFSET('[1]Actual Allocation'!$D$31,0,0,1,COUNT('[1]Actual Allocation'!$D$31:$DB$31))</definedName>
    <definedName name="Resource30_Burn">OFFSET('[1]Actual Allocation'!$D$32,0,0,1,COUNT('[1]Actual Allocation'!$D$32:$DB$32))</definedName>
    <definedName name="Scope_Change">IF(COUNT(Progress)&lt;2,0,ABS(OFFSET(#REF!,0,0,COUNT(#REF!),1))*-1)</definedName>
    <definedName name="Sprint_Length">'[1]Sprint Information'!$B$1</definedName>
    <definedName name="Task_Owner">OFFSET('[1]Burn Down'!$C$2,1,0,Number_Tasks,1)</definedName>
    <definedName name="Upper_Trend">IF(COUNT(Progress)&lt;2,0,OFFSET('[1]Sprint Information'!$B$58,0,0,1,COUNT('[1]Sprint Information'!$58:$58)))</definedName>
    <definedName name="Work_Hours_in_Day">'[1]Sprint Information'!$B$2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9" i="78" l="1"/>
  <c r="M8" i="78"/>
  <c r="M7" i="78"/>
  <c r="M6" i="78"/>
  <c r="M5" i="78"/>
  <c r="L3" i="78"/>
  <c r="D4" i="79"/>
  <c r="E4" i="79"/>
  <c r="K3" i="78" l="1"/>
  <c r="J3" i="78"/>
  <c r="I3" i="78"/>
  <c r="H3" i="78"/>
  <c r="G3" i="78"/>
  <c r="F3" i="78" l="1"/>
  <c r="E3" i="78"/>
  <c r="I23" i="77" l="1"/>
  <c r="H23" i="77"/>
  <c r="I23" i="76"/>
  <c r="H23" i="76"/>
  <c r="I23" i="75"/>
  <c r="H23" i="75"/>
  <c r="I23" i="74"/>
  <c r="H23" i="74"/>
  <c r="I23" i="73"/>
  <c r="H23" i="73"/>
  <c r="H23" i="72"/>
  <c r="I23" i="72"/>
  <c r="G1" i="70"/>
  <c r="N1" i="70"/>
  <c r="M1" i="70"/>
  <c r="F1" i="70"/>
  <c r="H25" i="72" l="1"/>
  <c r="A1" i="72" s="1"/>
  <c r="H25" i="75"/>
  <c r="A1" i="75" s="1"/>
  <c r="H25" i="73"/>
  <c r="A1" i="73" s="1"/>
  <c r="H25" i="77"/>
  <c r="A1" i="77" s="1"/>
  <c r="H25" i="74"/>
  <c r="H25" i="76"/>
  <c r="A1" i="76" s="1"/>
  <c r="A1" i="74" l="1"/>
  <c r="M4" i="78" s="1"/>
  <c r="A30" i="74"/>
  <c r="M3" i="78" l="1"/>
  <c r="L4" i="79" s="1"/>
</calcChain>
</file>

<file path=xl/sharedStrings.xml><?xml version="1.0" encoding="utf-8"?>
<sst xmlns="http://schemas.openxmlformats.org/spreadsheetml/2006/main" count="184" uniqueCount="99">
  <si>
    <t>Planned Story Points</t>
  </si>
  <si>
    <t>Completed Story Points</t>
  </si>
  <si>
    <t>Status</t>
  </si>
  <si>
    <t>Open</t>
  </si>
  <si>
    <t>In Progress</t>
  </si>
  <si>
    <t>ID</t>
  </si>
  <si>
    <t>Team</t>
  </si>
  <si>
    <t># stories</t>
  </si>
  <si>
    <t>EUI-125</t>
  </si>
  <si>
    <t>Yes</t>
  </si>
  <si>
    <t>affected by</t>
  </si>
  <si>
    <t>Program  Planning Item</t>
  </si>
  <si>
    <t>Actual BV</t>
  </si>
  <si>
    <t>Planned BV</t>
  </si>
  <si>
    <t>Stretched</t>
  </si>
  <si>
    <t>Objective</t>
  </si>
  <si>
    <t>COMPCORP-116, MWP-574, MWP-416</t>
  </si>
  <si>
    <t>MWP-557</t>
  </si>
  <si>
    <t>My Workplace Improvements (SSE, Impersonation, Error Management)</t>
  </si>
  <si>
    <t>MWP-556, MWP-571</t>
  </si>
  <si>
    <t>MWP-558</t>
  </si>
  <si>
    <t>Team Support</t>
  </si>
  <si>
    <t>MWP-577</t>
  </si>
  <si>
    <t>Enforce DevOps Best Practice</t>
  </si>
  <si>
    <t>MWP-580</t>
  </si>
  <si>
    <t>MWP-563</t>
  </si>
  <si>
    <t>CI/CD on INT/ACC/PROD with map of features deployed</t>
  </si>
  <si>
    <t>MWP-559</t>
  </si>
  <si>
    <t>EUI 7, Angular 7</t>
  </si>
  <si>
    <t>MWP-576</t>
  </si>
  <si>
    <t>Team Support (DevOps)</t>
  </si>
  <si>
    <t>Description</t>
  </si>
  <si>
    <t>Team Support (DevOps</t>
  </si>
  <si>
    <t>Create a new version of EUI based on Angular 7</t>
  </si>
  <si>
    <t>Provide the capability to deploy automatically the app in Production and Acceptance and having the information about what is deployed. </t>
  </si>
  <si>
    <t>Including: 
* UX Alignment 
* DEVOPS 
* Tools Documentation 
* Corporate Print Improvements</t>
  </si>
  <si>
    <t>My Workplace Improvements (SSE, Impersation, Error Management)</t>
  </si>
  <si>
    <t>No</t>
  </si>
  <si>
    <t>Business value</t>
  </si>
  <si>
    <t>=== Objectives ===</t>
  </si>
  <si>
    <t>Actual</t>
  </si>
  <si>
    <t>Planned</t>
  </si>
  <si>
    <t>=== Stretch Objectives ===</t>
  </si>
  <si>
    <t xml:space="preserve">Total: </t>
  </si>
  <si>
    <t xml:space="preserve">% of achievements: </t>
  </si>
  <si>
    <t>Team assessment</t>
  </si>
  <si>
    <t>The Gardians</t>
  </si>
  <si>
    <t>Stakeholders</t>
  </si>
  <si>
    <t>PrOw</t>
  </si>
  <si>
    <t>Teco</t>
  </si>
  <si>
    <t>PI.1</t>
  </si>
  <si>
    <t>PI.2</t>
  </si>
  <si>
    <t>PI.3</t>
  </si>
  <si>
    <t>PI.4</t>
  </si>
  <si>
    <t>Gregory R.</t>
  </si>
  <si>
    <t>Jonathan</t>
  </si>
  <si>
    <t>Functionality</t>
  </si>
  <si>
    <t>Program velocity</t>
  </si>
  <si>
    <t>Program predictability measure</t>
  </si>
  <si>
    <t># Features planned</t>
  </si>
  <si>
    <t>%  Progress features</t>
  </si>
  <si>
    <t># Features accepted</t>
  </si>
  <si>
    <t># Enabler feature planned</t>
  </si>
  <si>
    <t>% Progress enabler features</t>
  </si>
  <si>
    <t># Enabler feature accepted</t>
  </si>
  <si>
    <t># Stories planned</t>
  </si>
  <si>
    <t># Storied accepted</t>
  </si>
  <si>
    <t>Quality</t>
  </si>
  <si>
    <t>Unit test coverage %</t>
  </si>
  <si>
    <t>Defects</t>
  </si>
  <si>
    <t>Total tests</t>
  </si>
  <si>
    <t>% automated</t>
  </si>
  <si>
    <t># NFR tests</t>
  </si>
  <si>
    <t>PI.5</t>
  </si>
  <si>
    <t>PI.6</t>
  </si>
  <si>
    <t>PI.8</t>
  </si>
  <si>
    <t>PI.7</t>
  </si>
  <si>
    <t>PI.9</t>
  </si>
  <si>
    <t>MWP</t>
  </si>
  <si>
    <t>Results</t>
  </si>
  <si>
    <t>Pre-Award</t>
  </si>
  <si>
    <t>Post-Award</t>
  </si>
  <si>
    <t>IOP</t>
  </si>
  <si>
    <t>SEDIA</t>
  </si>
  <si>
    <t>OPSYS Program</t>
  </si>
  <si>
    <t>Canceled</t>
  </si>
  <si>
    <t>Quality Manager from QM point of view</t>
  </si>
  <si>
    <t>The Goal is to produce all the QM stories from a QM point of view. Logframe impact is not taken into consideration during this PI</t>
  </si>
  <si>
    <t>Integration of Results into Corporate My Wokrplace</t>
  </si>
  <si>
    <t>Track 1 needs to be integrated with the new Corporate My Workplace</t>
  </si>
  <si>
    <t>Sedia Migration</t>
  </si>
  <si>
    <t>Migrate Sedia to CSDR and</t>
  </si>
  <si>
    <t>OPRESULT-1201</t>
  </si>
  <si>
    <t>OPRESULT-1202</t>
  </si>
  <si>
    <t>MWP-560</t>
  </si>
  <si>
    <t>MWP-581, MWP-593, MWP-592</t>
  </si>
  <si>
    <t>Pre-Awards</t>
  </si>
  <si>
    <t>Post-Awrads</t>
  </si>
  <si>
    <t>Portal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</si>
</sst>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3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u/>
      <sz val="12"/>
      <color theme="1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Bookman Old Style"/>
      <family val="1"/>
    </font>
    <font>
      <b/>
      <sz val="11"/>
      <color theme="1"/>
      <name val="Bookman Old Style"/>
      <family val="1"/>
    </font>
    <font>
      <i/>
      <u/>
      <sz val="11"/>
      <color theme="1"/>
      <name val="Bookman Old Style"/>
      <family val="1"/>
    </font>
    <font>
      <sz val="14"/>
      <color theme="1"/>
      <name val="Bookman Old Style"/>
      <family val="1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 Light"/>
      <family val="2"/>
      <scheme val="major"/>
    </font>
    <font>
      <sz val="11"/>
      <color theme="2"/>
      <name val="Calibri"/>
      <family val="2"/>
      <scheme val="minor"/>
    </font>
    <font>
      <sz val="11"/>
      <color theme="2"/>
      <name val="Bookman Old Style"/>
      <family val="1"/>
    </font>
    <font>
      <sz val="11"/>
      <color theme="0" tint="-4.9989318521683403E-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5">
    <xf numFmtId="0" fontId="0" fillId="0" borderId="0"/>
    <xf numFmtId="0" fontId="9" fillId="0" borderId="0"/>
    <xf numFmtId="0" fontId="8" fillId="0" borderId="0"/>
    <xf numFmtId="0" fontId="7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0" borderId="0"/>
    <xf numFmtId="0" fontId="15" fillId="0" borderId="0" applyNumberFormat="0" applyFill="0" applyBorder="0" applyAlignment="0" applyProtection="0"/>
    <xf numFmtId="0" fontId="17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74">
    <xf numFmtId="0" fontId="0" fillId="0" borderId="0" xfId="0"/>
    <xf numFmtId="0" fontId="10" fillId="2" borderId="0" xfId="0" applyFont="1" applyFill="1" applyAlignment="1">
      <alignment horizontal="center"/>
    </xf>
    <xf numFmtId="0" fontId="16" fillId="0" borderId="0" xfId="0" applyFont="1"/>
    <xf numFmtId="0" fontId="0" fillId="0" borderId="0" xfId="0" applyAlignment="1">
      <alignment horizontal="center"/>
    </xf>
    <xf numFmtId="0" fontId="11" fillId="2" borderId="0" xfId="0" applyFont="1" applyFill="1" applyAlignment="1">
      <alignment horizontal="center"/>
    </xf>
    <xf numFmtId="0" fontId="11" fillId="2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9" fillId="2" borderId="0" xfId="0" applyFont="1" applyFill="1" applyAlignment="1">
      <alignment horizontal="center" textRotation="90" wrapText="1"/>
    </xf>
    <xf numFmtId="0" fontId="18" fillId="0" borderId="0" xfId="0" applyFont="1" applyFill="1" applyAlignment="1">
      <alignment horizontal="center" wrapText="1"/>
    </xf>
    <xf numFmtId="0" fontId="11" fillId="2" borderId="0" xfId="0" applyFont="1" applyFill="1" applyAlignment="1">
      <alignment horizontal="center" vertical="center" wrapText="1"/>
    </xf>
    <xf numFmtId="0" fontId="14" fillId="0" borderId="0" xfId="14" applyFont="1" applyBorder="1" applyAlignment="1">
      <alignment vertical="top" wrapText="1"/>
    </xf>
    <xf numFmtId="0" fontId="0" fillId="0" borderId="0" xfId="0" applyBorder="1"/>
    <xf numFmtId="49" fontId="15" fillId="0" borderId="0" xfId="8" applyNumberFormat="1" applyBorder="1" applyAlignment="1">
      <alignment horizontal="left" vertical="top" wrapText="1"/>
    </xf>
    <xf numFmtId="49" fontId="14" fillId="0" borderId="0" xfId="14" applyNumberFormat="1" applyFont="1" applyBorder="1" applyAlignment="1">
      <alignment horizontal="left" vertical="top" wrapText="1"/>
    </xf>
    <xf numFmtId="0" fontId="0" fillId="0" borderId="0" xfId="0" applyBorder="1" applyAlignment="1">
      <alignment horizontal="center" vertical="center"/>
    </xf>
    <xf numFmtId="0" fontId="14" fillId="0" borderId="0" xfId="14" applyFont="1" applyBorder="1" applyAlignment="1">
      <alignment horizontal="center" vertical="top" wrapText="1"/>
    </xf>
    <xf numFmtId="0" fontId="1" fillId="0" borderId="0" xfId="14"/>
    <xf numFmtId="0" fontId="1" fillId="0" borderId="0" xfId="14" applyAlignment="1">
      <alignment horizontal="center"/>
    </xf>
    <xf numFmtId="0" fontId="22" fillId="0" borderId="0" xfId="14" applyFont="1" applyAlignment="1">
      <alignment horizontal="center"/>
    </xf>
    <xf numFmtId="0" fontId="26" fillId="0" borderId="10" xfId="14" applyFont="1" applyBorder="1" applyAlignment="1">
      <alignment horizontal="center" vertical="center"/>
    </xf>
    <xf numFmtId="0" fontId="26" fillId="0" borderId="0" xfId="14" applyFont="1" applyAlignment="1">
      <alignment horizontal="center" vertical="center"/>
    </xf>
    <xf numFmtId="0" fontId="1" fillId="0" borderId="0" xfId="14" applyAlignment="1">
      <alignment vertical="center"/>
    </xf>
    <xf numFmtId="0" fontId="26" fillId="3" borderId="10" xfId="14" applyFont="1" applyFill="1" applyBorder="1" applyAlignment="1">
      <alignment horizontal="center" vertical="center"/>
    </xf>
    <xf numFmtId="0" fontId="26" fillId="4" borderId="10" xfId="14" applyFont="1" applyFill="1" applyBorder="1" applyAlignment="1">
      <alignment horizontal="center" vertical="center"/>
    </xf>
    <xf numFmtId="0" fontId="28" fillId="0" borderId="0" xfId="0" applyFont="1" applyFill="1" applyAlignment="1">
      <alignment horizontal="left"/>
    </xf>
    <xf numFmtId="9" fontId="28" fillId="0" borderId="0" xfId="0" applyNumberFormat="1" applyFont="1" applyFill="1" applyAlignment="1">
      <alignment horizontal="center"/>
    </xf>
    <xf numFmtId="9" fontId="16" fillId="0" borderId="0" xfId="0" applyNumberFormat="1" applyFont="1" applyAlignment="1">
      <alignment horizontal="center"/>
    </xf>
    <xf numFmtId="0" fontId="10" fillId="6" borderId="0" xfId="0" applyFont="1" applyFill="1" applyAlignment="1">
      <alignment horizontal="center"/>
    </xf>
    <xf numFmtId="0" fontId="11" fillId="6" borderId="0" xfId="0" applyFont="1" applyFill="1" applyAlignment="1">
      <alignment horizontal="center"/>
    </xf>
    <xf numFmtId="0" fontId="29" fillId="0" borderId="0" xfId="0" applyFont="1" applyAlignment="1">
      <alignment horizontal="right"/>
    </xf>
    <xf numFmtId="0" fontId="11" fillId="6" borderId="0" xfId="0" applyFont="1" applyFill="1"/>
    <xf numFmtId="9" fontId="16" fillId="0" borderId="0" xfId="0" applyNumberFormat="1" applyFont="1" applyAlignment="1">
      <alignment horizontal="center" vertical="center"/>
    </xf>
    <xf numFmtId="9" fontId="21" fillId="0" borderId="0" xfId="14" applyNumberFormat="1" applyFont="1"/>
    <xf numFmtId="0" fontId="30" fillId="0" borderId="0" xfId="14" applyFont="1"/>
    <xf numFmtId="0" fontId="30" fillId="0" borderId="0" xfId="14" applyFont="1" applyAlignment="1">
      <alignment horizontal="center"/>
    </xf>
    <xf numFmtId="0" fontId="31" fillId="0" borderId="0" xfId="14" applyFont="1" applyAlignment="1">
      <alignment horizontal="center"/>
    </xf>
    <xf numFmtId="0" fontId="32" fillId="0" borderId="0" xfId="14" applyFont="1" applyAlignment="1">
      <alignment vertical="center"/>
    </xf>
    <xf numFmtId="9" fontId="21" fillId="0" borderId="0" xfId="14" applyNumberFormat="1" applyFont="1" applyAlignment="1">
      <alignment horizontal="center"/>
    </xf>
    <xf numFmtId="0" fontId="16" fillId="5" borderId="0" xfId="0" applyFont="1" applyFill="1" applyAlignment="1">
      <alignment horizontal="center"/>
    </xf>
    <xf numFmtId="0" fontId="16" fillId="5" borderId="0" xfId="0" applyFont="1" applyFill="1"/>
    <xf numFmtId="0" fontId="22" fillId="0" borderId="0" xfId="14" applyFont="1" applyAlignment="1">
      <alignment horizontal="right" vertical="center"/>
    </xf>
    <xf numFmtId="9" fontId="27" fillId="0" borderId="0" xfId="14" applyNumberFormat="1" applyFont="1" applyAlignment="1">
      <alignment horizontal="center" vertical="center"/>
    </xf>
    <xf numFmtId="0" fontId="16" fillId="0" borderId="10" xfId="14" applyFont="1" applyBorder="1" applyAlignment="1">
      <alignment horizontal="center"/>
    </xf>
    <xf numFmtId="0" fontId="26" fillId="0" borderId="0" xfId="14" applyFont="1" applyAlignment="1">
      <alignment horizontal="center" vertical="center"/>
    </xf>
    <xf numFmtId="0" fontId="23" fillId="0" borderId="11" xfId="14" quotePrefix="1" applyFont="1" applyBorder="1" applyAlignment="1">
      <alignment horizontal="center" vertical="center"/>
    </xf>
    <xf numFmtId="0" fontId="23" fillId="0" borderId="9" xfId="14" quotePrefix="1" applyFont="1" applyBorder="1" applyAlignment="1">
      <alignment horizontal="center" vertical="center"/>
    </xf>
    <xf numFmtId="0" fontId="26" fillId="0" borderId="10" xfId="14" applyFont="1" applyBorder="1" applyAlignment="1">
      <alignment horizontal="center"/>
    </xf>
    <xf numFmtId="0" fontId="22" fillId="0" borderId="1" xfId="14" applyFont="1" applyBorder="1" applyAlignment="1">
      <alignment horizontal="center" vertical="center" wrapText="1"/>
    </xf>
    <xf numFmtId="0" fontId="22" fillId="0" borderId="2" xfId="14" applyFont="1" applyBorder="1" applyAlignment="1">
      <alignment horizontal="center" vertical="center" wrapText="1"/>
    </xf>
    <xf numFmtId="0" fontId="22" fillId="0" borderId="4" xfId="14" applyFont="1" applyBorder="1" applyAlignment="1">
      <alignment horizontal="center" vertical="center" wrapText="1"/>
    </xf>
    <xf numFmtId="0" fontId="22" fillId="0" borderId="0" xfId="14" applyFont="1" applyBorder="1" applyAlignment="1">
      <alignment horizontal="center" vertical="center" wrapText="1"/>
    </xf>
    <xf numFmtId="0" fontId="22" fillId="0" borderId="6" xfId="14" applyFont="1" applyBorder="1" applyAlignment="1">
      <alignment horizontal="center" vertical="center" wrapText="1"/>
    </xf>
    <xf numFmtId="0" fontId="22" fillId="0" borderId="7" xfId="14" applyFont="1" applyBorder="1" applyAlignment="1">
      <alignment horizontal="center" vertical="center" wrapText="1"/>
    </xf>
    <xf numFmtId="0" fontId="25" fillId="0" borderId="2" xfId="14" applyFont="1" applyBorder="1" applyAlignment="1">
      <alignment horizontal="center" vertical="center" wrapText="1"/>
    </xf>
    <xf numFmtId="0" fontId="25" fillId="0" borderId="3" xfId="14" applyFont="1" applyBorder="1" applyAlignment="1">
      <alignment horizontal="center" vertical="center" wrapText="1"/>
    </xf>
    <xf numFmtId="0" fontId="25" fillId="0" borderId="0" xfId="14" applyFont="1" applyBorder="1" applyAlignment="1">
      <alignment horizontal="center" vertical="center" wrapText="1"/>
    </xf>
    <xf numFmtId="0" fontId="25" fillId="0" borderId="5" xfId="14" applyFont="1" applyBorder="1" applyAlignment="1">
      <alignment horizontal="center" vertical="center" wrapText="1"/>
    </xf>
    <xf numFmtId="0" fontId="25" fillId="0" borderId="7" xfId="14" applyFont="1" applyBorder="1" applyAlignment="1">
      <alignment horizontal="center" vertical="center" wrapText="1"/>
    </xf>
    <xf numFmtId="0" fontId="25" fillId="0" borderId="8" xfId="14" applyFont="1" applyBorder="1" applyAlignment="1">
      <alignment horizontal="center" vertical="center" wrapText="1"/>
    </xf>
    <xf numFmtId="0" fontId="22" fillId="0" borderId="0" xfId="14" applyFont="1" applyAlignment="1">
      <alignment horizontal="center" vertical="center"/>
    </xf>
    <xf numFmtId="0" fontId="23" fillId="0" borderId="0" xfId="14" quotePrefix="1" applyFont="1" applyAlignment="1">
      <alignment horizontal="center" vertical="center"/>
    </xf>
    <xf numFmtId="0" fontId="24" fillId="0" borderId="0" xfId="14" applyFont="1" applyAlignment="1">
      <alignment horizontal="center" vertical="center"/>
    </xf>
    <xf numFmtId="9" fontId="27" fillId="0" borderId="12" xfId="14" applyNumberFormat="1" applyFont="1" applyBorder="1" applyAlignment="1">
      <alignment horizontal="center" vertical="center"/>
    </xf>
    <xf numFmtId="9" fontId="27" fillId="0" borderId="13" xfId="14" applyNumberFormat="1" applyFont="1" applyBorder="1" applyAlignment="1">
      <alignment horizontal="center" vertical="center"/>
    </xf>
    <xf numFmtId="0" fontId="20" fillId="0" borderId="10" xfId="14" applyFont="1" applyBorder="1" applyAlignment="1">
      <alignment horizontal="center"/>
    </xf>
    <xf numFmtId="0" fontId="26" fillId="0" borderId="10" xfId="14" applyFont="1" applyBorder="1" applyAlignment="1">
      <alignment horizontal="center" vertical="center"/>
    </xf>
    <xf numFmtId="0" fontId="1" fillId="0" borderId="10" xfId="14" applyFont="1" applyBorder="1" applyAlignment="1">
      <alignment horizontal="center" vertical="center" wrapText="1"/>
    </xf>
    <xf numFmtId="0" fontId="26" fillId="0" borderId="10" xfId="14" applyFont="1" applyBorder="1" applyAlignment="1">
      <alignment horizontal="center" vertical="center" wrapText="1"/>
    </xf>
    <xf numFmtId="0" fontId="14" fillId="0" borderId="0" xfId="0" applyFont="1" applyBorder="1" applyAlignment="1">
      <alignment vertical="top" wrapText="1"/>
    </xf>
    <xf numFmtId="49" fontId="14" fillId="0" borderId="0" xfId="0" applyNumberFormat="1" applyFont="1" applyBorder="1" applyAlignment="1">
      <alignment horizontal="left" vertical="top" wrapText="1"/>
    </xf>
    <xf numFmtId="0" fontId="14" fillId="0" borderId="0" xfId="0" applyFont="1" applyBorder="1" applyAlignment="1">
      <alignment horizontal="center" vertical="center" wrapText="1"/>
    </xf>
    <xf numFmtId="0" fontId="20" fillId="0" borderId="10" xfId="14" applyFont="1" applyBorder="1" applyAlignment="1">
      <alignment horizontal="center" wrapText="1"/>
    </xf>
    <xf numFmtId="0" fontId="16" fillId="0" borderId="10" xfId="14" applyFont="1" applyBorder="1" applyAlignment="1">
      <alignment horizontal="center" vertical="center" wrapText="1"/>
    </xf>
  </cellXfs>
  <cellStyles count="15">
    <cellStyle name="Followed Hyperlink" xfId="4" builtinId="9" hidden="1"/>
    <cellStyle name="Followed Hyperlink" xfId="6" builtinId="9" hidden="1"/>
    <cellStyle name="Hyperlink 2" xfId="5"/>
    <cellStyle name="Hyperlink 3" xfId="8"/>
    <cellStyle name="Normal" xfId="0" builtinId="0"/>
    <cellStyle name="Normal 10" xfId="13"/>
    <cellStyle name="Normal 11" xfId="14"/>
    <cellStyle name="Normal 2" xfId="1"/>
    <cellStyle name="Normal 3" xfId="2"/>
    <cellStyle name="Normal 4" xfId="3"/>
    <cellStyle name="Normal 5" xfId="7"/>
    <cellStyle name="Normal 6" xfId="9"/>
    <cellStyle name="Normal 7" xfId="10"/>
    <cellStyle name="Normal 8" xfId="11"/>
    <cellStyle name="Normal 9" xfId="12"/>
  </cellStyles>
  <dxfs count="0"/>
  <tableStyles count="0" defaultTableStyle="TableStyleMedium9" defaultPivotStyle="PivotStyleMedium7"/>
  <colors>
    <mruColors>
      <color rgb="FFCC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Predicatbility Measure Trend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'Program Predictability Measure'!$D$4</c:f>
              <c:strCache>
                <c:ptCount val="1"/>
                <c:pt idx="0">
                  <c:v>Results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'Program Performance Metrics'!$D$2:$L$2</c:f>
              <c:strCache>
                <c:ptCount val="9"/>
                <c:pt idx="0">
                  <c:v>PI.1</c:v>
                </c:pt>
                <c:pt idx="1">
                  <c:v>PI.2</c:v>
                </c:pt>
                <c:pt idx="2">
                  <c:v>PI.3</c:v>
                </c:pt>
                <c:pt idx="3">
                  <c:v>PI.4</c:v>
                </c:pt>
                <c:pt idx="4">
                  <c:v>PI.5</c:v>
                </c:pt>
                <c:pt idx="5">
                  <c:v>PI.6</c:v>
                </c:pt>
                <c:pt idx="6">
                  <c:v>PI.7</c:v>
                </c:pt>
                <c:pt idx="7">
                  <c:v>PI.8</c:v>
                </c:pt>
                <c:pt idx="8">
                  <c:v>PI.9</c:v>
                </c:pt>
              </c:strCache>
            </c:strRef>
          </c:cat>
          <c:val>
            <c:numRef>
              <c:f>'Program Predictability Measure'!$E$4:$M$4</c:f>
              <c:numCache>
                <c:formatCode>0%</c:formatCode>
                <c:ptCount val="9"/>
                <c:pt idx="0">
                  <c:v>0.85</c:v>
                </c:pt>
                <c:pt idx="1">
                  <c:v>0.37</c:v>
                </c:pt>
                <c:pt idx="2">
                  <c:v>0.57999999999999996</c:v>
                </c:pt>
                <c:pt idx="3">
                  <c:v>0.62</c:v>
                </c:pt>
                <c:pt idx="4">
                  <c:v>0.27</c:v>
                </c:pt>
                <c:pt idx="5">
                  <c:v>0.5</c:v>
                </c:pt>
                <c:pt idx="6">
                  <c:v>1</c:v>
                </c:pt>
                <c:pt idx="7">
                  <c:v>0.6</c:v>
                </c:pt>
                <c:pt idx="8">
                  <c:v>0</c:v>
                </c:pt>
              </c:numCache>
            </c:numRef>
          </c:val>
          <c:smooth val="0"/>
        </c:ser>
        <c:ser>
          <c:idx val="6"/>
          <c:order val="1"/>
          <c:tx>
            <c:strRef>
              <c:f>'Program Predictability Measure'!$D$8</c:f>
              <c:strCache>
                <c:ptCount val="1"/>
                <c:pt idx="0">
                  <c:v>IOP</c:v>
                </c:pt>
              </c:strCache>
            </c:strRef>
          </c:tx>
          <c:marker>
            <c:symbol val="none"/>
          </c:marker>
          <c:cat>
            <c:strRef>
              <c:f>'Program Performance Metrics'!$D$2:$L$2</c:f>
              <c:strCache>
                <c:ptCount val="9"/>
                <c:pt idx="0">
                  <c:v>PI.1</c:v>
                </c:pt>
                <c:pt idx="1">
                  <c:v>PI.2</c:v>
                </c:pt>
                <c:pt idx="2">
                  <c:v>PI.3</c:v>
                </c:pt>
                <c:pt idx="3">
                  <c:v>PI.4</c:v>
                </c:pt>
                <c:pt idx="4">
                  <c:v>PI.5</c:v>
                </c:pt>
                <c:pt idx="5">
                  <c:v>PI.6</c:v>
                </c:pt>
                <c:pt idx="6">
                  <c:v>PI.7</c:v>
                </c:pt>
                <c:pt idx="7">
                  <c:v>PI.8</c:v>
                </c:pt>
                <c:pt idx="8">
                  <c:v>PI.9</c:v>
                </c:pt>
              </c:strCache>
            </c:strRef>
          </c:cat>
          <c:val>
            <c:numRef>
              <c:f>'Program Predictability Measure'!$E$8:$M$8</c:f>
              <c:numCache>
                <c:formatCode>0%</c:formatCode>
                <c:ptCount val="9"/>
                <c:pt idx="0">
                  <c:v>0.45</c:v>
                </c:pt>
                <c:pt idx="1">
                  <c:v>0.75</c:v>
                </c:pt>
                <c:pt idx="2">
                  <c:v>1.07</c:v>
                </c:pt>
                <c:pt idx="3">
                  <c:v>1.26</c:v>
                </c:pt>
                <c:pt idx="4">
                  <c:v>0.57999999999999996</c:v>
                </c:pt>
                <c:pt idx="5">
                  <c:v>0.72</c:v>
                </c:pt>
                <c:pt idx="6">
                  <c:v>0.44</c:v>
                </c:pt>
                <c:pt idx="7">
                  <c:v>0.68</c:v>
                </c:pt>
                <c:pt idx="8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'Program Predictability Measure'!$D$6</c:f>
              <c:strCache>
                <c:ptCount val="1"/>
                <c:pt idx="0">
                  <c:v>Pre-Award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'Program Performance Metrics'!$D$2:$L$2</c:f>
              <c:strCache>
                <c:ptCount val="9"/>
                <c:pt idx="0">
                  <c:v>PI.1</c:v>
                </c:pt>
                <c:pt idx="1">
                  <c:v>PI.2</c:v>
                </c:pt>
                <c:pt idx="2">
                  <c:v>PI.3</c:v>
                </c:pt>
                <c:pt idx="3">
                  <c:v>PI.4</c:v>
                </c:pt>
                <c:pt idx="4">
                  <c:v>PI.5</c:v>
                </c:pt>
                <c:pt idx="5">
                  <c:v>PI.6</c:v>
                </c:pt>
                <c:pt idx="6">
                  <c:v>PI.7</c:v>
                </c:pt>
                <c:pt idx="7">
                  <c:v>PI.8</c:v>
                </c:pt>
                <c:pt idx="8">
                  <c:v>PI.9</c:v>
                </c:pt>
              </c:strCache>
            </c:strRef>
          </c:cat>
          <c:val>
            <c:numRef>
              <c:f>'Program Predictability Measure'!$E$6:$M$6</c:f>
              <c:numCache>
                <c:formatCode>0%</c:formatCode>
                <c:ptCount val="9"/>
                <c:pt idx="0">
                  <c:v>0.7</c:v>
                </c:pt>
                <c:pt idx="1">
                  <c:v>0.6</c:v>
                </c:pt>
                <c:pt idx="2">
                  <c:v>0.66</c:v>
                </c:pt>
                <c:pt idx="3">
                  <c:v>0.76</c:v>
                </c:pt>
                <c:pt idx="4">
                  <c:v>0.44</c:v>
                </c:pt>
                <c:pt idx="5">
                  <c:v>0.55000000000000004</c:v>
                </c:pt>
                <c:pt idx="6">
                  <c:v>0.7</c:v>
                </c:pt>
                <c:pt idx="7">
                  <c:v>0.5</c:v>
                </c:pt>
                <c:pt idx="8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'Program Predictability Measure'!$D$5</c:f>
              <c:strCache>
                <c:ptCount val="1"/>
                <c:pt idx="0">
                  <c:v>MWP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prstDash val="lgDashDotDot"/>
              <a:round/>
            </a:ln>
            <a:effectLst/>
          </c:spPr>
          <c:marker>
            <c:symbol val="none"/>
          </c:marker>
          <c:cat>
            <c:strRef>
              <c:f>'Program Performance Metrics'!$D$2:$L$2</c:f>
              <c:strCache>
                <c:ptCount val="9"/>
                <c:pt idx="0">
                  <c:v>PI.1</c:v>
                </c:pt>
                <c:pt idx="1">
                  <c:v>PI.2</c:v>
                </c:pt>
                <c:pt idx="2">
                  <c:v>PI.3</c:v>
                </c:pt>
                <c:pt idx="3">
                  <c:v>PI.4</c:v>
                </c:pt>
                <c:pt idx="4">
                  <c:v>PI.5</c:v>
                </c:pt>
                <c:pt idx="5">
                  <c:v>PI.6</c:v>
                </c:pt>
                <c:pt idx="6">
                  <c:v>PI.7</c:v>
                </c:pt>
                <c:pt idx="7">
                  <c:v>PI.8</c:v>
                </c:pt>
                <c:pt idx="8">
                  <c:v>PI.9</c:v>
                </c:pt>
              </c:strCache>
            </c:strRef>
          </c:cat>
          <c:val>
            <c:numRef>
              <c:f>'Program Predictability Measure'!$E$5:$M$5</c:f>
              <c:numCache>
                <c:formatCode>0%</c:formatCode>
                <c:ptCount val="9"/>
                <c:pt idx="0">
                  <c:v>0.78</c:v>
                </c:pt>
                <c:pt idx="1">
                  <c:v>0.75</c:v>
                </c:pt>
                <c:pt idx="2">
                  <c:v>0.44</c:v>
                </c:pt>
                <c:pt idx="3">
                  <c:v>1</c:v>
                </c:pt>
                <c:pt idx="4">
                  <c:v>0.12</c:v>
                </c:pt>
                <c:pt idx="5">
                  <c:v>0.75</c:v>
                </c:pt>
                <c:pt idx="6">
                  <c:v>0.61</c:v>
                </c:pt>
                <c:pt idx="7">
                  <c:v>0.86</c:v>
                </c:pt>
                <c:pt idx="8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'Program Predictability Measure'!$D$7</c:f>
              <c:strCache>
                <c:ptCount val="1"/>
                <c:pt idx="0">
                  <c:v>Post-Award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'Program Performance Metrics'!$D$2:$L$2</c:f>
              <c:strCache>
                <c:ptCount val="9"/>
                <c:pt idx="0">
                  <c:v>PI.1</c:v>
                </c:pt>
                <c:pt idx="1">
                  <c:v>PI.2</c:v>
                </c:pt>
                <c:pt idx="2">
                  <c:v>PI.3</c:v>
                </c:pt>
                <c:pt idx="3">
                  <c:v>PI.4</c:v>
                </c:pt>
                <c:pt idx="4">
                  <c:v>PI.5</c:v>
                </c:pt>
                <c:pt idx="5">
                  <c:v>PI.6</c:v>
                </c:pt>
                <c:pt idx="6">
                  <c:v>PI.7</c:v>
                </c:pt>
                <c:pt idx="7">
                  <c:v>PI.8</c:v>
                </c:pt>
                <c:pt idx="8">
                  <c:v>PI.9</c:v>
                </c:pt>
              </c:strCache>
            </c:strRef>
          </c:cat>
          <c:val>
            <c:numRef>
              <c:f>'Program Predictability Measure'!$E$7:$M$7</c:f>
              <c:numCache>
                <c:formatCode>0%</c:formatCode>
                <c:ptCount val="9"/>
                <c:pt idx="0">
                  <c:v>0.35</c:v>
                </c:pt>
                <c:pt idx="1">
                  <c:v>0.77</c:v>
                </c:pt>
                <c:pt idx="2">
                  <c:v>0.39</c:v>
                </c:pt>
                <c:pt idx="3">
                  <c:v>0.91</c:v>
                </c:pt>
                <c:pt idx="4">
                  <c:v>0.79</c:v>
                </c:pt>
                <c:pt idx="5">
                  <c:v>0.6</c:v>
                </c:pt>
                <c:pt idx="6">
                  <c:v>0.77</c:v>
                </c:pt>
                <c:pt idx="7">
                  <c:v>0.82</c:v>
                </c:pt>
                <c:pt idx="8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'Program Predictability Measure'!$D$9</c:f>
              <c:strCache>
                <c:ptCount val="1"/>
                <c:pt idx="0">
                  <c:v>Portal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'Program Performance Metrics'!$D$2:$L$2</c:f>
              <c:strCache>
                <c:ptCount val="9"/>
                <c:pt idx="0">
                  <c:v>PI.1</c:v>
                </c:pt>
                <c:pt idx="1">
                  <c:v>PI.2</c:v>
                </c:pt>
                <c:pt idx="2">
                  <c:v>PI.3</c:v>
                </c:pt>
                <c:pt idx="3">
                  <c:v>PI.4</c:v>
                </c:pt>
                <c:pt idx="4">
                  <c:v>PI.5</c:v>
                </c:pt>
                <c:pt idx="5">
                  <c:v>PI.6</c:v>
                </c:pt>
                <c:pt idx="6">
                  <c:v>PI.7</c:v>
                </c:pt>
                <c:pt idx="7">
                  <c:v>PI.8</c:v>
                </c:pt>
                <c:pt idx="8">
                  <c:v>PI.9</c:v>
                </c:pt>
              </c:strCache>
            </c:strRef>
          </c:cat>
          <c:val>
            <c:numRef>
              <c:f>'Program Predictability Measure'!$E$9:$M$9</c:f>
              <c:numCache>
                <c:formatCode>0%</c:formatCode>
                <c:ptCount val="9"/>
                <c:pt idx="0">
                  <c:v>0.6</c:v>
                </c:pt>
                <c:pt idx="1">
                  <c:v>0.74</c:v>
                </c:pt>
                <c:pt idx="2">
                  <c:v>0.65</c:v>
                </c:pt>
                <c:pt idx="3">
                  <c:v>1.05</c:v>
                </c:pt>
                <c:pt idx="4">
                  <c:v>0.75</c:v>
                </c:pt>
                <c:pt idx="5">
                  <c:v>0.71</c:v>
                </c:pt>
                <c:pt idx="6">
                  <c:v>0.25</c:v>
                </c:pt>
                <c:pt idx="7">
                  <c:v>0.63</c:v>
                </c:pt>
                <c:pt idx="8">
                  <c:v>0</c:v>
                </c:pt>
              </c:numCache>
            </c:numRef>
          </c:val>
          <c:smooth val="0"/>
        </c:ser>
        <c:ser>
          <c:idx val="0"/>
          <c:order val="6"/>
          <c:tx>
            <c:strRef>
              <c:f>'Program Predictability Measure'!$D$3</c:f>
              <c:strCache>
                <c:ptCount val="1"/>
                <c:pt idx="0">
                  <c:v>OPSYS Program</c:v>
                </c:pt>
              </c:strCache>
            </c:strRef>
          </c:tx>
          <c:spPr>
            <a:ln w="635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'Program Performance Metrics'!$D$2:$L$2</c:f>
              <c:strCache>
                <c:ptCount val="9"/>
                <c:pt idx="0">
                  <c:v>PI.1</c:v>
                </c:pt>
                <c:pt idx="1">
                  <c:v>PI.2</c:v>
                </c:pt>
                <c:pt idx="2">
                  <c:v>PI.3</c:v>
                </c:pt>
                <c:pt idx="3">
                  <c:v>PI.4</c:v>
                </c:pt>
                <c:pt idx="4">
                  <c:v>PI.5</c:v>
                </c:pt>
                <c:pt idx="5">
                  <c:v>PI.6</c:v>
                </c:pt>
                <c:pt idx="6">
                  <c:v>PI.7</c:v>
                </c:pt>
                <c:pt idx="7">
                  <c:v>PI.8</c:v>
                </c:pt>
                <c:pt idx="8">
                  <c:v>PI.9</c:v>
                </c:pt>
              </c:strCache>
            </c:strRef>
          </c:cat>
          <c:val>
            <c:numRef>
              <c:f>'Program Performance Metrics'!$D$4:$L$4</c:f>
              <c:numCache>
                <c:formatCode>0%</c:formatCode>
                <c:ptCount val="9"/>
                <c:pt idx="0">
                  <c:v>0.6216666666666667</c:v>
                </c:pt>
                <c:pt idx="1">
                  <c:v>0.66333333333333333</c:v>
                </c:pt>
                <c:pt idx="2">
                  <c:v>0.63</c:v>
                </c:pt>
                <c:pt idx="3">
                  <c:v>0.92</c:v>
                </c:pt>
                <c:pt idx="4">
                  <c:v>0.56000000000000005</c:v>
                </c:pt>
                <c:pt idx="5">
                  <c:v>0.61</c:v>
                </c:pt>
                <c:pt idx="6">
                  <c:v>0.57999999999999996</c:v>
                </c:pt>
                <c:pt idx="7">
                  <c:v>0.68</c:v>
                </c:pt>
                <c:pt idx="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829120"/>
        <c:axId val="129839104"/>
      </c:lineChart>
      <c:catAx>
        <c:axId val="129829120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839104"/>
        <c:crosses val="max"/>
        <c:auto val="1"/>
        <c:lblAlgn val="ctr"/>
        <c:lblOffset val="100"/>
        <c:noMultiLvlLbl val="0"/>
      </c:catAx>
      <c:valAx>
        <c:axId val="129839104"/>
        <c:scaling>
          <c:orientation val="minMax"/>
          <c:max val="1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829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369886</xdr:colOff>
      <xdr:row>0</xdr:row>
      <xdr:rowOff>154781</xdr:rowOff>
    </xdr:from>
    <xdr:to>
      <xdr:col>23</xdr:col>
      <xdr:colOff>717550</xdr:colOff>
      <xdr:row>28</xdr:row>
      <xdr:rowOff>116681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0.04777</cdr:x>
      <cdr:y>0.22051</cdr:y>
    </cdr:from>
    <cdr:to>
      <cdr:x>0.98453</cdr:x>
      <cdr:y>0.34292</cdr:y>
    </cdr:to>
    <cdr:sp macro="" textlink="">
      <cdr:nvSpPr>
        <cdr:cNvPr id="2" name="Rectangle 1"/>
        <cdr:cNvSpPr/>
      </cdr:nvSpPr>
      <cdr:spPr>
        <a:xfrm xmlns:a="http://schemas.openxmlformats.org/drawingml/2006/main">
          <a:off x="439739" y="1464469"/>
          <a:ext cx="8623760" cy="812958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4">
            <a:lumMod val="40000"/>
            <a:lumOff val="60000"/>
            <a:alpha val="27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eghaol\AppData\Local\Microsoft\Windows\Temporary%20Internet%20Files\Content.Outlook\1491M099\Burndown_Sample_Clay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Documents/Jobs/DEVCO/COMCORP/Metrics/Copy%20of%20compass-program_and_teams_metrics_new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ource Allocation"/>
      <sheetName val="Burn Down Chart"/>
      <sheetName val="Burn Down"/>
      <sheetName val="Release Burn Down"/>
      <sheetName val="Actual Allocation"/>
      <sheetName val="Sprint Information"/>
      <sheetName val="Burndown_Sample_Clay"/>
    </sheetNames>
    <sheetDataSet>
      <sheetData sheetId="0">
        <row r="2">
          <cell r="B2" t="str">
            <v>Resource</v>
          </cell>
        </row>
        <row r="3">
          <cell r="B3" t="str">
            <v>Amy</v>
          </cell>
        </row>
        <row r="4">
          <cell r="B4" t="str">
            <v>Bob</v>
          </cell>
        </row>
        <row r="5">
          <cell r="B5" t="str">
            <v>Ralph</v>
          </cell>
        </row>
        <row r="6">
          <cell r="B6" t="str">
            <v>Susan</v>
          </cell>
        </row>
        <row r="7">
          <cell r="B7" t="str">
            <v>Thom</v>
          </cell>
        </row>
        <row r="8">
          <cell r="B8" t="str">
            <v>Tim</v>
          </cell>
        </row>
        <row r="9">
          <cell r="B9" t="str">
            <v xml:space="preserve">Days Remaining </v>
          </cell>
          <cell r="C9">
            <v>56.090909090909093</v>
          </cell>
          <cell r="D9">
            <v>49.275757575757581</v>
          </cell>
          <cell r="E9">
            <v>46.325757575757578</v>
          </cell>
          <cell r="F9">
            <v>36.545454545454547</v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 t="str">
            <v/>
          </cell>
          <cell r="P9" t="str">
            <v/>
          </cell>
          <cell r="Q9" t="str">
            <v/>
          </cell>
          <cell r="R9" t="str">
            <v/>
          </cell>
          <cell r="S9" t="str">
            <v/>
          </cell>
          <cell r="T9" t="str">
            <v/>
          </cell>
          <cell r="U9" t="str">
            <v/>
          </cell>
          <cell r="V9" t="str">
            <v/>
          </cell>
          <cell r="W9" t="str">
            <v/>
          </cell>
          <cell r="X9" t="str">
            <v/>
          </cell>
          <cell r="Y9" t="str">
            <v/>
          </cell>
          <cell r="Z9" t="str">
            <v/>
          </cell>
          <cell r="AA9" t="str">
            <v/>
          </cell>
          <cell r="AB9" t="str">
            <v/>
          </cell>
          <cell r="AC9" t="str">
            <v/>
          </cell>
          <cell r="AD9" t="str">
            <v/>
          </cell>
          <cell r="AE9" t="str">
            <v/>
          </cell>
          <cell r="AF9" t="str">
            <v/>
          </cell>
          <cell r="AG9" t="str">
            <v/>
          </cell>
          <cell r="AH9" t="str">
            <v/>
          </cell>
          <cell r="AI9" t="str">
            <v/>
          </cell>
          <cell r="AJ9" t="str">
            <v/>
          </cell>
          <cell r="AK9" t="str">
            <v/>
          </cell>
          <cell r="AL9" t="str">
            <v/>
          </cell>
          <cell r="AM9" t="str">
            <v/>
          </cell>
          <cell r="AN9" t="str">
            <v/>
          </cell>
          <cell r="AO9" t="str">
            <v/>
          </cell>
          <cell r="AP9" t="str">
            <v/>
          </cell>
          <cell r="AQ9" t="str">
            <v/>
          </cell>
          <cell r="AR9" t="str">
            <v/>
          </cell>
          <cell r="AS9" t="str">
            <v/>
          </cell>
          <cell r="AT9" t="str">
            <v/>
          </cell>
          <cell r="AU9" t="str">
            <v/>
          </cell>
          <cell r="AV9" t="str">
            <v/>
          </cell>
          <cell r="AW9" t="str">
            <v/>
          </cell>
          <cell r="AX9" t="str">
            <v/>
          </cell>
          <cell r="AY9" t="str">
            <v/>
          </cell>
          <cell r="AZ9" t="str">
            <v/>
          </cell>
          <cell r="BA9" t="str">
            <v/>
          </cell>
          <cell r="BB9" t="str">
            <v/>
          </cell>
          <cell r="BC9" t="str">
            <v/>
          </cell>
          <cell r="BD9" t="str">
            <v/>
          </cell>
          <cell r="BE9" t="str">
            <v/>
          </cell>
          <cell r="BF9" t="str">
            <v/>
          </cell>
          <cell r="BG9" t="str">
            <v/>
          </cell>
          <cell r="BH9" t="str">
            <v/>
          </cell>
          <cell r="BI9" t="str">
            <v/>
          </cell>
          <cell r="BJ9" t="str">
            <v/>
          </cell>
          <cell r="BK9" t="str">
            <v/>
          </cell>
          <cell r="BL9" t="str">
            <v/>
          </cell>
          <cell r="BM9" t="str">
            <v/>
          </cell>
          <cell r="BN9" t="str">
            <v/>
          </cell>
          <cell r="BO9" t="str">
            <v/>
          </cell>
          <cell r="BP9" t="str">
            <v/>
          </cell>
          <cell r="BQ9" t="str">
            <v/>
          </cell>
          <cell r="BR9" t="str">
            <v/>
          </cell>
          <cell r="BS9" t="str">
            <v/>
          </cell>
          <cell r="BT9" t="str">
            <v/>
          </cell>
          <cell r="BU9" t="str">
            <v/>
          </cell>
          <cell r="BV9" t="str">
            <v/>
          </cell>
          <cell r="BW9" t="str">
            <v/>
          </cell>
          <cell r="BX9" t="str">
            <v/>
          </cell>
          <cell r="BY9" t="str">
            <v/>
          </cell>
          <cell r="BZ9" t="str">
            <v/>
          </cell>
          <cell r="CA9" t="str">
            <v/>
          </cell>
          <cell r="CB9" t="str">
            <v/>
          </cell>
          <cell r="CC9" t="str">
            <v/>
          </cell>
          <cell r="CD9" t="str">
            <v/>
          </cell>
          <cell r="CE9" t="str">
            <v/>
          </cell>
          <cell r="CF9" t="str">
            <v/>
          </cell>
          <cell r="CG9" t="str">
            <v/>
          </cell>
          <cell r="CH9" t="str">
            <v/>
          </cell>
          <cell r="CI9" t="str">
            <v/>
          </cell>
          <cell r="CJ9" t="str">
            <v/>
          </cell>
          <cell r="CK9" t="str">
            <v/>
          </cell>
          <cell r="CL9" t="str">
            <v/>
          </cell>
          <cell r="CM9" t="str">
            <v/>
          </cell>
          <cell r="CN9" t="str">
            <v/>
          </cell>
          <cell r="CO9" t="str">
            <v/>
          </cell>
          <cell r="CP9" t="str">
            <v/>
          </cell>
          <cell r="CQ9" t="str">
            <v/>
          </cell>
          <cell r="CR9" t="str">
            <v/>
          </cell>
          <cell r="CS9" t="str">
            <v/>
          </cell>
          <cell r="CT9" t="str">
            <v/>
          </cell>
          <cell r="CU9" t="str">
            <v/>
          </cell>
          <cell r="CV9" t="str">
            <v/>
          </cell>
          <cell r="CW9" t="str">
            <v/>
          </cell>
          <cell r="CX9" t="str">
            <v/>
          </cell>
          <cell r="CY9" t="str">
            <v/>
          </cell>
          <cell r="CZ9" t="str">
            <v/>
          </cell>
          <cell r="DA9" t="str">
            <v/>
          </cell>
        </row>
      </sheetData>
      <sheetData sheetId="1" refreshError="1"/>
      <sheetData sheetId="2">
        <row r="1">
          <cell r="F1" t="str">
            <v>Postponed</v>
          </cell>
        </row>
      </sheetData>
      <sheetData sheetId="3"/>
      <sheetData sheetId="4">
        <row r="2">
          <cell r="A2" t="str">
            <v>Resource</v>
          </cell>
        </row>
        <row r="3">
          <cell r="A3" t="str">
            <v>Amy</v>
          </cell>
          <cell r="D3">
            <v>9</v>
          </cell>
          <cell r="E3">
            <v>8.6999999999999993</v>
          </cell>
          <cell r="F3">
            <v>8</v>
          </cell>
          <cell r="G3">
            <v>7</v>
          </cell>
          <cell r="H3" t="str">
            <v/>
          </cell>
          <cell r="I3" t="str">
            <v/>
          </cell>
          <cell r="J3" t="str">
            <v/>
          </cell>
          <cell r="K3" t="str">
            <v/>
          </cell>
          <cell r="L3" t="str">
            <v/>
          </cell>
          <cell r="M3" t="str">
            <v/>
          </cell>
          <cell r="N3" t="str">
            <v/>
          </cell>
          <cell r="O3" t="str">
            <v/>
          </cell>
          <cell r="P3" t="str">
            <v/>
          </cell>
          <cell r="Q3" t="str">
            <v/>
          </cell>
          <cell r="R3" t="str">
            <v/>
          </cell>
          <cell r="S3" t="str">
            <v/>
          </cell>
          <cell r="T3" t="str">
            <v/>
          </cell>
          <cell r="U3" t="str">
            <v/>
          </cell>
          <cell r="V3" t="str">
            <v/>
          </cell>
          <cell r="W3" t="str">
            <v/>
          </cell>
          <cell r="X3" t="str">
            <v/>
          </cell>
          <cell r="Y3" t="str">
            <v/>
          </cell>
          <cell r="Z3" t="str">
            <v/>
          </cell>
          <cell r="AA3" t="str">
            <v/>
          </cell>
          <cell r="AB3" t="str">
            <v/>
          </cell>
          <cell r="AC3" t="str">
            <v/>
          </cell>
          <cell r="AD3" t="str">
            <v/>
          </cell>
          <cell r="AE3" t="str">
            <v/>
          </cell>
          <cell r="AF3" t="str">
            <v/>
          </cell>
          <cell r="AG3" t="str">
            <v/>
          </cell>
          <cell r="AH3" t="str">
            <v/>
          </cell>
          <cell r="AI3" t="str">
            <v/>
          </cell>
          <cell r="AJ3" t="str">
            <v/>
          </cell>
          <cell r="AK3" t="str">
            <v/>
          </cell>
          <cell r="AL3" t="str">
            <v/>
          </cell>
          <cell r="AM3" t="str">
            <v/>
          </cell>
          <cell r="AN3" t="str">
            <v/>
          </cell>
          <cell r="AO3" t="str">
            <v/>
          </cell>
          <cell r="AP3" t="str">
            <v/>
          </cell>
          <cell r="AQ3" t="str">
            <v/>
          </cell>
          <cell r="AR3" t="str">
            <v/>
          </cell>
          <cell r="AS3" t="str">
            <v/>
          </cell>
          <cell r="AT3" t="str">
            <v/>
          </cell>
          <cell r="AU3" t="str">
            <v/>
          </cell>
          <cell r="AV3" t="str">
            <v/>
          </cell>
          <cell r="AW3" t="str">
            <v/>
          </cell>
          <cell r="AX3" t="str">
            <v/>
          </cell>
          <cell r="AY3" t="str">
            <v/>
          </cell>
          <cell r="AZ3" t="str">
            <v/>
          </cell>
          <cell r="BA3" t="str">
            <v/>
          </cell>
          <cell r="BB3" t="str">
            <v/>
          </cell>
          <cell r="BC3" t="str">
            <v/>
          </cell>
          <cell r="BD3" t="str">
            <v/>
          </cell>
          <cell r="BE3" t="str">
            <v/>
          </cell>
          <cell r="BF3" t="str">
            <v/>
          </cell>
          <cell r="BG3" t="str">
            <v/>
          </cell>
          <cell r="BH3" t="str">
            <v/>
          </cell>
          <cell r="BI3" t="str">
            <v/>
          </cell>
          <cell r="BJ3" t="str">
            <v/>
          </cell>
          <cell r="BK3" t="str">
            <v/>
          </cell>
          <cell r="BL3" t="str">
            <v/>
          </cell>
          <cell r="BM3" t="str">
            <v/>
          </cell>
          <cell r="BN3" t="str">
            <v/>
          </cell>
          <cell r="BO3" t="str">
            <v/>
          </cell>
          <cell r="BP3" t="str">
            <v/>
          </cell>
          <cell r="BQ3" t="str">
            <v/>
          </cell>
          <cell r="BR3" t="str">
            <v/>
          </cell>
          <cell r="BS3" t="str">
            <v/>
          </cell>
          <cell r="BT3" t="str">
            <v/>
          </cell>
          <cell r="BU3" t="str">
            <v/>
          </cell>
          <cell r="BV3" t="str">
            <v/>
          </cell>
          <cell r="BW3" t="str">
            <v/>
          </cell>
          <cell r="BX3" t="str">
            <v/>
          </cell>
          <cell r="BY3" t="str">
            <v/>
          </cell>
          <cell r="BZ3" t="str">
            <v/>
          </cell>
          <cell r="CA3" t="str">
            <v/>
          </cell>
          <cell r="CB3" t="str">
            <v/>
          </cell>
          <cell r="CC3" t="str">
            <v/>
          </cell>
          <cell r="CD3" t="str">
            <v/>
          </cell>
          <cell r="CE3" t="str">
            <v/>
          </cell>
          <cell r="CF3" t="str">
            <v/>
          </cell>
          <cell r="CG3" t="str">
            <v/>
          </cell>
          <cell r="CH3" t="str">
            <v/>
          </cell>
          <cell r="CI3" t="str">
            <v/>
          </cell>
          <cell r="CJ3" t="str">
            <v/>
          </cell>
          <cell r="CK3" t="str">
            <v/>
          </cell>
          <cell r="CL3" t="str">
            <v/>
          </cell>
          <cell r="CM3" t="str">
            <v/>
          </cell>
          <cell r="CN3" t="str">
            <v/>
          </cell>
          <cell r="CO3" t="str">
            <v/>
          </cell>
          <cell r="CP3" t="str">
            <v/>
          </cell>
          <cell r="CQ3" t="str">
            <v/>
          </cell>
          <cell r="CR3" t="str">
            <v/>
          </cell>
          <cell r="CS3" t="str">
            <v/>
          </cell>
          <cell r="CT3" t="str">
            <v/>
          </cell>
          <cell r="CU3" t="str">
            <v/>
          </cell>
          <cell r="CV3" t="str">
            <v/>
          </cell>
          <cell r="CW3" t="str">
            <v/>
          </cell>
          <cell r="CX3" t="str">
            <v/>
          </cell>
          <cell r="CY3" t="str">
            <v/>
          </cell>
          <cell r="CZ3" t="str">
            <v/>
          </cell>
          <cell r="DA3" t="str">
            <v/>
          </cell>
          <cell r="DB3" t="str">
            <v/>
          </cell>
        </row>
        <row r="4">
          <cell r="A4" t="str">
            <v>Bob</v>
          </cell>
          <cell r="D4">
            <v>9</v>
          </cell>
          <cell r="E4">
            <v>9</v>
          </cell>
          <cell r="F4">
            <v>8.5</v>
          </cell>
          <cell r="G4">
            <v>6</v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 t="str">
            <v/>
          </cell>
          <cell r="P4" t="str">
            <v/>
          </cell>
          <cell r="Q4" t="str">
            <v/>
          </cell>
          <cell r="R4" t="str">
            <v/>
          </cell>
          <cell r="S4" t="str">
            <v/>
          </cell>
          <cell r="T4" t="str">
            <v/>
          </cell>
          <cell r="U4" t="str">
            <v/>
          </cell>
          <cell r="V4" t="str">
            <v/>
          </cell>
          <cell r="W4" t="str">
            <v/>
          </cell>
          <cell r="X4" t="str">
            <v/>
          </cell>
          <cell r="Y4" t="str">
            <v/>
          </cell>
          <cell r="Z4" t="str">
            <v/>
          </cell>
          <cell r="AA4" t="str">
            <v/>
          </cell>
          <cell r="AB4" t="str">
            <v/>
          </cell>
          <cell r="AC4" t="str">
            <v/>
          </cell>
          <cell r="AD4" t="str">
            <v/>
          </cell>
          <cell r="AE4" t="str">
            <v/>
          </cell>
          <cell r="AF4" t="str">
            <v/>
          </cell>
          <cell r="AG4" t="str">
            <v/>
          </cell>
          <cell r="AH4" t="str">
            <v/>
          </cell>
          <cell r="AI4" t="str">
            <v/>
          </cell>
          <cell r="AJ4" t="str">
            <v/>
          </cell>
          <cell r="AK4" t="str">
            <v/>
          </cell>
          <cell r="AL4" t="str">
            <v/>
          </cell>
          <cell r="AM4" t="str">
            <v/>
          </cell>
          <cell r="AN4" t="str">
            <v/>
          </cell>
          <cell r="AO4" t="str">
            <v/>
          </cell>
          <cell r="AP4" t="str">
            <v/>
          </cell>
          <cell r="AQ4" t="str">
            <v/>
          </cell>
          <cell r="AR4" t="str">
            <v/>
          </cell>
          <cell r="AS4" t="str">
            <v/>
          </cell>
          <cell r="AT4" t="str">
            <v/>
          </cell>
          <cell r="AU4" t="str">
            <v/>
          </cell>
          <cell r="AV4" t="str">
            <v/>
          </cell>
          <cell r="AW4" t="str">
            <v/>
          </cell>
          <cell r="AX4" t="str">
            <v/>
          </cell>
          <cell r="AY4" t="str">
            <v/>
          </cell>
          <cell r="AZ4" t="str">
            <v/>
          </cell>
          <cell r="BA4" t="str">
            <v/>
          </cell>
          <cell r="BB4" t="str">
            <v/>
          </cell>
          <cell r="BC4" t="str">
            <v/>
          </cell>
          <cell r="BD4" t="str">
            <v/>
          </cell>
          <cell r="BE4" t="str">
            <v/>
          </cell>
          <cell r="BF4" t="str">
            <v/>
          </cell>
          <cell r="BG4" t="str">
            <v/>
          </cell>
          <cell r="BH4" t="str">
            <v/>
          </cell>
          <cell r="BI4" t="str">
            <v/>
          </cell>
          <cell r="BJ4" t="str">
            <v/>
          </cell>
          <cell r="BK4" t="str">
            <v/>
          </cell>
          <cell r="BL4" t="str">
            <v/>
          </cell>
          <cell r="BM4" t="str">
            <v/>
          </cell>
          <cell r="BN4" t="str">
            <v/>
          </cell>
          <cell r="BO4" t="str">
            <v/>
          </cell>
          <cell r="BP4" t="str">
            <v/>
          </cell>
          <cell r="BQ4" t="str">
            <v/>
          </cell>
          <cell r="BR4" t="str">
            <v/>
          </cell>
          <cell r="BS4" t="str">
            <v/>
          </cell>
          <cell r="BT4" t="str">
            <v/>
          </cell>
          <cell r="BU4" t="str">
            <v/>
          </cell>
          <cell r="BV4" t="str">
            <v/>
          </cell>
          <cell r="BW4" t="str">
            <v/>
          </cell>
          <cell r="BX4" t="str">
            <v/>
          </cell>
          <cell r="BY4" t="str">
            <v/>
          </cell>
          <cell r="BZ4" t="str">
            <v/>
          </cell>
          <cell r="CA4" t="str">
            <v/>
          </cell>
          <cell r="CB4" t="str">
            <v/>
          </cell>
          <cell r="CC4" t="str">
            <v/>
          </cell>
          <cell r="CD4" t="str">
            <v/>
          </cell>
          <cell r="CE4" t="str">
            <v/>
          </cell>
          <cell r="CF4" t="str">
            <v/>
          </cell>
          <cell r="CG4" t="str">
            <v/>
          </cell>
          <cell r="CH4" t="str">
            <v/>
          </cell>
          <cell r="CI4" t="str">
            <v/>
          </cell>
          <cell r="CJ4" t="str">
            <v/>
          </cell>
          <cell r="CK4" t="str">
            <v/>
          </cell>
          <cell r="CL4" t="str">
            <v/>
          </cell>
          <cell r="CM4" t="str">
            <v/>
          </cell>
          <cell r="CN4" t="str">
            <v/>
          </cell>
          <cell r="CO4" t="str">
            <v/>
          </cell>
          <cell r="CP4" t="str">
            <v/>
          </cell>
          <cell r="CQ4" t="str">
            <v/>
          </cell>
          <cell r="CR4" t="str">
            <v/>
          </cell>
          <cell r="CS4" t="str">
            <v/>
          </cell>
          <cell r="CT4" t="str">
            <v/>
          </cell>
          <cell r="CU4" t="str">
            <v/>
          </cell>
          <cell r="CV4" t="str">
            <v/>
          </cell>
          <cell r="CW4" t="str">
            <v/>
          </cell>
          <cell r="CX4" t="str">
            <v/>
          </cell>
          <cell r="CY4" t="str">
            <v/>
          </cell>
          <cell r="CZ4" t="str">
            <v/>
          </cell>
          <cell r="DA4" t="str">
            <v/>
          </cell>
          <cell r="DB4" t="str">
            <v/>
          </cell>
        </row>
        <row r="5">
          <cell r="A5" t="str">
            <v>Ralph</v>
          </cell>
          <cell r="D5">
            <v>9</v>
          </cell>
          <cell r="E5">
            <v>8</v>
          </cell>
          <cell r="F5">
            <v>7.25</v>
          </cell>
          <cell r="G5">
            <v>6</v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 t="str">
            <v/>
          </cell>
          <cell r="P5" t="str">
            <v/>
          </cell>
          <cell r="Q5" t="str">
            <v/>
          </cell>
          <cell r="R5" t="str">
            <v/>
          </cell>
          <cell r="S5" t="str">
            <v/>
          </cell>
          <cell r="T5" t="str">
            <v/>
          </cell>
          <cell r="U5" t="str">
            <v/>
          </cell>
          <cell r="V5" t="str">
            <v/>
          </cell>
          <cell r="W5" t="str">
            <v/>
          </cell>
          <cell r="X5" t="str">
            <v/>
          </cell>
          <cell r="Y5" t="str">
            <v/>
          </cell>
          <cell r="Z5" t="str">
            <v/>
          </cell>
          <cell r="AA5" t="str">
            <v/>
          </cell>
          <cell r="AB5" t="str">
            <v/>
          </cell>
          <cell r="AC5" t="str">
            <v/>
          </cell>
          <cell r="AD5" t="str">
            <v/>
          </cell>
          <cell r="AE5" t="str">
            <v/>
          </cell>
          <cell r="AF5" t="str">
            <v/>
          </cell>
          <cell r="AG5" t="str">
            <v/>
          </cell>
          <cell r="AH5" t="str">
            <v/>
          </cell>
          <cell r="AI5" t="str">
            <v/>
          </cell>
          <cell r="AJ5" t="str">
            <v/>
          </cell>
          <cell r="AK5" t="str">
            <v/>
          </cell>
          <cell r="AL5" t="str">
            <v/>
          </cell>
          <cell r="AM5" t="str">
            <v/>
          </cell>
          <cell r="AN5" t="str">
            <v/>
          </cell>
          <cell r="AO5" t="str">
            <v/>
          </cell>
          <cell r="AP5" t="str">
            <v/>
          </cell>
          <cell r="AQ5" t="str">
            <v/>
          </cell>
          <cell r="AR5" t="str">
            <v/>
          </cell>
          <cell r="AS5" t="str">
            <v/>
          </cell>
          <cell r="AT5" t="str">
            <v/>
          </cell>
          <cell r="AU5" t="str">
            <v/>
          </cell>
          <cell r="AV5" t="str">
            <v/>
          </cell>
          <cell r="AW5" t="str">
            <v/>
          </cell>
          <cell r="AX5" t="str">
            <v/>
          </cell>
          <cell r="AY5" t="str">
            <v/>
          </cell>
          <cell r="AZ5" t="str">
            <v/>
          </cell>
          <cell r="BA5" t="str">
            <v/>
          </cell>
          <cell r="BB5" t="str">
            <v/>
          </cell>
          <cell r="BC5" t="str">
            <v/>
          </cell>
          <cell r="BD5" t="str">
            <v/>
          </cell>
          <cell r="BE5" t="str">
            <v/>
          </cell>
          <cell r="BF5" t="str">
            <v/>
          </cell>
          <cell r="BG5" t="str">
            <v/>
          </cell>
          <cell r="BH5" t="str">
            <v/>
          </cell>
          <cell r="BI5" t="str">
            <v/>
          </cell>
          <cell r="BJ5" t="str">
            <v/>
          </cell>
          <cell r="BK5" t="str">
            <v/>
          </cell>
          <cell r="BL5" t="str">
            <v/>
          </cell>
          <cell r="BM5" t="str">
            <v/>
          </cell>
          <cell r="BN5" t="str">
            <v/>
          </cell>
          <cell r="BO5" t="str">
            <v/>
          </cell>
          <cell r="BP5" t="str">
            <v/>
          </cell>
          <cell r="BQ5" t="str">
            <v/>
          </cell>
          <cell r="BR5" t="str">
            <v/>
          </cell>
          <cell r="BS5" t="str">
            <v/>
          </cell>
          <cell r="BT5" t="str">
            <v/>
          </cell>
          <cell r="BU5" t="str">
            <v/>
          </cell>
          <cell r="BV5" t="str">
            <v/>
          </cell>
          <cell r="BW5" t="str">
            <v/>
          </cell>
          <cell r="BX5" t="str">
            <v/>
          </cell>
          <cell r="BY5" t="str">
            <v/>
          </cell>
          <cell r="BZ5" t="str">
            <v/>
          </cell>
          <cell r="CA5" t="str">
            <v/>
          </cell>
          <cell r="CB5" t="str">
            <v/>
          </cell>
          <cell r="CC5" t="str">
            <v/>
          </cell>
          <cell r="CD5" t="str">
            <v/>
          </cell>
          <cell r="CE5" t="str">
            <v/>
          </cell>
          <cell r="CF5" t="str">
            <v/>
          </cell>
          <cell r="CG5" t="str">
            <v/>
          </cell>
          <cell r="CH5" t="str">
            <v/>
          </cell>
          <cell r="CI5" t="str">
            <v/>
          </cell>
          <cell r="CJ5" t="str">
            <v/>
          </cell>
          <cell r="CK5" t="str">
            <v/>
          </cell>
          <cell r="CL5" t="str">
            <v/>
          </cell>
          <cell r="CM5" t="str">
            <v/>
          </cell>
          <cell r="CN5" t="str">
            <v/>
          </cell>
          <cell r="CO5" t="str">
            <v/>
          </cell>
          <cell r="CP5" t="str">
            <v/>
          </cell>
          <cell r="CQ5" t="str">
            <v/>
          </cell>
          <cell r="CR5" t="str">
            <v/>
          </cell>
          <cell r="CS5" t="str">
            <v/>
          </cell>
          <cell r="CT5" t="str">
            <v/>
          </cell>
          <cell r="CU5" t="str">
            <v/>
          </cell>
          <cell r="CV5" t="str">
            <v/>
          </cell>
          <cell r="CW5" t="str">
            <v/>
          </cell>
          <cell r="CX5" t="str">
            <v/>
          </cell>
          <cell r="CY5" t="str">
            <v/>
          </cell>
          <cell r="CZ5" t="str">
            <v/>
          </cell>
          <cell r="DA5" t="str">
            <v/>
          </cell>
          <cell r="DB5" t="str">
            <v/>
          </cell>
        </row>
        <row r="6">
          <cell r="A6" t="str">
            <v>Susan</v>
          </cell>
          <cell r="D6">
            <v>11</v>
          </cell>
          <cell r="E6">
            <v>10</v>
          </cell>
          <cell r="F6">
            <v>9</v>
          </cell>
          <cell r="G6">
            <v>8</v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 t="str">
            <v/>
          </cell>
          <cell r="P6" t="str">
            <v/>
          </cell>
          <cell r="Q6" t="str">
            <v/>
          </cell>
          <cell r="R6" t="str">
            <v/>
          </cell>
          <cell r="S6" t="str">
            <v/>
          </cell>
          <cell r="T6" t="str">
            <v/>
          </cell>
          <cell r="U6" t="str">
            <v/>
          </cell>
          <cell r="V6" t="str">
            <v/>
          </cell>
          <cell r="W6" t="str">
            <v/>
          </cell>
          <cell r="X6" t="str">
            <v/>
          </cell>
          <cell r="Y6" t="str">
            <v/>
          </cell>
          <cell r="Z6" t="str">
            <v/>
          </cell>
          <cell r="AA6" t="str">
            <v/>
          </cell>
          <cell r="AB6" t="str">
            <v/>
          </cell>
          <cell r="AC6" t="str">
            <v/>
          </cell>
          <cell r="AD6" t="str">
            <v/>
          </cell>
          <cell r="AE6" t="str">
            <v/>
          </cell>
          <cell r="AF6" t="str">
            <v/>
          </cell>
          <cell r="AG6" t="str">
            <v/>
          </cell>
          <cell r="AH6" t="str">
            <v/>
          </cell>
          <cell r="AI6" t="str">
            <v/>
          </cell>
          <cell r="AJ6" t="str">
            <v/>
          </cell>
          <cell r="AK6" t="str">
            <v/>
          </cell>
          <cell r="AL6" t="str">
            <v/>
          </cell>
          <cell r="AM6" t="str">
            <v/>
          </cell>
          <cell r="AN6" t="str">
            <v/>
          </cell>
          <cell r="AO6" t="str">
            <v/>
          </cell>
          <cell r="AP6" t="str">
            <v/>
          </cell>
          <cell r="AQ6" t="str">
            <v/>
          </cell>
          <cell r="AR6" t="str">
            <v/>
          </cell>
          <cell r="AS6" t="str">
            <v/>
          </cell>
          <cell r="AT6" t="str">
            <v/>
          </cell>
          <cell r="AU6" t="str">
            <v/>
          </cell>
          <cell r="AV6" t="str">
            <v/>
          </cell>
          <cell r="AW6" t="str">
            <v/>
          </cell>
          <cell r="AX6" t="str">
            <v/>
          </cell>
          <cell r="AY6" t="str">
            <v/>
          </cell>
          <cell r="AZ6" t="str">
            <v/>
          </cell>
          <cell r="BA6" t="str">
            <v/>
          </cell>
          <cell r="BB6" t="str">
            <v/>
          </cell>
          <cell r="BC6" t="str">
            <v/>
          </cell>
          <cell r="BD6" t="str">
            <v/>
          </cell>
          <cell r="BE6" t="str">
            <v/>
          </cell>
          <cell r="BF6" t="str">
            <v/>
          </cell>
          <cell r="BG6" t="str">
            <v/>
          </cell>
          <cell r="BH6" t="str">
            <v/>
          </cell>
          <cell r="BI6" t="str">
            <v/>
          </cell>
          <cell r="BJ6" t="str">
            <v/>
          </cell>
          <cell r="BK6" t="str">
            <v/>
          </cell>
          <cell r="BL6" t="str">
            <v/>
          </cell>
          <cell r="BM6" t="str">
            <v/>
          </cell>
          <cell r="BN6" t="str">
            <v/>
          </cell>
          <cell r="BO6" t="str">
            <v/>
          </cell>
          <cell r="BP6" t="str">
            <v/>
          </cell>
          <cell r="BQ6" t="str">
            <v/>
          </cell>
          <cell r="BR6" t="str">
            <v/>
          </cell>
          <cell r="BS6" t="str">
            <v/>
          </cell>
          <cell r="BT6" t="str">
            <v/>
          </cell>
          <cell r="BU6" t="str">
            <v/>
          </cell>
          <cell r="BV6" t="str">
            <v/>
          </cell>
          <cell r="BW6" t="str">
            <v/>
          </cell>
          <cell r="BX6" t="str">
            <v/>
          </cell>
          <cell r="BY6" t="str">
            <v/>
          </cell>
          <cell r="BZ6" t="str">
            <v/>
          </cell>
          <cell r="CA6" t="str">
            <v/>
          </cell>
          <cell r="CB6" t="str">
            <v/>
          </cell>
          <cell r="CC6" t="str">
            <v/>
          </cell>
          <cell r="CD6" t="str">
            <v/>
          </cell>
          <cell r="CE6" t="str">
            <v/>
          </cell>
          <cell r="CF6" t="str">
            <v/>
          </cell>
          <cell r="CG6" t="str">
            <v/>
          </cell>
          <cell r="CH6" t="str">
            <v/>
          </cell>
          <cell r="CI6" t="str">
            <v/>
          </cell>
          <cell r="CJ6" t="str">
            <v/>
          </cell>
          <cell r="CK6" t="str">
            <v/>
          </cell>
          <cell r="CL6" t="str">
            <v/>
          </cell>
          <cell r="CM6" t="str">
            <v/>
          </cell>
          <cell r="CN6" t="str">
            <v/>
          </cell>
          <cell r="CO6" t="str">
            <v/>
          </cell>
          <cell r="CP6" t="str">
            <v/>
          </cell>
          <cell r="CQ6" t="str">
            <v/>
          </cell>
          <cell r="CR6" t="str">
            <v/>
          </cell>
          <cell r="CS6" t="str">
            <v/>
          </cell>
          <cell r="CT6" t="str">
            <v/>
          </cell>
          <cell r="CU6" t="str">
            <v/>
          </cell>
          <cell r="CV6" t="str">
            <v/>
          </cell>
          <cell r="CW6" t="str">
            <v/>
          </cell>
          <cell r="CX6" t="str">
            <v/>
          </cell>
          <cell r="CY6" t="str">
            <v/>
          </cell>
          <cell r="CZ6" t="str">
            <v/>
          </cell>
          <cell r="DA6" t="str">
            <v/>
          </cell>
          <cell r="DB6" t="str">
            <v/>
          </cell>
        </row>
        <row r="7">
          <cell r="A7" t="str">
            <v>Thom</v>
          </cell>
          <cell r="D7">
            <v>3</v>
          </cell>
          <cell r="E7">
            <v>2.5</v>
          </cell>
          <cell r="F7">
            <v>2.5</v>
          </cell>
          <cell r="G7">
            <v>1.5</v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F7" t="str">
            <v/>
          </cell>
          <cell r="AG7" t="str">
            <v/>
          </cell>
          <cell r="AH7" t="str">
            <v/>
          </cell>
          <cell r="AI7" t="str">
            <v/>
          </cell>
          <cell r="AJ7" t="str">
            <v/>
          </cell>
          <cell r="AK7" t="str">
            <v/>
          </cell>
          <cell r="AL7" t="str">
            <v/>
          </cell>
          <cell r="AM7" t="str">
            <v/>
          </cell>
          <cell r="AN7" t="str">
            <v/>
          </cell>
          <cell r="AO7" t="str">
            <v/>
          </cell>
          <cell r="AP7" t="str">
            <v/>
          </cell>
          <cell r="AQ7" t="str">
            <v/>
          </cell>
          <cell r="AR7" t="str">
            <v/>
          </cell>
          <cell r="AS7" t="str">
            <v/>
          </cell>
          <cell r="AT7" t="str">
            <v/>
          </cell>
          <cell r="AU7" t="str">
            <v/>
          </cell>
          <cell r="AV7" t="str">
            <v/>
          </cell>
          <cell r="AW7" t="str">
            <v/>
          </cell>
          <cell r="AX7" t="str">
            <v/>
          </cell>
          <cell r="AY7" t="str">
            <v/>
          </cell>
          <cell r="AZ7" t="str">
            <v/>
          </cell>
          <cell r="BA7" t="str">
            <v/>
          </cell>
          <cell r="BB7" t="str">
            <v/>
          </cell>
          <cell r="BC7" t="str">
            <v/>
          </cell>
          <cell r="BD7" t="str">
            <v/>
          </cell>
          <cell r="BE7" t="str">
            <v/>
          </cell>
          <cell r="BF7" t="str">
            <v/>
          </cell>
          <cell r="BG7" t="str">
            <v/>
          </cell>
          <cell r="BH7" t="str">
            <v/>
          </cell>
          <cell r="BI7" t="str">
            <v/>
          </cell>
          <cell r="BJ7" t="str">
            <v/>
          </cell>
          <cell r="BK7" t="str">
            <v/>
          </cell>
          <cell r="BL7" t="str">
            <v/>
          </cell>
          <cell r="BM7" t="str">
            <v/>
          </cell>
          <cell r="BN7" t="str">
            <v/>
          </cell>
          <cell r="BO7" t="str">
            <v/>
          </cell>
          <cell r="BP7" t="str">
            <v/>
          </cell>
          <cell r="BQ7" t="str">
            <v/>
          </cell>
          <cell r="BR7" t="str">
            <v/>
          </cell>
          <cell r="BS7" t="str">
            <v/>
          </cell>
          <cell r="BT7" t="str">
            <v/>
          </cell>
          <cell r="BU7" t="str">
            <v/>
          </cell>
          <cell r="BV7" t="str">
            <v/>
          </cell>
          <cell r="BW7" t="str">
            <v/>
          </cell>
          <cell r="BX7" t="str">
            <v/>
          </cell>
          <cell r="BY7" t="str">
            <v/>
          </cell>
          <cell r="BZ7" t="str">
            <v/>
          </cell>
          <cell r="CA7" t="str">
            <v/>
          </cell>
          <cell r="CB7" t="str">
            <v/>
          </cell>
          <cell r="CC7" t="str">
            <v/>
          </cell>
          <cell r="CD7" t="str">
            <v/>
          </cell>
          <cell r="CE7" t="str">
            <v/>
          </cell>
          <cell r="CF7" t="str">
            <v/>
          </cell>
          <cell r="CG7" t="str">
            <v/>
          </cell>
          <cell r="CH7" t="str">
            <v/>
          </cell>
          <cell r="CI7" t="str">
            <v/>
          </cell>
          <cell r="CJ7" t="str">
            <v/>
          </cell>
          <cell r="CK7" t="str">
            <v/>
          </cell>
          <cell r="CL7" t="str">
            <v/>
          </cell>
          <cell r="CM7" t="str">
            <v/>
          </cell>
          <cell r="CN7" t="str">
            <v/>
          </cell>
          <cell r="CO7" t="str">
            <v/>
          </cell>
          <cell r="CP7" t="str">
            <v/>
          </cell>
          <cell r="CQ7" t="str">
            <v/>
          </cell>
          <cell r="CR7" t="str">
            <v/>
          </cell>
          <cell r="CS7" t="str">
            <v/>
          </cell>
          <cell r="CT7" t="str">
            <v/>
          </cell>
          <cell r="CU7" t="str">
            <v/>
          </cell>
          <cell r="CV7" t="str">
            <v/>
          </cell>
          <cell r="CW7" t="str">
            <v/>
          </cell>
          <cell r="CX7" t="str">
            <v/>
          </cell>
          <cell r="CY7" t="str">
            <v/>
          </cell>
          <cell r="CZ7" t="str">
            <v/>
          </cell>
          <cell r="DA7" t="str">
            <v/>
          </cell>
          <cell r="DB7" t="str">
            <v/>
          </cell>
        </row>
        <row r="8">
          <cell r="A8" t="str">
            <v>Tim</v>
          </cell>
          <cell r="D8">
            <v>4.5</v>
          </cell>
          <cell r="E8">
            <v>3</v>
          </cell>
          <cell r="F8">
            <v>3</v>
          </cell>
          <cell r="G8">
            <v>2.5</v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 t="str">
            <v/>
          </cell>
          <cell r="P8" t="str">
            <v/>
          </cell>
          <cell r="Q8" t="str">
            <v/>
          </cell>
          <cell r="R8" t="str">
            <v/>
          </cell>
          <cell r="S8" t="str">
            <v/>
          </cell>
          <cell r="T8" t="str">
            <v/>
          </cell>
          <cell r="U8" t="str">
            <v/>
          </cell>
          <cell r="V8" t="str">
            <v/>
          </cell>
          <cell r="W8" t="str">
            <v/>
          </cell>
          <cell r="X8" t="str">
            <v/>
          </cell>
          <cell r="Y8" t="str">
            <v/>
          </cell>
          <cell r="Z8" t="str">
            <v/>
          </cell>
          <cell r="AA8" t="str">
            <v/>
          </cell>
          <cell r="AB8" t="str">
            <v/>
          </cell>
          <cell r="AC8" t="str">
            <v/>
          </cell>
          <cell r="AD8" t="str">
            <v/>
          </cell>
          <cell r="AE8" t="str">
            <v/>
          </cell>
          <cell r="AF8" t="str">
            <v/>
          </cell>
          <cell r="AG8" t="str">
            <v/>
          </cell>
          <cell r="AH8" t="str">
            <v/>
          </cell>
          <cell r="AI8" t="str">
            <v/>
          </cell>
          <cell r="AJ8" t="str">
            <v/>
          </cell>
          <cell r="AK8" t="str">
            <v/>
          </cell>
          <cell r="AL8" t="str">
            <v/>
          </cell>
          <cell r="AM8" t="str">
            <v/>
          </cell>
          <cell r="AN8" t="str">
            <v/>
          </cell>
          <cell r="AO8" t="str">
            <v/>
          </cell>
          <cell r="AP8" t="str">
            <v/>
          </cell>
          <cell r="AQ8" t="str">
            <v/>
          </cell>
          <cell r="AR8" t="str">
            <v/>
          </cell>
          <cell r="AS8" t="str">
            <v/>
          </cell>
          <cell r="AT8" t="str">
            <v/>
          </cell>
          <cell r="AU8" t="str">
            <v/>
          </cell>
          <cell r="AV8" t="str">
            <v/>
          </cell>
          <cell r="AW8" t="str">
            <v/>
          </cell>
          <cell r="AX8" t="str">
            <v/>
          </cell>
          <cell r="AY8" t="str">
            <v/>
          </cell>
          <cell r="AZ8" t="str">
            <v/>
          </cell>
          <cell r="BA8" t="str">
            <v/>
          </cell>
          <cell r="BB8" t="str">
            <v/>
          </cell>
          <cell r="BC8" t="str">
            <v/>
          </cell>
          <cell r="BD8" t="str">
            <v/>
          </cell>
          <cell r="BE8" t="str">
            <v/>
          </cell>
          <cell r="BF8" t="str">
            <v/>
          </cell>
          <cell r="BG8" t="str">
            <v/>
          </cell>
          <cell r="BH8" t="str">
            <v/>
          </cell>
          <cell r="BI8" t="str">
            <v/>
          </cell>
          <cell r="BJ8" t="str">
            <v/>
          </cell>
          <cell r="BK8" t="str">
            <v/>
          </cell>
          <cell r="BL8" t="str">
            <v/>
          </cell>
          <cell r="BM8" t="str">
            <v/>
          </cell>
          <cell r="BN8" t="str">
            <v/>
          </cell>
          <cell r="BO8" t="str">
            <v/>
          </cell>
          <cell r="BP8" t="str">
            <v/>
          </cell>
          <cell r="BQ8" t="str">
            <v/>
          </cell>
          <cell r="BR8" t="str">
            <v/>
          </cell>
          <cell r="BS8" t="str">
            <v/>
          </cell>
          <cell r="BT8" t="str">
            <v/>
          </cell>
          <cell r="BU8" t="str">
            <v/>
          </cell>
          <cell r="BV8" t="str">
            <v/>
          </cell>
          <cell r="BW8" t="str">
            <v/>
          </cell>
          <cell r="BX8" t="str">
            <v/>
          </cell>
          <cell r="BY8" t="str">
            <v/>
          </cell>
          <cell r="BZ8" t="str">
            <v/>
          </cell>
          <cell r="CA8" t="str">
            <v/>
          </cell>
          <cell r="CB8" t="str">
            <v/>
          </cell>
          <cell r="CC8" t="str">
            <v/>
          </cell>
          <cell r="CD8" t="str">
            <v/>
          </cell>
          <cell r="CE8" t="str">
            <v/>
          </cell>
          <cell r="CF8" t="str">
            <v/>
          </cell>
          <cell r="CG8" t="str">
            <v/>
          </cell>
          <cell r="CH8" t="str">
            <v/>
          </cell>
          <cell r="CI8" t="str">
            <v/>
          </cell>
          <cell r="CJ8" t="str">
            <v/>
          </cell>
          <cell r="CK8" t="str">
            <v/>
          </cell>
          <cell r="CL8" t="str">
            <v/>
          </cell>
          <cell r="CM8" t="str">
            <v/>
          </cell>
          <cell r="CN8" t="str">
            <v/>
          </cell>
          <cell r="CO8" t="str">
            <v/>
          </cell>
          <cell r="CP8" t="str">
            <v/>
          </cell>
          <cell r="CQ8" t="str">
            <v/>
          </cell>
          <cell r="CR8" t="str">
            <v/>
          </cell>
          <cell r="CS8" t="str">
            <v/>
          </cell>
          <cell r="CT8" t="str">
            <v/>
          </cell>
          <cell r="CU8" t="str">
            <v/>
          </cell>
          <cell r="CV8" t="str">
            <v/>
          </cell>
          <cell r="CW8" t="str">
            <v/>
          </cell>
          <cell r="CX8" t="str">
            <v/>
          </cell>
          <cell r="CY8" t="str">
            <v/>
          </cell>
          <cell r="CZ8" t="str">
            <v/>
          </cell>
          <cell r="DA8" t="str">
            <v/>
          </cell>
          <cell r="DB8" t="str">
            <v/>
          </cell>
        </row>
        <row r="9">
          <cell r="A9" t="str">
            <v xml:space="preserve">Days Remaining </v>
          </cell>
          <cell r="D9">
            <v>45.5</v>
          </cell>
          <cell r="E9">
            <v>41.2</v>
          </cell>
          <cell r="F9">
            <v>38.25</v>
          </cell>
          <cell r="G9">
            <v>31</v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 t="str">
            <v/>
          </cell>
          <cell r="P9" t="str">
            <v/>
          </cell>
          <cell r="Q9" t="str">
            <v/>
          </cell>
          <cell r="R9" t="str">
            <v/>
          </cell>
          <cell r="S9" t="str">
            <v/>
          </cell>
          <cell r="T9" t="str">
            <v/>
          </cell>
          <cell r="U9" t="str">
            <v/>
          </cell>
          <cell r="V9" t="str">
            <v/>
          </cell>
          <cell r="W9" t="str">
            <v/>
          </cell>
          <cell r="X9" t="str">
            <v/>
          </cell>
          <cell r="Y9" t="str">
            <v/>
          </cell>
          <cell r="Z9" t="str">
            <v/>
          </cell>
          <cell r="AA9" t="str">
            <v/>
          </cell>
          <cell r="AB9" t="str">
            <v/>
          </cell>
          <cell r="AC9" t="str">
            <v/>
          </cell>
          <cell r="AD9" t="str">
            <v/>
          </cell>
          <cell r="AE9" t="str">
            <v/>
          </cell>
          <cell r="AF9" t="str">
            <v/>
          </cell>
          <cell r="AG9" t="str">
            <v/>
          </cell>
          <cell r="AH9" t="str">
            <v/>
          </cell>
          <cell r="AI9" t="str">
            <v/>
          </cell>
          <cell r="AJ9" t="str">
            <v/>
          </cell>
          <cell r="AK9" t="str">
            <v/>
          </cell>
          <cell r="AL9" t="str">
            <v/>
          </cell>
          <cell r="AM9" t="str">
            <v/>
          </cell>
          <cell r="AN9" t="str">
            <v/>
          </cell>
          <cell r="AO9" t="str">
            <v/>
          </cell>
          <cell r="AP9" t="str">
            <v/>
          </cell>
          <cell r="AQ9" t="str">
            <v/>
          </cell>
          <cell r="AR9" t="str">
            <v/>
          </cell>
          <cell r="AS9" t="str">
            <v/>
          </cell>
          <cell r="AT9" t="str">
            <v/>
          </cell>
          <cell r="AU9" t="str">
            <v/>
          </cell>
          <cell r="AV9" t="str">
            <v/>
          </cell>
          <cell r="AW9" t="str">
            <v/>
          </cell>
          <cell r="AX9" t="str">
            <v/>
          </cell>
          <cell r="AY9" t="str">
            <v/>
          </cell>
          <cell r="AZ9" t="str">
            <v/>
          </cell>
          <cell r="BA9" t="str">
            <v/>
          </cell>
          <cell r="BB9" t="str">
            <v/>
          </cell>
          <cell r="BC9" t="str">
            <v/>
          </cell>
          <cell r="BD9" t="str">
            <v/>
          </cell>
          <cell r="BE9" t="str">
            <v/>
          </cell>
          <cell r="BF9" t="str">
            <v/>
          </cell>
          <cell r="BG9" t="str">
            <v/>
          </cell>
          <cell r="BH9" t="str">
            <v/>
          </cell>
          <cell r="BI9" t="str">
            <v/>
          </cell>
          <cell r="BJ9" t="str">
            <v/>
          </cell>
          <cell r="BK9" t="str">
            <v/>
          </cell>
          <cell r="BL9" t="str">
            <v/>
          </cell>
          <cell r="BM9" t="str">
            <v/>
          </cell>
          <cell r="BN9" t="str">
            <v/>
          </cell>
          <cell r="BO9" t="str">
            <v/>
          </cell>
          <cell r="BP9" t="str">
            <v/>
          </cell>
          <cell r="BQ9" t="str">
            <v/>
          </cell>
          <cell r="BR9" t="str">
            <v/>
          </cell>
          <cell r="BS9" t="str">
            <v/>
          </cell>
          <cell r="BT9" t="str">
            <v/>
          </cell>
          <cell r="BU9" t="str">
            <v/>
          </cell>
          <cell r="BV9" t="str">
            <v/>
          </cell>
          <cell r="BW9" t="str">
            <v/>
          </cell>
          <cell r="BX9" t="str">
            <v/>
          </cell>
          <cell r="BY9" t="str">
            <v/>
          </cell>
          <cell r="BZ9" t="str">
            <v/>
          </cell>
          <cell r="CA9" t="str">
            <v/>
          </cell>
          <cell r="CB9" t="str">
            <v/>
          </cell>
          <cell r="CC9" t="str">
            <v/>
          </cell>
          <cell r="CD9" t="str">
            <v/>
          </cell>
          <cell r="CE9" t="str">
            <v/>
          </cell>
          <cell r="CF9" t="str">
            <v/>
          </cell>
          <cell r="CG9" t="str">
            <v/>
          </cell>
          <cell r="CH9" t="str">
            <v/>
          </cell>
          <cell r="CI9" t="str">
            <v/>
          </cell>
          <cell r="CJ9" t="str">
            <v/>
          </cell>
          <cell r="CK9" t="str">
            <v/>
          </cell>
          <cell r="CL9" t="str">
            <v/>
          </cell>
          <cell r="CM9" t="str">
            <v/>
          </cell>
          <cell r="CN9" t="str">
            <v/>
          </cell>
          <cell r="CO9" t="str">
            <v/>
          </cell>
          <cell r="CP9" t="str">
            <v/>
          </cell>
          <cell r="CQ9" t="str">
            <v/>
          </cell>
          <cell r="CR9" t="str">
            <v/>
          </cell>
          <cell r="CS9" t="str">
            <v/>
          </cell>
          <cell r="CT9" t="str">
            <v/>
          </cell>
          <cell r="CU9" t="str">
            <v/>
          </cell>
          <cell r="CV9" t="str">
            <v/>
          </cell>
          <cell r="CW9" t="str">
            <v/>
          </cell>
          <cell r="CX9" t="str">
            <v/>
          </cell>
          <cell r="CY9" t="str">
            <v/>
          </cell>
          <cell r="CZ9" t="str">
            <v/>
          </cell>
          <cell r="DA9" t="str">
            <v/>
          </cell>
          <cell r="DB9" t="str">
            <v/>
          </cell>
        </row>
        <row r="10">
          <cell r="A10" t="str">
            <v/>
          </cell>
          <cell r="D10" t="str">
            <v/>
          </cell>
          <cell r="E10" t="str">
            <v/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 t="str">
            <v/>
          </cell>
          <cell r="P10" t="str">
            <v/>
          </cell>
          <cell r="Q10" t="str">
            <v/>
          </cell>
          <cell r="R10" t="str">
            <v/>
          </cell>
          <cell r="S10" t="str">
            <v/>
          </cell>
          <cell r="T10" t="str">
            <v/>
          </cell>
          <cell r="U10" t="str">
            <v/>
          </cell>
          <cell r="V10" t="str">
            <v/>
          </cell>
          <cell r="W10" t="str">
            <v/>
          </cell>
          <cell r="X10" t="str">
            <v/>
          </cell>
          <cell r="Y10" t="str">
            <v/>
          </cell>
          <cell r="Z10" t="str">
            <v/>
          </cell>
          <cell r="AA10" t="str">
            <v/>
          </cell>
          <cell r="AB10" t="str">
            <v/>
          </cell>
          <cell r="AC10" t="str">
            <v/>
          </cell>
          <cell r="AD10" t="str">
            <v/>
          </cell>
          <cell r="AE10" t="str">
            <v/>
          </cell>
          <cell r="AF10" t="str">
            <v/>
          </cell>
          <cell r="AG10" t="str">
            <v/>
          </cell>
          <cell r="AH10" t="str">
            <v/>
          </cell>
          <cell r="AI10" t="str">
            <v/>
          </cell>
          <cell r="AJ10" t="str">
            <v/>
          </cell>
          <cell r="AK10" t="str">
            <v/>
          </cell>
          <cell r="AL10" t="str">
            <v/>
          </cell>
          <cell r="AM10" t="str">
            <v/>
          </cell>
          <cell r="AN10" t="str">
            <v/>
          </cell>
          <cell r="AO10" t="str">
            <v/>
          </cell>
          <cell r="AP10" t="str">
            <v/>
          </cell>
          <cell r="AQ10" t="str">
            <v/>
          </cell>
          <cell r="AR10" t="str">
            <v/>
          </cell>
          <cell r="AS10" t="str">
            <v/>
          </cell>
          <cell r="AT10" t="str">
            <v/>
          </cell>
          <cell r="AU10" t="str">
            <v/>
          </cell>
          <cell r="AV10" t="str">
            <v/>
          </cell>
          <cell r="AW10" t="str">
            <v/>
          </cell>
          <cell r="AX10" t="str">
            <v/>
          </cell>
          <cell r="AY10" t="str">
            <v/>
          </cell>
          <cell r="AZ10" t="str">
            <v/>
          </cell>
          <cell r="BA10" t="str">
            <v/>
          </cell>
          <cell r="BB10" t="str">
            <v/>
          </cell>
          <cell r="BC10" t="str">
            <v/>
          </cell>
          <cell r="BD10" t="str">
            <v/>
          </cell>
          <cell r="BE10" t="str">
            <v/>
          </cell>
          <cell r="BF10" t="str">
            <v/>
          </cell>
          <cell r="BG10" t="str">
            <v/>
          </cell>
          <cell r="BH10" t="str">
            <v/>
          </cell>
          <cell r="BI10" t="str">
            <v/>
          </cell>
          <cell r="BJ10" t="str">
            <v/>
          </cell>
          <cell r="BK10" t="str">
            <v/>
          </cell>
          <cell r="BL10" t="str">
            <v/>
          </cell>
          <cell r="BM10" t="str">
            <v/>
          </cell>
          <cell r="BN10" t="str">
            <v/>
          </cell>
          <cell r="BO10" t="str">
            <v/>
          </cell>
          <cell r="BP10" t="str">
            <v/>
          </cell>
          <cell r="BQ10" t="str">
            <v/>
          </cell>
          <cell r="BR10" t="str">
            <v/>
          </cell>
          <cell r="BS10" t="str">
            <v/>
          </cell>
          <cell r="BT10" t="str">
            <v/>
          </cell>
          <cell r="BU10" t="str">
            <v/>
          </cell>
          <cell r="BV10" t="str">
            <v/>
          </cell>
          <cell r="BW10" t="str">
            <v/>
          </cell>
          <cell r="BX10" t="str">
            <v/>
          </cell>
          <cell r="BY10" t="str">
            <v/>
          </cell>
          <cell r="BZ10" t="str">
            <v/>
          </cell>
          <cell r="CA10" t="str">
            <v/>
          </cell>
          <cell r="CB10" t="str">
            <v/>
          </cell>
          <cell r="CC10" t="str">
            <v/>
          </cell>
          <cell r="CD10" t="str">
            <v/>
          </cell>
          <cell r="CE10" t="str">
            <v/>
          </cell>
          <cell r="CF10" t="str">
            <v/>
          </cell>
          <cell r="CG10" t="str">
            <v/>
          </cell>
          <cell r="CH10" t="str">
            <v/>
          </cell>
          <cell r="CI10" t="str">
            <v/>
          </cell>
          <cell r="CJ10" t="str">
            <v/>
          </cell>
          <cell r="CK10" t="str">
            <v/>
          </cell>
          <cell r="CL10" t="str">
            <v/>
          </cell>
          <cell r="CM10" t="str">
            <v/>
          </cell>
          <cell r="CN10" t="str">
            <v/>
          </cell>
          <cell r="CO10" t="str">
            <v/>
          </cell>
          <cell r="CP10" t="str">
            <v/>
          </cell>
          <cell r="CQ10" t="str">
            <v/>
          </cell>
          <cell r="CR10" t="str">
            <v/>
          </cell>
          <cell r="CS10" t="str">
            <v/>
          </cell>
          <cell r="CT10" t="str">
            <v/>
          </cell>
          <cell r="CU10" t="str">
            <v/>
          </cell>
          <cell r="CV10" t="str">
            <v/>
          </cell>
          <cell r="CW10" t="str">
            <v/>
          </cell>
          <cell r="CX10" t="str">
            <v/>
          </cell>
          <cell r="CY10" t="str">
            <v/>
          </cell>
          <cell r="CZ10" t="str">
            <v/>
          </cell>
          <cell r="DA10" t="str">
            <v/>
          </cell>
          <cell r="DB10" t="str">
            <v/>
          </cell>
        </row>
        <row r="11">
          <cell r="A11" t="str">
            <v/>
          </cell>
          <cell r="D11" t="str">
            <v/>
          </cell>
          <cell r="E11" t="str">
            <v/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 t="str">
            <v/>
          </cell>
          <cell r="P11" t="str">
            <v/>
          </cell>
          <cell r="Q11" t="str">
            <v/>
          </cell>
          <cell r="R11" t="str">
            <v/>
          </cell>
          <cell r="S11" t="str">
            <v/>
          </cell>
          <cell r="T11" t="str">
            <v/>
          </cell>
          <cell r="U11" t="str">
            <v/>
          </cell>
          <cell r="V11" t="str">
            <v/>
          </cell>
          <cell r="W11" t="str">
            <v/>
          </cell>
          <cell r="X11" t="str">
            <v/>
          </cell>
          <cell r="Y11" t="str">
            <v/>
          </cell>
          <cell r="Z11" t="str">
            <v/>
          </cell>
          <cell r="AA11" t="str">
            <v/>
          </cell>
          <cell r="AB11" t="str">
            <v/>
          </cell>
          <cell r="AC11" t="str">
            <v/>
          </cell>
          <cell r="AD11" t="str">
            <v/>
          </cell>
          <cell r="AE11" t="str">
            <v/>
          </cell>
          <cell r="AF11" t="str">
            <v/>
          </cell>
          <cell r="AG11" t="str">
            <v/>
          </cell>
          <cell r="AH11" t="str">
            <v/>
          </cell>
          <cell r="AI11" t="str">
            <v/>
          </cell>
          <cell r="AJ11" t="str">
            <v/>
          </cell>
          <cell r="AK11" t="str">
            <v/>
          </cell>
          <cell r="AL11" t="str">
            <v/>
          </cell>
          <cell r="AM11" t="str">
            <v/>
          </cell>
          <cell r="AN11" t="str">
            <v/>
          </cell>
          <cell r="AO11" t="str">
            <v/>
          </cell>
          <cell r="AP11" t="str">
            <v/>
          </cell>
          <cell r="AQ11" t="str">
            <v/>
          </cell>
          <cell r="AR11" t="str">
            <v/>
          </cell>
          <cell r="AS11" t="str">
            <v/>
          </cell>
          <cell r="AT11" t="str">
            <v/>
          </cell>
          <cell r="AU11" t="str">
            <v/>
          </cell>
          <cell r="AV11" t="str">
            <v/>
          </cell>
          <cell r="AW11" t="str">
            <v/>
          </cell>
          <cell r="AX11" t="str">
            <v/>
          </cell>
          <cell r="AY11" t="str">
            <v/>
          </cell>
          <cell r="AZ11" t="str">
            <v/>
          </cell>
          <cell r="BA11" t="str">
            <v/>
          </cell>
          <cell r="BB11" t="str">
            <v/>
          </cell>
          <cell r="BC11" t="str">
            <v/>
          </cell>
          <cell r="BD11" t="str">
            <v/>
          </cell>
          <cell r="BE11" t="str">
            <v/>
          </cell>
          <cell r="BF11" t="str">
            <v/>
          </cell>
          <cell r="BG11" t="str">
            <v/>
          </cell>
          <cell r="BH11" t="str">
            <v/>
          </cell>
          <cell r="BI11" t="str">
            <v/>
          </cell>
          <cell r="BJ11" t="str">
            <v/>
          </cell>
          <cell r="BK11" t="str">
            <v/>
          </cell>
          <cell r="BL11" t="str">
            <v/>
          </cell>
          <cell r="BM11" t="str">
            <v/>
          </cell>
          <cell r="BN11" t="str">
            <v/>
          </cell>
          <cell r="BO11" t="str">
            <v/>
          </cell>
          <cell r="BP11" t="str">
            <v/>
          </cell>
          <cell r="BQ11" t="str">
            <v/>
          </cell>
          <cell r="BR11" t="str">
            <v/>
          </cell>
          <cell r="BS11" t="str">
            <v/>
          </cell>
          <cell r="BT11" t="str">
            <v/>
          </cell>
          <cell r="BU11" t="str">
            <v/>
          </cell>
          <cell r="BV11" t="str">
            <v/>
          </cell>
          <cell r="BW11" t="str">
            <v/>
          </cell>
          <cell r="BX11" t="str">
            <v/>
          </cell>
          <cell r="BY11" t="str">
            <v/>
          </cell>
          <cell r="BZ11" t="str">
            <v/>
          </cell>
          <cell r="CA11" t="str">
            <v/>
          </cell>
          <cell r="CB11" t="str">
            <v/>
          </cell>
          <cell r="CC11" t="str">
            <v/>
          </cell>
          <cell r="CD11" t="str">
            <v/>
          </cell>
          <cell r="CE11" t="str">
            <v/>
          </cell>
          <cell r="CF11" t="str">
            <v/>
          </cell>
          <cell r="CG11" t="str">
            <v/>
          </cell>
          <cell r="CH11" t="str">
            <v/>
          </cell>
          <cell r="CI11" t="str">
            <v/>
          </cell>
          <cell r="CJ11" t="str">
            <v/>
          </cell>
          <cell r="CK11" t="str">
            <v/>
          </cell>
          <cell r="CL11" t="str">
            <v/>
          </cell>
          <cell r="CM11" t="str">
            <v/>
          </cell>
          <cell r="CN11" t="str">
            <v/>
          </cell>
          <cell r="CO11" t="str">
            <v/>
          </cell>
          <cell r="CP11" t="str">
            <v/>
          </cell>
          <cell r="CQ11" t="str">
            <v/>
          </cell>
          <cell r="CR11" t="str">
            <v/>
          </cell>
          <cell r="CS11" t="str">
            <v/>
          </cell>
          <cell r="CT11" t="str">
            <v/>
          </cell>
          <cell r="CU11" t="str">
            <v/>
          </cell>
          <cell r="CV11" t="str">
            <v/>
          </cell>
          <cell r="CW11" t="str">
            <v/>
          </cell>
          <cell r="CX11" t="str">
            <v/>
          </cell>
          <cell r="CY11" t="str">
            <v/>
          </cell>
          <cell r="CZ11" t="str">
            <v/>
          </cell>
          <cell r="DA11" t="str">
            <v/>
          </cell>
          <cell r="DB11" t="str">
            <v/>
          </cell>
        </row>
        <row r="12">
          <cell r="A12" t="str">
            <v/>
          </cell>
          <cell r="D12" t="str">
            <v/>
          </cell>
          <cell r="E12" t="str">
            <v/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 t="str">
            <v/>
          </cell>
          <cell r="P12" t="str">
            <v/>
          </cell>
          <cell r="Q12" t="str">
            <v/>
          </cell>
          <cell r="R12" t="str">
            <v/>
          </cell>
          <cell r="S12" t="str">
            <v/>
          </cell>
          <cell r="T12" t="str">
            <v/>
          </cell>
          <cell r="U12" t="str">
            <v/>
          </cell>
          <cell r="V12" t="str">
            <v/>
          </cell>
          <cell r="W12" t="str">
            <v/>
          </cell>
          <cell r="X12" t="str">
            <v/>
          </cell>
          <cell r="Y12" t="str">
            <v/>
          </cell>
          <cell r="Z12" t="str">
            <v/>
          </cell>
          <cell r="AA12" t="str">
            <v/>
          </cell>
          <cell r="AB12" t="str">
            <v/>
          </cell>
          <cell r="AC12" t="str">
            <v/>
          </cell>
          <cell r="AD12" t="str">
            <v/>
          </cell>
          <cell r="AE12" t="str">
            <v/>
          </cell>
          <cell r="AF12" t="str">
            <v/>
          </cell>
          <cell r="AG12" t="str">
            <v/>
          </cell>
          <cell r="AH12" t="str">
            <v/>
          </cell>
          <cell r="AI12" t="str">
            <v/>
          </cell>
          <cell r="AJ12" t="str">
            <v/>
          </cell>
          <cell r="AK12" t="str">
            <v/>
          </cell>
          <cell r="AL12" t="str">
            <v/>
          </cell>
          <cell r="AM12" t="str">
            <v/>
          </cell>
          <cell r="AN12" t="str">
            <v/>
          </cell>
          <cell r="AO12" t="str">
            <v/>
          </cell>
          <cell r="AP12" t="str">
            <v/>
          </cell>
          <cell r="AQ12" t="str">
            <v/>
          </cell>
          <cell r="AR12" t="str">
            <v/>
          </cell>
          <cell r="AS12" t="str">
            <v/>
          </cell>
          <cell r="AT12" t="str">
            <v/>
          </cell>
          <cell r="AU12" t="str">
            <v/>
          </cell>
          <cell r="AV12" t="str">
            <v/>
          </cell>
          <cell r="AW12" t="str">
            <v/>
          </cell>
          <cell r="AX12" t="str">
            <v/>
          </cell>
          <cell r="AY12" t="str">
            <v/>
          </cell>
          <cell r="AZ12" t="str">
            <v/>
          </cell>
          <cell r="BA12" t="str">
            <v/>
          </cell>
          <cell r="BB12" t="str">
            <v/>
          </cell>
          <cell r="BC12" t="str">
            <v/>
          </cell>
          <cell r="BD12" t="str">
            <v/>
          </cell>
          <cell r="BE12" t="str">
            <v/>
          </cell>
          <cell r="BF12" t="str">
            <v/>
          </cell>
          <cell r="BG12" t="str">
            <v/>
          </cell>
          <cell r="BH12" t="str">
            <v/>
          </cell>
          <cell r="BI12" t="str">
            <v/>
          </cell>
          <cell r="BJ12" t="str">
            <v/>
          </cell>
          <cell r="BK12" t="str">
            <v/>
          </cell>
          <cell r="BL12" t="str">
            <v/>
          </cell>
          <cell r="BM12" t="str">
            <v/>
          </cell>
          <cell r="BN12" t="str">
            <v/>
          </cell>
          <cell r="BO12" t="str">
            <v/>
          </cell>
          <cell r="BP12" t="str">
            <v/>
          </cell>
          <cell r="BQ12" t="str">
            <v/>
          </cell>
          <cell r="BR12" t="str">
            <v/>
          </cell>
          <cell r="BS12" t="str">
            <v/>
          </cell>
          <cell r="BT12" t="str">
            <v/>
          </cell>
          <cell r="BU12" t="str">
            <v/>
          </cell>
          <cell r="BV12" t="str">
            <v/>
          </cell>
          <cell r="BW12" t="str">
            <v/>
          </cell>
          <cell r="BX12" t="str">
            <v/>
          </cell>
          <cell r="BY12" t="str">
            <v/>
          </cell>
          <cell r="BZ12" t="str">
            <v/>
          </cell>
          <cell r="CA12" t="str">
            <v/>
          </cell>
          <cell r="CB12" t="str">
            <v/>
          </cell>
          <cell r="CC12" t="str">
            <v/>
          </cell>
          <cell r="CD12" t="str">
            <v/>
          </cell>
          <cell r="CE12" t="str">
            <v/>
          </cell>
          <cell r="CF12" t="str">
            <v/>
          </cell>
          <cell r="CG12" t="str">
            <v/>
          </cell>
          <cell r="CH12" t="str">
            <v/>
          </cell>
          <cell r="CI12" t="str">
            <v/>
          </cell>
          <cell r="CJ12" t="str">
            <v/>
          </cell>
          <cell r="CK12" t="str">
            <v/>
          </cell>
          <cell r="CL12" t="str">
            <v/>
          </cell>
          <cell r="CM12" t="str">
            <v/>
          </cell>
          <cell r="CN12" t="str">
            <v/>
          </cell>
          <cell r="CO12" t="str">
            <v/>
          </cell>
          <cell r="CP12" t="str">
            <v/>
          </cell>
          <cell r="CQ12" t="str">
            <v/>
          </cell>
          <cell r="CR12" t="str">
            <v/>
          </cell>
          <cell r="CS12" t="str">
            <v/>
          </cell>
          <cell r="CT12" t="str">
            <v/>
          </cell>
          <cell r="CU12" t="str">
            <v/>
          </cell>
          <cell r="CV12" t="str">
            <v/>
          </cell>
          <cell r="CW12" t="str">
            <v/>
          </cell>
          <cell r="CX12" t="str">
            <v/>
          </cell>
          <cell r="CY12" t="str">
            <v/>
          </cell>
          <cell r="CZ12" t="str">
            <v/>
          </cell>
          <cell r="DA12" t="str">
            <v/>
          </cell>
          <cell r="DB12" t="str">
            <v/>
          </cell>
        </row>
        <row r="13">
          <cell r="A13" t="str">
            <v/>
          </cell>
          <cell r="D13" t="str">
            <v/>
          </cell>
          <cell r="E13" t="str">
            <v/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 t="str">
            <v/>
          </cell>
          <cell r="P13" t="str">
            <v/>
          </cell>
          <cell r="Q13" t="str">
            <v/>
          </cell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  <cell r="Y13" t="str">
            <v/>
          </cell>
          <cell r="Z13" t="str">
            <v/>
          </cell>
          <cell r="AA13" t="str">
            <v/>
          </cell>
          <cell r="AB13" t="str">
            <v/>
          </cell>
          <cell r="AC13" t="str">
            <v/>
          </cell>
          <cell r="AD13" t="str">
            <v/>
          </cell>
          <cell r="AE13" t="str">
            <v/>
          </cell>
          <cell r="AF13" t="str">
            <v/>
          </cell>
          <cell r="AG13" t="str">
            <v/>
          </cell>
          <cell r="AH13" t="str">
            <v/>
          </cell>
          <cell r="AI13" t="str">
            <v/>
          </cell>
          <cell r="AJ13" t="str">
            <v/>
          </cell>
          <cell r="AK13" t="str">
            <v/>
          </cell>
          <cell r="AL13" t="str">
            <v/>
          </cell>
          <cell r="AM13" t="str">
            <v/>
          </cell>
          <cell r="AN13" t="str">
            <v/>
          </cell>
          <cell r="AO13" t="str">
            <v/>
          </cell>
          <cell r="AP13" t="str">
            <v/>
          </cell>
          <cell r="AQ13" t="str">
            <v/>
          </cell>
          <cell r="AR13" t="str">
            <v/>
          </cell>
          <cell r="AS13" t="str">
            <v/>
          </cell>
          <cell r="AT13" t="str">
            <v/>
          </cell>
          <cell r="AU13" t="str">
            <v/>
          </cell>
          <cell r="AV13" t="str">
            <v/>
          </cell>
          <cell r="AW13" t="str">
            <v/>
          </cell>
          <cell r="AX13" t="str">
            <v/>
          </cell>
          <cell r="AY13" t="str">
            <v/>
          </cell>
          <cell r="AZ13" t="str">
            <v/>
          </cell>
          <cell r="BA13" t="str">
            <v/>
          </cell>
          <cell r="BB13" t="str">
            <v/>
          </cell>
          <cell r="BC13" t="str">
            <v/>
          </cell>
          <cell r="BD13" t="str">
            <v/>
          </cell>
          <cell r="BE13" t="str">
            <v/>
          </cell>
          <cell r="BF13" t="str">
            <v/>
          </cell>
          <cell r="BG13" t="str">
            <v/>
          </cell>
          <cell r="BH13" t="str">
            <v/>
          </cell>
          <cell r="BI13" t="str">
            <v/>
          </cell>
          <cell r="BJ13" t="str">
            <v/>
          </cell>
          <cell r="BK13" t="str">
            <v/>
          </cell>
          <cell r="BL13" t="str">
            <v/>
          </cell>
          <cell r="BM13" t="str">
            <v/>
          </cell>
          <cell r="BN13" t="str">
            <v/>
          </cell>
          <cell r="BO13" t="str">
            <v/>
          </cell>
          <cell r="BP13" t="str">
            <v/>
          </cell>
          <cell r="BQ13" t="str">
            <v/>
          </cell>
          <cell r="BR13" t="str">
            <v/>
          </cell>
          <cell r="BS13" t="str">
            <v/>
          </cell>
          <cell r="BT13" t="str">
            <v/>
          </cell>
          <cell r="BU13" t="str">
            <v/>
          </cell>
          <cell r="BV13" t="str">
            <v/>
          </cell>
          <cell r="BW13" t="str">
            <v/>
          </cell>
          <cell r="BX13" t="str">
            <v/>
          </cell>
          <cell r="BY13" t="str">
            <v/>
          </cell>
          <cell r="BZ13" t="str">
            <v/>
          </cell>
          <cell r="CA13" t="str">
            <v/>
          </cell>
          <cell r="CB13" t="str">
            <v/>
          </cell>
          <cell r="CC13" t="str">
            <v/>
          </cell>
          <cell r="CD13" t="str">
            <v/>
          </cell>
          <cell r="CE13" t="str">
            <v/>
          </cell>
          <cell r="CF13" t="str">
            <v/>
          </cell>
          <cell r="CG13" t="str">
            <v/>
          </cell>
          <cell r="CH13" t="str">
            <v/>
          </cell>
          <cell r="CI13" t="str">
            <v/>
          </cell>
          <cell r="CJ13" t="str">
            <v/>
          </cell>
          <cell r="CK13" t="str">
            <v/>
          </cell>
          <cell r="CL13" t="str">
            <v/>
          </cell>
          <cell r="CM13" t="str">
            <v/>
          </cell>
          <cell r="CN13" t="str">
            <v/>
          </cell>
          <cell r="CO13" t="str">
            <v/>
          </cell>
          <cell r="CP13" t="str">
            <v/>
          </cell>
          <cell r="CQ13" t="str">
            <v/>
          </cell>
          <cell r="CR13" t="str">
            <v/>
          </cell>
          <cell r="CS13" t="str">
            <v/>
          </cell>
          <cell r="CT13" t="str">
            <v/>
          </cell>
          <cell r="CU13" t="str">
            <v/>
          </cell>
          <cell r="CV13" t="str">
            <v/>
          </cell>
          <cell r="CW13" t="str">
            <v/>
          </cell>
          <cell r="CX13" t="str">
            <v/>
          </cell>
          <cell r="CY13" t="str">
            <v/>
          </cell>
          <cell r="CZ13" t="str">
            <v/>
          </cell>
          <cell r="DA13" t="str">
            <v/>
          </cell>
          <cell r="DB13" t="str">
            <v/>
          </cell>
        </row>
        <row r="14">
          <cell r="A14" t="str">
            <v/>
          </cell>
          <cell r="D14" t="str">
            <v/>
          </cell>
          <cell r="E14" t="str">
            <v/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 t="str">
            <v/>
          </cell>
          <cell r="P14" t="str">
            <v/>
          </cell>
          <cell r="Q14" t="str">
            <v/>
          </cell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  <cell r="Y14" t="str">
            <v/>
          </cell>
          <cell r="Z14" t="str">
            <v/>
          </cell>
          <cell r="AA14" t="str">
            <v/>
          </cell>
          <cell r="AB14" t="str">
            <v/>
          </cell>
          <cell r="AC14" t="str">
            <v/>
          </cell>
          <cell r="AD14" t="str">
            <v/>
          </cell>
          <cell r="AE14" t="str">
            <v/>
          </cell>
          <cell r="AF14" t="str">
            <v/>
          </cell>
          <cell r="AG14" t="str">
            <v/>
          </cell>
          <cell r="AH14" t="str">
            <v/>
          </cell>
          <cell r="AI14" t="str">
            <v/>
          </cell>
          <cell r="AJ14" t="str">
            <v/>
          </cell>
          <cell r="AK14" t="str">
            <v/>
          </cell>
          <cell r="AL14" t="str">
            <v/>
          </cell>
          <cell r="AM14" t="str">
            <v/>
          </cell>
          <cell r="AN14" t="str">
            <v/>
          </cell>
          <cell r="AO14" t="str">
            <v/>
          </cell>
          <cell r="AP14" t="str">
            <v/>
          </cell>
          <cell r="AQ14" t="str">
            <v/>
          </cell>
          <cell r="AR14" t="str">
            <v/>
          </cell>
          <cell r="AS14" t="str">
            <v/>
          </cell>
          <cell r="AT14" t="str">
            <v/>
          </cell>
          <cell r="AU14" t="str">
            <v/>
          </cell>
          <cell r="AV14" t="str">
            <v/>
          </cell>
          <cell r="AW14" t="str">
            <v/>
          </cell>
          <cell r="AX14" t="str">
            <v/>
          </cell>
          <cell r="AY14" t="str">
            <v/>
          </cell>
          <cell r="AZ14" t="str">
            <v/>
          </cell>
          <cell r="BA14" t="str">
            <v/>
          </cell>
          <cell r="BB14" t="str">
            <v/>
          </cell>
          <cell r="BC14" t="str">
            <v/>
          </cell>
          <cell r="BD14" t="str">
            <v/>
          </cell>
          <cell r="BE14" t="str">
            <v/>
          </cell>
          <cell r="BF14" t="str">
            <v/>
          </cell>
          <cell r="BG14" t="str">
            <v/>
          </cell>
          <cell r="BH14" t="str">
            <v/>
          </cell>
          <cell r="BI14" t="str">
            <v/>
          </cell>
          <cell r="BJ14" t="str">
            <v/>
          </cell>
          <cell r="BK14" t="str">
            <v/>
          </cell>
          <cell r="BL14" t="str">
            <v/>
          </cell>
          <cell r="BM14" t="str">
            <v/>
          </cell>
          <cell r="BN14" t="str">
            <v/>
          </cell>
          <cell r="BO14" t="str">
            <v/>
          </cell>
          <cell r="BP14" t="str">
            <v/>
          </cell>
          <cell r="BQ14" t="str">
            <v/>
          </cell>
          <cell r="BR14" t="str">
            <v/>
          </cell>
          <cell r="BS14" t="str">
            <v/>
          </cell>
          <cell r="BT14" t="str">
            <v/>
          </cell>
          <cell r="BU14" t="str">
            <v/>
          </cell>
          <cell r="BV14" t="str">
            <v/>
          </cell>
          <cell r="BW14" t="str">
            <v/>
          </cell>
          <cell r="BX14" t="str">
            <v/>
          </cell>
          <cell r="BY14" t="str">
            <v/>
          </cell>
          <cell r="BZ14" t="str">
            <v/>
          </cell>
          <cell r="CA14" t="str">
            <v/>
          </cell>
          <cell r="CB14" t="str">
            <v/>
          </cell>
          <cell r="CC14" t="str">
            <v/>
          </cell>
          <cell r="CD14" t="str">
            <v/>
          </cell>
          <cell r="CE14" t="str">
            <v/>
          </cell>
          <cell r="CF14" t="str">
            <v/>
          </cell>
          <cell r="CG14" t="str">
            <v/>
          </cell>
          <cell r="CH14" t="str">
            <v/>
          </cell>
          <cell r="CI14" t="str">
            <v/>
          </cell>
          <cell r="CJ14" t="str">
            <v/>
          </cell>
          <cell r="CK14" t="str">
            <v/>
          </cell>
          <cell r="CL14" t="str">
            <v/>
          </cell>
          <cell r="CM14" t="str">
            <v/>
          </cell>
          <cell r="CN14" t="str">
            <v/>
          </cell>
          <cell r="CO14" t="str">
            <v/>
          </cell>
          <cell r="CP14" t="str">
            <v/>
          </cell>
          <cell r="CQ14" t="str">
            <v/>
          </cell>
          <cell r="CR14" t="str">
            <v/>
          </cell>
          <cell r="CS14" t="str">
            <v/>
          </cell>
          <cell r="CT14" t="str">
            <v/>
          </cell>
          <cell r="CU14" t="str">
            <v/>
          </cell>
          <cell r="CV14" t="str">
            <v/>
          </cell>
          <cell r="CW14" t="str">
            <v/>
          </cell>
          <cell r="CX14" t="str">
            <v/>
          </cell>
          <cell r="CY14" t="str">
            <v/>
          </cell>
          <cell r="CZ14" t="str">
            <v/>
          </cell>
          <cell r="DA14" t="str">
            <v/>
          </cell>
          <cell r="DB14" t="str">
            <v/>
          </cell>
        </row>
        <row r="15">
          <cell r="A15" t="str">
            <v/>
          </cell>
          <cell r="D15" t="str">
            <v/>
          </cell>
          <cell r="E15" t="str">
            <v/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 t="str">
            <v/>
          </cell>
          <cell r="P15" t="str">
            <v/>
          </cell>
          <cell r="Q15" t="str">
            <v/>
          </cell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  <cell r="Y15" t="str">
            <v/>
          </cell>
          <cell r="Z15" t="str">
            <v/>
          </cell>
          <cell r="AA15" t="str">
            <v/>
          </cell>
          <cell r="AB15" t="str">
            <v/>
          </cell>
          <cell r="AC15" t="str">
            <v/>
          </cell>
          <cell r="AD15" t="str">
            <v/>
          </cell>
          <cell r="AE15" t="str">
            <v/>
          </cell>
          <cell r="AF15" t="str">
            <v/>
          </cell>
          <cell r="AG15" t="str">
            <v/>
          </cell>
          <cell r="AH15" t="str">
            <v/>
          </cell>
          <cell r="AI15" t="str">
            <v/>
          </cell>
          <cell r="AJ15" t="str">
            <v/>
          </cell>
          <cell r="AK15" t="str">
            <v/>
          </cell>
          <cell r="AL15" t="str">
            <v/>
          </cell>
          <cell r="AM15" t="str">
            <v/>
          </cell>
          <cell r="AN15" t="str">
            <v/>
          </cell>
          <cell r="AO15" t="str">
            <v/>
          </cell>
          <cell r="AP15" t="str">
            <v/>
          </cell>
          <cell r="AQ15" t="str">
            <v/>
          </cell>
          <cell r="AR15" t="str">
            <v/>
          </cell>
          <cell r="AS15" t="str">
            <v/>
          </cell>
          <cell r="AT15" t="str">
            <v/>
          </cell>
          <cell r="AU15" t="str">
            <v/>
          </cell>
          <cell r="AV15" t="str">
            <v/>
          </cell>
          <cell r="AW15" t="str">
            <v/>
          </cell>
          <cell r="AX15" t="str">
            <v/>
          </cell>
          <cell r="AY15" t="str">
            <v/>
          </cell>
          <cell r="AZ15" t="str">
            <v/>
          </cell>
          <cell r="BA15" t="str">
            <v/>
          </cell>
          <cell r="BB15" t="str">
            <v/>
          </cell>
          <cell r="BC15" t="str">
            <v/>
          </cell>
          <cell r="BD15" t="str">
            <v/>
          </cell>
          <cell r="BE15" t="str">
            <v/>
          </cell>
          <cell r="BF15" t="str">
            <v/>
          </cell>
          <cell r="BG15" t="str">
            <v/>
          </cell>
          <cell r="BH15" t="str">
            <v/>
          </cell>
          <cell r="BI15" t="str">
            <v/>
          </cell>
          <cell r="BJ15" t="str">
            <v/>
          </cell>
          <cell r="BK15" t="str">
            <v/>
          </cell>
          <cell r="BL15" t="str">
            <v/>
          </cell>
          <cell r="BM15" t="str">
            <v/>
          </cell>
          <cell r="BN15" t="str">
            <v/>
          </cell>
          <cell r="BO15" t="str">
            <v/>
          </cell>
          <cell r="BP15" t="str">
            <v/>
          </cell>
          <cell r="BQ15" t="str">
            <v/>
          </cell>
          <cell r="BR15" t="str">
            <v/>
          </cell>
          <cell r="BS15" t="str">
            <v/>
          </cell>
          <cell r="BT15" t="str">
            <v/>
          </cell>
          <cell r="BU15" t="str">
            <v/>
          </cell>
          <cell r="BV15" t="str">
            <v/>
          </cell>
          <cell r="BW15" t="str">
            <v/>
          </cell>
          <cell r="BX15" t="str">
            <v/>
          </cell>
          <cell r="BY15" t="str">
            <v/>
          </cell>
          <cell r="BZ15" t="str">
            <v/>
          </cell>
          <cell r="CA15" t="str">
            <v/>
          </cell>
          <cell r="CB15" t="str">
            <v/>
          </cell>
          <cell r="CC15" t="str">
            <v/>
          </cell>
          <cell r="CD15" t="str">
            <v/>
          </cell>
          <cell r="CE15" t="str">
            <v/>
          </cell>
          <cell r="CF15" t="str">
            <v/>
          </cell>
          <cell r="CG15" t="str">
            <v/>
          </cell>
          <cell r="CH15" t="str">
            <v/>
          </cell>
          <cell r="CI15" t="str">
            <v/>
          </cell>
          <cell r="CJ15" t="str">
            <v/>
          </cell>
          <cell r="CK15" t="str">
            <v/>
          </cell>
          <cell r="CL15" t="str">
            <v/>
          </cell>
          <cell r="CM15" t="str">
            <v/>
          </cell>
          <cell r="CN15" t="str">
            <v/>
          </cell>
          <cell r="CO15" t="str">
            <v/>
          </cell>
          <cell r="CP15" t="str">
            <v/>
          </cell>
          <cell r="CQ15" t="str">
            <v/>
          </cell>
          <cell r="CR15" t="str">
            <v/>
          </cell>
          <cell r="CS15" t="str">
            <v/>
          </cell>
          <cell r="CT15" t="str">
            <v/>
          </cell>
          <cell r="CU15" t="str">
            <v/>
          </cell>
          <cell r="CV15" t="str">
            <v/>
          </cell>
          <cell r="CW15" t="str">
            <v/>
          </cell>
          <cell r="CX15" t="str">
            <v/>
          </cell>
          <cell r="CY15" t="str">
            <v/>
          </cell>
          <cell r="CZ15" t="str">
            <v/>
          </cell>
          <cell r="DA15" t="str">
            <v/>
          </cell>
          <cell r="DB15" t="str">
            <v/>
          </cell>
        </row>
        <row r="16">
          <cell r="A16" t="str">
            <v/>
          </cell>
          <cell r="D16" t="str">
            <v/>
          </cell>
          <cell r="E16" t="str">
            <v/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 t="str">
            <v/>
          </cell>
          <cell r="P16" t="str">
            <v/>
          </cell>
          <cell r="Q16" t="str">
            <v/>
          </cell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  <cell r="Y16" t="str">
            <v/>
          </cell>
          <cell r="Z16" t="str">
            <v/>
          </cell>
          <cell r="AA16" t="str">
            <v/>
          </cell>
          <cell r="AB16" t="str">
            <v/>
          </cell>
          <cell r="AC16" t="str">
            <v/>
          </cell>
          <cell r="AD16" t="str">
            <v/>
          </cell>
          <cell r="AE16" t="str">
            <v/>
          </cell>
          <cell r="AF16" t="str">
            <v/>
          </cell>
          <cell r="AG16" t="str">
            <v/>
          </cell>
          <cell r="AH16" t="str">
            <v/>
          </cell>
          <cell r="AI16" t="str">
            <v/>
          </cell>
          <cell r="AJ16" t="str">
            <v/>
          </cell>
          <cell r="AK16" t="str">
            <v/>
          </cell>
          <cell r="AL16" t="str">
            <v/>
          </cell>
          <cell r="AM16" t="str">
            <v/>
          </cell>
          <cell r="AN16" t="str">
            <v/>
          </cell>
          <cell r="AO16" t="str">
            <v/>
          </cell>
          <cell r="AP16" t="str">
            <v/>
          </cell>
          <cell r="AQ16" t="str">
            <v/>
          </cell>
          <cell r="AR16" t="str">
            <v/>
          </cell>
          <cell r="AS16" t="str">
            <v/>
          </cell>
          <cell r="AT16" t="str">
            <v/>
          </cell>
          <cell r="AU16" t="str">
            <v/>
          </cell>
          <cell r="AV16" t="str">
            <v/>
          </cell>
          <cell r="AW16" t="str">
            <v/>
          </cell>
          <cell r="AX16" t="str">
            <v/>
          </cell>
          <cell r="AY16" t="str">
            <v/>
          </cell>
          <cell r="AZ16" t="str">
            <v/>
          </cell>
          <cell r="BA16" t="str">
            <v/>
          </cell>
          <cell r="BB16" t="str">
            <v/>
          </cell>
          <cell r="BC16" t="str">
            <v/>
          </cell>
          <cell r="BD16" t="str">
            <v/>
          </cell>
          <cell r="BE16" t="str">
            <v/>
          </cell>
          <cell r="BF16" t="str">
            <v/>
          </cell>
          <cell r="BG16" t="str">
            <v/>
          </cell>
          <cell r="BH16" t="str">
            <v/>
          </cell>
          <cell r="BI16" t="str">
            <v/>
          </cell>
          <cell r="BJ16" t="str">
            <v/>
          </cell>
          <cell r="BK16" t="str">
            <v/>
          </cell>
          <cell r="BL16" t="str">
            <v/>
          </cell>
          <cell r="BM16" t="str">
            <v/>
          </cell>
          <cell r="BN16" t="str">
            <v/>
          </cell>
          <cell r="BO16" t="str">
            <v/>
          </cell>
          <cell r="BP16" t="str">
            <v/>
          </cell>
          <cell r="BQ16" t="str">
            <v/>
          </cell>
          <cell r="BR16" t="str">
            <v/>
          </cell>
          <cell r="BS16" t="str">
            <v/>
          </cell>
          <cell r="BT16" t="str">
            <v/>
          </cell>
          <cell r="BU16" t="str">
            <v/>
          </cell>
          <cell r="BV16" t="str">
            <v/>
          </cell>
          <cell r="BW16" t="str">
            <v/>
          </cell>
          <cell r="BX16" t="str">
            <v/>
          </cell>
          <cell r="BY16" t="str">
            <v/>
          </cell>
          <cell r="BZ16" t="str">
            <v/>
          </cell>
          <cell r="CA16" t="str">
            <v/>
          </cell>
          <cell r="CB16" t="str">
            <v/>
          </cell>
          <cell r="CC16" t="str">
            <v/>
          </cell>
          <cell r="CD16" t="str">
            <v/>
          </cell>
          <cell r="CE16" t="str">
            <v/>
          </cell>
          <cell r="CF16" t="str">
            <v/>
          </cell>
          <cell r="CG16" t="str">
            <v/>
          </cell>
          <cell r="CH16" t="str">
            <v/>
          </cell>
          <cell r="CI16" t="str">
            <v/>
          </cell>
          <cell r="CJ16" t="str">
            <v/>
          </cell>
          <cell r="CK16" t="str">
            <v/>
          </cell>
          <cell r="CL16" t="str">
            <v/>
          </cell>
          <cell r="CM16" t="str">
            <v/>
          </cell>
          <cell r="CN16" t="str">
            <v/>
          </cell>
          <cell r="CO16" t="str">
            <v/>
          </cell>
          <cell r="CP16" t="str">
            <v/>
          </cell>
          <cell r="CQ16" t="str">
            <v/>
          </cell>
          <cell r="CR16" t="str">
            <v/>
          </cell>
          <cell r="CS16" t="str">
            <v/>
          </cell>
          <cell r="CT16" t="str">
            <v/>
          </cell>
          <cell r="CU16" t="str">
            <v/>
          </cell>
          <cell r="CV16" t="str">
            <v/>
          </cell>
          <cell r="CW16" t="str">
            <v/>
          </cell>
          <cell r="CX16" t="str">
            <v/>
          </cell>
          <cell r="CY16" t="str">
            <v/>
          </cell>
          <cell r="CZ16" t="str">
            <v/>
          </cell>
          <cell r="DA16" t="str">
            <v/>
          </cell>
          <cell r="DB16" t="str">
            <v/>
          </cell>
        </row>
        <row r="17">
          <cell r="A17" t="str">
            <v/>
          </cell>
          <cell r="D17" t="str">
            <v/>
          </cell>
          <cell r="E17" t="str">
            <v/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 t="str">
            <v/>
          </cell>
          <cell r="P17" t="str">
            <v/>
          </cell>
          <cell r="Q17" t="str">
            <v/>
          </cell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  <cell r="Y17" t="str">
            <v/>
          </cell>
          <cell r="Z17" t="str">
            <v/>
          </cell>
          <cell r="AA17" t="str">
            <v/>
          </cell>
          <cell r="AB17" t="str">
            <v/>
          </cell>
          <cell r="AC17" t="str">
            <v/>
          </cell>
          <cell r="AD17" t="str">
            <v/>
          </cell>
          <cell r="AE17" t="str">
            <v/>
          </cell>
          <cell r="AF17" t="str">
            <v/>
          </cell>
          <cell r="AG17" t="str">
            <v/>
          </cell>
          <cell r="AH17" t="str">
            <v/>
          </cell>
          <cell r="AI17" t="str">
            <v/>
          </cell>
          <cell r="AJ17" t="str">
            <v/>
          </cell>
          <cell r="AK17" t="str">
            <v/>
          </cell>
          <cell r="AL17" t="str">
            <v/>
          </cell>
          <cell r="AM17" t="str">
            <v/>
          </cell>
          <cell r="AN17" t="str">
            <v/>
          </cell>
          <cell r="AO17" t="str">
            <v/>
          </cell>
          <cell r="AP17" t="str">
            <v/>
          </cell>
          <cell r="AQ17" t="str">
            <v/>
          </cell>
          <cell r="AR17" t="str">
            <v/>
          </cell>
          <cell r="AS17" t="str">
            <v/>
          </cell>
          <cell r="AT17" t="str">
            <v/>
          </cell>
          <cell r="AU17" t="str">
            <v/>
          </cell>
          <cell r="AV17" t="str">
            <v/>
          </cell>
          <cell r="AW17" t="str">
            <v/>
          </cell>
          <cell r="AX17" t="str">
            <v/>
          </cell>
          <cell r="AY17" t="str">
            <v/>
          </cell>
          <cell r="AZ17" t="str">
            <v/>
          </cell>
          <cell r="BA17" t="str">
            <v/>
          </cell>
          <cell r="BB17" t="str">
            <v/>
          </cell>
          <cell r="BC17" t="str">
            <v/>
          </cell>
          <cell r="BD17" t="str">
            <v/>
          </cell>
          <cell r="BE17" t="str">
            <v/>
          </cell>
          <cell r="BF17" t="str">
            <v/>
          </cell>
          <cell r="BG17" t="str">
            <v/>
          </cell>
          <cell r="BH17" t="str">
            <v/>
          </cell>
          <cell r="BI17" t="str">
            <v/>
          </cell>
          <cell r="BJ17" t="str">
            <v/>
          </cell>
          <cell r="BK17" t="str">
            <v/>
          </cell>
          <cell r="BL17" t="str">
            <v/>
          </cell>
          <cell r="BM17" t="str">
            <v/>
          </cell>
          <cell r="BN17" t="str">
            <v/>
          </cell>
          <cell r="BO17" t="str">
            <v/>
          </cell>
          <cell r="BP17" t="str">
            <v/>
          </cell>
          <cell r="BQ17" t="str">
            <v/>
          </cell>
          <cell r="BR17" t="str">
            <v/>
          </cell>
          <cell r="BS17" t="str">
            <v/>
          </cell>
          <cell r="BT17" t="str">
            <v/>
          </cell>
          <cell r="BU17" t="str">
            <v/>
          </cell>
          <cell r="BV17" t="str">
            <v/>
          </cell>
          <cell r="BW17" t="str">
            <v/>
          </cell>
          <cell r="BX17" t="str">
            <v/>
          </cell>
          <cell r="BY17" t="str">
            <v/>
          </cell>
          <cell r="BZ17" t="str">
            <v/>
          </cell>
          <cell r="CA17" t="str">
            <v/>
          </cell>
          <cell r="CB17" t="str">
            <v/>
          </cell>
          <cell r="CC17" t="str">
            <v/>
          </cell>
          <cell r="CD17" t="str">
            <v/>
          </cell>
          <cell r="CE17" t="str">
            <v/>
          </cell>
          <cell r="CF17" t="str">
            <v/>
          </cell>
          <cell r="CG17" t="str">
            <v/>
          </cell>
          <cell r="CH17" t="str">
            <v/>
          </cell>
          <cell r="CI17" t="str">
            <v/>
          </cell>
          <cell r="CJ17" t="str">
            <v/>
          </cell>
          <cell r="CK17" t="str">
            <v/>
          </cell>
          <cell r="CL17" t="str">
            <v/>
          </cell>
          <cell r="CM17" t="str">
            <v/>
          </cell>
          <cell r="CN17" t="str">
            <v/>
          </cell>
          <cell r="CO17" t="str">
            <v/>
          </cell>
          <cell r="CP17" t="str">
            <v/>
          </cell>
          <cell r="CQ17" t="str">
            <v/>
          </cell>
          <cell r="CR17" t="str">
            <v/>
          </cell>
          <cell r="CS17" t="str">
            <v/>
          </cell>
          <cell r="CT17" t="str">
            <v/>
          </cell>
          <cell r="CU17" t="str">
            <v/>
          </cell>
          <cell r="CV17" t="str">
            <v/>
          </cell>
          <cell r="CW17" t="str">
            <v/>
          </cell>
          <cell r="CX17" t="str">
            <v/>
          </cell>
          <cell r="CY17" t="str">
            <v/>
          </cell>
          <cell r="CZ17" t="str">
            <v/>
          </cell>
          <cell r="DA17" t="str">
            <v/>
          </cell>
          <cell r="DB17" t="str">
            <v/>
          </cell>
        </row>
        <row r="18">
          <cell r="A18" t="str">
            <v/>
          </cell>
          <cell r="D18" t="str">
            <v/>
          </cell>
          <cell r="E18" t="str">
            <v/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 t="str">
            <v/>
          </cell>
          <cell r="P18" t="str">
            <v/>
          </cell>
          <cell r="Q18" t="str">
            <v/>
          </cell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  <cell r="Y18" t="str">
            <v/>
          </cell>
          <cell r="Z18" t="str">
            <v/>
          </cell>
          <cell r="AA18" t="str">
            <v/>
          </cell>
          <cell r="AB18" t="str">
            <v/>
          </cell>
          <cell r="AC18" t="str">
            <v/>
          </cell>
          <cell r="AD18" t="str">
            <v/>
          </cell>
          <cell r="AE18" t="str">
            <v/>
          </cell>
          <cell r="AF18" t="str">
            <v/>
          </cell>
          <cell r="AG18" t="str">
            <v/>
          </cell>
          <cell r="AH18" t="str">
            <v/>
          </cell>
          <cell r="AI18" t="str">
            <v/>
          </cell>
          <cell r="AJ18" t="str">
            <v/>
          </cell>
          <cell r="AK18" t="str">
            <v/>
          </cell>
          <cell r="AL18" t="str">
            <v/>
          </cell>
          <cell r="AM18" t="str">
            <v/>
          </cell>
          <cell r="AN18" t="str">
            <v/>
          </cell>
          <cell r="AO18" t="str">
            <v/>
          </cell>
          <cell r="AP18" t="str">
            <v/>
          </cell>
          <cell r="AQ18" t="str">
            <v/>
          </cell>
          <cell r="AR18" t="str">
            <v/>
          </cell>
          <cell r="AS18" t="str">
            <v/>
          </cell>
          <cell r="AT18" t="str">
            <v/>
          </cell>
          <cell r="AU18" t="str">
            <v/>
          </cell>
          <cell r="AV18" t="str">
            <v/>
          </cell>
          <cell r="AW18" t="str">
            <v/>
          </cell>
          <cell r="AX18" t="str">
            <v/>
          </cell>
          <cell r="AY18" t="str">
            <v/>
          </cell>
          <cell r="AZ18" t="str">
            <v/>
          </cell>
          <cell r="BA18" t="str">
            <v/>
          </cell>
          <cell r="BB18" t="str">
            <v/>
          </cell>
          <cell r="BC18" t="str">
            <v/>
          </cell>
          <cell r="BD18" t="str">
            <v/>
          </cell>
          <cell r="BE18" t="str">
            <v/>
          </cell>
          <cell r="BF18" t="str">
            <v/>
          </cell>
          <cell r="BG18" t="str">
            <v/>
          </cell>
          <cell r="BH18" t="str">
            <v/>
          </cell>
          <cell r="BI18" t="str">
            <v/>
          </cell>
          <cell r="BJ18" t="str">
            <v/>
          </cell>
          <cell r="BK18" t="str">
            <v/>
          </cell>
          <cell r="BL18" t="str">
            <v/>
          </cell>
          <cell r="BM18" t="str">
            <v/>
          </cell>
          <cell r="BN18" t="str">
            <v/>
          </cell>
          <cell r="BO18" t="str">
            <v/>
          </cell>
          <cell r="BP18" t="str">
            <v/>
          </cell>
          <cell r="BQ18" t="str">
            <v/>
          </cell>
          <cell r="BR18" t="str">
            <v/>
          </cell>
          <cell r="BS18" t="str">
            <v/>
          </cell>
          <cell r="BT18" t="str">
            <v/>
          </cell>
          <cell r="BU18" t="str">
            <v/>
          </cell>
          <cell r="BV18" t="str">
            <v/>
          </cell>
          <cell r="BW18" t="str">
            <v/>
          </cell>
          <cell r="BX18" t="str">
            <v/>
          </cell>
          <cell r="BY18" t="str">
            <v/>
          </cell>
          <cell r="BZ18" t="str">
            <v/>
          </cell>
          <cell r="CA18" t="str">
            <v/>
          </cell>
          <cell r="CB18" t="str">
            <v/>
          </cell>
          <cell r="CC18" t="str">
            <v/>
          </cell>
          <cell r="CD18" t="str">
            <v/>
          </cell>
          <cell r="CE18" t="str">
            <v/>
          </cell>
          <cell r="CF18" t="str">
            <v/>
          </cell>
          <cell r="CG18" t="str">
            <v/>
          </cell>
          <cell r="CH18" t="str">
            <v/>
          </cell>
          <cell r="CI18" t="str">
            <v/>
          </cell>
          <cell r="CJ18" t="str">
            <v/>
          </cell>
          <cell r="CK18" t="str">
            <v/>
          </cell>
          <cell r="CL18" t="str">
            <v/>
          </cell>
          <cell r="CM18" t="str">
            <v/>
          </cell>
          <cell r="CN18" t="str">
            <v/>
          </cell>
          <cell r="CO18" t="str">
            <v/>
          </cell>
          <cell r="CP18" t="str">
            <v/>
          </cell>
          <cell r="CQ18" t="str">
            <v/>
          </cell>
          <cell r="CR18" t="str">
            <v/>
          </cell>
          <cell r="CS18" t="str">
            <v/>
          </cell>
          <cell r="CT18" t="str">
            <v/>
          </cell>
          <cell r="CU18" t="str">
            <v/>
          </cell>
          <cell r="CV18" t="str">
            <v/>
          </cell>
          <cell r="CW18" t="str">
            <v/>
          </cell>
          <cell r="CX18" t="str">
            <v/>
          </cell>
          <cell r="CY18" t="str">
            <v/>
          </cell>
          <cell r="CZ18" t="str">
            <v/>
          </cell>
          <cell r="DA18" t="str">
            <v/>
          </cell>
          <cell r="DB18" t="str">
            <v/>
          </cell>
        </row>
        <row r="19">
          <cell r="A19" t="str">
            <v/>
          </cell>
          <cell r="D19" t="str">
            <v/>
          </cell>
          <cell r="E19" t="str">
            <v/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 t="str">
            <v/>
          </cell>
          <cell r="P19" t="str">
            <v/>
          </cell>
          <cell r="Q19" t="str">
            <v/>
          </cell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  <cell r="Y19" t="str">
            <v/>
          </cell>
          <cell r="Z19" t="str">
            <v/>
          </cell>
          <cell r="AA19" t="str">
            <v/>
          </cell>
          <cell r="AB19" t="str">
            <v/>
          </cell>
          <cell r="AC19" t="str">
            <v/>
          </cell>
          <cell r="AD19" t="str">
            <v/>
          </cell>
          <cell r="AE19" t="str">
            <v/>
          </cell>
          <cell r="AF19" t="str">
            <v/>
          </cell>
          <cell r="AG19" t="str">
            <v/>
          </cell>
          <cell r="AH19" t="str">
            <v/>
          </cell>
          <cell r="AI19" t="str">
            <v/>
          </cell>
          <cell r="AJ19" t="str">
            <v/>
          </cell>
          <cell r="AK19" t="str">
            <v/>
          </cell>
          <cell r="AL19" t="str">
            <v/>
          </cell>
          <cell r="AM19" t="str">
            <v/>
          </cell>
          <cell r="AN19" t="str">
            <v/>
          </cell>
          <cell r="AO19" t="str">
            <v/>
          </cell>
          <cell r="AP19" t="str">
            <v/>
          </cell>
          <cell r="AQ19" t="str">
            <v/>
          </cell>
          <cell r="AR19" t="str">
            <v/>
          </cell>
          <cell r="AS19" t="str">
            <v/>
          </cell>
          <cell r="AT19" t="str">
            <v/>
          </cell>
          <cell r="AU19" t="str">
            <v/>
          </cell>
          <cell r="AV19" t="str">
            <v/>
          </cell>
          <cell r="AW19" t="str">
            <v/>
          </cell>
          <cell r="AX19" t="str">
            <v/>
          </cell>
          <cell r="AY19" t="str">
            <v/>
          </cell>
          <cell r="AZ19" t="str">
            <v/>
          </cell>
          <cell r="BA19" t="str">
            <v/>
          </cell>
          <cell r="BB19" t="str">
            <v/>
          </cell>
          <cell r="BC19" t="str">
            <v/>
          </cell>
          <cell r="BD19" t="str">
            <v/>
          </cell>
          <cell r="BE19" t="str">
            <v/>
          </cell>
          <cell r="BF19" t="str">
            <v/>
          </cell>
          <cell r="BG19" t="str">
            <v/>
          </cell>
          <cell r="BH19" t="str">
            <v/>
          </cell>
          <cell r="BI19" t="str">
            <v/>
          </cell>
          <cell r="BJ19" t="str">
            <v/>
          </cell>
          <cell r="BK19" t="str">
            <v/>
          </cell>
          <cell r="BL19" t="str">
            <v/>
          </cell>
          <cell r="BM19" t="str">
            <v/>
          </cell>
          <cell r="BN19" t="str">
            <v/>
          </cell>
          <cell r="BO19" t="str">
            <v/>
          </cell>
          <cell r="BP19" t="str">
            <v/>
          </cell>
          <cell r="BQ19" t="str">
            <v/>
          </cell>
          <cell r="BR19" t="str">
            <v/>
          </cell>
          <cell r="BS19" t="str">
            <v/>
          </cell>
          <cell r="BT19" t="str">
            <v/>
          </cell>
          <cell r="BU19" t="str">
            <v/>
          </cell>
          <cell r="BV19" t="str">
            <v/>
          </cell>
          <cell r="BW19" t="str">
            <v/>
          </cell>
          <cell r="BX19" t="str">
            <v/>
          </cell>
          <cell r="BY19" t="str">
            <v/>
          </cell>
          <cell r="BZ19" t="str">
            <v/>
          </cell>
          <cell r="CA19" t="str">
            <v/>
          </cell>
          <cell r="CB19" t="str">
            <v/>
          </cell>
          <cell r="CC19" t="str">
            <v/>
          </cell>
          <cell r="CD19" t="str">
            <v/>
          </cell>
          <cell r="CE19" t="str">
            <v/>
          </cell>
          <cell r="CF19" t="str">
            <v/>
          </cell>
          <cell r="CG19" t="str">
            <v/>
          </cell>
          <cell r="CH19" t="str">
            <v/>
          </cell>
          <cell r="CI19" t="str">
            <v/>
          </cell>
          <cell r="CJ19" t="str">
            <v/>
          </cell>
          <cell r="CK19" t="str">
            <v/>
          </cell>
          <cell r="CL19" t="str">
            <v/>
          </cell>
          <cell r="CM19" t="str">
            <v/>
          </cell>
          <cell r="CN19" t="str">
            <v/>
          </cell>
          <cell r="CO19" t="str">
            <v/>
          </cell>
          <cell r="CP19" t="str">
            <v/>
          </cell>
          <cell r="CQ19" t="str">
            <v/>
          </cell>
          <cell r="CR19" t="str">
            <v/>
          </cell>
          <cell r="CS19" t="str">
            <v/>
          </cell>
          <cell r="CT19" t="str">
            <v/>
          </cell>
          <cell r="CU19" t="str">
            <v/>
          </cell>
          <cell r="CV19" t="str">
            <v/>
          </cell>
          <cell r="CW19" t="str">
            <v/>
          </cell>
          <cell r="CX19" t="str">
            <v/>
          </cell>
          <cell r="CY19" t="str">
            <v/>
          </cell>
          <cell r="CZ19" t="str">
            <v/>
          </cell>
          <cell r="DA19" t="str">
            <v/>
          </cell>
          <cell r="DB19" t="str">
            <v/>
          </cell>
        </row>
        <row r="20">
          <cell r="A20" t="str">
            <v/>
          </cell>
          <cell r="D20" t="str">
            <v/>
          </cell>
          <cell r="E20" t="str">
            <v/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 t="str">
            <v/>
          </cell>
          <cell r="P20" t="str">
            <v/>
          </cell>
          <cell r="Q20" t="str">
            <v/>
          </cell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  <cell r="Y20" t="str">
            <v/>
          </cell>
          <cell r="Z20" t="str">
            <v/>
          </cell>
          <cell r="AA20" t="str">
            <v/>
          </cell>
          <cell r="AB20" t="str">
            <v/>
          </cell>
          <cell r="AC20" t="str">
            <v/>
          </cell>
          <cell r="AD20" t="str">
            <v/>
          </cell>
          <cell r="AE20" t="str">
            <v/>
          </cell>
          <cell r="AF20" t="str">
            <v/>
          </cell>
          <cell r="AG20" t="str">
            <v/>
          </cell>
          <cell r="AH20" t="str">
            <v/>
          </cell>
          <cell r="AI20" t="str">
            <v/>
          </cell>
          <cell r="AJ20" t="str">
            <v/>
          </cell>
          <cell r="AK20" t="str">
            <v/>
          </cell>
          <cell r="AL20" t="str">
            <v/>
          </cell>
          <cell r="AM20" t="str">
            <v/>
          </cell>
          <cell r="AN20" t="str">
            <v/>
          </cell>
          <cell r="AO20" t="str">
            <v/>
          </cell>
          <cell r="AP20" t="str">
            <v/>
          </cell>
          <cell r="AQ20" t="str">
            <v/>
          </cell>
          <cell r="AR20" t="str">
            <v/>
          </cell>
          <cell r="AS20" t="str">
            <v/>
          </cell>
          <cell r="AT20" t="str">
            <v/>
          </cell>
          <cell r="AU20" t="str">
            <v/>
          </cell>
          <cell r="AV20" t="str">
            <v/>
          </cell>
          <cell r="AW20" t="str">
            <v/>
          </cell>
          <cell r="AX20" t="str">
            <v/>
          </cell>
          <cell r="AY20" t="str">
            <v/>
          </cell>
          <cell r="AZ20" t="str">
            <v/>
          </cell>
          <cell r="BA20" t="str">
            <v/>
          </cell>
          <cell r="BB20" t="str">
            <v/>
          </cell>
          <cell r="BC20" t="str">
            <v/>
          </cell>
          <cell r="BD20" t="str">
            <v/>
          </cell>
          <cell r="BE20" t="str">
            <v/>
          </cell>
          <cell r="BF20" t="str">
            <v/>
          </cell>
          <cell r="BG20" t="str">
            <v/>
          </cell>
          <cell r="BH20" t="str">
            <v/>
          </cell>
          <cell r="BI20" t="str">
            <v/>
          </cell>
          <cell r="BJ20" t="str">
            <v/>
          </cell>
          <cell r="BK20" t="str">
            <v/>
          </cell>
          <cell r="BL20" t="str">
            <v/>
          </cell>
          <cell r="BM20" t="str">
            <v/>
          </cell>
          <cell r="BN20" t="str">
            <v/>
          </cell>
          <cell r="BO20" t="str">
            <v/>
          </cell>
          <cell r="BP20" t="str">
            <v/>
          </cell>
          <cell r="BQ20" t="str">
            <v/>
          </cell>
          <cell r="BR20" t="str">
            <v/>
          </cell>
          <cell r="BS20" t="str">
            <v/>
          </cell>
          <cell r="BT20" t="str">
            <v/>
          </cell>
          <cell r="BU20" t="str">
            <v/>
          </cell>
          <cell r="BV20" t="str">
            <v/>
          </cell>
          <cell r="BW20" t="str">
            <v/>
          </cell>
          <cell r="BX20" t="str">
            <v/>
          </cell>
          <cell r="BY20" t="str">
            <v/>
          </cell>
          <cell r="BZ20" t="str">
            <v/>
          </cell>
          <cell r="CA20" t="str">
            <v/>
          </cell>
          <cell r="CB20" t="str">
            <v/>
          </cell>
          <cell r="CC20" t="str">
            <v/>
          </cell>
          <cell r="CD20" t="str">
            <v/>
          </cell>
          <cell r="CE20" t="str">
            <v/>
          </cell>
          <cell r="CF20" t="str">
            <v/>
          </cell>
          <cell r="CG20" t="str">
            <v/>
          </cell>
          <cell r="CH20" t="str">
            <v/>
          </cell>
          <cell r="CI20" t="str">
            <v/>
          </cell>
          <cell r="CJ20" t="str">
            <v/>
          </cell>
          <cell r="CK20" t="str">
            <v/>
          </cell>
          <cell r="CL20" t="str">
            <v/>
          </cell>
          <cell r="CM20" t="str">
            <v/>
          </cell>
          <cell r="CN20" t="str">
            <v/>
          </cell>
          <cell r="CO20" t="str">
            <v/>
          </cell>
          <cell r="CP20" t="str">
            <v/>
          </cell>
          <cell r="CQ20" t="str">
            <v/>
          </cell>
          <cell r="CR20" t="str">
            <v/>
          </cell>
          <cell r="CS20" t="str">
            <v/>
          </cell>
          <cell r="CT20" t="str">
            <v/>
          </cell>
          <cell r="CU20" t="str">
            <v/>
          </cell>
          <cell r="CV20" t="str">
            <v/>
          </cell>
          <cell r="CW20" t="str">
            <v/>
          </cell>
          <cell r="CX20" t="str">
            <v/>
          </cell>
          <cell r="CY20" t="str">
            <v/>
          </cell>
          <cell r="CZ20" t="str">
            <v/>
          </cell>
          <cell r="DA20" t="str">
            <v/>
          </cell>
          <cell r="DB20" t="str">
            <v/>
          </cell>
        </row>
        <row r="21">
          <cell r="A21" t="str">
            <v/>
          </cell>
          <cell r="D21" t="str">
            <v/>
          </cell>
          <cell r="E21" t="str">
            <v/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  <cell r="AF21" t="str">
            <v/>
          </cell>
          <cell r="AG21" t="str">
            <v/>
          </cell>
          <cell r="AH21" t="str">
            <v/>
          </cell>
          <cell r="AI21" t="str">
            <v/>
          </cell>
          <cell r="AJ21" t="str">
            <v/>
          </cell>
          <cell r="AK21" t="str">
            <v/>
          </cell>
          <cell r="AL21" t="str">
            <v/>
          </cell>
          <cell r="AM21" t="str">
            <v/>
          </cell>
          <cell r="AN21" t="str">
            <v/>
          </cell>
          <cell r="AO21" t="str">
            <v/>
          </cell>
          <cell r="AP21" t="str">
            <v/>
          </cell>
          <cell r="AQ21" t="str">
            <v/>
          </cell>
          <cell r="AR21" t="str">
            <v/>
          </cell>
          <cell r="AS21" t="str">
            <v/>
          </cell>
          <cell r="AT21" t="str">
            <v/>
          </cell>
          <cell r="AU21" t="str">
            <v/>
          </cell>
          <cell r="AV21" t="str">
            <v/>
          </cell>
          <cell r="AW21" t="str">
            <v/>
          </cell>
          <cell r="AX21" t="str">
            <v/>
          </cell>
          <cell r="AY21" t="str">
            <v/>
          </cell>
          <cell r="AZ21" t="str">
            <v/>
          </cell>
          <cell r="BA21" t="str">
            <v/>
          </cell>
          <cell r="BB21" t="str">
            <v/>
          </cell>
          <cell r="BC21" t="str">
            <v/>
          </cell>
          <cell r="BD21" t="str">
            <v/>
          </cell>
          <cell r="BE21" t="str">
            <v/>
          </cell>
          <cell r="BF21" t="str">
            <v/>
          </cell>
          <cell r="BG21" t="str">
            <v/>
          </cell>
          <cell r="BH21" t="str">
            <v/>
          </cell>
          <cell r="BI21" t="str">
            <v/>
          </cell>
          <cell r="BJ21" t="str">
            <v/>
          </cell>
          <cell r="BK21" t="str">
            <v/>
          </cell>
          <cell r="BL21" t="str">
            <v/>
          </cell>
          <cell r="BM21" t="str">
            <v/>
          </cell>
          <cell r="BN21" t="str">
            <v/>
          </cell>
          <cell r="BO21" t="str">
            <v/>
          </cell>
          <cell r="BP21" t="str">
            <v/>
          </cell>
          <cell r="BQ21" t="str">
            <v/>
          </cell>
          <cell r="BR21" t="str">
            <v/>
          </cell>
          <cell r="BS21" t="str">
            <v/>
          </cell>
          <cell r="BT21" t="str">
            <v/>
          </cell>
          <cell r="BU21" t="str">
            <v/>
          </cell>
          <cell r="BV21" t="str">
            <v/>
          </cell>
          <cell r="BW21" t="str">
            <v/>
          </cell>
          <cell r="BX21" t="str">
            <v/>
          </cell>
          <cell r="BY21" t="str">
            <v/>
          </cell>
          <cell r="BZ21" t="str">
            <v/>
          </cell>
          <cell r="CA21" t="str">
            <v/>
          </cell>
          <cell r="CB21" t="str">
            <v/>
          </cell>
          <cell r="CC21" t="str">
            <v/>
          </cell>
          <cell r="CD21" t="str">
            <v/>
          </cell>
          <cell r="CE21" t="str">
            <v/>
          </cell>
          <cell r="CF21" t="str">
            <v/>
          </cell>
          <cell r="CG21" t="str">
            <v/>
          </cell>
          <cell r="CH21" t="str">
            <v/>
          </cell>
          <cell r="CI21" t="str">
            <v/>
          </cell>
          <cell r="CJ21" t="str">
            <v/>
          </cell>
          <cell r="CK21" t="str">
            <v/>
          </cell>
          <cell r="CL21" t="str">
            <v/>
          </cell>
          <cell r="CM21" t="str">
            <v/>
          </cell>
          <cell r="CN21" t="str">
            <v/>
          </cell>
          <cell r="CO21" t="str">
            <v/>
          </cell>
          <cell r="CP21" t="str">
            <v/>
          </cell>
          <cell r="CQ21" t="str">
            <v/>
          </cell>
          <cell r="CR21" t="str">
            <v/>
          </cell>
          <cell r="CS21" t="str">
            <v/>
          </cell>
          <cell r="CT21" t="str">
            <v/>
          </cell>
          <cell r="CU21" t="str">
            <v/>
          </cell>
          <cell r="CV21" t="str">
            <v/>
          </cell>
          <cell r="CW21" t="str">
            <v/>
          </cell>
          <cell r="CX21" t="str">
            <v/>
          </cell>
          <cell r="CY21" t="str">
            <v/>
          </cell>
          <cell r="CZ21" t="str">
            <v/>
          </cell>
          <cell r="DA21" t="str">
            <v/>
          </cell>
          <cell r="DB21" t="str">
            <v/>
          </cell>
        </row>
        <row r="22">
          <cell r="A22" t="str">
            <v/>
          </cell>
          <cell r="D22" t="str">
            <v/>
          </cell>
          <cell r="E22" t="str">
            <v/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 t="str">
            <v/>
          </cell>
          <cell r="P22" t="str">
            <v/>
          </cell>
          <cell r="Q22" t="str">
            <v/>
          </cell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  <cell r="Y22" t="str">
            <v/>
          </cell>
          <cell r="Z22" t="str">
            <v/>
          </cell>
          <cell r="AA22" t="str">
            <v/>
          </cell>
          <cell r="AB22" t="str">
            <v/>
          </cell>
          <cell r="AC22" t="str">
            <v/>
          </cell>
          <cell r="AD22" t="str">
            <v/>
          </cell>
          <cell r="AE22" t="str">
            <v/>
          </cell>
          <cell r="AF22" t="str">
            <v/>
          </cell>
          <cell r="AG22" t="str">
            <v/>
          </cell>
          <cell r="AH22" t="str">
            <v/>
          </cell>
          <cell r="AI22" t="str">
            <v/>
          </cell>
          <cell r="AJ22" t="str">
            <v/>
          </cell>
          <cell r="AK22" t="str">
            <v/>
          </cell>
          <cell r="AL22" t="str">
            <v/>
          </cell>
          <cell r="AM22" t="str">
            <v/>
          </cell>
          <cell r="AN22" t="str">
            <v/>
          </cell>
          <cell r="AO22" t="str">
            <v/>
          </cell>
          <cell r="AP22" t="str">
            <v/>
          </cell>
          <cell r="AQ22" t="str">
            <v/>
          </cell>
          <cell r="AR22" t="str">
            <v/>
          </cell>
          <cell r="AS22" t="str">
            <v/>
          </cell>
          <cell r="AT22" t="str">
            <v/>
          </cell>
          <cell r="AU22" t="str">
            <v/>
          </cell>
          <cell r="AV22" t="str">
            <v/>
          </cell>
          <cell r="AW22" t="str">
            <v/>
          </cell>
          <cell r="AX22" t="str">
            <v/>
          </cell>
          <cell r="AY22" t="str">
            <v/>
          </cell>
          <cell r="AZ22" t="str">
            <v/>
          </cell>
          <cell r="BA22" t="str">
            <v/>
          </cell>
          <cell r="BB22" t="str">
            <v/>
          </cell>
          <cell r="BC22" t="str">
            <v/>
          </cell>
          <cell r="BD22" t="str">
            <v/>
          </cell>
          <cell r="BE22" t="str">
            <v/>
          </cell>
          <cell r="BF22" t="str">
            <v/>
          </cell>
          <cell r="BG22" t="str">
            <v/>
          </cell>
          <cell r="BH22" t="str">
            <v/>
          </cell>
          <cell r="BI22" t="str">
            <v/>
          </cell>
          <cell r="BJ22" t="str">
            <v/>
          </cell>
          <cell r="BK22" t="str">
            <v/>
          </cell>
          <cell r="BL22" t="str">
            <v/>
          </cell>
          <cell r="BM22" t="str">
            <v/>
          </cell>
          <cell r="BN22" t="str">
            <v/>
          </cell>
          <cell r="BO22" t="str">
            <v/>
          </cell>
          <cell r="BP22" t="str">
            <v/>
          </cell>
          <cell r="BQ22" t="str">
            <v/>
          </cell>
          <cell r="BR22" t="str">
            <v/>
          </cell>
          <cell r="BS22" t="str">
            <v/>
          </cell>
          <cell r="BT22" t="str">
            <v/>
          </cell>
          <cell r="BU22" t="str">
            <v/>
          </cell>
          <cell r="BV22" t="str">
            <v/>
          </cell>
          <cell r="BW22" t="str">
            <v/>
          </cell>
          <cell r="BX22" t="str">
            <v/>
          </cell>
          <cell r="BY22" t="str">
            <v/>
          </cell>
          <cell r="BZ22" t="str">
            <v/>
          </cell>
          <cell r="CA22" t="str">
            <v/>
          </cell>
          <cell r="CB22" t="str">
            <v/>
          </cell>
          <cell r="CC22" t="str">
            <v/>
          </cell>
          <cell r="CD22" t="str">
            <v/>
          </cell>
          <cell r="CE22" t="str">
            <v/>
          </cell>
          <cell r="CF22" t="str">
            <v/>
          </cell>
          <cell r="CG22" t="str">
            <v/>
          </cell>
          <cell r="CH22" t="str">
            <v/>
          </cell>
          <cell r="CI22" t="str">
            <v/>
          </cell>
          <cell r="CJ22" t="str">
            <v/>
          </cell>
          <cell r="CK22" t="str">
            <v/>
          </cell>
          <cell r="CL22" t="str">
            <v/>
          </cell>
          <cell r="CM22" t="str">
            <v/>
          </cell>
          <cell r="CN22" t="str">
            <v/>
          </cell>
          <cell r="CO22" t="str">
            <v/>
          </cell>
          <cell r="CP22" t="str">
            <v/>
          </cell>
          <cell r="CQ22" t="str">
            <v/>
          </cell>
          <cell r="CR22" t="str">
            <v/>
          </cell>
          <cell r="CS22" t="str">
            <v/>
          </cell>
          <cell r="CT22" t="str">
            <v/>
          </cell>
          <cell r="CU22" t="str">
            <v/>
          </cell>
          <cell r="CV22" t="str">
            <v/>
          </cell>
          <cell r="CW22" t="str">
            <v/>
          </cell>
          <cell r="CX22" t="str">
            <v/>
          </cell>
          <cell r="CY22" t="str">
            <v/>
          </cell>
          <cell r="CZ22" t="str">
            <v/>
          </cell>
          <cell r="DA22" t="str">
            <v/>
          </cell>
          <cell r="DB22" t="str">
            <v/>
          </cell>
        </row>
        <row r="23">
          <cell r="A23" t="str">
            <v/>
          </cell>
          <cell r="D23" t="str">
            <v/>
          </cell>
          <cell r="E23" t="str">
            <v/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 t="str">
            <v/>
          </cell>
          <cell r="P23" t="str">
            <v/>
          </cell>
          <cell r="Q23" t="str">
            <v/>
          </cell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  <cell r="Y23" t="str">
            <v/>
          </cell>
          <cell r="Z23" t="str">
            <v/>
          </cell>
          <cell r="AA23" t="str">
            <v/>
          </cell>
          <cell r="AB23" t="str">
            <v/>
          </cell>
          <cell r="AC23" t="str">
            <v/>
          </cell>
          <cell r="AD23" t="str">
            <v/>
          </cell>
          <cell r="AE23" t="str">
            <v/>
          </cell>
          <cell r="AF23" t="str">
            <v/>
          </cell>
          <cell r="AG23" t="str">
            <v/>
          </cell>
          <cell r="AH23" t="str">
            <v/>
          </cell>
          <cell r="AI23" t="str">
            <v/>
          </cell>
          <cell r="AJ23" t="str">
            <v/>
          </cell>
          <cell r="AK23" t="str">
            <v/>
          </cell>
          <cell r="AL23" t="str">
            <v/>
          </cell>
          <cell r="AM23" t="str">
            <v/>
          </cell>
          <cell r="AN23" t="str">
            <v/>
          </cell>
          <cell r="AO23" t="str">
            <v/>
          </cell>
          <cell r="AP23" t="str">
            <v/>
          </cell>
          <cell r="AQ23" t="str">
            <v/>
          </cell>
          <cell r="AR23" t="str">
            <v/>
          </cell>
          <cell r="AS23" t="str">
            <v/>
          </cell>
          <cell r="AT23" t="str">
            <v/>
          </cell>
          <cell r="AU23" t="str">
            <v/>
          </cell>
          <cell r="AV23" t="str">
            <v/>
          </cell>
          <cell r="AW23" t="str">
            <v/>
          </cell>
          <cell r="AX23" t="str">
            <v/>
          </cell>
          <cell r="AY23" t="str">
            <v/>
          </cell>
          <cell r="AZ23" t="str">
            <v/>
          </cell>
          <cell r="BA23" t="str">
            <v/>
          </cell>
          <cell r="BB23" t="str">
            <v/>
          </cell>
          <cell r="BC23" t="str">
            <v/>
          </cell>
          <cell r="BD23" t="str">
            <v/>
          </cell>
          <cell r="BE23" t="str">
            <v/>
          </cell>
          <cell r="BF23" t="str">
            <v/>
          </cell>
          <cell r="BG23" t="str">
            <v/>
          </cell>
          <cell r="BH23" t="str">
            <v/>
          </cell>
          <cell r="BI23" t="str">
            <v/>
          </cell>
          <cell r="BJ23" t="str">
            <v/>
          </cell>
          <cell r="BK23" t="str">
            <v/>
          </cell>
          <cell r="BL23" t="str">
            <v/>
          </cell>
          <cell r="BM23" t="str">
            <v/>
          </cell>
          <cell r="BN23" t="str">
            <v/>
          </cell>
          <cell r="BO23" t="str">
            <v/>
          </cell>
          <cell r="BP23" t="str">
            <v/>
          </cell>
          <cell r="BQ23" t="str">
            <v/>
          </cell>
          <cell r="BR23" t="str">
            <v/>
          </cell>
          <cell r="BS23" t="str">
            <v/>
          </cell>
          <cell r="BT23" t="str">
            <v/>
          </cell>
          <cell r="BU23" t="str">
            <v/>
          </cell>
          <cell r="BV23" t="str">
            <v/>
          </cell>
          <cell r="BW23" t="str">
            <v/>
          </cell>
          <cell r="BX23" t="str">
            <v/>
          </cell>
          <cell r="BY23" t="str">
            <v/>
          </cell>
          <cell r="BZ23" t="str">
            <v/>
          </cell>
          <cell r="CA23" t="str">
            <v/>
          </cell>
          <cell r="CB23" t="str">
            <v/>
          </cell>
          <cell r="CC23" t="str">
            <v/>
          </cell>
          <cell r="CD23" t="str">
            <v/>
          </cell>
          <cell r="CE23" t="str">
            <v/>
          </cell>
          <cell r="CF23" t="str">
            <v/>
          </cell>
          <cell r="CG23" t="str">
            <v/>
          </cell>
          <cell r="CH23" t="str">
            <v/>
          </cell>
          <cell r="CI23" t="str">
            <v/>
          </cell>
          <cell r="CJ23" t="str">
            <v/>
          </cell>
          <cell r="CK23" t="str">
            <v/>
          </cell>
          <cell r="CL23" t="str">
            <v/>
          </cell>
          <cell r="CM23" t="str">
            <v/>
          </cell>
          <cell r="CN23" t="str">
            <v/>
          </cell>
          <cell r="CO23" t="str">
            <v/>
          </cell>
          <cell r="CP23" t="str">
            <v/>
          </cell>
          <cell r="CQ23" t="str">
            <v/>
          </cell>
          <cell r="CR23" t="str">
            <v/>
          </cell>
          <cell r="CS23" t="str">
            <v/>
          </cell>
          <cell r="CT23" t="str">
            <v/>
          </cell>
          <cell r="CU23" t="str">
            <v/>
          </cell>
          <cell r="CV23" t="str">
            <v/>
          </cell>
          <cell r="CW23" t="str">
            <v/>
          </cell>
          <cell r="CX23" t="str">
            <v/>
          </cell>
          <cell r="CY23" t="str">
            <v/>
          </cell>
          <cell r="CZ23" t="str">
            <v/>
          </cell>
          <cell r="DA23" t="str">
            <v/>
          </cell>
          <cell r="DB23" t="str">
            <v/>
          </cell>
        </row>
        <row r="24">
          <cell r="A24" t="str">
            <v/>
          </cell>
          <cell r="D24" t="str">
            <v/>
          </cell>
          <cell r="E24" t="str">
            <v/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 t="str">
            <v/>
          </cell>
          <cell r="P24" t="str">
            <v/>
          </cell>
          <cell r="Q24" t="str">
            <v/>
          </cell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  <cell r="Y24" t="str">
            <v/>
          </cell>
          <cell r="Z24" t="str">
            <v/>
          </cell>
          <cell r="AA24" t="str">
            <v/>
          </cell>
          <cell r="AB24" t="str">
            <v/>
          </cell>
          <cell r="AC24" t="str">
            <v/>
          </cell>
          <cell r="AD24" t="str">
            <v/>
          </cell>
          <cell r="AE24" t="str">
            <v/>
          </cell>
          <cell r="AF24" t="str">
            <v/>
          </cell>
          <cell r="AG24" t="str">
            <v/>
          </cell>
          <cell r="AH24" t="str">
            <v/>
          </cell>
          <cell r="AI24" t="str">
            <v/>
          </cell>
          <cell r="AJ24" t="str">
            <v/>
          </cell>
          <cell r="AK24" t="str">
            <v/>
          </cell>
          <cell r="AL24" t="str">
            <v/>
          </cell>
          <cell r="AM24" t="str">
            <v/>
          </cell>
          <cell r="AN24" t="str">
            <v/>
          </cell>
          <cell r="AO24" t="str">
            <v/>
          </cell>
          <cell r="AP24" t="str">
            <v/>
          </cell>
          <cell r="AQ24" t="str">
            <v/>
          </cell>
          <cell r="AR24" t="str">
            <v/>
          </cell>
          <cell r="AS24" t="str">
            <v/>
          </cell>
          <cell r="AT24" t="str">
            <v/>
          </cell>
          <cell r="AU24" t="str">
            <v/>
          </cell>
          <cell r="AV24" t="str">
            <v/>
          </cell>
          <cell r="AW24" t="str">
            <v/>
          </cell>
          <cell r="AX24" t="str">
            <v/>
          </cell>
          <cell r="AY24" t="str">
            <v/>
          </cell>
          <cell r="AZ24" t="str">
            <v/>
          </cell>
          <cell r="BA24" t="str">
            <v/>
          </cell>
          <cell r="BB24" t="str">
            <v/>
          </cell>
          <cell r="BC24" t="str">
            <v/>
          </cell>
          <cell r="BD24" t="str">
            <v/>
          </cell>
          <cell r="BE24" t="str">
            <v/>
          </cell>
          <cell r="BF24" t="str">
            <v/>
          </cell>
          <cell r="BG24" t="str">
            <v/>
          </cell>
          <cell r="BH24" t="str">
            <v/>
          </cell>
          <cell r="BI24" t="str">
            <v/>
          </cell>
          <cell r="BJ24" t="str">
            <v/>
          </cell>
          <cell r="BK24" t="str">
            <v/>
          </cell>
          <cell r="BL24" t="str">
            <v/>
          </cell>
          <cell r="BM24" t="str">
            <v/>
          </cell>
          <cell r="BN24" t="str">
            <v/>
          </cell>
          <cell r="BO24" t="str">
            <v/>
          </cell>
          <cell r="BP24" t="str">
            <v/>
          </cell>
          <cell r="BQ24" t="str">
            <v/>
          </cell>
          <cell r="BR24" t="str">
            <v/>
          </cell>
          <cell r="BS24" t="str">
            <v/>
          </cell>
          <cell r="BT24" t="str">
            <v/>
          </cell>
          <cell r="BU24" t="str">
            <v/>
          </cell>
          <cell r="BV24" t="str">
            <v/>
          </cell>
          <cell r="BW24" t="str">
            <v/>
          </cell>
          <cell r="BX24" t="str">
            <v/>
          </cell>
          <cell r="BY24" t="str">
            <v/>
          </cell>
          <cell r="BZ24" t="str">
            <v/>
          </cell>
          <cell r="CA24" t="str">
            <v/>
          </cell>
          <cell r="CB24" t="str">
            <v/>
          </cell>
          <cell r="CC24" t="str">
            <v/>
          </cell>
          <cell r="CD24" t="str">
            <v/>
          </cell>
          <cell r="CE24" t="str">
            <v/>
          </cell>
          <cell r="CF24" t="str">
            <v/>
          </cell>
          <cell r="CG24" t="str">
            <v/>
          </cell>
          <cell r="CH24" t="str">
            <v/>
          </cell>
          <cell r="CI24" t="str">
            <v/>
          </cell>
          <cell r="CJ24" t="str">
            <v/>
          </cell>
          <cell r="CK24" t="str">
            <v/>
          </cell>
          <cell r="CL24" t="str">
            <v/>
          </cell>
          <cell r="CM24" t="str">
            <v/>
          </cell>
          <cell r="CN24" t="str">
            <v/>
          </cell>
          <cell r="CO24" t="str">
            <v/>
          </cell>
          <cell r="CP24" t="str">
            <v/>
          </cell>
          <cell r="CQ24" t="str">
            <v/>
          </cell>
          <cell r="CR24" t="str">
            <v/>
          </cell>
          <cell r="CS24" t="str">
            <v/>
          </cell>
          <cell r="CT24" t="str">
            <v/>
          </cell>
          <cell r="CU24" t="str">
            <v/>
          </cell>
          <cell r="CV24" t="str">
            <v/>
          </cell>
          <cell r="CW24" t="str">
            <v/>
          </cell>
          <cell r="CX24" t="str">
            <v/>
          </cell>
          <cell r="CY24" t="str">
            <v/>
          </cell>
          <cell r="CZ24" t="str">
            <v/>
          </cell>
          <cell r="DA24" t="str">
            <v/>
          </cell>
          <cell r="DB24" t="str">
            <v/>
          </cell>
        </row>
        <row r="25">
          <cell r="A25" t="str">
            <v/>
          </cell>
          <cell r="D25" t="str">
            <v/>
          </cell>
          <cell r="E25" t="str">
            <v/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 t="str">
            <v/>
          </cell>
          <cell r="P25" t="str">
            <v/>
          </cell>
          <cell r="Q25" t="str">
            <v/>
          </cell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  <cell r="Y25" t="str">
            <v/>
          </cell>
          <cell r="Z25" t="str">
            <v/>
          </cell>
          <cell r="AA25" t="str">
            <v/>
          </cell>
          <cell r="AB25" t="str">
            <v/>
          </cell>
          <cell r="AC25" t="str">
            <v/>
          </cell>
          <cell r="AD25" t="str">
            <v/>
          </cell>
          <cell r="AE25" t="str">
            <v/>
          </cell>
          <cell r="AF25" t="str">
            <v/>
          </cell>
          <cell r="AG25" t="str">
            <v/>
          </cell>
          <cell r="AH25" t="str">
            <v/>
          </cell>
          <cell r="AI25" t="str">
            <v/>
          </cell>
          <cell r="AJ25" t="str">
            <v/>
          </cell>
          <cell r="AK25" t="str">
            <v/>
          </cell>
          <cell r="AL25" t="str">
            <v/>
          </cell>
          <cell r="AM25" t="str">
            <v/>
          </cell>
          <cell r="AN25" t="str">
            <v/>
          </cell>
          <cell r="AO25" t="str">
            <v/>
          </cell>
          <cell r="AP25" t="str">
            <v/>
          </cell>
          <cell r="AQ25" t="str">
            <v/>
          </cell>
          <cell r="AR25" t="str">
            <v/>
          </cell>
          <cell r="AS25" t="str">
            <v/>
          </cell>
          <cell r="AT25" t="str">
            <v/>
          </cell>
          <cell r="AU25" t="str">
            <v/>
          </cell>
          <cell r="AV25" t="str">
            <v/>
          </cell>
          <cell r="AW25" t="str">
            <v/>
          </cell>
          <cell r="AX25" t="str">
            <v/>
          </cell>
          <cell r="AY25" t="str">
            <v/>
          </cell>
          <cell r="AZ25" t="str">
            <v/>
          </cell>
          <cell r="BA25" t="str">
            <v/>
          </cell>
          <cell r="BB25" t="str">
            <v/>
          </cell>
          <cell r="BC25" t="str">
            <v/>
          </cell>
          <cell r="BD25" t="str">
            <v/>
          </cell>
          <cell r="BE25" t="str">
            <v/>
          </cell>
          <cell r="BF25" t="str">
            <v/>
          </cell>
          <cell r="BG25" t="str">
            <v/>
          </cell>
          <cell r="BH25" t="str">
            <v/>
          </cell>
          <cell r="BI25" t="str">
            <v/>
          </cell>
          <cell r="BJ25" t="str">
            <v/>
          </cell>
          <cell r="BK25" t="str">
            <v/>
          </cell>
          <cell r="BL25" t="str">
            <v/>
          </cell>
          <cell r="BM25" t="str">
            <v/>
          </cell>
          <cell r="BN25" t="str">
            <v/>
          </cell>
          <cell r="BO25" t="str">
            <v/>
          </cell>
          <cell r="BP25" t="str">
            <v/>
          </cell>
          <cell r="BQ25" t="str">
            <v/>
          </cell>
          <cell r="BR25" t="str">
            <v/>
          </cell>
          <cell r="BS25" t="str">
            <v/>
          </cell>
          <cell r="BT25" t="str">
            <v/>
          </cell>
          <cell r="BU25" t="str">
            <v/>
          </cell>
          <cell r="BV25" t="str">
            <v/>
          </cell>
          <cell r="BW25" t="str">
            <v/>
          </cell>
          <cell r="BX25" t="str">
            <v/>
          </cell>
          <cell r="BY25" t="str">
            <v/>
          </cell>
          <cell r="BZ25" t="str">
            <v/>
          </cell>
          <cell r="CA25" t="str">
            <v/>
          </cell>
          <cell r="CB25" t="str">
            <v/>
          </cell>
          <cell r="CC25" t="str">
            <v/>
          </cell>
          <cell r="CD25" t="str">
            <v/>
          </cell>
          <cell r="CE25" t="str">
            <v/>
          </cell>
          <cell r="CF25" t="str">
            <v/>
          </cell>
          <cell r="CG25" t="str">
            <v/>
          </cell>
          <cell r="CH25" t="str">
            <v/>
          </cell>
          <cell r="CI25" t="str">
            <v/>
          </cell>
          <cell r="CJ25" t="str">
            <v/>
          </cell>
          <cell r="CK25" t="str">
            <v/>
          </cell>
          <cell r="CL25" t="str">
            <v/>
          </cell>
          <cell r="CM25" t="str">
            <v/>
          </cell>
          <cell r="CN25" t="str">
            <v/>
          </cell>
          <cell r="CO25" t="str">
            <v/>
          </cell>
          <cell r="CP25" t="str">
            <v/>
          </cell>
          <cell r="CQ25" t="str">
            <v/>
          </cell>
          <cell r="CR25" t="str">
            <v/>
          </cell>
          <cell r="CS25" t="str">
            <v/>
          </cell>
          <cell r="CT25" t="str">
            <v/>
          </cell>
          <cell r="CU25" t="str">
            <v/>
          </cell>
          <cell r="CV25" t="str">
            <v/>
          </cell>
          <cell r="CW25" t="str">
            <v/>
          </cell>
          <cell r="CX25" t="str">
            <v/>
          </cell>
          <cell r="CY25" t="str">
            <v/>
          </cell>
          <cell r="CZ25" t="str">
            <v/>
          </cell>
          <cell r="DA25" t="str">
            <v/>
          </cell>
          <cell r="DB25" t="str">
            <v/>
          </cell>
        </row>
        <row r="26">
          <cell r="A26" t="str">
            <v/>
          </cell>
          <cell r="D26" t="str">
            <v/>
          </cell>
          <cell r="E26" t="str">
            <v/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 t="str">
            <v/>
          </cell>
          <cell r="P26" t="str">
            <v/>
          </cell>
          <cell r="Q26" t="str">
            <v/>
          </cell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  <cell r="Y26" t="str">
            <v/>
          </cell>
          <cell r="Z26" t="str">
            <v/>
          </cell>
          <cell r="AA26" t="str">
            <v/>
          </cell>
          <cell r="AB26" t="str">
            <v/>
          </cell>
          <cell r="AC26" t="str">
            <v/>
          </cell>
          <cell r="AD26" t="str">
            <v/>
          </cell>
          <cell r="AE26" t="str">
            <v/>
          </cell>
          <cell r="AF26" t="str">
            <v/>
          </cell>
          <cell r="AG26" t="str">
            <v/>
          </cell>
          <cell r="AH26" t="str">
            <v/>
          </cell>
          <cell r="AI26" t="str">
            <v/>
          </cell>
          <cell r="AJ26" t="str">
            <v/>
          </cell>
          <cell r="AK26" t="str">
            <v/>
          </cell>
          <cell r="AL26" t="str">
            <v/>
          </cell>
          <cell r="AM26" t="str">
            <v/>
          </cell>
          <cell r="AN26" t="str">
            <v/>
          </cell>
          <cell r="AO26" t="str">
            <v/>
          </cell>
          <cell r="AP26" t="str">
            <v/>
          </cell>
          <cell r="AQ26" t="str">
            <v/>
          </cell>
          <cell r="AR26" t="str">
            <v/>
          </cell>
          <cell r="AS26" t="str">
            <v/>
          </cell>
          <cell r="AT26" t="str">
            <v/>
          </cell>
          <cell r="AU26" t="str">
            <v/>
          </cell>
          <cell r="AV26" t="str">
            <v/>
          </cell>
          <cell r="AW26" t="str">
            <v/>
          </cell>
          <cell r="AX26" t="str">
            <v/>
          </cell>
          <cell r="AY26" t="str">
            <v/>
          </cell>
          <cell r="AZ26" t="str">
            <v/>
          </cell>
          <cell r="BA26" t="str">
            <v/>
          </cell>
          <cell r="BB26" t="str">
            <v/>
          </cell>
          <cell r="BC26" t="str">
            <v/>
          </cell>
          <cell r="BD26" t="str">
            <v/>
          </cell>
          <cell r="BE26" t="str">
            <v/>
          </cell>
          <cell r="BF26" t="str">
            <v/>
          </cell>
          <cell r="BG26" t="str">
            <v/>
          </cell>
          <cell r="BH26" t="str">
            <v/>
          </cell>
          <cell r="BI26" t="str">
            <v/>
          </cell>
          <cell r="BJ26" t="str">
            <v/>
          </cell>
          <cell r="BK26" t="str">
            <v/>
          </cell>
          <cell r="BL26" t="str">
            <v/>
          </cell>
          <cell r="BM26" t="str">
            <v/>
          </cell>
          <cell r="BN26" t="str">
            <v/>
          </cell>
          <cell r="BO26" t="str">
            <v/>
          </cell>
          <cell r="BP26" t="str">
            <v/>
          </cell>
          <cell r="BQ26" t="str">
            <v/>
          </cell>
          <cell r="BR26" t="str">
            <v/>
          </cell>
          <cell r="BS26" t="str">
            <v/>
          </cell>
          <cell r="BT26" t="str">
            <v/>
          </cell>
          <cell r="BU26" t="str">
            <v/>
          </cell>
          <cell r="BV26" t="str">
            <v/>
          </cell>
          <cell r="BW26" t="str">
            <v/>
          </cell>
          <cell r="BX26" t="str">
            <v/>
          </cell>
          <cell r="BY26" t="str">
            <v/>
          </cell>
          <cell r="BZ26" t="str">
            <v/>
          </cell>
          <cell r="CA26" t="str">
            <v/>
          </cell>
          <cell r="CB26" t="str">
            <v/>
          </cell>
          <cell r="CC26" t="str">
            <v/>
          </cell>
          <cell r="CD26" t="str">
            <v/>
          </cell>
          <cell r="CE26" t="str">
            <v/>
          </cell>
          <cell r="CF26" t="str">
            <v/>
          </cell>
          <cell r="CG26" t="str">
            <v/>
          </cell>
          <cell r="CH26" t="str">
            <v/>
          </cell>
          <cell r="CI26" t="str">
            <v/>
          </cell>
          <cell r="CJ26" t="str">
            <v/>
          </cell>
          <cell r="CK26" t="str">
            <v/>
          </cell>
          <cell r="CL26" t="str">
            <v/>
          </cell>
          <cell r="CM26" t="str">
            <v/>
          </cell>
          <cell r="CN26" t="str">
            <v/>
          </cell>
          <cell r="CO26" t="str">
            <v/>
          </cell>
          <cell r="CP26" t="str">
            <v/>
          </cell>
          <cell r="CQ26" t="str">
            <v/>
          </cell>
          <cell r="CR26" t="str">
            <v/>
          </cell>
          <cell r="CS26" t="str">
            <v/>
          </cell>
          <cell r="CT26" t="str">
            <v/>
          </cell>
          <cell r="CU26" t="str">
            <v/>
          </cell>
          <cell r="CV26" t="str">
            <v/>
          </cell>
          <cell r="CW26" t="str">
            <v/>
          </cell>
          <cell r="CX26" t="str">
            <v/>
          </cell>
          <cell r="CY26" t="str">
            <v/>
          </cell>
          <cell r="CZ26" t="str">
            <v/>
          </cell>
          <cell r="DA26" t="str">
            <v/>
          </cell>
          <cell r="DB26" t="str">
            <v/>
          </cell>
        </row>
        <row r="27">
          <cell r="A27" t="str">
            <v/>
          </cell>
          <cell r="D27" t="str">
            <v/>
          </cell>
          <cell r="E27" t="str">
            <v/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 t="str">
            <v/>
          </cell>
          <cell r="P27" t="str">
            <v/>
          </cell>
          <cell r="Q27" t="str">
            <v/>
          </cell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  <cell r="Y27" t="str">
            <v/>
          </cell>
          <cell r="Z27" t="str">
            <v/>
          </cell>
          <cell r="AA27" t="str">
            <v/>
          </cell>
          <cell r="AB27" t="str">
            <v/>
          </cell>
          <cell r="AC27" t="str">
            <v/>
          </cell>
          <cell r="AD27" t="str">
            <v/>
          </cell>
          <cell r="AE27" t="str">
            <v/>
          </cell>
          <cell r="AF27" t="str">
            <v/>
          </cell>
          <cell r="AG27" t="str">
            <v/>
          </cell>
          <cell r="AH27" t="str">
            <v/>
          </cell>
          <cell r="AI27" t="str">
            <v/>
          </cell>
          <cell r="AJ27" t="str">
            <v/>
          </cell>
          <cell r="AK27" t="str">
            <v/>
          </cell>
          <cell r="AL27" t="str">
            <v/>
          </cell>
          <cell r="AM27" t="str">
            <v/>
          </cell>
          <cell r="AN27" t="str">
            <v/>
          </cell>
          <cell r="AO27" t="str">
            <v/>
          </cell>
          <cell r="AP27" t="str">
            <v/>
          </cell>
          <cell r="AQ27" t="str">
            <v/>
          </cell>
          <cell r="AR27" t="str">
            <v/>
          </cell>
          <cell r="AS27" t="str">
            <v/>
          </cell>
          <cell r="AT27" t="str">
            <v/>
          </cell>
          <cell r="AU27" t="str">
            <v/>
          </cell>
          <cell r="AV27" t="str">
            <v/>
          </cell>
          <cell r="AW27" t="str">
            <v/>
          </cell>
          <cell r="AX27" t="str">
            <v/>
          </cell>
          <cell r="AY27" t="str">
            <v/>
          </cell>
          <cell r="AZ27" t="str">
            <v/>
          </cell>
          <cell r="BA27" t="str">
            <v/>
          </cell>
          <cell r="BB27" t="str">
            <v/>
          </cell>
          <cell r="BC27" t="str">
            <v/>
          </cell>
          <cell r="BD27" t="str">
            <v/>
          </cell>
          <cell r="BE27" t="str">
            <v/>
          </cell>
          <cell r="BF27" t="str">
            <v/>
          </cell>
          <cell r="BG27" t="str">
            <v/>
          </cell>
          <cell r="BH27" t="str">
            <v/>
          </cell>
          <cell r="BI27" t="str">
            <v/>
          </cell>
          <cell r="BJ27" t="str">
            <v/>
          </cell>
          <cell r="BK27" t="str">
            <v/>
          </cell>
          <cell r="BL27" t="str">
            <v/>
          </cell>
          <cell r="BM27" t="str">
            <v/>
          </cell>
          <cell r="BN27" t="str">
            <v/>
          </cell>
          <cell r="BO27" t="str">
            <v/>
          </cell>
          <cell r="BP27" t="str">
            <v/>
          </cell>
          <cell r="BQ27" t="str">
            <v/>
          </cell>
          <cell r="BR27" t="str">
            <v/>
          </cell>
          <cell r="BS27" t="str">
            <v/>
          </cell>
          <cell r="BT27" t="str">
            <v/>
          </cell>
          <cell r="BU27" t="str">
            <v/>
          </cell>
          <cell r="BV27" t="str">
            <v/>
          </cell>
          <cell r="BW27" t="str">
            <v/>
          </cell>
          <cell r="BX27" t="str">
            <v/>
          </cell>
          <cell r="BY27" t="str">
            <v/>
          </cell>
          <cell r="BZ27" t="str">
            <v/>
          </cell>
          <cell r="CA27" t="str">
            <v/>
          </cell>
          <cell r="CB27" t="str">
            <v/>
          </cell>
          <cell r="CC27" t="str">
            <v/>
          </cell>
          <cell r="CD27" t="str">
            <v/>
          </cell>
          <cell r="CE27" t="str">
            <v/>
          </cell>
          <cell r="CF27" t="str">
            <v/>
          </cell>
          <cell r="CG27" t="str">
            <v/>
          </cell>
          <cell r="CH27" t="str">
            <v/>
          </cell>
          <cell r="CI27" t="str">
            <v/>
          </cell>
          <cell r="CJ27" t="str">
            <v/>
          </cell>
          <cell r="CK27" t="str">
            <v/>
          </cell>
          <cell r="CL27" t="str">
            <v/>
          </cell>
          <cell r="CM27" t="str">
            <v/>
          </cell>
          <cell r="CN27" t="str">
            <v/>
          </cell>
          <cell r="CO27" t="str">
            <v/>
          </cell>
          <cell r="CP27" t="str">
            <v/>
          </cell>
          <cell r="CQ27" t="str">
            <v/>
          </cell>
          <cell r="CR27" t="str">
            <v/>
          </cell>
          <cell r="CS27" t="str">
            <v/>
          </cell>
          <cell r="CT27" t="str">
            <v/>
          </cell>
          <cell r="CU27" t="str">
            <v/>
          </cell>
          <cell r="CV27" t="str">
            <v/>
          </cell>
          <cell r="CW27" t="str">
            <v/>
          </cell>
          <cell r="CX27" t="str">
            <v/>
          </cell>
          <cell r="CY27" t="str">
            <v/>
          </cell>
          <cell r="CZ27" t="str">
            <v/>
          </cell>
          <cell r="DA27" t="str">
            <v/>
          </cell>
          <cell r="DB27" t="str">
            <v/>
          </cell>
        </row>
        <row r="28">
          <cell r="A28" t="str">
            <v/>
          </cell>
          <cell r="D28" t="str">
            <v/>
          </cell>
          <cell r="E28" t="str">
            <v/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 t="str">
            <v/>
          </cell>
          <cell r="P28" t="str">
            <v/>
          </cell>
          <cell r="Q28" t="str">
            <v/>
          </cell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  <cell r="Y28" t="str">
            <v/>
          </cell>
          <cell r="Z28" t="str">
            <v/>
          </cell>
          <cell r="AA28" t="str">
            <v/>
          </cell>
          <cell r="AB28" t="str">
            <v/>
          </cell>
          <cell r="AC28" t="str">
            <v/>
          </cell>
          <cell r="AD28" t="str">
            <v/>
          </cell>
          <cell r="AE28" t="str">
            <v/>
          </cell>
          <cell r="AF28" t="str">
            <v/>
          </cell>
          <cell r="AG28" t="str">
            <v/>
          </cell>
          <cell r="AH28" t="str">
            <v/>
          </cell>
          <cell r="AI28" t="str">
            <v/>
          </cell>
          <cell r="AJ28" t="str">
            <v/>
          </cell>
          <cell r="AK28" t="str">
            <v/>
          </cell>
          <cell r="AL28" t="str">
            <v/>
          </cell>
          <cell r="AM28" t="str">
            <v/>
          </cell>
          <cell r="AN28" t="str">
            <v/>
          </cell>
          <cell r="AO28" t="str">
            <v/>
          </cell>
          <cell r="AP28" t="str">
            <v/>
          </cell>
          <cell r="AQ28" t="str">
            <v/>
          </cell>
          <cell r="AR28" t="str">
            <v/>
          </cell>
          <cell r="AS28" t="str">
            <v/>
          </cell>
          <cell r="AT28" t="str">
            <v/>
          </cell>
          <cell r="AU28" t="str">
            <v/>
          </cell>
          <cell r="AV28" t="str">
            <v/>
          </cell>
          <cell r="AW28" t="str">
            <v/>
          </cell>
          <cell r="AX28" t="str">
            <v/>
          </cell>
          <cell r="AY28" t="str">
            <v/>
          </cell>
          <cell r="AZ28" t="str">
            <v/>
          </cell>
          <cell r="BA28" t="str">
            <v/>
          </cell>
          <cell r="BB28" t="str">
            <v/>
          </cell>
          <cell r="BC28" t="str">
            <v/>
          </cell>
          <cell r="BD28" t="str">
            <v/>
          </cell>
          <cell r="BE28" t="str">
            <v/>
          </cell>
          <cell r="BF28" t="str">
            <v/>
          </cell>
          <cell r="BG28" t="str">
            <v/>
          </cell>
          <cell r="BH28" t="str">
            <v/>
          </cell>
          <cell r="BI28" t="str">
            <v/>
          </cell>
          <cell r="BJ28" t="str">
            <v/>
          </cell>
          <cell r="BK28" t="str">
            <v/>
          </cell>
          <cell r="BL28" t="str">
            <v/>
          </cell>
          <cell r="BM28" t="str">
            <v/>
          </cell>
          <cell r="BN28" t="str">
            <v/>
          </cell>
          <cell r="BO28" t="str">
            <v/>
          </cell>
          <cell r="BP28" t="str">
            <v/>
          </cell>
          <cell r="BQ28" t="str">
            <v/>
          </cell>
          <cell r="BR28" t="str">
            <v/>
          </cell>
          <cell r="BS28" t="str">
            <v/>
          </cell>
          <cell r="BT28" t="str">
            <v/>
          </cell>
          <cell r="BU28" t="str">
            <v/>
          </cell>
          <cell r="BV28" t="str">
            <v/>
          </cell>
          <cell r="BW28" t="str">
            <v/>
          </cell>
          <cell r="BX28" t="str">
            <v/>
          </cell>
          <cell r="BY28" t="str">
            <v/>
          </cell>
          <cell r="BZ28" t="str">
            <v/>
          </cell>
          <cell r="CA28" t="str">
            <v/>
          </cell>
          <cell r="CB28" t="str">
            <v/>
          </cell>
          <cell r="CC28" t="str">
            <v/>
          </cell>
          <cell r="CD28" t="str">
            <v/>
          </cell>
          <cell r="CE28" t="str">
            <v/>
          </cell>
          <cell r="CF28" t="str">
            <v/>
          </cell>
          <cell r="CG28" t="str">
            <v/>
          </cell>
          <cell r="CH28" t="str">
            <v/>
          </cell>
          <cell r="CI28" t="str">
            <v/>
          </cell>
          <cell r="CJ28" t="str">
            <v/>
          </cell>
          <cell r="CK28" t="str">
            <v/>
          </cell>
          <cell r="CL28" t="str">
            <v/>
          </cell>
          <cell r="CM28" t="str">
            <v/>
          </cell>
          <cell r="CN28" t="str">
            <v/>
          </cell>
          <cell r="CO28" t="str">
            <v/>
          </cell>
          <cell r="CP28" t="str">
            <v/>
          </cell>
          <cell r="CQ28" t="str">
            <v/>
          </cell>
          <cell r="CR28" t="str">
            <v/>
          </cell>
          <cell r="CS28" t="str">
            <v/>
          </cell>
          <cell r="CT28" t="str">
            <v/>
          </cell>
          <cell r="CU28" t="str">
            <v/>
          </cell>
          <cell r="CV28" t="str">
            <v/>
          </cell>
          <cell r="CW28" t="str">
            <v/>
          </cell>
          <cell r="CX28" t="str">
            <v/>
          </cell>
          <cell r="CY28" t="str">
            <v/>
          </cell>
          <cell r="CZ28" t="str">
            <v/>
          </cell>
          <cell r="DA28" t="str">
            <v/>
          </cell>
          <cell r="DB28" t="str">
            <v/>
          </cell>
        </row>
        <row r="29">
          <cell r="A29" t="str">
            <v/>
          </cell>
          <cell r="D29" t="str">
            <v/>
          </cell>
          <cell r="E29" t="str">
            <v/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 t="str">
            <v/>
          </cell>
          <cell r="P29" t="str">
            <v/>
          </cell>
          <cell r="Q29" t="str">
            <v/>
          </cell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  <cell r="Y29" t="str">
            <v/>
          </cell>
          <cell r="Z29" t="str">
            <v/>
          </cell>
          <cell r="AA29" t="str">
            <v/>
          </cell>
          <cell r="AB29" t="str">
            <v/>
          </cell>
          <cell r="AC29" t="str">
            <v/>
          </cell>
          <cell r="AD29" t="str">
            <v/>
          </cell>
          <cell r="AE29" t="str">
            <v/>
          </cell>
          <cell r="AF29" t="str">
            <v/>
          </cell>
          <cell r="AG29" t="str">
            <v/>
          </cell>
          <cell r="AH29" t="str">
            <v/>
          </cell>
          <cell r="AI29" t="str">
            <v/>
          </cell>
          <cell r="AJ29" t="str">
            <v/>
          </cell>
          <cell r="AK29" t="str">
            <v/>
          </cell>
          <cell r="AL29" t="str">
            <v/>
          </cell>
          <cell r="AM29" t="str">
            <v/>
          </cell>
          <cell r="AN29" t="str">
            <v/>
          </cell>
          <cell r="AO29" t="str">
            <v/>
          </cell>
          <cell r="AP29" t="str">
            <v/>
          </cell>
          <cell r="AQ29" t="str">
            <v/>
          </cell>
          <cell r="AR29" t="str">
            <v/>
          </cell>
          <cell r="AS29" t="str">
            <v/>
          </cell>
          <cell r="AT29" t="str">
            <v/>
          </cell>
          <cell r="AU29" t="str">
            <v/>
          </cell>
          <cell r="AV29" t="str">
            <v/>
          </cell>
          <cell r="AW29" t="str">
            <v/>
          </cell>
          <cell r="AX29" t="str">
            <v/>
          </cell>
          <cell r="AY29" t="str">
            <v/>
          </cell>
          <cell r="AZ29" t="str">
            <v/>
          </cell>
          <cell r="BA29" t="str">
            <v/>
          </cell>
          <cell r="BB29" t="str">
            <v/>
          </cell>
          <cell r="BC29" t="str">
            <v/>
          </cell>
          <cell r="BD29" t="str">
            <v/>
          </cell>
          <cell r="BE29" t="str">
            <v/>
          </cell>
          <cell r="BF29" t="str">
            <v/>
          </cell>
          <cell r="BG29" t="str">
            <v/>
          </cell>
          <cell r="BH29" t="str">
            <v/>
          </cell>
          <cell r="BI29" t="str">
            <v/>
          </cell>
          <cell r="BJ29" t="str">
            <v/>
          </cell>
          <cell r="BK29" t="str">
            <v/>
          </cell>
          <cell r="BL29" t="str">
            <v/>
          </cell>
          <cell r="BM29" t="str">
            <v/>
          </cell>
          <cell r="BN29" t="str">
            <v/>
          </cell>
          <cell r="BO29" t="str">
            <v/>
          </cell>
          <cell r="BP29" t="str">
            <v/>
          </cell>
          <cell r="BQ29" t="str">
            <v/>
          </cell>
          <cell r="BR29" t="str">
            <v/>
          </cell>
          <cell r="BS29" t="str">
            <v/>
          </cell>
          <cell r="BT29" t="str">
            <v/>
          </cell>
          <cell r="BU29" t="str">
            <v/>
          </cell>
          <cell r="BV29" t="str">
            <v/>
          </cell>
          <cell r="BW29" t="str">
            <v/>
          </cell>
          <cell r="BX29" t="str">
            <v/>
          </cell>
          <cell r="BY29" t="str">
            <v/>
          </cell>
          <cell r="BZ29" t="str">
            <v/>
          </cell>
          <cell r="CA29" t="str">
            <v/>
          </cell>
          <cell r="CB29" t="str">
            <v/>
          </cell>
          <cell r="CC29" t="str">
            <v/>
          </cell>
          <cell r="CD29" t="str">
            <v/>
          </cell>
          <cell r="CE29" t="str">
            <v/>
          </cell>
          <cell r="CF29" t="str">
            <v/>
          </cell>
          <cell r="CG29" t="str">
            <v/>
          </cell>
          <cell r="CH29" t="str">
            <v/>
          </cell>
          <cell r="CI29" t="str">
            <v/>
          </cell>
          <cell r="CJ29" t="str">
            <v/>
          </cell>
          <cell r="CK29" t="str">
            <v/>
          </cell>
          <cell r="CL29" t="str">
            <v/>
          </cell>
          <cell r="CM29" t="str">
            <v/>
          </cell>
          <cell r="CN29" t="str">
            <v/>
          </cell>
          <cell r="CO29" t="str">
            <v/>
          </cell>
          <cell r="CP29" t="str">
            <v/>
          </cell>
          <cell r="CQ29" t="str">
            <v/>
          </cell>
          <cell r="CR29" t="str">
            <v/>
          </cell>
          <cell r="CS29" t="str">
            <v/>
          </cell>
          <cell r="CT29" t="str">
            <v/>
          </cell>
          <cell r="CU29" t="str">
            <v/>
          </cell>
          <cell r="CV29" t="str">
            <v/>
          </cell>
          <cell r="CW29" t="str">
            <v/>
          </cell>
          <cell r="CX29" t="str">
            <v/>
          </cell>
          <cell r="CY29" t="str">
            <v/>
          </cell>
          <cell r="CZ29" t="str">
            <v/>
          </cell>
          <cell r="DA29" t="str">
            <v/>
          </cell>
          <cell r="DB29" t="str">
            <v/>
          </cell>
        </row>
        <row r="30">
          <cell r="A30" t="str">
            <v/>
          </cell>
          <cell r="D30" t="str">
            <v/>
          </cell>
          <cell r="E30" t="str">
            <v/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 t="str">
            <v/>
          </cell>
          <cell r="P30" t="str">
            <v/>
          </cell>
          <cell r="Q30" t="str">
            <v/>
          </cell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  <cell r="Y30" t="str">
            <v/>
          </cell>
          <cell r="Z30" t="str">
            <v/>
          </cell>
          <cell r="AA30" t="str">
            <v/>
          </cell>
          <cell r="AB30" t="str">
            <v/>
          </cell>
          <cell r="AC30" t="str">
            <v/>
          </cell>
          <cell r="AD30" t="str">
            <v/>
          </cell>
          <cell r="AE30" t="str">
            <v/>
          </cell>
          <cell r="AF30" t="str">
            <v/>
          </cell>
          <cell r="AG30" t="str">
            <v/>
          </cell>
          <cell r="AH30" t="str">
            <v/>
          </cell>
          <cell r="AI30" t="str">
            <v/>
          </cell>
          <cell r="AJ30" t="str">
            <v/>
          </cell>
          <cell r="AK30" t="str">
            <v/>
          </cell>
          <cell r="AL30" t="str">
            <v/>
          </cell>
          <cell r="AM30" t="str">
            <v/>
          </cell>
          <cell r="AN30" t="str">
            <v/>
          </cell>
          <cell r="AO30" t="str">
            <v/>
          </cell>
          <cell r="AP30" t="str">
            <v/>
          </cell>
          <cell r="AQ30" t="str">
            <v/>
          </cell>
          <cell r="AR30" t="str">
            <v/>
          </cell>
          <cell r="AS30" t="str">
            <v/>
          </cell>
          <cell r="AT30" t="str">
            <v/>
          </cell>
          <cell r="AU30" t="str">
            <v/>
          </cell>
          <cell r="AV30" t="str">
            <v/>
          </cell>
          <cell r="AW30" t="str">
            <v/>
          </cell>
          <cell r="AX30" t="str">
            <v/>
          </cell>
          <cell r="AY30" t="str">
            <v/>
          </cell>
          <cell r="AZ30" t="str">
            <v/>
          </cell>
          <cell r="BA30" t="str">
            <v/>
          </cell>
          <cell r="BB30" t="str">
            <v/>
          </cell>
          <cell r="BC30" t="str">
            <v/>
          </cell>
          <cell r="BD30" t="str">
            <v/>
          </cell>
          <cell r="BE30" t="str">
            <v/>
          </cell>
          <cell r="BF30" t="str">
            <v/>
          </cell>
          <cell r="BG30" t="str">
            <v/>
          </cell>
          <cell r="BH30" t="str">
            <v/>
          </cell>
          <cell r="BI30" t="str">
            <v/>
          </cell>
          <cell r="BJ30" t="str">
            <v/>
          </cell>
          <cell r="BK30" t="str">
            <v/>
          </cell>
          <cell r="BL30" t="str">
            <v/>
          </cell>
          <cell r="BM30" t="str">
            <v/>
          </cell>
          <cell r="BN30" t="str">
            <v/>
          </cell>
          <cell r="BO30" t="str">
            <v/>
          </cell>
          <cell r="BP30" t="str">
            <v/>
          </cell>
          <cell r="BQ30" t="str">
            <v/>
          </cell>
          <cell r="BR30" t="str">
            <v/>
          </cell>
          <cell r="BS30" t="str">
            <v/>
          </cell>
          <cell r="BT30" t="str">
            <v/>
          </cell>
          <cell r="BU30" t="str">
            <v/>
          </cell>
          <cell r="BV30" t="str">
            <v/>
          </cell>
          <cell r="BW30" t="str">
            <v/>
          </cell>
          <cell r="BX30" t="str">
            <v/>
          </cell>
          <cell r="BY30" t="str">
            <v/>
          </cell>
          <cell r="BZ30" t="str">
            <v/>
          </cell>
          <cell r="CA30" t="str">
            <v/>
          </cell>
          <cell r="CB30" t="str">
            <v/>
          </cell>
          <cell r="CC30" t="str">
            <v/>
          </cell>
          <cell r="CD30" t="str">
            <v/>
          </cell>
          <cell r="CE30" t="str">
            <v/>
          </cell>
          <cell r="CF30" t="str">
            <v/>
          </cell>
          <cell r="CG30" t="str">
            <v/>
          </cell>
          <cell r="CH30" t="str">
            <v/>
          </cell>
          <cell r="CI30" t="str">
            <v/>
          </cell>
          <cell r="CJ30" t="str">
            <v/>
          </cell>
          <cell r="CK30" t="str">
            <v/>
          </cell>
          <cell r="CL30" t="str">
            <v/>
          </cell>
          <cell r="CM30" t="str">
            <v/>
          </cell>
          <cell r="CN30" t="str">
            <v/>
          </cell>
          <cell r="CO30" t="str">
            <v/>
          </cell>
          <cell r="CP30" t="str">
            <v/>
          </cell>
          <cell r="CQ30" t="str">
            <v/>
          </cell>
          <cell r="CR30" t="str">
            <v/>
          </cell>
          <cell r="CS30" t="str">
            <v/>
          </cell>
          <cell r="CT30" t="str">
            <v/>
          </cell>
          <cell r="CU30" t="str">
            <v/>
          </cell>
          <cell r="CV30" t="str">
            <v/>
          </cell>
          <cell r="CW30" t="str">
            <v/>
          </cell>
          <cell r="CX30" t="str">
            <v/>
          </cell>
          <cell r="CY30" t="str">
            <v/>
          </cell>
          <cell r="CZ30" t="str">
            <v/>
          </cell>
          <cell r="DA30" t="str">
            <v/>
          </cell>
          <cell r="DB30" t="str">
            <v/>
          </cell>
        </row>
        <row r="31">
          <cell r="A31" t="str">
            <v/>
          </cell>
          <cell r="D31" t="str">
            <v/>
          </cell>
          <cell r="E31" t="str">
            <v/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 t="str">
            <v/>
          </cell>
          <cell r="P31" t="str">
            <v/>
          </cell>
          <cell r="Q31" t="str">
            <v/>
          </cell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  <cell r="Y31" t="str">
            <v/>
          </cell>
          <cell r="Z31" t="str">
            <v/>
          </cell>
          <cell r="AA31" t="str">
            <v/>
          </cell>
          <cell r="AB31" t="str">
            <v/>
          </cell>
          <cell r="AC31" t="str">
            <v/>
          </cell>
          <cell r="AD31" t="str">
            <v/>
          </cell>
          <cell r="AE31" t="str">
            <v/>
          </cell>
          <cell r="AF31" t="str">
            <v/>
          </cell>
          <cell r="AG31" t="str">
            <v/>
          </cell>
          <cell r="AH31" t="str">
            <v/>
          </cell>
          <cell r="AI31" t="str">
            <v/>
          </cell>
          <cell r="AJ31" t="str">
            <v/>
          </cell>
          <cell r="AK31" t="str">
            <v/>
          </cell>
          <cell r="AL31" t="str">
            <v/>
          </cell>
          <cell r="AM31" t="str">
            <v/>
          </cell>
          <cell r="AN31" t="str">
            <v/>
          </cell>
          <cell r="AO31" t="str">
            <v/>
          </cell>
          <cell r="AP31" t="str">
            <v/>
          </cell>
          <cell r="AQ31" t="str">
            <v/>
          </cell>
          <cell r="AR31" t="str">
            <v/>
          </cell>
          <cell r="AS31" t="str">
            <v/>
          </cell>
          <cell r="AT31" t="str">
            <v/>
          </cell>
          <cell r="AU31" t="str">
            <v/>
          </cell>
          <cell r="AV31" t="str">
            <v/>
          </cell>
          <cell r="AW31" t="str">
            <v/>
          </cell>
          <cell r="AX31" t="str">
            <v/>
          </cell>
          <cell r="AY31" t="str">
            <v/>
          </cell>
          <cell r="AZ31" t="str">
            <v/>
          </cell>
          <cell r="BA31" t="str">
            <v/>
          </cell>
          <cell r="BB31" t="str">
            <v/>
          </cell>
          <cell r="BC31" t="str">
            <v/>
          </cell>
          <cell r="BD31" t="str">
            <v/>
          </cell>
          <cell r="BE31" t="str">
            <v/>
          </cell>
          <cell r="BF31" t="str">
            <v/>
          </cell>
          <cell r="BG31" t="str">
            <v/>
          </cell>
          <cell r="BH31" t="str">
            <v/>
          </cell>
          <cell r="BI31" t="str">
            <v/>
          </cell>
          <cell r="BJ31" t="str">
            <v/>
          </cell>
          <cell r="BK31" t="str">
            <v/>
          </cell>
          <cell r="BL31" t="str">
            <v/>
          </cell>
          <cell r="BM31" t="str">
            <v/>
          </cell>
          <cell r="BN31" t="str">
            <v/>
          </cell>
          <cell r="BO31" t="str">
            <v/>
          </cell>
          <cell r="BP31" t="str">
            <v/>
          </cell>
          <cell r="BQ31" t="str">
            <v/>
          </cell>
          <cell r="BR31" t="str">
            <v/>
          </cell>
          <cell r="BS31" t="str">
            <v/>
          </cell>
          <cell r="BT31" t="str">
            <v/>
          </cell>
          <cell r="BU31" t="str">
            <v/>
          </cell>
          <cell r="BV31" t="str">
            <v/>
          </cell>
          <cell r="BW31" t="str">
            <v/>
          </cell>
          <cell r="BX31" t="str">
            <v/>
          </cell>
          <cell r="BY31" t="str">
            <v/>
          </cell>
          <cell r="BZ31" t="str">
            <v/>
          </cell>
          <cell r="CA31" t="str">
            <v/>
          </cell>
          <cell r="CB31" t="str">
            <v/>
          </cell>
          <cell r="CC31" t="str">
            <v/>
          </cell>
          <cell r="CD31" t="str">
            <v/>
          </cell>
          <cell r="CE31" t="str">
            <v/>
          </cell>
          <cell r="CF31" t="str">
            <v/>
          </cell>
          <cell r="CG31" t="str">
            <v/>
          </cell>
          <cell r="CH31" t="str">
            <v/>
          </cell>
          <cell r="CI31" t="str">
            <v/>
          </cell>
          <cell r="CJ31" t="str">
            <v/>
          </cell>
          <cell r="CK31" t="str">
            <v/>
          </cell>
          <cell r="CL31" t="str">
            <v/>
          </cell>
          <cell r="CM31" t="str">
            <v/>
          </cell>
          <cell r="CN31" t="str">
            <v/>
          </cell>
          <cell r="CO31" t="str">
            <v/>
          </cell>
          <cell r="CP31" t="str">
            <v/>
          </cell>
          <cell r="CQ31" t="str">
            <v/>
          </cell>
          <cell r="CR31" t="str">
            <v/>
          </cell>
          <cell r="CS31" t="str">
            <v/>
          </cell>
          <cell r="CT31" t="str">
            <v/>
          </cell>
          <cell r="CU31" t="str">
            <v/>
          </cell>
          <cell r="CV31" t="str">
            <v/>
          </cell>
          <cell r="CW31" t="str">
            <v/>
          </cell>
          <cell r="CX31" t="str">
            <v/>
          </cell>
          <cell r="CY31" t="str">
            <v/>
          </cell>
          <cell r="CZ31" t="str">
            <v/>
          </cell>
          <cell r="DA31" t="str">
            <v/>
          </cell>
          <cell r="DB31" t="str">
            <v/>
          </cell>
        </row>
        <row r="32">
          <cell r="A32" t="str">
            <v/>
          </cell>
          <cell r="D32" t="str">
            <v/>
          </cell>
          <cell r="E32" t="str">
            <v/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 t="str">
            <v/>
          </cell>
          <cell r="P32" t="str">
            <v/>
          </cell>
          <cell r="Q32" t="str">
            <v/>
          </cell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  <cell r="Y32" t="str">
            <v/>
          </cell>
          <cell r="Z32" t="str">
            <v/>
          </cell>
          <cell r="AA32" t="str">
            <v/>
          </cell>
          <cell r="AB32" t="str">
            <v/>
          </cell>
          <cell r="AC32" t="str">
            <v/>
          </cell>
          <cell r="AD32" t="str">
            <v/>
          </cell>
          <cell r="AE32" t="str">
            <v/>
          </cell>
          <cell r="AF32" t="str">
            <v/>
          </cell>
          <cell r="AG32" t="str">
            <v/>
          </cell>
          <cell r="AH32" t="str">
            <v/>
          </cell>
          <cell r="AI32" t="str">
            <v/>
          </cell>
          <cell r="AJ32" t="str">
            <v/>
          </cell>
          <cell r="AK32" t="str">
            <v/>
          </cell>
          <cell r="AL32" t="str">
            <v/>
          </cell>
          <cell r="AM32" t="str">
            <v/>
          </cell>
          <cell r="AN32" t="str">
            <v/>
          </cell>
          <cell r="AO32" t="str">
            <v/>
          </cell>
          <cell r="AP32" t="str">
            <v/>
          </cell>
          <cell r="AQ32" t="str">
            <v/>
          </cell>
          <cell r="AR32" t="str">
            <v/>
          </cell>
          <cell r="AS32" t="str">
            <v/>
          </cell>
          <cell r="AT32" t="str">
            <v/>
          </cell>
          <cell r="AU32" t="str">
            <v/>
          </cell>
          <cell r="AV32" t="str">
            <v/>
          </cell>
          <cell r="AW32" t="str">
            <v/>
          </cell>
          <cell r="AX32" t="str">
            <v/>
          </cell>
          <cell r="AY32" t="str">
            <v/>
          </cell>
          <cell r="AZ32" t="str">
            <v/>
          </cell>
          <cell r="BA32" t="str">
            <v/>
          </cell>
          <cell r="BB32" t="str">
            <v/>
          </cell>
          <cell r="BC32" t="str">
            <v/>
          </cell>
          <cell r="BD32" t="str">
            <v/>
          </cell>
          <cell r="BE32" t="str">
            <v/>
          </cell>
          <cell r="BF32" t="str">
            <v/>
          </cell>
          <cell r="BG32" t="str">
            <v/>
          </cell>
          <cell r="BH32" t="str">
            <v/>
          </cell>
          <cell r="BI32" t="str">
            <v/>
          </cell>
          <cell r="BJ32" t="str">
            <v/>
          </cell>
          <cell r="BK32" t="str">
            <v/>
          </cell>
          <cell r="BL32" t="str">
            <v/>
          </cell>
          <cell r="BM32" t="str">
            <v/>
          </cell>
          <cell r="BN32" t="str">
            <v/>
          </cell>
          <cell r="BO32" t="str">
            <v/>
          </cell>
          <cell r="BP32" t="str">
            <v/>
          </cell>
          <cell r="BQ32" t="str">
            <v/>
          </cell>
          <cell r="BR32" t="str">
            <v/>
          </cell>
          <cell r="BS32" t="str">
            <v/>
          </cell>
          <cell r="BT32" t="str">
            <v/>
          </cell>
          <cell r="BU32" t="str">
            <v/>
          </cell>
          <cell r="BV32" t="str">
            <v/>
          </cell>
          <cell r="BW32" t="str">
            <v/>
          </cell>
          <cell r="BX32" t="str">
            <v/>
          </cell>
          <cell r="BY32" t="str">
            <v/>
          </cell>
          <cell r="BZ32" t="str">
            <v/>
          </cell>
          <cell r="CA32" t="str">
            <v/>
          </cell>
          <cell r="CB32" t="str">
            <v/>
          </cell>
          <cell r="CC32" t="str">
            <v/>
          </cell>
          <cell r="CD32" t="str">
            <v/>
          </cell>
          <cell r="CE32" t="str">
            <v/>
          </cell>
          <cell r="CF32" t="str">
            <v/>
          </cell>
          <cell r="CG32" t="str">
            <v/>
          </cell>
          <cell r="CH32" t="str">
            <v/>
          </cell>
          <cell r="CI32" t="str">
            <v/>
          </cell>
          <cell r="CJ32" t="str">
            <v/>
          </cell>
          <cell r="CK32" t="str">
            <v/>
          </cell>
          <cell r="CL32" t="str">
            <v/>
          </cell>
          <cell r="CM32" t="str">
            <v/>
          </cell>
          <cell r="CN32" t="str">
            <v/>
          </cell>
          <cell r="CO32" t="str">
            <v/>
          </cell>
          <cell r="CP32" t="str">
            <v/>
          </cell>
          <cell r="CQ32" t="str">
            <v/>
          </cell>
          <cell r="CR32" t="str">
            <v/>
          </cell>
          <cell r="CS32" t="str">
            <v/>
          </cell>
          <cell r="CT32" t="str">
            <v/>
          </cell>
          <cell r="CU32" t="str">
            <v/>
          </cell>
          <cell r="CV32" t="str">
            <v/>
          </cell>
          <cell r="CW32" t="str">
            <v/>
          </cell>
          <cell r="CX32" t="str">
            <v/>
          </cell>
          <cell r="CY32" t="str">
            <v/>
          </cell>
          <cell r="CZ32" t="str">
            <v/>
          </cell>
          <cell r="DA32" t="str">
            <v/>
          </cell>
          <cell r="DB32" t="str">
            <v/>
          </cell>
        </row>
        <row r="33">
          <cell r="A33" t="str">
            <v/>
          </cell>
        </row>
      </sheetData>
      <sheetData sheetId="5">
        <row r="1">
          <cell r="B1">
            <v>9</v>
          </cell>
        </row>
        <row r="2">
          <cell r="B2">
            <v>1</v>
          </cell>
        </row>
        <row r="50">
          <cell r="B50">
            <v>13</v>
          </cell>
        </row>
        <row r="51">
          <cell r="B51">
            <v>56.090909090909093</v>
          </cell>
          <cell r="C51">
            <v>49.858585858585862</v>
          </cell>
          <cell r="D51">
            <v>43.62626262626263</v>
          </cell>
          <cell r="E51">
            <v>37.393939393939391</v>
          </cell>
          <cell r="F51">
            <v>31.161616161616163</v>
          </cell>
          <cell r="G51">
            <v>24.929292929292927</v>
          </cell>
          <cell r="H51">
            <v>18.696969696969695</v>
          </cell>
          <cell r="I51">
            <v>12.464646464646471</v>
          </cell>
          <cell r="J51">
            <v>6.2323232323232318</v>
          </cell>
          <cell r="K51">
            <v>0</v>
          </cell>
          <cell r="L51" t="str">
            <v/>
          </cell>
          <cell r="M51" t="str">
            <v/>
          </cell>
          <cell r="N51" t="str">
            <v/>
          </cell>
          <cell r="O51" t="str">
            <v/>
          </cell>
          <cell r="P51" t="str">
            <v/>
          </cell>
          <cell r="Q51" t="str">
            <v/>
          </cell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  <cell r="Y51" t="str">
            <v/>
          </cell>
          <cell r="Z51" t="str">
            <v/>
          </cell>
          <cell r="AA51" t="str">
            <v/>
          </cell>
          <cell r="AB51" t="str">
            <v/>
          </cell>
          <cell r="AC51" t="str">
            <v/>
          </cell>
          <cell r="AD51" t="str">
            <v/>
          </cell>
          <cell r="AE51" t="str">
            <v/>
          </cell>
          <cell r="AF51" t="str">
            <v/>
          </cell>
          <cell r="AG51" t="str">
            <v/>
          </cell>
          <cell r="AH51" t="str">
            <v/>
          </cell>
          <cell r="AI51" t="str">
            <v/>
          </cell>
          <cell r="AJ51" t="str">
            <v/>
          </cell>
          <cell r="AK51" t="str">
            <v/>
          </cell>
          <cell r="AL51" t="str">
            <v/>
          </cell>
          <cell r="AM51" t="str">
            <v/>
          </cell>
          <cell r="AN51" t="str">
            <v/>
          </cell>
          <cell r="AO51" t="str">
            <v/>
          </cell>
          <cell r="AP51" t="str">
            <v/>
          </cell>
          <cell r="AQ51" t="str">
            <v/>
          </cell>
          <cell r="AR51" t="str">
            <v/>
          </cell>
          <cell r="AS51" t="str">
            <v/>
          </cell>
          <cell r="AT51" t="str">
            <v/>
          </cell>
          <cell r="AU51" t="str">
            <v/>
          </cell>
          <cell r="AV51" t="str">
            <v/>
          </cell>
          <cell r="AW51" t="str">
            <v/>
          </cell>
          <cell r="AX51" t="str">
            <v/>
          </cell>
          <cell r="AY51" t="str">
            <v/>
          </cell>
          <cell r="AZ51" t="str">
            <v/>
          </cell>
          <cell r="BA51" t="str">
            <v/>
          </cell>
          <cell r="BB51" t="str">
            <v/>
          </cell>
          <cell r="BC51" t="str">
            <v/>
          </cell>
          <cell r="BD51" t="str">
            <v/>
          </cell>
          <cell r="BE51" t="str">
            <v/>
          </cell>
          <cell r="BF51" t="str">
            <v/>
          </cell>
          <cell r="BG51" t="str">
            <v/>
          </cell>
          <cell r="BH51" t="str">
            <v/>
          </cell>
          <cell r="BI51" t="str">
            <v/>
          </cell>
          <cell r="BJ51" t="str">
            <v/>
          </cell>
          <cell r="BK51" t="str">
            <v/>
          </cell>
          <cell r="BL51" t="str">
            <v/>
          </cell>
          <cell r="BM51" t="str">
            <v/>
          </cell>
          <cell r="BN51" t="str">
            <v/>
          </cell>
          <cell r="BO51" t="str">
            <v/>
          </cell>
          <cell r="BP51" t="str">
            <v/>
          </cell>
          <cell r="BQ51" t="str">
            <v/>
          </cell>
          <cell r="BR51" t="str">
            <v/>
          </cell>
          <cell r="BS51" t="str">
            <v/>
          </cell>
          <cell r="BT51" t="str">
            <v/>
          </cell>
          <cell r="BU51" t="str">
            <v/>
          </cell>
          <cell r="BV51" t="str">
            <v/>
          </cell>
          <cell r="BW51" t="str">
            <v/>
          </cell>
          <cell r="BX51" t="str">
            <v/>
          </cell>
          <cell r="BY51" t="str">
            <v/>
          </cell>
          <cell r="BZ51" t="str">
            <v/>
          </cell>
          <cell r="CA51" t="str">
            <v/>
          </cell>
          <cell r="CB51" t="str">
            <v/>
          </cell>
          <cell r="CC51" t="str">
            <v/>
          </cell>
          <cell r="CD51" t="str">
            <v/>
          </cell>
          <cell r="CE51" t="str">
            <v/>
          </cell>
          <cell r="CF51" t="str">
            <v/>
          </cell>
          <cell r="CG51" t="str">
            <v/>
          </cell>
          <cell r="CH51" t="str">
            <v/>
          </cell>
          <cell r="CI51" t="str">
            <v/>
          </cell>
          <cell r="CJ51" t="str">
            <v/>
          </cell>
          <cell r="CK51" t="str">
            <v/>
          </cell>
          <cell r="CL51" t="str">
            <v/>
          </cell>
          <cell r="CM51" t="str">
            <v/>
          </cell>
          <cell r="CN51" t="str">
            <v/>
          </cell>
          <cell r="CO51" t="str">
            <v/>
          </cell>
          <cell r="CP51" t="str">
            <v/>
          </cell>
          <cell r="CQ51" t="str">
            <v/>
          </cell>
          <cell r="CR51" t="str">
            <v/>
          </cell>
          <cell r="CS51" t="str">
            <v/>
          </cell>
          <cell r="CT51" t="str">
            <v/>
          </cell>
          <cell r="CU51" t="str">
            <v/>
          </cell>
          <cell r="CV51" t="str">
            <v/>
          </cell>
          <cell r="CW51" t="str">
            <v/>
          </cell>
          <cell r="CX51" t="str">
            <v/>
          </cell>
          <cell r="CY51" t="str">
            <v/>
          </cell>
          <cell r="CZ51" t="str">
            <v/>
          </cell>
        </row>
        <row r="52">
          <cell r="B52" t="b">
            <v>1</v>
          </cell>
          <cell r="C52" t="b">
            <v>1</v>
          </cell>
          <cell r="D52" t="b">
            <v>1</v>
          </cell>
          <cell r="E52" t="b">
            <v>1</v>
          </cell>
          <cell r="F52" t="b">
            <v>0</v>
          </cell>
          <cell r="G52" t="b">
            <v>0</v>
          </cell>
          <cell r="H52" t="b">
            <v>0</v>
          </cell>
          <cell r="I52" t="b">
            <v>0</v>
          </cell>
          <cell r="J52" t="b">
            <v>0</v>
          </cell>
          <cell r="K52" t="b">
            <v>0</v>
          </cell>
          <cell r="L52" t="b">
            <v>0</v>
          </cell>
          <cell r="M52" t="b">
            <v>0</v>
          </cell>
          <cell r="N52" t="b">
            <v>0</v>
          </cell>
          <cell r="O52" t="b">
            <v>0</v>
          </cell>
          <cell r="P52" t="b">
            <v>0</v>
          </cell>
          <cell r="Q52" t="b">
            <v>0</v>
          </cell>
          <cell r="R52" t="b">
            <v>0</v>
          </cell>
          <cell r="S52" t="b">
            <v>0</v>
          </cell>
          <cell r="T52" t="b">
            <v>0</v>
          </cell>
          <cell r="U52" t="b">
            <v>0</v>
          </cell>
          <cell r="V52" t="b">
            <v>0</v>
          </cell>
          <cell r="W52" t="b">
            <v>0</v>
          </cell>
          <cell r="X52" t="b">
            <v>0</v>
          </cell>
          <cell r="Y52" t="b">
            <v>0</v>
          </cell>
          <cell r="Z52" t="b">
            <v>0</v>
          </cell>
          <cell r="AA52" t="b">
            <v>0</v>
          </cell>
          <cell r="AB52" t="b">
            <v>0</v>
          </cell>
          <cell r="AC52" t="b">
            <v>0</v>
          </cell>
          <cell r="AD52" t="b">
            <v>0</v>
          </cell>
          <cell r="AE52" t="b">
            <v>0</v>
          </cell>
          <cell r="AF52" t="b">
            <v>0</v>
          </cell>
          <cell r="AG52" t="b">
            <v>0</v>
          </cell>
          <cell r="AH52" t="b">
            <v>0</v>
          </cell>
          <cell r="AI52" t="b">
            <v>0</v>
          </cell>
          <cell r="AJ52" t="b">
            <v>0</v>
          </cell>
          <cell r="AK52" t="b">
            <v>0</v>
          </cell>
          <cell r="AL52" t="b">
            <v>0</v>
          </cell>
          <cell r="AM52" t="b">
            <v>0</v>
          </cell>
          <cell r="AN52" t="b">
            <v>0</v>
          </cell>
          <cell r="AO52" t="b">
            <v>0</v>
          </cell>
          <cell r="AP52" t="b">
            <v>0</v>
          </cell>
          <cell r="AQ52" t="b">
            <v>0</v>
          </cell>
          <cell r="AR52" t="b">
            <v>0</v>
          </cell>
          <cell r="AS52" t="b">
            <v>0</v>
          </cell>
          <cell r="AT52" t="b">
            <v>0</v>
          </cell>
          <cell r="AU52" t="b">
            <v>0</v>
          </cell>
          <cell r="AV52" t="b">
            <v>0</v>
          </cell>
          <cell r="AW52" t="b">
            <v>0</v>
          </cell>
          <cell r="AX52" t="b">
            <v>0</v>
          </cell>
          <cell r="AY52" t="b">
            <v>0</v>
          </cell>
          <cell r="AZ52" t="b">
            <v>0</v>
          </cell>
          <cell r="BA52" t="b">
            <v>0</v>
          </cell>
          <cell r="BB52" t="b">
            <v>0</v>
          </cell>
          <cell r="BC52" t="b">
            <v>0</v>
          </cell>
          <cell r="BD52" t="b">
            <v>0</v>
          </cell>
          <cell r="BE52" t="b">
            <v>0</v>
          </cell>
          <cell r="BF52" t="b">
            <v>0</v>
          </cell>
          <cell r="BG52" t="b">
            <v>0</v>
          </cell>
          <cell r="BH52" t="b">
            <v>0</v>
          </cell>
          <cell r="BI52" t="b">
            <v>0</v>
          </cell>
          <cell r="BJ52" t="b">
            <v>0</v>
          </cell>
          <cell r="BK52" t="b">
            <v>0</v>
          </cell>
          <cell r="BL52" t="b">
            <v>0</v>
          </cell>
          <cell r="BM52" t="b">
            <v>0</v>
          </cell>
          <cell r="BN52" t="b">
            <v>0</v>
          </cell>
          <cell r="BO52" t="b">
            <v>0</v>
          </cell>
          <cell r="BP52" t="b">
            <v>0</v>
          </cell>
          <cell r="BQ52" t="b">
            <v>0</v>
          </cell>
          <cell r="BR52" t="b">
            <v>0</v>
          </cell>
          <cell r="BS52" t="b">
            <v>0</v>
          </cell>
          <cell r="BT52" t="b">
            <v>0</v>
          </cell>
          <cell r="BU52" t="b">
            <v>0</v>
          </cell>
          <cell r="BV52" t="b">
            <v>0</v>
          </cell>
          <cell r="BW52" t="b">
            <v>0</v>
          </cell>
          <cell r="BX52" t="b">
            <v>0</v>
          </cell>
          <cell r="BY52" t="b">
            <v>0</v>
          </cell>
          <cell r="BZ52" t="b">
            <v>0</v>
          </cell>
          <cell r="CA52" t="b">
            <v>0</v>
          </cell>
          <cell r="CB52" t="b">
            <v>0</v>
          </cell>
          <cell r="CC52" t="b">
            <v>0</v>
          </cell>
          <cell r="CD52" t="b">
            <v>0</v>
          </cell>
          <cell r="CE52" t="b">
            <v>0</v>
          </cell>
          <cell r="CF52" t="b">
            <v>0</v>
          </cell>
          <cell r="CG52" t="b">
            <v>0</v>
          </cell>
          <cell r="CH52" t="b">
            <v>0</v>
          </cell>
          <cell r="CI52" t="b">
            <v>0</v>
          </cell>
          <cell r="CJ52" t="b">
            <v>0</v>
          </cell>
          <cell r="CK52" t="b">
            <v>0</v>
          </cell>
          <cell r="CL52" t="b">
            <v>0</v>
          </cell>
          <cell r="CM52" t="b">
            <v>0</v>
          </cell>
          <cell r="CN52" t="b">
            <v>0</v>
          </cell>
          <cell r="CO52" t="b">
            <v>0</v>
          </cell>
          <cell r="CP52" t="b">
            <v>0</v>
          </cell>
          <cell r="CQ52" t="b">
            <v>0</v>
          </cell>
          <cell r="CR52" t="b">
            <v>0</v>
          </cell>
          <cell r="CS52" t="b">
            <v>0</v>
          </cell>
          <cell r="CT52" t="b">
            <v>0</v>
          </cell>
          <cell r="CU52" t="b">
            <v>0</v>
          </cell>
          <cell r="CV52" t="b">
            <v>0</v>
          </cell>
          <cell r="CW52" t="b">
            <v>0</v>
          </cell>
          <cell r="CX52" t="b">
            <v>0</v>
          </cell>
          <cell r="CY52" t="b">
            <v>0</v>
          </cell>
          <cell r="CZ52" t="b">
            <v>0</v>
          </cell>
        </row>
        <row r="53">
          <cell r="B53" t="str">
            <v>Yes</v>
          </cell>
          <cell r="C53" t="str">
            <v>No</v>
          </cell>
        </row>
        <row r="54"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 t="str">
            <v/>
          </cell>
          <cell r="M54" t="str">
            <v/>
          </cell>
          <cell r="N54" t="str">
            <v/>
          </cell>
          <cell r="O54" t="str">
            <v/>
          </cell>
          <cell r="P54" t="str">
            <v/>
          </cell>
          <cell r="Q54" t="str">
            <v/>
          </cell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  <cell r="Y54" t="str">
            <v/>
          </cell>
          <cell r="Z54" t="str">
            <v/>
          </cell>
          <cell r="AA54" t="str">
            <v/>
          </cell>
          <cell r="AB54" t="str">
            <v/>
          </cell>
          <cell r="AC54" t="str">
            <v/>
          </cell>
          <cell r="AD54" t="str">
            <v/>
          </cell>
          <cell r="AE54" t="str">
            <v/>
          </cell>
          <cell r="AF54" t="str">
            <v/>
          </cell>
          <cell r="AG54" t="str">
            <v/>
          </cell>
          <cell r="AH54" t="str">
            <v/>
          </cell>
          <cell r="AI54" t="str">
            <v/>
          </cell>
          <cell r="AJ54" t="str">
            <v/>
          </cell>
          <cell r="AK54" t="str">
            <v/>
          </cell>
          <cell r="AL54" t="str">
            <v/>
          </cell>
          <cell r="AM54" t="str">
            <v/>
          </cell>
          <cell r="AN54" t="str">
            <v/>
          </cell>
          <cell r="AO54" t="str">
            <v/>
          </cell>
          <cell r="AP54" t="str">
            <v/>
          </cell>
          <cell r="AQ54" t="str">
            <v/>
          </cell>
          <cell r="AR54" t="str">
            <v/>
          </cell>
          <cell r="AS54" t="str">
            <v/>
          </cell>
          <cell r="AT54" t="str">
            <v/>
          </cell>
          <cell r="AU54" t="str">
            <v/>
          </cell>
          <cell r="AV54" t="str">
            <v/>
          </cell>
          <cell r="AW54" t="str">
            <v/>
          </cell>
          <cell r="AX54" t="str">
            <v/>
          </cell>
          <cell r="AY54" t="str">
            <v/>
          </cell>
          <cell r="AZ54" t="str">
            <v/>
          </cell>
          <cell r="BA54" t="str">
            <v/>
          </cell>
          <cell r="BB54" t="str">
            <v/>
          </cell>
          <cell r="BC54" t="str">
            <v/>
          </cell>
          <cell r="BD54" t="str">
            <v/>
          </cell>
          <cell r="BE54" t="str">
            <v/>
          </cell>
          <cell r="BF54" t="str">
            <v/>
          </cell>
          <cell r="BG54" t="str">
            <v/>
          </cell>
          <cell r="BH54" t="str">
            <v/>
          </cell>
          <cell r="BI54" t="str">
            <v/>
          </cell>
          <cell r="BJ54" t="str">
            <v/>
          </cell>
          <cell r="BK54" t="str">
            <v/>
          </cell>
          <cell r="BL54" t="str">
            <v/>
          </cell>
          <cell r="BM54" t="str">
            <v/>
          </cell>
          <cell r="BN54" t="str">
            <v/>
          </cell>
          <cell r="BO54" t="str">
            <v/>
          </cell>
          <cell r="BP54" t="str">
            <v/>
          </cell>
          <cell r="BQ54" t="str">
            <v/>
          </cell>
          <cell r="BR54" t="str">
            <v/>
          </cell>
          <cell r="BS54" t="str">
            <v/>
          </cell>
          <cell r="BT54" t="str">
            <v/>
          </cell>
          <cell r="BU54" t="str">
            <v/>
          </cell>
          <cell r="BV54" t="str">
            <v/>
          </cell>
          <cell r="BW54" t="str">
            <v/>
          </cell>
          <cell r="BX54" t="str">
            <v/>
          </cell>
          <cell r="BY54" t="str">
            <v/>
          </cell>
          <cell r="BZ54" t="str">
            <v/>
          </cell>
          <cell r="CA54" t="str">
            <v/>
          </cell>
          <cell r="CB54" t="str">
            <v/>
          </cell>
          <cell r="CC54" t="str">
            <v/>
          </cell>
          <cell r="CD54" t="str">
            <v/>
          </cell>
          <cell r="CE54" t="str">
            <v/>
          </cell>
          <cell r="CF54" t="str">
            <v/>
          </cell>
          <cell r="CG54" t="str">
            <v/>
          </cell>
          <cell r="CH54" t="str">
            <v/>
          </cell>
          <cell r="CI54" t="str">
            <v/>
          </cell>
          <cell r="CJ54" t="str">
            <v/>
          </cell>
          <cell r="CK54" t="str">
            <v/>
          </cell>
          <cell r="CL54" t="str">
            <v/>
          </cell>
          <cell r="CM54" t="str">
            <v/>
          </cell>
          <cell r="CN54" t="str">
            <v/>
          </cell>
          <cell r="CO54" t="str">
            <v/>
          </cell>
          <cell r="CP54" t="str">
            <v/>
          </cell>
          <cell r="CQ54" t="str">
            <v/>
          </cell>
          <cell r="CR54" t="str">
            <v/>
          </cell>
          <cell r="CS54" t="str">
            <v/>
          </cell>
          <cell r="CT54" t="str">
            <v/>
          </cell>
          <cell r="CU54" t="str">
            <v/>
          </cell>
          <cell r="CV54" t="str">
            <v/>
          </cell>
          <cell r="CW54" t="str">
            <v/>
          </cell>
          <cell r="CX54" t="str">
            <v/>
          </cell>
          <cell r="CY54" t="str">
            <v/>
          </cell>
          <cell r="CZ54" t="str">
            <v/>
          </cell>
        </row>
        <row r="58">
          <cell r="A58" t="str">
            <v>Upper Trend</v>
          </cell>
          <cell r="B58">
            <v>122.5</v>
          </cell>
          <cell r="C58">
            <v>105</v>
          </cell>
          <cell r="D58">
            <v>87.5</v>
          </cell>
          <cell r="E58">
            <v>70</v>
          </cell>
          <cell r="F58">
            <v>52.5</v>
          </cell>
          <cell r="G58">
            <v>35</v>
          </cell>
          <cell r="H58">
            <v>17.5</v>
          </cell>
          <cell r="I58">
            <v>0</v>
          </cell>
          <cell r="J58">
            <v>-17.5</v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 t="str">
            <v/>
          </cell>
          <cell r="P58" t="str">
            <v/>
          </cell>
          <cell r="Q58" t="str">
            <v/>
          </cell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  <cell r="Y58" t="str">
            <v/>
          </cell>
          <cell r="Z58" t="str">
            <v/>
          </cell>
          <cell r="AA58" t="str">
            <v/>
          </cell>
          <cell r="AB58" t="str">
            <v/>
          </cell>
          <cell r="AC58" t="str">
            <v/>
          </cell>
          <cell r="AD58" t="str">
            <v/>
          </cell>
          <cell r="AE58" t="str">
            <v/>
          </cell>
          <cell r="AF58" t="str">
            <v/>
          </cell>
          <cell r="AG58" t="str">
            <v/>
          </cell>
          <cell r="AH58" t="str">
            <v/>
          </cell>
          <cell r="AI58" t="str">
            <v/>
          </cell>
          <cell r="AJ58" t="str">
            <v/>
          </cell>
          <cell r="AK58" t="str">
            <v/>
          </cell>
          <cell r="AL58" t="str">
            <v/>
          </cell>
          <cell r="AM58" t="str">
            <v/>
          </cell>
          <cell r="AN58" t="str">
            <v/>
          </cell>
          <cell r="AO58" t="str">
            <v/>
          </cell>
          <cell r="AP58" t="str">
            <v/>
          </cell>
          <cell r="AQ58" t="str">
            <v/>
          </cell>
          <cell r="AR58" t="str">
            <v/>
          </cell>
          <cell r="AS58" t="str">
            <v/>
          </cell>
          <cell r="AT58" t="str">
            <v/>
          </cell>
          <cell r="AU58" t="str">
            <v/>
          </cell>
          <cell r="AV58" t="str">
            <v/>
          </cell>
          <cell r="AW58" t="str">
            <v/>
          </cell>
          <cell r="AX58" t="str">
            <v/>
          </cell>
          <cell r="AY58" t="str">
            <v/>
          </cell>
          <cell r="AZ58" t="str">
            <v/>
          </cell>
          <cell r="BA58" t="str">
            <v/>
          </cell>
          <cell r="BB58" t="str">
            <v/>
          </cell>
          <cell r="BC58" t="str">
            <v/>
          </cell>
          <cell r="BD58" t="str">
            <v/>
          </cell>
          <cell r="BE58" t="str">
            <v/>
          </cell>
          <cell r="BF58" t="str">
            <v/>
          </cell>
          <cell r="BG58" t="str">
            <v/>
          </cell>
          <cell r="BH58" t="str">
            <v/>
          </cell>
          <cell r="BI58" t="str">
            <v/>
          </cell>
          <cell r="BJ58" t="str">
            <v/>
          </cell>
          <cell r="BK58" t="str">
            <v/>
          </cell>
          <cell r="BL58" t="str">
            <v/>
          </cell>
          <cell r="BM58" t="str">
            <v/>
          </cell>
          <cell r="BN58" t="str">
            <v/>
          </cell>
          <cell r="BO58" t="str">
            <v/>
          </cell>
          <cell r="BP58" t="str">
            <v/>
          </cell>
          <cell r="BQ58" t="str">
            <v/>
          </cell>
          <cell r="BR58" t="str">
            <v/>
          </cell>
          <cell r="BS58" t="str">
            <v/>
          </cell>
          <cell r="BT58" t="str">
            <v/>
          </cell>
          <cell r="BU58" t="str">
            <v/>
          </cell>
          <cell r="BV58" t="str">
            <v/>
          </cell>
          <cell r="BW58" t="str">
            <v/>
          </cell>
          <cell r="BX58" t="str">
            <v/>
          </cell>
          <cell r="BY58" t="str">
            <v/>
          </cell>
          <cell r="BZ58" t="str">
            <v/>
          </cell>
          <cell r="CA58" t="str">
            <v/>
          </cell>
          <cell r="CB58" t="str">
            <v/>
          </cell>
          <cell r="CC58" t="str">
            <v/>
          </cell>
          <cell r="CD58" t="str">
            <v/>
          </cell>
          <cell r="CE58" t="str">
            <v/>
          </cell>
          <cell r="CF58" t="str">
            <v/>
          </cell>
          <cell r="CG58" t="str">
            <v/>
          </cell>
          <cell r="CH58" t="str">
            <v/>
          </cell>
          <cell r="CI58" t="str">
            <v/>
          </cell>
          <cell r="CJ58" t="str">
            <v/>
          </cell>
          <cell r="CK58" t="str">
            <v/>
          </cell>
          <cell r="CL58" t="str">
            <v/>
          </cell>
          <cell r="CM58" t="str">
            <v/>
          </cell>
          <cell r="CN58" t="str">
            <v/>
          </cell>
          <cell r="CO58" t="str">
            <v/>
          </cell>
          <cell r="CP58" t="str">
            <v/>
          </cell>
          <cell r="CQ58" t="str">
            <v/>
          </cell>
          <cell r="CR58" t="str">
            <v/>
          </cell>
          <cell r="CS58" t="str">
            <v/>
          </cell>
          <cell r="CT58" t="str">
            <v/>
          </cell>
          <cell r="CU58" t="str">
            <v/>
          </cell>
          <cell r="CV58" t="str">
            <v/>
          </cell>
          <cell r="CW58" t="str">
            <v/>
          </cell>
          <cell r="CX58" t="str">
            <v/>
          </cell>
          <cell r="CY58" t="str">
            <v/>
          </cell>
          <cell r="CZ58" t="str">
            <v/>
          </cell>
          <cell r="DA58" t="str">
            <v/>
          </cell>
          <cell r="DB58" t="str">
            <v/>
          </cell>
          <cell r="DC58" t="str">
            <v/>
          </cell>
          <cell r="DD58" t="str">
            <v/>
          </cell>
          <cell r="DE58" t="str">
            <v/>
          </cell>
          <cell r="DF58" t="str">
            <v/>
          </cell>
          <cell r="DG58" t="str">
            <v/>
          </cell>
          <cell r="DH58" t="str">
            <v/>
          </cell>
          <cell r="DI58" t="str">
            <v/>
          </cell>
          <cell r="DJ58" t="str">
            <v/>
          </cell>
          <cell r="DK58" t="str">
            <v/>
          </cell>
          <cell r="DL58" t="str">
            <v/>
          </cell>
          <cell r="DM58" t="str">
            <v/>
          </cell>
          <cell r="DN58" t="str">
            <v/>
          </cell>
          <cell r="DO58" t="str">
            <v/>
          </cell>
          <cell r="DP58" t="str">
            <v/>
          </cell>
          <cell r="DQ58" t="str">
            <v/>
          </cell>
          <cell r="DR58" t="str">
            <v/>
          </cell>
          <cell r="DS58" t="str">
            <v/>
          </cell>
          <cell r="DT58" t="str">
            <v/>
          </cell>
          <cell r="DU58" t="str">
            <v/>
          </cell>
          <cell r="DV58" t="str">
            <v/>
          </cell>
          <cell r="DW58" t="str">
            <v/>
          </cell>
          <cell r="DX58" t="str">
            <v/>
          </cell>
          <cell r="DY58" t="str">
            <v/>
          </cell>
          <cell r="DZ58" t="str">
            <v/>
          </cell>
          <cell r="EA58" t="str">
            <v/>
          </cell>
          <cell r="EB58" t="str">
            <v/>
          </cell>
          <cell r="EC58" t="str">
            <v/>
          </cell>
          <cell r="ED58" t="str">
            <v/>
          </cell>
          <cell r="EE58" t="str">
            <v/>
          </cell>
          <cell r="EF58" t="str">
            <v/>
          </cell>
          <cell r="EG58" t="str">
            <v/>
          </cell>
          <cell r="EH58" t="str">
            <v/>
          </cell>
          <cell r="EI58" t="str">
            <v/>
          </cell>
          <cell r="EJ58" t="str">
            <v/>
          </cell>
          <cell r="EK58" t="str">
            <v/>
          </cell>
          <cell r="EL58" t="str">
            <v/>
          </cell>
          <cell r="EM58" t="str">
            <v/>
          </cell>
          <cell r="EN58" t="str">
            <v/>
          </cell>
          <cell r="EO58" t="str">
            <v/>
          </cell>
          <cell r="EP58" t="str">
            <v/>
          </cell>
          <cell r="EQ58" t="str">
            <v/>
          </cell>
          <cell r="ER58" t="str">
            <v/>
          </cell>
          <cell r="ES58" t="str">
            <v/>
          </cell>
          <cell r="ET58" t="str">
            <v/>
          </cell>
          <cell r="EU58" t="str">
            <v/>
          </cell>
          <cell r="EV58" t="str">
            <v/>
          </cell>
          <cell r="EW58" t="str">
            <v/>
          </cell>
          <cell r="EX58" t="str">
            <v/>
          </cell>
          <cell r="EY58" t="str">
            <v/>
          </cell>
          <cell r="EZ58" t="str">
            <v/>
          </cell>
          <cell r="FA58" t="str">
            <v/>
          </cell>
        </row>
        <row r="59">
          <cell r="A59" t="str">
            <v>Lower Trend</v>
          </cell>
          <cell r="B59">
            <v>-1.5</v>
          </cell>
          <cell r="C59">
            <v>-2.5</v>
          </cell>
          <cell r="D59">
            <v>-3.5</v>
          </cell>
          <cell r="E59">
            <v>-4.5</v>
          </cell>
          <cell r="F59">
            <v>-5.5</v>
          </cell>
          <cell r="G59">
            <v>-6.5</v>
          </cell>
          <cell r="H59">
            <v>-7.5</v>
          </cell>
          <cell r="I59">
            <v>-8.5</v>
          </cell>
          <cell r="J59">
            <v>-9.5</v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 t="str">
            <v/>
          </cell>
          <cell r="P59" t="str">
            <v/>
          </cell>
          <cell r="Q59" t="str">
            <v/>
          </cell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  <cell r="Y59" t="str">
            <v/>
          </cell>
          <cell r="Z59" t="str">
            <v/>
          </cell>
          <cell r="AA59" t="str">
            <v/>
          </cell>
          <cell r="AB59" t="str">
            <v/>
          </cell>
          <cell r="AC59" t="str">
            <v/>
          </cell>
          <cell r="AD59" t="str">
            <v/>
          </cell>
          <cell r="AE59" t="str">
            <v/>
          </cell>
          <cell r="AF59" t="str">
            <v/>
          </cell>
          <cell r="AG59" t="str">
            <v/>
          </cell>
          <cell r="AH59" t="str">
            <v/>
          </cell>
          <cell r="AI59" t="str">
            <v/>
          </cell>
          <cell r="AJ59" t="str">
            <v/>
          </cell>
          <cell r="AK59" t="str">
            <v/>
          </cell>
          <cell r="AL59" t="str">
            <v/>
          </cell>
          <cell r="AM59" t="str">
            <v/>
          </cell>
          <cell r="AN59" t="str">
            <v/>
          </cell>
          <cell r="AO59" t="str">
            <v/>
          </cell>
          <cell r="AP59" t="str">
            <v/>
          </cell>
          <cell r="AQ59" t="str">
            <v/>
          </cell>
          <cell r="AR59" t="str">
            <v/>
          </cell>
          <cell r="AS59" t="str">
            <v/>
          </cell>
          <cell r="AT59" t="str">
            <v/>
          </cell>
          <cell r="AU59" t="str">
            <v/>
          </cell>
          <cell r="AV59" t="str">
            <v/>
          </cell>
          <cell r="AW59" t="str">
            <v/>
          </cell>
          <cell r="AX59" t="str">
            <v/>
          </cell>
          <cell r="AY59" t="str">
            <v/>
          </cell>
          <cell r="AZ59" t="str">
            <v/>
          </cell>
          <cell r="BA59" t="str">
            <v/>
          </cell>
          <cell r="BB59" t="str">
            <v/>
          </cell>
          <cell r="BC59" t="str">
            <v/>
          </cell>
          <cell r="BD59" t="str">
            <v/>
          </cell>
          <cell r="BE59" t="str">
            <v/>
          </cell>
          <cell r="BF59" t="str">
            <v/>
          </cell>
          <cell r="BG59" t="str">
            <v/>
          </cell>
          <cell r="BH59" t="str">
            <v/>
          </cell>
          <cell r="BI59" t="str">
            <v/>
          </cell>
          <cell r="BJ59" t="str">
            <v/>
          </cell>
          <cell r="BK59" t="str">
            <v/>
          </cell>
          <cell r="BL59" t="str">
            <v/>
          </cell>
          <cell r="BM59" t="str">
            <v/>
          </cell>
          <cell r="BN59" t="str">
            <v/>
          </cell>
          <cell r="BO59" t="str">
            <v/>
          </cell>
          <cell r="BP59" t="str">
            <v/>
          </cell>
          <cell r="BQ59" t="str">
            <v/>
          </cell>
          <cell r="BR59" t="str">
            <v/>
          </cell>
          <cell r="BS59" t="str">
            <v/>
          </cell>
          <cell r="BT59" t="str">
            <v/>
          </cell>
          <cell r="BU59" t="str">
            <v/>
          </cell>
          <cell r="BV59" t="str">
            <v/>
          </cell>
          <cell r="BW59" t="str">
            <v/>
          </cell>
          <cell r="BX59" t="str">
            <v/>
          </cell>
          <cell r="BY59" t="str">
            <v/>
          </cell>
          <cell r="BZ59" t="str">
            <v/>
          </cell>
          <cell r="CA59" t="str">
            <v/>
          </cell>
          <cell r="CB59" t="str">
            <v/>
          </cell>
          <cell r="CC59" t="str">
            <v/>
          </cell>
          <cell r="CD59" t="str">
            <v/>
          </cell>
          <cell r="CE59" t="str">
            <v/>
          </cell>
          <cell r="CF59" t="str">
            <v/>
          </cell>
          <cell r="CG59" t="str">
            <v/>
          </cell>
          <cell r="CH59" t="str">
            <v/>
          </cell>
          <cell r="CI59" t="str">
            <v/>
          </cell>
          <cell r="CJ59" t="str">
            <v/>
          </cell>
          <cell r="CK59" t="str">
            <v/>
          </cell>
          <cell r="CL59" t="str">
            <v/>
          </cell>
          <cell r="CM59" t="str">
            <v/>
          </cell>
          <cell r="CN59" t="str">
            <v/>
          </cell>
          <cell r="CO59" t="str">
            <v/>
          </cell>
          <cell r="CP59" t="str">
            <v/>
          </cell>
          <cell r="CQ59" t="str">
            <v/>
          </cell>
          <cell r="CR59" t="str">
            <v/>
          </cell>
          <cell r="CS59" t="str">
            <v/>
          </cell>
          <cell r="CT59" t="str">
            <v/>
          </cell>
          <cell r="CU59" t="str">
            <v/>
          </cell>
          <cell r="CV59" t="str">
            <v/>
          </cell>
          <cell r="CW59" t="str">
            <v/>
          </cell>
          <cell r="CX59" t="str">
            <v/>
          </cell>
          <cell r="CY59" t="str">
            <v/>
          </cell>
          <cell r="CZ59" t="str">
            <v/>
          </cell>
          <cell r="DA59" t="str">
            <v/>
          </cell>
          <cell r="DB59" t="str">
            <v/>
          </cell>
          <cell r="DC59" t="str">
            <v/>
          </cell>
          <cell r="DD59" t="str">
            <v/>
          </cell>
          <cell r="DE59" t="str">
            <v/>
          </cell>
          <cell r="DF59" t="str">
            <v/>
          </cell>
          <cell r="DG59" t="str">
            <v/>
          </cell>
          <cell r="DH59" t="str">
            <v/>
          </cell>
          <cell r="DI59" t="str">
            <v/>
          </cell>
          <cell r="DJ59" t="str">
            <v/>
          </cell>
          <cell r="DK59" t="str">
            <v/>
          </cell>
          <cell r="DL59" t="str">
            <v/>
          </cell>
          <cell r="DM59" t="str">
            <v/>
          </cell>
          <cell r="DN59" t="str">
            <v/>
          </cell>
          <cell r="DO59" t="str">
            <v/>
          </cell>
          <cell r="DP59" t="str">
            <v/>
          </cell>
          <cell r="DQ59" t="str">
            <v/>
          </cell>
          <cell r="DR59" t="str">
            <v/>
          </cell>
          <cell r="DS59" t="str">
            <v/>
          </cell>
          <cell r="DT59" t="str">
            <v/>
          </cell>
          <cell r="DU59" t="str">
            <v/>
          </cell>
          <cell r="DV59" t="str">
            <v/>
          </cell>
          <cell r="DW59" t="str">
            <v/>
          </cell>
          <cell r="DX59" t="str">
            <v/>
          </cell>
          <cell r="DY59" t="str">
            <v/>
          </cell>
          <cell r="DZ59" t="str">
            <v/>
          </cell>
          <cell r="EA59" t="str">
            <v/>
          </cell>
          <cell r="EB59" t="str">
            <v/>
          </cell>
          <cell r="EC59" t="str">
            <v/>
          </cell>
          <cell r="ED59" t="str">
            <v/>
          </cell>
          <cell r="EE59" t="str">
            <v/>
          </cell>
          <cell r="EF59" t="str">
            <v/>
          </cell>
          <cell r="EG59" t="str">
            <v/>
          </cell>
          <cell r="EH59" t="str">
            <v/>
          </cell>
          <cell r="EI59" t="str">
            <v/>
          </cell>
          <cell r="EJ59" t="str">
            <v/>
          </cell>
          <cell r="EK59" t="str">
            <v/>
          </cell>
          <cell r="EL59" t="str">
            <v/>
          </cell>
          <cell r="EM59" t="str">
            <v/>
          </cell>
          <cell r="EN59" t="str">
            <v/>
          </cell>
          <cell r="EO59" t="str">
            <v/>
          </cell>
          <cell r="EP59" t="str">
            <v/>
          </cell>
          <cell r="EQ59" t="str">
            <v/>
          </cell>
          <cell r="ER59" t="str">
            <v/>
          </cell>
          <cell r="ES59" t="str">
            <v/>
          </cell>
          <cell r="ET59" t="str">
            <v/>
          </cell>
          <cell r="EU59" t="str">
            <v/>
          </cell>
          <cell r="EV59" t="str">
            <v/>
          </cell>
          <cell r="EW59" t="str">
            <v/>
          </cell>
          <cell r="EX59" t="str">
            <v/>
          </cell>
          <cell r="EY59" t="str">
            <v/>
          </cell>
          <cell r="EZ59" t="str">
            <v/>
          </cell>
          <cell r="FA59" t="str">
            <v/>
          </cell>
        </row>
      </sheetData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gram Backlog"/>
      <sheetName val="Decision Log"/>
      <sheetName val="Program Features Progress"/>
      <sheetName val="Program Performance Metrics"/>
      <sheetName val="Cumulative Flow"/>
      <sheetName val="Team Metrics"/>
      <sheetName val="Program Predictability Measure"/>
      <sheetName val="Objectives PI-2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E2" t="str">
            <v>PI.1</v>
          </cell>
          <cell r="F2" t="str">
            <v>PI.2</v>
          </cell>
          <cell r="G2" t="str">
            <v>PI.3</v>
          </cell>
          <cell r="H2" t="str">
            <v>PI.4</v>
          </cell>
        </row>
        <row r="3">
          <cell r="E3">
            <v>0.6216666666666667</v>
          </cell>
          <cell r="F3">
            <v>0.66333333333333333</v>
          </cell>
        </row>
      </sheetData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ebgate.ec.europa.eu/CITnet/jira/browse/MWP-563" TargetMode="External"/><Relationship Id="rId3" Type="http://schemas.openxmlformats.org/officeDocument/2006/relationships/hyperlink" Target="https://webgate.ec.europa.eu/CITnet/jira/browse/MWP-576" TargetMode="External"/><Relationship Id="rId7" Type="http://schemas.openxmlformats.org/officeDocument/2006/relationships/hyperlink" Target="https://webgate.ec.europa.eu/CITnet/jira/browse/MWP-558" TargetMode="External"/><Relationship Id="rId2" Type="http://schemas.openxmlformats.org/officeDocument/2006/relationships/hyperlink" Target="https://webgate.ec.europa.eu/CITnet/jira/browse/OPRESULT-1202" TargetMode="External"/><Relationship Id="rId1" Type="http://schemas.openxmlformats.org/officeDocument/2006/relationships/hyperlink" Target="https://webgate.ec.europa.eu/CITnet/jira/browse/OPRESULT-1201" TargetMode="External"/><Relationship Id="rId6" Type="http://schemas.openxmlformats.org/officeDocument/2006/relationships/hyperlink" Target="https://webgate.ec.europa.eu/CITnet/jira/browse/MWP-559" TargetMode="External"/><Relationship Id="rId5" Type="http://schemas.openxmlformats.org/officeDocument/2006/relationships/hyperlink" Target="https://webgate.ec.europa.eu/CITnet/jira/browse/MWP-560" TargetMode="External"/><Relationship Id="rId4" Type="http://schemas.openxmlformats.org/officeDocument/2006/relationships/hyperlink" Target="https://webgate.ec.europa.eu/CITnet/jira/browse/MWP-577" TargetMode="External"/><Relationship Id="rId9" Type="http://schemas.openxmlformats.org/officeDocument/2006/relationships/hyperlink" Target="https://webgate.ec.europa.eu/CITnet/jira/browse/MWP-557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</sheetPr>
  <dimension ref="B2:L18"/>
  <sheetViews>
    <sheetView tabSelected="1" zoomScale="80" zoomScaleNormal="80" workbookViewId="0">
      <selection activeCell="O30" sqref="O30"/>
    </sheetView>
  </sheetViews>
  <sheetFormatPr defaultColWidth="11" defaultRowHeight="15.75" x14ac:dyDescent="0.25"/>
  <cols>
    <col min="2" max="2" width="35.5" customWidth="1"/>
    <col min="3" max="3" width="3.125" customWidth="1"/>
    <col min="13" max="13" width="6.875" customWidth="1"/>
  </cols>
  <sheetData>
    <row r="2" spans="2:12" ht="21" x14ac:dyDescent="0.35">
      <c r="B2" s="28" t="s">
        <v>56</v>
      </c>
      <c r="C2" s="28"/>
      <c r="D2" s="29" t="s">
        <v>50</v>
      </c>
      <c r="E2" s="29" t="s">
        <v>51</v>
      </c>
      <c r="F2" s="29" t="s">
        <v>52</v>
      </c>
      <c r="G2" s="29" t="s">
        <v>53</v>
      </c>
      <c r="H2" s="29" t="s">
        <v>73</v>
      </c>
      <c r="I2" s="29" t="s">
        <v>74</v>
      </c>
      <c r="J2" s="29" t="s">
        <v>76</v>
      </c>
      <c r="K2" s="29" t="s">
        <v>75</v>
      </c>
      <c r="L2" s="29" t="s">
        <v>77</v>
      </c>
    </row>
    <row r="3" spans="2:12" ht="21" x14ac:dyDescent="0.35">
      <c r="B3" s="30" t="s">
        <v>57</v>
      </c>
      <c r="C3" s="30"/>
      <c r="D3" s="39"/>
      <c r="E3" s="39"/>
      <c r="F3" s="39"/>
      <c r="G3" s="39"/>
      <c r="H3" s="39"/>
      <c r="I3" s="39"/>
      <c r="J3" s="39"/>
      <c r="K3" s="39"/>
      <c r="L3" s="39"/>
    </row>
    <row r="4" spans="2:12" ht="21" x14ac:dyDescent="0.35">
      <c r="B4" s="30" t="s">
        <v>58</v>
      </c>
      <c r="C4" s="30"/>
      <c r="D4" s="27">
        <f>'[2]Program Predictability Measure'!E3</f>
        <v>0.6216666666666667</v>
      </c>
      <c r="E4" s="27">
        <f>'[2]Program Predictability Measure'!F3</f>
        <v>0.66333333333333333</v>
      </c>
      <c r="F4" s="27">
        <v>0.63</v>
      </c>
      <c r="G4" s="27">
        <v>0.92</v>
      </c>
      <c r="H4" s="27">
        <v>0.56000000000000005</v>
      </c>
      <c r="I4" s="27">
        <v>0.61</v>
      </c>
      <c r="J4" s="27">
        <v>0.57999999999999996</v>
      </c>
      <c r="K4" s="27">
        <v>0.68</v>
      </c>
      <c r="L4" s="27">
        <f>'Program Predictability Measure'!M3</f>
        <v>0</v>
      </c>
    </row>
    <row r="5" spans="2:12" ht="21" x14ac:dyDescent="0.35">
      <c r="B5" s="30" t="s">
        <v>59</v>
      </c>
      <c r="C5" s="30"/>
      <c r="D5" s="39"/>
      <c r="E5" s="39"/>
      <c r="F5" s="39"/>
      <c r="G5" s="39"/>
      <c r="H5" s="39"/>
      <c r="I5" s="39"/>
      <c r="J5" s="39"/>
      <c r="K5" s="39"/>
      <c r="L5" s="39"/>
    </row>
    <row r="6" spans="2:12" ht="21" x14ac:dyDescent="0.35">
      <c r="B6" s="30" t="s">
        <v>60</v>
      </c>
      <c r="C6" s="30"/>
      <c r="D6" s="39"/>
      <c r="E6" s="39"/>
      <c r="F6" s="39"/>
      <c r="G6" s="39"/>
      <c r="H6" s="39"/>
      <c r="I6" s="39"/>
      <c r="J6" s="39"/>
      <c r="K6" s="39"/>
      <c r="L6" s="39"/>
    </row>
    <row r="7" spans="2:12" ht="21" x14ac:dyDescent="0.35">
      <c r="B7" s="30" t="s">
        <v>61</v>
      </c>
      <c r="C7" s="30"/>
      <c r="D7" s="39"/>
      <c r="E7" s="39"/>
      <c r="F7" s="39"/>
      <c r="G7" s="39"/>
      <c r="H7" s="39"/>
      <c r="I7" s="39"/>
      <c r="J7" s="39"/>
      <c r="K7" s="39"/>
      <c r="L7" s="39"/>
    </row>
    <row r="8" spans="2:12" ht="21" x14ac:dyDescent="0.35">
      <c r="B8" s="30" t="s">
        <v>62</v>
      </c>
      <c r="C8" s="30"/>
      <c r="D8" s="39"/>
      <c r="E8" s="39"/>
      <c r="F8" s="39"/>
      <c r="G8" s="39"/>
      <c r="H8" s="39"/>
      <c r="I8" s="39"/>
      <c r="J8" s="39"/>
      <c r="K8" s="39"/>
      <c r="L8" s="39"/>
    </row>
    <row r="9" spans="2:12" ht="21" x14ac:dyDescent="0.35">
      <c r="B9" s="30" t="s">
        <v>63</v>
      </c>
      <c r="C9" s="30"/>
      <c r="D9" s="39"/>
      <c r="E9" s="39"/>
      <c r="F9" s="39"/>
      <c r="G9" s="39"/>
      <c r="H9" s="39"/>
      <c r="I9" s="39"/>
      <c r="J9" s="39"/>
      <c r="K9" s="39"/>
      <c r="L9" s="39"/>
    </row>
    <row r="10" spans="2:12" ht="21" x14ac:dyDescent="0.35">
      <c r="B10" s="30" t="s">
        <v>64</v>
      </c>
      <c r="C10" s="30"/>
      <c r="D10" s="39"/>
      <c r="E10" s="39"/>
      <c r="F10" s="39"/>
      <c r="G10" s="39"/>
      <c r="H10" s="39"/>
      <c r="I10" s="39"/>
      <c r="J10" s="39"/>
      <c r="K10" s="39"/>
      <c r="L10" s="39"/>
    </row>
    <row r="11" spans="2:12" ht="21" x14ac:dyDescent="0.35">
      <c r="B11" s="30" t="s">
        <v>65</v>
      </c>
      <c r="C11" s="30"/>
      <c r="D11" s="39"/>
      <c r="E11" s="39"/>
      <c r="F11" s="39"/>
      <c r="G11" s="39"/>
      <c r="H11" s="39"/>
      <c r="I11" s="39"/>
      <c r="J11" s="39"/>
      <c r="K11" s="39"/>
      <c r="L11" s="39"/>
    </row>
    <row r="12" spans="2:12" ht="21" x14ac:dyDescent="0.35">
      <c r="B12" s="30" t="s">
        <v>66</v>
      </c>
      <c r="C12" s="30"/>
      <c r="D12" s="39"/>
      <c r="E12" s="39"/>
      <c r="F12" s="39"/>
      <c r="G12" s="39"/>
      <c r="H12" s="39"/>
      <c r="I12" s="39"/>
      <c r="J12" s="39"/>
      <c r="K12" s="39"/>
      <c r="L12" s="39"/>
    </row>
    <row r="13" spans="2:12" ht="21" x14ac:dyDescent="0.35">
      <c r="B13" s="28" t="s">
        <v>67</v>
      </c>
      <c r="C13" s="28"/>
      <c r="D13" s="31"/>
      <c r="E13" s="31"/>
      <c r="F13" s="31"/>
      <c r="G13" s="31"/>
      <c r="H13" s="31"/>
      <c r="I13" s="31"/>
      <c r="J13" s="31"/>
      <c r="K13" s="31"/>
      <c r="L13" s="31"/>
    </row>
    <row r="14" spans="2:12" ht="21" x14ac:dyDescent="0.35">
      <c r="B14" s="30" t="s">
        <v>68</v>
      </c>
      <c r="C14" s="30"/>
      <c r="D14" s="40"/>
      <c r="E14" s="40"/>
      <c r="F14" s="40"/>
      <c r="G14" s="40"/>
      <c r="H14" s="40"/>
      <c r="I14" s="40"/>
      <c r="J14" s="40"/>
      <c r="K14" s="40"/>
      <c r="L14" s="40"/>
    </row>
    <row r="15" spans="2:12" ht="21" x14ac:dyDescent="0.35">
      <c r="B15" s="30" t="s">
        <v>69</v>
      </c>
      <c r="C15" s="30"/>
      <c r="D15" s="40"/>
      <c r="E15" s="40"/>
      <c r="F15" s="40"/>
      <c r="G15" s="40"/>
      <c r="H15" s="40"/>
      <c r="I15" s="40"/>
      <c r="J15" s="40"/>
      <c r="K15" s="40"/>
      <c r="L15" s="40"/>
    </row>
    <row r="16" spans="2:12" ht="21" x14ac:dyDescent="0.35">
      <c r="B16" s="30" t="s">
        <v>70</v>
      </c>
      <c r="C16" s="30"/>
      <c r="D16" s="40"/>
      <c r="E16" s="40"/>
      <c r="F16" s="40"/>
      <c r="G16" s="40"/>
      <c r="H16" s="40"/>
      <c r="I16" s="40"/>
      <c r="J16" s="40"/>
      <c r="K16" s="40"/>
      <c r="L16" s="40"/>
    </row>
    <row r="17" spans="2:12" ht="21" x14ac:dyDescent="0.35">
      <c r="B17" s="30" t="s">
        <v>71</v>
      </c>
      <c r="C17" s="30"/>
      <c r="D17" s="40"/>
      <c r="E17" s="40"/>
      <c r="F17" s="40"/>
      <c r="G17" s="40"/>
      <c r="H17" s="40"/>
      <c r="I17" s="40"/>
      <c r="J17" s="40"/>
      <c r="K17" s="40"/>
      <c r="L17" s="40"/>
    </row>
    <row r="18" spans="2:12" ht="21" x14ac:dyDescent="0.35">
      <c r="B18" s="30" t="s">
        <v>72</v>
      </c>
      <c r="C18" s="30"/>
      <c r="D18" s="40"/>
      <c r="E18" s="40"/>
      <c r="F18" s="40"/>
      <c r="G18" s="40"/>
      <c r="H18" s="40"/>
      <c r="I18" s="40"/>
      <c r="J18" s="40"/>
      <c r="K18" s="40"/>
      <c r="L18" s="40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>
    <tabColor rgb="FF00B050"/>
  </sheetPr>
  <dimension ref="A1:V116"/>
  <sheetViews>
    <sheetView workbookViewId="0">
      <selection activeCell="C11" sqref="C11"/>
    </sheetView>
  </sheetViews>
  <sheetFormatPr defaultRowHeight="15.75" x14ac:dyDescent="0.25"/>
  <cols>
    <col min="1" max="1" width="16.375" customWidth="1"/>
    <col min="2" max="2" width="25.375" style="7" customWidth="1"/>
    <col min="3" max="4" width="47.125" customWidth="1"/>
    <col min="5" max="5" width="15.375" customWidth="1"/>
    <col min="6" max="6" width="8.375" customWidth="1"/>
    <col min="7" max="8" width="7.75" customWidth="1"/>
    <col min="9" max="9" width="7.625" customWidth="1"/>
    <col min="10" max="10" width="12" style="6" customWidth="1"/>
    <col min="11" max="11" width="13.5" style="3" customWidth="1"/>
    <col min="12" max="12" width="53.125" customWidth="1"/>
    <col min="13" max="13" width="7.375" customWidth="1"/>
    <col min="14" max="14" width="7.5" customWidth="1"/>
    <col min="15" max="15" width="15.375" customWidth="1"/>
    <col min="16" max="16" width="9.125" customWidth="1"/>
  </cols>
  <sheetData>
    <row r="1" spans="1:22" x14ac:dyDescent="0.25">
      <c r="E1" s="3"/>
      <c r="F1" s="3">
        <f>SUM(F3:F218)</f>
        <v>0</v>
      </c>
      <c r="G1" s="3">
        <f>SUM(G3:G218)</f>
        <v>49</v>
      </c>
      <c r="H1" s="3"/>
      <c r="I1" s="3"/>
      <c r="J1" s="7"/>
      <c r="L1" s="3"/>
      <c r="M1" s="3">
        <f>SUM(M3:M218)</f>
        <v>0</v>
      </c>
      <c r="N1" s="3">
        <f>SUM(N3:N218)</f>
        <v>0</v>
      </c>
      <c r="O1" s="3"/>
      <c r="P1" s="3"/>
    </row>
    <row r="2" spans="1:22" ht="102" customHeight="1" x14ac:dyDescent="0.25">
      <c r="A2" s="5" t="s">
        <v>5</v>
      </c>
      <c r="B2" s="5" t="s">
        <v>2</v>
      </c>
      <c r="C2" s="10" t="s">
        <v>15</v>
      </c>
      <c r="D2" s="10" t="s">
        <v>31</v>
      </c>
      <c r="E2" s="10" t="s">
        <v>6</v>
      </c>
      <c r="F2" s="8" t="s">
        <v>12</v>
      </c>
      <c r="G2" s="8" t="s">
        <v>13</v>
      </c>
      <c r="H2" s="8" t="s">
        <v>14</v>
      </c>
      <c r="I2" s="9" t="s">
        <v>10</v>
      </c>
      <c r="J2" s="5" t="s">
        <v>5</v>
      </c>
      <c r="K2" s="5" t="s">
        <v>2</v>
      </c>
      <c r="L2" s="10" t="s">
        <v>11</v>
      </c>
      <c r="M2" s="8" t="s">
        <v>1</v>
      </c>
      <c r="N2" s="8" t="s">
        <v>0</v>
      </c>
      <c r="O2" s="10" t="s">
        <v>6</v>
      </c>
      <c r="P2" s="10" t="s">
        <v>7</v>
      </c>
    </row>
    <row r="3" spans="1:22" ht="42.75" x14ac:dyDescent="0.25">
      <c r="A3" s="13" t="s">
        <v>92</v>
      </c>
      <c r="B3" s="70" t="s">
        <v>3</v>
      </c>
      <c r="C3" s="69" t="s">
        <v>86</v>
      </c>
      <c r="D3" s="69" t="s">
        <v>87</v>
      </c>
      <c r="E3" s="15" t="s">
        <v>79</v>
      </c>
      <c r="F3" s="71">
        <v>0</v>
      </c>
      <c r="G3" s="71">
        <v>10</v>
      </c>
      <c r="H3" s="71" t="s">
        <v>37</v>
      </c>
      <c r="J3" s="69"/>
      <c r="K3" s="11"/>
      <c r="L3" s="12"/>
      <c r="M3" s="11"/>
      <c r="N3" s="11"/>
      <c r="O3" s="11"/>
      <c r="P3" s="11"/>
      <c r="Q3" s="11"/>
      <c r="R3" s="11"/>
      <c r="S3" s="11"/>
      <c r="T3" s="11"/>
      <c r="U3" s="11"/>
      <c r="V3" s="11"/>
    </row>
    <row r="4" spans="1:22" ht="28.5" x14ac:dyDescent="0.25">
      <c r="A4" s="13" t="s">
        <v>93</v>
      </c>
      <c r="B4" s="70" t="s">
        <v>3</v>
      </c>
      <c r="C4" s="69" t="s">
        <v>88</v>
      </c>
      <c r="D4" s="69" t="s">
        <v>89</v>
      </c>
      <c r="E4" s="15" t="s">
        <v>79</v>
      </c>
      <c r="F4" s="71">
        <v>0</v>
      </c>
      <c r="G4" s="71">
        <v>10</v>
      </c>
      <c r="H4" s="71" t="s">
        <v>37</v>
      </c>
      <c r="J4" s="69"/>
      <c r="K4" s="11"/>
      <c r="L4" s="12"/>
      <c r="M4" s="11"/>
      <c r="N4" s="11"/>
      <c r="O4" s="11"/>
      <c r="P4" s="11"/>
      <c r="Q4" s="11"/>
      <c r="R4" s="11"/>
      <c r="S4" s="11"/>
      <c r="T4" s="11"/>
      <c r="U4" s="11"/>
      <c r="V4" s="11"/>
    </row>
    <row r="5" spans="1:22" x14ac:dyDescent="0.25">
      <c r="A5" s="13" t="s">
        <v>29</v>
      </c>
      <c r="B5" s="70" t="s">
        <v>4</v>
      </c>
      <c r="C5" s="69" t="s">
        <v>30</v>
      </c>
      <c r="D5" s="69" t="s">
        <v>32</v>
      </c>
      <c r="E5" s="15" t="s">
        <v>78</v>
      </c>
      <c r="F5" s="71">
        <v>0</v>
      </c>
      <c r="G5" s="71">
        <v>1</v>
      </c>
      <c r="H5" s="71" t="s">
        <v>37</v>
      </c>
      <c r="J5" s="69"/>
      <c r="K5" s="11"/>
      <c r="L5" s="12"/>
      <c r="M5" s="11"/>
      <c r="N5" s="11"/>
      <c r="O5" s="11"/>
      <c r="P5" s="11"/>
      <c r="Q5" s="11"/>
      <c r="R5" s="11"/>
      <c r="S5" s="11"/>
      <c r="T5" s="11"/>
      <c r="U5" s="11"/>
      <c r="V5" s="11"/>
    </row>
    <row r="6" spans="1:22" x14ac:dyDescent="0.25">
      <c r="A6" s="13" t="s">
        <v>22</v>
      </c>
      <c r="B6" s="70" t="s">
        <v>4</v>
      </c>
      <c r="C6" s="69" t="s">
        <v>23</v>
      </c>
      <c r="D6" s="69" t="s">
        <v>23</v>
      </c>
      <c r="E6" s="15" t="s">
        <v>78</v>
      </c>
      <c r="F6" s="71"/>
      <c r="G6" s="71">
        <v>5</v>
      </c>
      <c r="H6" s="71" t="s">
        <v>37</v>
      </c>
      <c r="J6" s="69"/>
      <c r="K6" s="11"/>
      <c r="L6" s="12"/>
      <c r="M6" s="11"/>
      <c r="N6" s="11"/>
      <c r="O6" s="11"/>
      <c r="P6" s="11"/>
      <c r="Q6" s="11"/>
      <c r="R6" s="11"/>
      <c r="S6" s="11"/>
      <c r="T6" s="11"/>
      <c r="U6" s="11"/>
      <c r="V6" s="11"/>
    </row>
    <row r="7" spans="1:22" ht="42.75" x14ac:dyDescent="0.25">
      <c r="A7" s="13" t="s">
        <v>94</v>
      </c>
      <c r="B7" s="70" t="s">
        <v>85</v>
      </c>
      <c r="C7" s="69" t="s">
        <v>90</v>
      </c>
      <c r="D7" s="69" t="s">
        <v>91</v>
      </c>
      <c r="E7" s="15" t="s">
        <v>78</v>
      </c>
      <c r="F7" s="71">
        <v>0</v>
      </c>
      <c r="G7" s="71">
        <v>5</v>
      </c>
      <c r="H7" s="71" t="s">
        <v>37</v>
      </c>
      <c r="J7" s="69" t="s">
        <v>95</v>
      </c>
      <c r="K7" s="11"/>
      <c r="L7" s="12"/>
      <c r="M7" s="11"/>
      <c r="N7" s="11"/>
      <c r="O7" s="11"/>
      <c r="P7" s="11"/>
      <c r="Q7" s="11"/>
      <c r="R7" s="11"/>
      <c r="S7" s="11"/>
      <c r="T7" s="11"/>
      <c r="U7" s="11"/>
      <c r="V7" s="11"/>
    </row>
    <row r="8" spans="1:22" x14ac:dyDescent="0.25">
      <c r="A8" s="13" t="s">
        <v>27</v>
      </c>
      <c r="B8" s="70" t="s">
        <v>4</v>
      </c>
      <c r="C8" s="69" t="s">
        <v>28</v>
      </c>
      <c r="D8" s="69" t="s">
        <v>33</v>
      </c>
      <c r="E8" s="15" t="s">
        <v>78</v>
      </c>
      <c r="F8" s="71">
        <v>0</v>
      </c>
      <c r="G8" s="71">
        <v>1</v>
      </c>
      <c r="H8" s="71" t="s">
        <v>9</v>
      </c>
      <c r="J8" s="69" t="s">
        <v>8</v>
      </c>
      <c r="K8" s="11"/>
      <c r="L8" s="12"/>
      <c r="M8" s="11"/>
      <c r="N8" s="11"/>
      <c r="O8" s="11"/>
      <c r="P8" s="11"/>
      <c r="Q8" s="11"/>
      <c r="R8" s="11"/>
      <c r="S8" s="11"/>
      <c r="T8" s="11"/>
      <c r="U8" s="11"/>
      <c r="V8" s="11"/>
    </row>
    <row r="9" spans="1:22" ht="71.25" x14ac:dyDescent="0.25">
      <c r="A9" s="13" t="s">
        <v>20</v>
      </c>
      <c r="B9" s="70" t="s">
        <v>4</v>
      </c>
      <c r="C9" s="69" t="s">
        <v>21</v>
      </c>
      <c r="D9" s="69" t="s">
        <v>35</v>
      </c>
      <c r="E9" s="15" t="s">
        <v>78</v>
      </c>
      <c r="F9" s="71">
        <v>0</v>
      </c>
      <c r="G9" s="71">
        <v>5</v>
      </c>
      <c r="H9" s="71" t="s">
        <v>37</v>
      </c>
      <c r="J9" s="69" t="s">
        <v>19</v>
      </c>
      <c r="K9" s="11"/>
      <c r="L9" s="12"/>
      <c r="M9" s="11"/>
      <c r="N9" s="11"/>
      <c r="O9" s="11"/>
      <c r="P9" s="11"/>
      <c r="Q9" s="11"/>
      <c r="R9" s="11"/>
      <c r="S9" s="11"/>
      <c r="T9" s="11"/>
      <c r="U9" s="11"/>
      <c r="V9" s="11"/>
    </row>
    <row r="10" spans="1:22" ht="42.75" x14ac:dyDescent="0.25">
      <c r="A10" s="13" t="s">
        <v>25</v>
      </c>
      <c r="B10" s="70" t="s">
        <v>3</v>
      </c>
      <c r="C10" s="69" t="s">
        <v>26</v>
      </c>
      <c r="D10" s="69" t="s">
        <v>34</v>
      </c>
      <c r="E10" s="15" t="s">
        <v>78</v>
      </c>
      <c r="F10" s="71">
        <v>0</v>
      </c>
      <c r="G10" s="71">
        <v>4</v>
      </c>
      <c r="H10" s="71" t="s">
        <v>37</v>
      </c>
      <c r="J10" s="69" t="s">
        <v>24</v>
      </c>
      <c r="K10" s="11"/>
      <c r="L10" s="12"/>
      <c r="M10" s="11"/>
      <c r="N10" s="11"/>
      <c r="O10" s="11"/>
      <c r="P10" s="11"/>
      <c r="Q10" s="11"/>
      <c r="R10" s="11"/>
      <c r="S10" s="11"/>
      <c r="T10" s="11"/>
      <c r="U10" s="11"/>
      <c r="V10" s="11"/>
    </row>
    <row r="11" spans="1:22" ht="57" x14ac:dyDescent="0.25">
      <c r="A11" s="13" t="s">
        <v>17</v>
      </c>
      <c r="B11" s="70" t="s">
        <v>4</v>
      </c>
      <c r="C11" s="69" t="s">
        <v>18</v>
      </c>
      <c r="D11" s="69" t="s">
        <v>36</v>
      </c>
      <c r="E11" s="15" t="s">
        <v>78</v>
      </c>
      <c r="F11" s="71">
        <v>0</v>
      </c>
      <c r="G11" s="71">
        <v>8</v>
      </c>
      <c r="H11" s="71" t="s">
        <v>37</v>
      </c>
      <c r="J11" s="69" t="s">
        <v>16</v>
      </c>
      <c r="K11" s="11"/>
      <c r="L11" s="12"/>
      <c r="M11" s="11"/>
      <c r="N11" s="11"/>
      <c r="O11" s="11"/>
      <c r="P11" s="11"/>
      <c r="Q11" s="11"/>
      <c r="R11" s="11"/>
      <c r="S11" s="11"/>
      <c r="T11" s="11"/>
      <c r="U11" s="11"/>
      <c r="V11" s="11"/>
    </row>
    <row r="12" spans="1:22" x14ac:dyDescent="0.25">
      <c r="A12" s="13"/>
      <c r="B12" s="14"/>
      <c r="C12" s="11"/>
      <c r="D12" s="11"/>
      <c r="E12" s="15"/>
      <c r="F12" s="16"/>
      <c r="G12" s="16"/>
      <c r="H12" s="16"/>
      <c r="J12" s="11"/>
      <c r="K12" s="11"/>
      <c r="L12" s="12"/>
      <c r="M12" s="11"/>
      <c r="N12" s="11"/>
      <c r="O12" s="11"/>
      <c r="P12" s="11"/>
      <c r="Q12" s="11"/>
      <c r="R12" s="11"/>
      <c r="S12" s="11"/>
      <c r="T12" s="11"/>
      <c r="U12" s="11"/>
      <c r="V12" s="11"/>
    </row>
    <row r="13" spans="1:22" x14ac:dyDescent="0.25">
      <c r="A13" s="13"/>
      <c r="B13" s="14"/>
      <c r="C13" s="11"/>
      <c r="D13" s="11"/>
      <c r="E13" s="15"/>
      <c r="F13" s="16"/>
      <c r="G13" s="16"/>
      <c r="H13" s="16"/>
      <c r="J13" s="11"/>
      <c r="K13" s="11"/>
      <c r="L13" s="12"/>
      <c r="M13" s="11"/>
      <c r="N13" s="11"/>
      <c r="O13" s="11"/>
      <c r="P13" s="11"/>
      <c r="Q13" s="11"/>
      <c r="R13" s="11"/>
      <c r="S13" s="11"/>
      <c r="T13" s="11"/>
      <c r="U13" s="11"/>
      <c r="V13" s="11"/>
    </row>
    <row r="14" spans="1:22" x14ac:dyDescent="0.25">
      <c r="A14" s="13"/>
      <c r="B14" s="14"/>
      <c r="C14" s="11"/>
      <c r="D14" s="11"/>
      <c r="E14" s="15"/>
      <c r="F14" s="16"/>
      <c r="G14" s="16"/>
      <c r="H14" s="16"/>
      <c r="J14" s="11"/>
      <c r="K14" s="11"/>
      <c r="L14" s="12"/>
      <c r="M14" s="11"/>
      <c r="N14" s="11"/>
      <c r="O14" s="11"/>
      <c r="P14" s="11"/>
      <c r="Q14" s="11"/>
      <c r="R14" s="11"/>
      <c r="S14" s="11"/>
      <c r="T14" s="11"/>
      <c r="U14" s="11"/>
      <c r="V14" s="11"/>
    </row>
    <row r="15" spans="1:22" x14ac:dyDescent="0.25">
      <c r="A15" s="13"/>
      <c r="B15" s="14"/>
      <c r="C15" s="11"/>
      <c r="D15" s="11"/>
      <c r="E15" s="7"/>
      <c r="F15" s="16"/>
      <c r="G15" s="16"/>
      <c r="H15" s="16"/>
      <c r="J15" s="11"/>
      <c r="K15" s="11"/>
      <c r="L15" s="12"/>
      <c r="M15" s="11"/>
      <c r="N15" s="11"/>
      <c r="O15" s="11"/>
      <c r="P15" s="11"/>
      <c r="Q15" s="11"/>
      <c r="R15" s="11"/>
      <c r="S15" s="11"/>
      <c r="T15" s="11"/>
      <c r="U15" s="11"/>
      <c r="V15" s="11"/>
    </row>
    <row r="16" spans="1:22" x14ac:dyDescent="0.25">
      <c r="A16" s="13"/>
      <c r="B16" s="14"/>
      <c r="C16" s="11"/>
      <c r="D16" s="11"/>
      <c r="E16" s="7"/>
      <c r="F16" s="16"/>
      <c r="G16" s="16"/>
      <c r="H16" s="16"/>
      <c r="J16" s="11"/>
      <c r="K16" s="11"/>
      <c r="L16" s="12"/>
      <c r="M16" s="11"/>
      <c r="N16" s="11"/>
      <c r="O16" s="11"/>
      <c r="P16" s="11"/>
      <c r="Q16" s="11"/>
      <c r="R16" s="11"/>
      <c r="S16" s="11"/>
      <c r="T16" s="11"/>
      <c r="U16" s="11"/>
      <c r="V16" s="11"/>
    </row>
    <row r="17" spans="1:22" x14ac:dyDescent="0.25">
      <c r="A17" s="13"/>
      <c r="B17" s="14"/>
      <c r="C17" s="11"/>
      <c r="D17" s="11"/>
      <c r="E17" s="7"/>
      <c r="F17" s="16"/>
      <c r="G17" s="16"/>
      <c r="H17" s="16"/>
      <c r="J17" s="11"/>
      <c r="K17" s="11"/>
      <c r="L17" s="12"/>
      <c r="M17" s="11"/>
      <c r="N17" s="11"/>
      <c r="O17" s="11"/>
      <c r="P17" s="11"/>
      <c r="Q17" s="11"/>
      <c r="R17" s="11"/>
      <c r="S17" s="11"/>
      <c r="T17" s="11"/>
      <c r="U17" s="11"/>
      <c r="V17" s="11"/>
    </row>
    <row r="18" spans="1:22" x14ac:dyDescent="0.25">
      <c r="A18" s="13"/>
      <c r="B18" s="14"/>
      <c r="C18" s="11"/>
      <c r="D18" s="11"/>
      <c r="E18" s="7"/>
      <c r="F18" s="16"/>
      <c r="G18" s="16"/>
      <c r="H18" s="16"/>
      <c r="J18" s="11"/>
      <c r="K18" s="11"/>
      <c r="L18" s="12"/>
      <c r="M18" s="11"/>
      <c r="N18" s="11"/>
      <c r="O18" s="11"/>
      <c r="P18" s="11"/>
      <c r="Q18" s="11"/>
      <c r="R18" s="11"/>
      <c r="S18" s="11"/>
      <c r="T18" s="11"/>
      <c r="U18" s="11"/>
      <c r="V18" s="11"/>
    </row>
    <row r="19" spans="1:22" x14ac:dyDescent="0.25">
      <c r="A19" s="13"/>
      <c r="B19" s="14"/>
      <c r="C19" s="11"/>
      <c r="D19" s="11"/>
      <c r="E19" s="7"/>
      <c r="F19" s="16"/>
      <c r="G19" s="16"/>
      <c r="H19" s="16"/>
      <c r="J19" s="11"/>
      <c r="K19" s="11"/>
      <c r="L19" s="12"/>
      <c r="M19" s="11"/>
      <c r="N19" s="11"/>
      <c r="O19" s="11"/>
      <c r="P19" s="11"/>
      <c r="Q19" s="11"/>
      <c r="R19" s="11"/>
      <c r="S19" s="11"/>
      <c r="T19" s="11"/>
      <c r="U19" s="11"/>
      <c r="V19" s="11"/>
    </row>
    <row r="20" spans="1:22" x14ac:dyDescent="0.25">
      <c r="A20" s="13"/>
      <c r="B20" s="14"/>
      <c r="C20" s="11"/>
      <c r="D20" s="11"/>
      <c r="E20" s="7"/>
      <c r="F20" s="16"/>
      <c r="G20" s="16"/>
      <c r="H20" s="16"/>
      <c r="J20" s="11"/>
      <c r="K20" s="11"/>
      <c r="L20" s="12"/>
      <c r="M20" s="11"/>
      <c r="N20" s="11"/>
      <c r="O20" s="11"/>
      <c r="P20" s="11"/>
      <c r="Q20" s="11"/>
      <c r="R20" s="11"/>
      <c r="S20" s="11"/>
      <c r="T20" s="11"/>
      <c r="U20" s="11"/>
      <c r="V20" s="11"/>
    </row>
    <row r="21" spans="1:22" x14ac:dyDescent="0.25">
      <c r="A21" s="13"/>
      <c r="B21" s="14"/>
      <c r="C21" s="11"/>
      <c r="D21" s="11"/>
      <c r="E21" s="7"/>
      <c r="F21" s="16"/>
      <c r="G21" s="16"/>
      <c r="H21" s="16"/>
      <c r="J21" s="11"/>
      <c r="K21" s="11"/>
      <c r="L21" s="12"/>
      <c r="M21" s="11"/>
      <c r="N21" s="11"/>
      <c r="O21" s="11"/>
      <c r="P21" s="11"/>
      <c r="Q21" s="11"/>
      <c r="R21" s="11"/>
      <c r="S21" s="11"/>
      <c r="T21" s="11"/>
      <c r="U21" s="11"/>
      <c r="V21" s="11"/>
    </row>
    <row r="22" spans="1:22" ht="66" customHeight="1" x14ac:dyDescent="0.25">
      <c r="A22" s="13"/>
      <c r="B22" s="14"/>
      <c r="C22" s="11"/>
      <c r="D22" s="11"/>
      <c r="E22" s="7"/>
      <c r="F22" s="16"/>
      <c r="G22" s="16"/>
      <c r="H22" s="16"/>
      <c r="J22" s="11"/>
      <c r="K22" s="11"/>
      <c r="L22" s="12"/>
      <c r="M22" s="11"/>
      <c r="N22" s="11"/>
      <c r="O22" s="11"/>
      <c r="P22" s="11"/>
      <c r="Q22" s="11"/>
      <c r="R22" s="11"/>
      <c r="S22" s="11"/>
      <c r="T22" s="11"/>
      <c r="U22" s="11"/>
      <c r="V22" s="11"/>
    </row>
    <row r="23" spans="1:22" x14ac:dyDescent="0.25">
      <c r="A23" s="13"/>
      <c r="B23" s="14"/>
      <c r="C23" s="11"/>
      <c r="D23" s="11"/>
      <c r="E23" s="15"/>
      <c r="F23" s="16"/>
      <c r="G23" s="16"/>
      <c r="H23" s="16"/>
      <c r="J23" s="11"/>
      <c r="K23" s="11"/>
      <c r="L23" s="12"/>
      <c r="M23" s="11"/>
      <c r="N23" s="11"/>
      <c r="O23" s="11"/>
      <c r="P23" s="11"/>
      <c r="Q23" s="11"/>
      <c r="R23" s="11"/>
      <c r="S23" s="11"/>
      <c r="T23" s="11"/>
      <c r="U23" s="11"/>
      <c r="V23" s="11"/>
    </row>
    <row r="24" spans="1:22" x14ac:dyDescent="0.25">
      <c r="A24" s="13"/>
      <c r="B24" s="14"/>
      <c r="C24" s="11"/>
      <c r="D24" s="11"/>
      <c r="E24" s="15"/>
      <c r="F24" s="16"/>
      <c r="G24" s="16"/>
      <c r="H24" s="16"/>
      <c r="J24" s="11"/>
      <c r="K24" s="11"/>
      <c r="L24" s="12"/>
      <c r="M24" s="11"/>
      <c r="N24" s="11"/>
      <c r="O24" s="11"/>
      <c r="P24" s="11"/>
      <c r="Q24" s="11"/>
      <c r="R24" s="11"/>
      <c r="S24" s="11"/>
      <c r="T24" s="11"/>
      <c r="U24" s="11"/>
      <c r="V24" s="11"/>
    </row>
    <row r="25" spans="1:22" x14ac:dyDescent="0.25">
      <c r="A25" s="13"/>
      <c r="B25" s="14"/>
      <c r="C25" s="11"/>
      <c r="D25" s="11"/>
      <c r="E25" s="15"/>
      <c r="F25" s="16"/>
      <c r="G25" s="16"/>
      <c r="H25" s="16"/>
      <c r="J25" s="11"/>
      <c r="K25" s="11"/>
      <c r="L25" s="12"/>
      <c r="M25" s="11"/>
      <c r="N25" s="11"/>
      <c r="O25" s="11"/>
      <c r="P25" s="11"/>
      <c r="Q25" s="11"/>
      <c r="R25" s="11"/>
      <c r="S25" s="11"/>
      <c r="T25" s="11"/>
      <c r="U25" s="11"/>
      <c r="V25" s="11"/>
    </row>
    <row r="26" spans="1:22" x14ac:dyDescent="0.25">
      <c r="A26" s="13"/>
      <c r="B26" s="14"/>
      <c r="C26" s="11"/>
      <c r="D26" s="11"/>
      <c r="E26" s="15"/>
      <c r="F26" s="16"/>
      <c r="G26" s="16"/>
      <c r="H26" s="16"/>
      <c r="J26" s="11"/>
      <c r="K26" s="11"/>
      <c r="L26" s="12"/>
      <c r="M26" s="11"/>
      <c r="N26" s="11"/>
      <c r="O26" s="11"/>
      <c r="P26" s="11"/>
      <c r="Q26" s="11"/>
      <c r="R26" s="11"/>
      <c r="S26" s="11"/>
      <c r="T26" s="11"/>
      <c r="U26" s="11"/>
      <c r="V26" s="11"/>
    </row>
    <row r="27" spans="1:22" x14ac:dyDescent="0.25">
      <c r="A27" s="13"/>
      <c r="B27" s="14"/>
      <c r="C27" s="11"/>
      <c r="D27" s="11"/>
      <c r="E27" s="15"/>
      <c r="F27" s="16"/>
      <c r="G27" s="16"/>
      <c r="H27" s="16"/>
      <c r="J27" s="11"/>
      <c r="K27" s="11"/>
      <c r="L27" s="12"/>
      <c r="M27" s="11"/>
      <c r="N27" s="11"/>
      <c r="O27" s="11"/>
      <c r="P27" s="11"/>
      <c r="Q27" s="11"/>
      <c r="R27" s="11"/>
      <c r="S27" s="11"/>
      <c r="T27" s="11"/>
      <c r="U27" s="11"/>
      <c r="V27" s="11"/>
    </row>
    <row r="28" spans="1:22" x14ac:dyDescent="0.25">
      <c r="A28" s="13"/>
      <c r="B28" s="14"/>
      <c r="C28" s="11"/>
      <c r="D28" s="11"/>
      <c r="E28" s="15"/>
      <c r="F28" s="16"/>
      <c r="G28" s="16"/>
      <c r="H28" s="16"/>
      <c r="J28" s="11"/>
      <c r="K28" s="11"/>
      <c r="L28" s="12"/>
      <c r="M28" s="11"/>
      <c r="N28" s="11"/>
      <c r="O28" s="11"/>
      <c r="P28" s="11"/>
      <c r="Q28" s="11"/>
      <c r="R28" s="11"/>
      <c r="S28" s="11"/>
      <c r="T28" s="11"/>
      <c r="U28" s="11"/>
      <c r="V28" s="11"/>
    </row>
    <row r="29" spans="1:22" x14ac:dyDescent="0.25">
      <c r="A29" s="13"/>
      <c r="B29" s="14"/>
      <c r="C29" s="11"/>
      <c r="D29" s="11"/>
      <c r="E29" s="15"/>
      <c r="F29" s="16"/>
      <c r="G29" s="16"/>
      <c r="H29" s="16"/>
      <c r="J29" s="11"/>
      <c r="K29" s="11"/>
      <c r="L29" s="12"/>
      <c r="M29" s="11"/>
      <c r="N29" s="11"/>
      <c r="O29" s="11"/>
      <c r="P29" s="11"/>
      <c r="Q29" s="11"/>
      <c r="R29" s="11"/>
      <c r="S29" s="11"/>
      <c r="T29" s="11"/>
      <c r="U29" s="11"/>
      <c r="V29" s="11"/>
    </row>
    <row r="30" spans="1:22" x14ac:dyDescent="0.25">
      <c r="A30" s="13"/>
      <c r="B30" s="14"/>
      <c r="C30" s="11"/>
      <c r="D30" s="11"/>
      <c r="E30" s="15"/>
      <c r="F30" s="16"/>
      <c r="G30" s="16"/>
      <c r="H30" s="16"/>
      <c r="J30" s="11"/>
      <c r="K30" s="11"/>
      <c r="L30" s="12"/>
      <c r="M30" s="11"/>
      <c r="N30" s="11"/>
      <c r="O30" s="11"/>
      <c r="P30" s="11"/>
      <c r="Q30" s="11"/>
      <c r="R30" s="11"/>
      <c r="S30" s="11"/>
      <c r="T30" s="11"/>
      <c r="U30" s="11"/>
      <c r="V30" s="11"/>
    </row>
    <row r="31" spans="1:22" x14ac:dyDescent="0.25">
      <c r="A31" s="13"/>
      <c r="B31" s="14"/>
      <c r="C31" s="11"/>
      <c r="D31" s="11"/>
      <c r="E31" s="15"/>
      <c r="F31" s="16"/>
      <c r="G31" s="16"/>
      <c r="H31" s="16"/>
      <c r="J31" s="11"/>
      <c r="K31" s="11"/>
      <c r="L31" s="12"/>
      <c r="M31" s="11"/>
      <c r="N31" s="11"/>
      <c r="O31" s="11"/>
      <c r="P31" s="11"/>
      <c r="Q31" s="11"/>
      <c r="R31" s="11"/>
      <c r="S31" s="11"/>
      <c r="T31" s="11"/>
      <c r="U31" s="11"/>
      <c r="V31" s="11"/>
    </row>
    <row r="32" spans="1:22" x14ac:dyDescent="0.25">
      <c r="A32" s="13"/>
      <c r="B32" s="14"/>
      <c r="C32" s="11"/>
      <c r="D32" s="11"/>
      <c r="E32" s="15"/>
      <c r="F32" s="16"/>
      <c r="G32" s="16"/>
      <c r="H32" s="16"/>
      <c r="J32" s="11"/>
      <c r="K32" s="11"/>
      <c r="L32" s="12"/>
      <c r="M32" s="11"/>
      <c r="N32" s="11"/>
      <c r="O32" s="11"/>
      <c r="P32" s="11"/>
      <c r="Q32" s="11"/>
      <c r="R32" s="11"/>
      <c r="S32" s="11"/>
      <c r="T32" s="11"/>
      <c r="U32" s="11"/>
      <c r="V32" s="11"/>
    </row>
    <row r="33" spans="1:22" x14ac:dyDescent="0.25">
      <c r="A33" s="13"/>
      <c r="B33" s="14"/>
      <c r="C33" s="11"/>
      <c r="D33" s="11"/>
      <c r="E33" s="15"/>
      <c r="F33" s="16"/>
      <c r="G33" s="16"/>
      <c r="H33" s="16"/>
      <c r="J33" s="11"/>
      <c r="K33" s="11"/>
      <c r="L33" s="12"/>
      <c r="M33" s="11"/>
      <c r="N33" s="11"/>
      <c r="O33" s="11"/>
      <c r="P33" s="11"/>
      <c r="Q33" s="11"/>
      <c r="R33" s="11"/>
      <c r="S33" s="11"/>
      <c r="T33" s="11"/>
      <c r="U33" s="11"/>
      <c r="V33" s="11"/>
    </row>
    <row r="34" spans="1:22" x14ac:dyDescent="0.25">
      <c r="F34" s="3"/>
      <c r="G34" s="3"/>
      <c r="H34" s="3"/>
      <c r="M34" s="3"/>
      <c r="N34" s="3"/>
    </row>
    <row r="35" spans="1:22" x14ac:dyDescent="0.25">
      <c r="F35" s="3"/>
      <c r="G35" s="3"/>
      <c r="H35" s="3"/>
      <c r="M35" s="3"/>
      <c r="N35" s="3"/>
    </row>
    <row r="36" spans="1:22" x14ac:dyDescent="0.25">
      <c r="F36" s="3"/>
      <c r="G36" s="3"/>
      <c r="H36" s="3"/>
      <c r="M36" s="3"/>
      <c r="N36" s="3"/>
    </row>
    <row r="37" spans="1:22" x14ac:dyDescent="0.25">
      <c r="F37" s="3"/>
      <c r="G37" s="3"/>
      <c r="H37" s="3"/>
      <c r="M37" s="3"/>
      <c r="N37" s="3"/>
    </row>
    <row r="38" spans="1:22" x14ac:dyDescent="0.25">
      <c r="F38" s="3"/>
      <c r="G38" s="3"/>
      <c r="H38" s="3"/>
      <c r="M38" s="3"/>
      <c r="N38" s="3"/>
    </row>
    <row r="39" spans="1:22" x14ac:dyDescent="0.25">
      <c r="F39" s="3"/>
      <c r="G39" s="3"/>
      <c r="H39" s="3"/>
      <c r="M39" s="3"/>
      <c r="N39" s="3"/>
    </row>
    <row r="40" spans="1:22" x14ac:dyDescent="0.25">
      <c r="F40" s="3"/>
      <c r="G40" s="3"/>
      <c r="H40" s="3"/>
      <c r="M40" s="3"/>
      <c r="N40" s="3"/>
    </row>
    <row r="41" spans="1:22" x14ac:dyDescent="0.25">
      <c r="F41" s="3"/>
      <c r="G41" s="3"/>
      <c r="H41" s="3"/>
      <c r="M41" s="3"/>
      <c r="N41" s="3"/>
    </row>
    <row r="42" spans="1:22" x14ac:dyDescent="0.25">
      <c r="F42" s="3"/>
      <c r="G42" s="3"/>
      <c r="H42" s="3"/>
      <c r="M42" s="3"/>
      <c r="N42" s="3"/>
    </row>
    <row r="43" spans="1:22" x14ac:dyDescent="0.25">
      <c r="F43" s="3"/>
      <c r="G43" s="3"/>
      <c r="H43" s="3"/>
      <c r="M43" s="3"/>
      <c r="N43" s="3"/>
    </row>
    <row r="44" spans="1:22" x14ac:dyDescent="0.25">
      <c r="F44" s="3"/>
      <c r="G44" s="3"/>
      <c r="H44" s="3"/>
      <c r="M44" s="3"/>
      <c r="N44" s="3"/>
    </row>
    <row r="45" spans="1:22" x14ac:dyDescent="0.25">
      <c r="F45" s="3"/>
      <c r="G45" s="3"/>
      <c r="H45" s="3"/>
      <c r="M45" s="3"/>
      <c r="N45" s="3"/>
    </row>
    <row r="46" spans="1:22" x14ac:dyDescent="0.25">
      <c r="F46" s="3"/>
      <c r="G46" s="3"/>
      <c r="H46" s="3"/>
      <c r="M46" s="3"/>
      <c r="N46" s="3"/>
    </row>
    <row r="47" spans="1:22" x14ac:dyDescent="0.25">
      <c r="F47" s="3"/>
      <c r="G47" s="3"/>
      <c r="H47" s="3"/>
      <c r="M47" s="3"/>
      <c r="N47" s="3"/>
    </row>
    <row r="48" spans="1:22" x14ac:dyDescent="0.25">
      <c r="F48" s="3"/>
      <c r="G48" s="3"/>
      <c r="H48" s="3"/>
      <c r="M48" s="3"/>
      <c r="N48" s="3"/>
    </row>
    <row r="49" spans="6:14" x14ac:dyDescent="0.25">
      <c r="F49" s="3"/>
      <c r="G49" s="3"/>
      <c r="H49" s="3"/>
      <c r="M49" s="3"/>
      <c r="N49" s="3"/>
    </row>
    <row r="50" spans="6:14" x14ac:dyDescent="0.25">
      <c r="F50" s="3"/>
      <c r="G50" s="3"/>
      <c r="H50" s="3"/>
      <c r="M50" s="3"/>
      <c r="N50" s="3"/>
    </row>
    <row r="51" spans="6:14" x14ac:dyDescent="0.25">
      <c r="F51" s="3"/>
      <c r="G51" s="3"/>
      <c r="H51" s="3"/>
      <c r="M51" s="3"/>
      <c r="N51" s="3"/>
    </row>
    <row r="52" spans="6:14" x14ac:dyDescent="0.25">
      <c r="F52" s="3"/>
      <c r="G52" s="3"/>
      <c r="H52" s="3"/>
      <c r="M52" s="3"/>
      <c r="N52" s="3"/>
    </row>
    <row r="53" spans="6:14" x14ac:dyDescent="0.25">
      <c r="F53" s="3"/>
      <c r="G53" s="3"/>
      <c r="H53" s="3"/>
      <c r="M53" s="3"/>
      <c r="N53" s="3"/>
    </row>
    <row r="54" spans="6:14" x14ac:dyDescent="0.25">
      <c r="F54" s="3"/>
      <c r="G54" s="3"/>
      <c r="H54" s="3"/>
      <c r="M54" s="3"/>
      <c r="N54" s="3"/>
    </row>
    <row r="55" spans="6:14" x14ac:dyDescent="0.25">
      <c r="F55" s="3"/>
      <c r="G55" s="3"/>
      <c r="H55" s="3"/>
      <c r="M55" s="3"/>
      <c r="N55" s="3"/>
    </row>
    <row r="56" spans="6:14" x14ac:dyDescent="0.25">
      <c r="F56" s="3"/>
      <c r="G56" s="3"/>
      <c r="H56" s="3"/>
      <c r="M56" s="3"/>
      <c r="N56" s="3"/>
    </row>
    <row r="57" spans="6:14" x14ac:dyDescent="0.25">
      <c r="F57" s="3"/>
      <c r="G57" s="3"/>
      <c r="H57" s="3"/>
      <c r="M57" s="3"/>
      <c r="N57" s="3"/>
    </row>
    <row r="58" spans="6:14" x14ac:dyDescent="0.25">
      <c r="F58" s="3"/>
      <c r="G58" s="3"/>
      <c r="H58" s="3"/>
      <c r="M58" s="3"/>
      <c r="N58" s="3"/>
    </row>
    <row r="59" spans="6:14" x14ac:dyDescent="0.25">
      <c r="F59" s="3"/>
      <c r="G59" s="3"/>
      <c r="H59" s="3"/>
      <c r="M59" s="3"/>
      <c r="N59" s="3"/>
    </row>
    <row r="60" spans="6:14" x14ac:dyDescent="0.25">
      <c r="F60" s="3"/>
      <c r="G60" s="3"/>
      <c r="H60" s="3"/>
      <c r="M60" s="3"/>
      <c r="N60" s="3"/>
    </row>
    <row r="61" spans="6:14" x14ac:dyDescent="0.25">
      <c r="F61" s="3"/>
      <c r="G61" s="3"/>
      <c r="H61" s="3"/>
      <c r="M61" s="3"/>
      <c r="N61" s="3"/>
    </row>
    <row r="62" spans="6:14" x14ac:dyDescent="0.25">
      <c r="F62" s="3"/>
      <c r="G62" s="3"/>
      <c r="H62" s="3"/>
      <c r="M62" s="3"/>
      <c r="N62" s="3"/>
    </row>
    <row r="63" spans="6:14" x14ac:dyDescent="0.25">
      <c r="F63" s="3"/>
      <c r="G63" s="3"/>
      <c r="H63" s="3"/>
      <c r="M63" s="3"/>
      <c r="N63" s="3"/>
    </row>
    <row r="64" spans="6:14" x14ac:dyDescent="0.25">
      <c r="F64" s="3"/>
      <c r="G64" s="3"/>
      <c r="H64" s="3"/>
      <c r="M64" s="3"/>
      <c r="N64" s="3"/>
    </row>
    <row r="65" spans="6:14" x14ac:dyDescent="0.25">
      <c r="F65" s="3"/>
      <c r="G65" s="3"/>
      <c r="H65" s="3"/>
      <c r="M65" s="3"/>
      <c r="N65" s="3"/>
    </row>
    <row r="66" spans="6:14" x14ac:dyDescent="0.25">
      <c r="F66" s="3"/>
      <c r="G66" s="3"/>
      <c r="H66" s="3"/>
      <c r="M66" s="3"/>
      <c r="N66" s="3"/>
    </row>
    <row r="67" spans="6:14" x14ac:dyDescent="0.25">
      <c r="F67" s="3"/>
      <c r="G67" s="3"/>
      <c r="H67" s="3"/>
      <c r="M67" s="3"/>
      <c r="N67" s="3"/>
    </row>
    <row r="68" spans="6:14" x14ac:dyDescent="0.25">
      <c r="F68" s="3"/>
      <c r="G68" s="3"/>
      <c r="H68" s="3"/>
      <c r="M68" s="3"/>
      <c r="N68" s="3"/>
    </row>
    <row r="69" spans="6:14" x14ac:dyDescent="0.25">
      <c r="F69" s="3"/>
      <c r="G69" s="3"/>
      <c r="H69" s="3"/>
      <c r="M69" s="3"/>
      <c r="N69" s="3"/>
    </row>
    <row r="70" spans="6:14" x14ac:dyDescent="0.25">
      <c r="F70" s="3"/>
      <c r="G70" s="3"/>
      <c r="H70" s="3"/>
      <c r="M70" s="3"/>
      <c r="N70" s="3"/>
    </row>
    <row r="71" spans="6:14" x14ac:dyDescent="0.25">
      <c r="F71" s="3"/>
      <c r="G71" s="3"/>
      <c r="H71" s="3"/>
      <c r="M71" s="3"/>
      <c r="N71" s="3"/>
    </row>
    <row r="72" spans="6:14" x14ac:dyDescent="0.25">
      <c r="F72" s="3"/>
      <c r="G72" s="3"/>
      <c r="H72" s="3"/>
      <c r="M72" s="3"/>
      <c r="N72" s="3"/>
    </row>
    <row r="73" spans="6:14" x14ac:dyDescent="0.25">
      <c r="F73" s="3"/>
      <c r="G73" s="3"/>
      <c r="H73" s="3"/>
      <c r="M73" s="3"/>
      <c r="N73" s="3"/>
    </row>
    <row r="74" spans="6:14" x14ac:dyDescent="0.25">
      <c r="F74" s="3"/>
      <c r="G74" s="3"/>
      <c r="H74" s="3"/>
      <c r="M74" s="3"/>
      <c r="N74" s="3"/>
    </row>
    <row r="75" spans="6:14" x14ac:dyDescent="0.25">
      <c r="F75" s="3"/>
      <c r="G75" s="3"/>
      <c r="H75" s="3"/>
      <c r="M75" s="3"/>
      <c r="N75" s="3"/>
    </row>
    <row r="76" spans="6:14" x14ac:dyDescent="0.25">
      <c r="F76" s="3"/>
      <c r="G76" s="3"/>
      <c r="H76" s="3"/>
      <c r="M76" s="3"/>
      <c r="N76" s="3"/>
    </row>
    <row r="77" spans="6:14" x14ac:dyDescent="0.25">
      <c r="F77" s="3"/>
      <c r="G77" s="3"/>
      <c r="H77" s="3"/>
      <c r="M77" s="3"/>
      <c r="N77" s="3"/>
    </row>
    <row r="78" spans="6:14" x14ac:dyDescent="0.25">
      <c r="F78" s="3"/>
      <c r="G78" s="3"/>
      <c r="H78" s="3"/>
      <c r="M78" s="3"/>
      <c r="N78" s="3"/>
    </row>
    <row r="79" spans="6:14" x14ac:dyDescent="0.25">
      <c r="F79" s="3"/>
      <c r="G79" s="3"/>
      <c r="H79" s="3"/>
      <c r="M79" s="3"/>
      <c r="N79" s="3"/>
    </row>
    <row r="80" spans="6:14" x14ac:dyDescent="0.25">
      <c r="F80" s="3"/>
      <c r="G80" s="3"/>
      <c r="H80" s="3"/>
      <c r="M80" s="3"/>
      <c r="N80" s="3"/>
    </row>
    <row r="81" spans="6:14" x14ac:dyDescent="0.25">
      <c r="F81" s="3"/>
      <c r="G81" s="3"/>
      <c r="H81" s="3"/>
      <c r="M81" s="3"/>
      <c r="N81" s="3"/>
    </row>
    <row r="82" spans="6:14" x14ac:dyDescent="0.25">
      <c r="F82" s="3"/>
      <c r="G82" s="3"/>
      <c r="H82" s="3"/>
      <c r="M82" s="3"/>
      <c r="N82" s="3"/>
    </row>
    <row r="83" spans="6:14" x14ac:dyDescent="0.25">
      <c r="F83" s="3"/>
      <c r="G83" s="3"/>
      <c r="H83" s="3"/>
      <c r="M83" s="3"/>
      <c r="N83" s="3"/>
    </row>
    <row r="84" spans="6:14" x14ac:dyDescent="0.25">
      <c r="F84" s="3"/>
      <c r="G84" s="3"/>
      <c r="H84" s="3"/>
      <c r="M84" s="3"/>
      <c r="N84" s="3"/>
    </row>
    <row r="85" spans="6:14" x14ac:dyDescent="0.25">
      <c r="F85" s="3"/>
      <c r="G85" s="3"/>
      <c r="H85" s="3"/>
      <c r="M85" s="3"/>
      <c r="N85" s="3"/>
    </row>
    <row r="86" spans="6:14" x14ac:dyDescent="0.25">
      <c r="F86" s="3"/>
      <c r="G86" s="3"/>
      <c r="H86" s="3"/>
      <c r="M86" s="3"/>
      <c r="N86" s="3"/>
    </row>
    <row r="87" spans="6:14" x14ac:dyDescent="0.25">
      <c r="F87" s="3"/>
      <c r="G87" s="3"/>
      <c r="H87" s="3"/>
      <c r="M87" s="3"/>
      <c r="N87" s="3"/>
    </row>
    <row r="88" spans="6:14" x14ac:dyDescent="0.25">
      <c r="F88" s="3"/>
      <c r="G88" s="3"/>
      <c r="H88" s="3"/>
      <c r="M88" s="3"/>
      <c r="N88" s="3"/>
    </row>
    <row r="89" spans="6:14" x14ac:dyDescent="0.25">
      <c r="F89" s="3"/>
      <c r="G89" s="3"/>
      <c r="H89" s="3"/>
      <c r="M89" s="3"/>
      <c r="N89" s="3"/>
    </row>
    <row r="90" spans="6:14" x14ac:dyDescent="0.25">
      <c r="F90" s="3"/>
      <c r="G90" s="3"/>
      <c r="H90" s="3"/>
      <c r="M90" s="3"/>
      <c r="N90" s="3"/>
    </row>
    <row r="91" spans="6:14" x14ac:dyDescent="0.25">
      <c r="F91" s="3"/>
      <c r="G91" s="3"/>
      <c r="H91" s="3"/>
      <c r="M91" s="3"/>
      <c r="N91" s="3"/>
    </row>
    <row r="92" spans="6:14" x14ac:dyDescent="0.25">
      <c r="F92" s="3"/>
      <c r="G92" s="3"/>
      <c r="H92" s="3"/>
      <c r="M92" s="3"/>
      <c r="N92" s="3"/>
    </row>
    <row r="93" spans="6:14" x14ac:dyDescent="0.25">
      <c r="F93" s="3"/>
      <c r="G93" s="3"/>
      <c r="H93" s="3"/>
      <c r="M93" s="3"/>
      <c r="N93" s="3"/>
    </row>
    <row r="94" spans="6:14" x14ac:dyDescent="0.25">
      <c r="F94" s="3"/>
      <c r="G94" s="3"/>
      <c r="H94" s="3"/>
      <c r="M94" s="3"/>
      <c r="N94" s="3"/>
    </row>
    <row r="95" spans="6:14" x14ac:dyDescent="0.25">
      <c r="F95" s="3"/>
      <c r="G95" s="3"/>
      <c r="H95" s="3"/>
      <c r="M95" s="3"/>
      <c r="N95" s="3"/>
    </row>
    <row r="96" spans="6:14" x14ac:dyDescent="0.25">
      <c r="F96" s="3"/>
      <c r="G96" s="3"/>
      <c r="H96" s="3"/>
      <c r="M96" s="3"/>
      <c r="N96" s="3"/>
    </row>
    <row r="97" spans="6:14" x14ac:dyDescent="0.25">
      <c r="F97" s="3"/>
      <c r="G97" s="3"/>
      <c r="H97" s="3"/>
      <c r="M97" s="3"/>
      <c r="N97" s="3"/>
    </row>
    <row r="98" spans="6:14" x14ac:dyDescent="0.25">
      <c r="F98" s="3"/>
      <c r="G98" s="3"/>
      <c r="H98" s="3"/>
      <c r="M98" s="3"/>
      <c r="N98" s="3"/>
    </row>
    <row r="99" spans="6:14" x14ac:dyDescent="0.25">
      <c r="M99" s="3"/>
      <c r="N99" s="3"/>
    </row>
    <row r="100" spans="6:14" x14ac:dyDescent="0.25">
      <c r="M100" s="3"/>
      <c r="N100" s="3"/>
    </row>
    <row r="101" spans="6:14" x14ac:dyDescent="0.25">
      <c r="M101" s="3"/>
      <c r="N101" s="3"/>
    </row>
    <row r="102" spans="6:14" x14ac:dyDescent="0.25">
      <c r="M102" s="3"/>
      <c r="N102" s="3"/>
    </row>
    <row r="103" spans="6:14" x14ac:dyDescent="0.25">
      <c r="M103" s="3"/>
      <c r="N103" s="3"/>
    </row>
    <row r="104" spans="6:14" x14ac:dyDescent="0.25">
      <c r="M104" s="3"/>
      <c r="N104" s="3"/>
    </row>
    <row r="105" spans="6:14" x14ac:dyDescent="0.25">
      <c r="M105" s="3"/>
      <c r="N105" s="3"/>
    </row>
    <row r="106" spans="6:14" x14ac:dyDescent="0.25">
      <c r="M106" s="3"/>
      <c r="N106" s="3"/>
    </row>
    <row r="107" spans="6:14" x14ac:dyDescent="0.25">
      <c r="M107" s="3"/>
      <c r="N107" s="3"/>
    </row>
    <row r="108" spans="6:14" x14ac:dyDescent="0.25">
      <c r="M108" s="3"/>
      <c r="N108" s="3"/>
    </row>
    <row r="109" spans="6:14" x14ac:dyDescent="0.25">
      <c r="M109" s="3"/>
      <c r="N109" s="3"/>
    </row>
    <row r="110" spans="6:14" x14ac:dyDescent="0.25">
      <c r="M110" s="3"/>
      <c r="N110" s="3"/>
    </row>
    <row r="111" spans="6:14" x14ac:dyDescent="0.25">
      <c r="M111" s="3"/>
      <c r="N111" s="3"/>
    </row>
    <row r="112" spans="6:14" x14ac:dyDescent="0.25">
      <c r="M112" s="3"/>
      <c r="N112" s="3"/>
    </row>
    <row r="113" spans="13:14" x14ac:dyDescent="0.25">
      <c r="M113" s="3"/>
      <c r="N113" s="3"/>
    </row>
    <row r="114" spans="13:14" x14ac:dyDescent="0.25">
      <c r="M114" s="3"/>
      <c r="N114" s="3"/>
    </row>
    <row r="115" spans="13:14" x14ac:dyDescent="0.25">
      <c r="M115" s="3"/>
      <c r="N115" s="3"/>
    </row>
    <row r="116" spans="13:14" x14ac:dyDescent="0.25">
      <c r="M116" s="3"/>
      <c r="N116" s="3"/>
    </row>
  </sheetData>
  <sortState ref="A3:P33">
    <sortCondition ref="E3:E33"/>
  </sortState>
  <hyperlinks>
    <hyperlink ref="A3" r:id="rId1" display="https://webgate.ec.europa.eu/CITnet/jira/browse/OPRESULT-1201"/>
    <hyperlink ref="A4" r:id="rId2" display="https://webgate.ec.europa.eu/CITnet/jira/browse/OPRESULT-1202"/>
    <hyperlink ref="A5" r:id="rId3" display="https://webgate.ec.europa.eu/CITnet/jira/browse/MWP-576"/>
    <hyperlink ref="A6" r:id="rId4" display="https://webgate.ec.europa.eu/CITnet/jira/browse/MWP-577"/>
    <hyperlink ref="A7" r:id="rId5" display="https://webgate.ec.europa.eu/CITnet/jira/browse/MWP-560"/>
    <hyperlink ref="A8" r:id="rId6" display="https://webgate.ec.europa.eu/CITnet/jira/browse/MWP-559"/>
    <hyperlink ref="A9" r:id="rId7" display="https://webgate.ec.europa.eu/CITnet/jira/browse/MWP-558"/>
    <hyperlink ref="A10" r:id="rId8" display="https://webgate.ec.europa.eu/CITnet/jira/browse/MWP-563"/>
    <hyperlink ref="A11" r:id="rId9" display="https://webgate.ec.europa.eu/CITnet/jira/browse/MWP-557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I30"/>
  <sheetViews>
    <sheetView view="pageLayout" zoomScaleNormal="100" workbookViewId="0">
      <selection activeCell="H7" sqref="H7"/>
    </sheetView>
  </sheetViews>
  <sheetFormatPr defaultRowHeight="15" x14ac:dyDescent="0.25"/>
  <cols>
    <col min="1" max="2" width="9" style="17"/>
    <col min="3" max="3" width="11.125" style="17" customWidth="1"/>
    <col min="4" max="5" width="9" style="17"/>
    <col min="6" max="6" width="8.375" style="17" customWidth="1"/>
    <col min="7" max="7" width="4.25" style="17" customWidth="1"/>
    <col min="8" max="16384" width="9" style="17"/>
  </cols>
  <sheetData>
    <row r="1" spans="1:9" ht="15" customHeight="1" x14ac:dyDescent="0.25">
      <c r="A1" s="38">
        <f>H25</f>
        <v>0</v>
      </c>
      <c r="B1" s="48" t="s">
        <v>45</v>
      </c>
      <c r="C1" s="49"/>
      <c r="D1" s="54" t="s">
        <v>79</v>
      </c>
      <c r="E1" s="54"/>
      <c r="F1" s="55"/>
    </row>
    <row r="2" spans="1:9" ht="15.75" customHeight="1" x14ac:dyDescent="0.25">
      <c r="B2" s="50"/>
      <c r="C2" s="51"/>
      <c r="D2" s="56"/>
      <c r="E2" s="56"/>
      <c r="F2" s="57"/>
      <c r="H2" s="60" t="s">
        <v>38</v>
      </c>
      <c r="I2" s="60"/>
    </row>
    <row r="3" spans="1:9" ht="16.5" customHeight="1" thickBot="1" x14ac:dyDescent="0.3">
      <c r="B3" s="52"/>
      <c r="C3" s="53"/>
      <c r="D3" s="58"/>
      <c r="E3" s="58"/>
      <c r="F3" s="59"/>
      <c r="H3" s="60"/>
      <c r="I3" s="60"/>
    </row>
    <row r="4" spans="1:9" x14ac:dyDescent="0.25">
      <c r="A4" s="61" t="s">
        <v>39</v>
      </c>
      <c r="B4" s="61"/>
      <c r="C4" s="61"/>
      <c r="D4" s="61"/>
      <c r="E4" s="61"/>
      <c r="F4" s="61"/>
      <c r="H4" s="62" t="s">
        <v>40</v>
      </c>
      <c r="I4" s="62" t="s">
        <v>41</v>
      </c>
    </row>
    <row r="5" spans="1:9" x14ac:dyDescent="0.25">
      <c r="A5" s="46"/>
      <c r="B5" s="46"/>
      <c r="C5" s="46"/>
      <c r="D5" s="46"/>
      <c r="E5" s="46"/>
      <c r="F5" s="46"/>
      <c r="H5" s="62"/>
      <c r="I5" s="62"/>
    </row>
    <row r="6" spans="1:9" ht="28.35" customHeight="1" x14ac:dyDescent="0.25">
      <c r="A6" s="66" t="s">
        <v>86</v>
      </c>
      <c r="B6" s="66"/>
      <c r="C6" s="66"/>
      <c r="D6" s="66"/>
      <c r="E6" s="66"/>
      <c r="F6" s="66"/>
      <c r="H6" s="24">
        <v>0</v>
      </c>
      <c r="I6" s="23">
        <v>1</v>
      </c>
    </row>
    <row r="7" spans="1:9" ht="28.35" customHeight="1" x14ac:dyDescent="0.25">
      <c r="A7" s="66" t="s">
        <v>23</v>
      </c>
      <c r="B7" s="66"/>
      <c r="C7" s="66"/>
      <c r="D7" s="66"/>
      <c r="E7" s="66"/>
      <c r="F7" s="66"/>
      <c r="H7" s="24">
        <v>0</v>
      </c>
      <c r="I7" s="23">
        <v>5</v>
      </c>
    </row>
    <row r="8" spans="1:9" ht="28.35" customHeight="1" x14ac:dyDescent="0.3">
      <c r="A8" s="47"/>
      <c r="B8" s="47"/>
      <c r="C8" s="47"/>
      <c r="D8" s="47"/>
      <c r="E8" s="47"/>
      <c r="F8" s="47"/>
      <c r="H8" s="24"/>
      <c r="I8" s="23"/>
    </row>
    <row r="9" spans="1:9" ht="28.35" customHeight="1" x14ac:dyDescent="0.3">
      <c r="A9" s="47"/>
      <c r="B9" s="47"/>
      <c r="C9" s="47"/>
      <c r="D9" s="47"/>
      <c r="E9" s="47"/>
      <c r="F9" s="47"/>
      <c r="H9" s="24"/>
      <c r="I9" s="23"/>
    </row>
    <row r="10" spans="1:9" ht="28.35" customHeight="1" x14ac:dyDescent="0.35">
      <c r="A10" s="43"/>
      <c r="B10" s="43"/>
      <c r="C10" s="43"/>
      <c r="D10" s="43"/>
      <c r="E10" s="43"/>
      <c r="F10" s="43"/>
      <c r="H10" s="24"/>
      <c r="I10" s="23"/>
    </row>
    <row r="11" spans="1:9" ht="28.35" customHeight="1" x14ac:dyDescent="0.35">
      <c r="A11" s="43"/>
      <c r="B11" s="43"/>
      <c r="C11" s="43"/>
      <c r="D11" s="43"/>
      <c r="E11" s="43"/>
      <c r="F11" s="43"/>
      <c r="H11" s="24"/>
      <c r="I11" s="23"/>
    </row>
    <row r="12" spans="1:9" ht="28.35" customHeight="1" x14ac:dyDescent="0.35">
      <c r="A12" s="43"/>
      <c r="B12" s="43"/>
      <c r="C12" s="43"/>
      <c r="D12" s="43"/>
      <c r="E12" s="43"/>
      <c r="F12" s="43"/>
      <c r="H12" s="24"/>
      <c r="I12" s="23"/>
    </row>
    <row r="13" spans="1:9" ht="28.35" customHeight="1" x14ac:dyDescent="0.35">
      <c r="A13" s="43"/>
      <c r="B13" s="43"/>
      <c r="C13" s="43"/>
      <c r="D13" s="43"/>
      <c r="E13" s="43"/>
      <c r="F13" s="43"/>
      <c r="H13" s="24"/>
      <c r="I13" s="23"/>
    </row>
    <row r="14" spans="1:9" ht="28.35" customHeight="1" x14ac:dyDescent="0.35">
      <c r="A14" s="43"/>
      <c r="B14" s="43"/>
      <c r="C14" s="43"/>
      <c r="D14" s="43"/>
      <c r="E14" s="43"/>
      <c r="F14" s="43"/>
      <c r="H14" s="24"/>
      <c r="I14" s="23"/>
    </row>
    <row r="15" spans="1:9" ht="28.35" customHeight="1" x14ac:dyDescent="0.35">
      <c r="A15" s="43"/>
      <c r="B15" s="43"/>
      <c r="C15" s="43"/>
      <c r="D15" s="43"/>
      <c r="E15" s="43"/>
      <c r="F15" s="43"/>
      <c r="H15" s="24"/>
      <c r="I15" s="23"/>
    </row>
    <row r="16" spans="1:9" ht="18.75" x14ac:dyDescent="0.25">
      <c r="A16" s="45" t="s">
        <v>42</v>
      </c>
      <c r="B16" s="45"/>
      <c r="C16" s="45"/>
      <c r="D16" s="45"/>
      <c r="E16" s="45"/>
      <c r="F16" s="45"/>
      <c r="H16" s="21"/>
      <c r="I16" s="21"/>
    </row>
    <row r="17" spans="1:9" ht="18.75" x14ac:dyDescent="0.25">
      <c r="A17" s="46"/>
      <c r="B17" s="46"/>
      <c r="C17" s="46"/>
      <c r="D17" s="46"/>
      <c r="E17" s="46"/>
      <c r="F17" s="46"/>
      <c r="H17" s="21"/>
      <c r="I17" s="21"/>
    </row>
    <row r="18" spans="1:9" ht="28.35" customHeight="1" x14ac:dyDescent="0.3">
      <c r="A18" s="47"/>
      <c r="B18" s="47"/>
      <c r="C18" s="47"/>
      <c r="D18" s="47"/>
      <c r="E18" s="47"/>
      <c r="F18" s="47"/>
      <c r="H18" s="24"/>
      <c r="I18" s="20"/>
    </row>
    <row r="19" spans="1:9" ht="28.35" customHeight="1" x14ac:dyDescent="0.35">
      <c r="A19" s="43"/>
      <c r="B19" s="43"/>
      <c r="C19" s="43"/>
      <c r="D19" s="43"/>
      <c r="E19" s="43"/>
      <c r="F19" s="43"/>
      <c r="H19" s="24"/>
      <c r="I19" s="20"/>
    </row>
    <row r="20" spans="1:9" ht="28.35" customHeight="1" x14ac:dyDescent="0.35">
      <c r="A20" s="43"/>
      <c r="B20" s="43"/>
      <c r="C20" s="43"/>
      <c r="D20" s="43"/>
      <c r="E20" s="43"/>
      <c r="F20" s="43"/>
      <c r="H20" s="24"/>
      <c r="I20" s="20"/>
    </row>
    <row r="21" spans="1:9" ht="28.35" customHeight="1" x14ac:dyDescent="0.35">
      <c r="A21" s="43"/>
      <c r="B21" s="43"/>
      <c r="C21" s="43"/>
      <c r="D21" s="43"/>
      <c r="E21" s="43"/>
      <c r="F21" s="43"/>
      <c r="H21" s="24"/>
      <c r="I21" s="20"/>
    </row>
    <row r="22" spans="1:9" x14ac:dyDescent="0.25">
      <c r="A22" s="18"/>
      <c r="B22" s="18"/>
      <c r="C22" s="18"/>
      <c r="D22" s="18"/>
      <c r="E22" s="18"/>
      <c r="F22" s="18"/>
      <c r="G22" s="18"/>
      <c r="H22" s="22"/>
      <c r="I22" s="22"/>
    </row>
    <row r="23" spans="1:9" x14ac:dyDescent="0.25">
      <c r="A23" s="18"/>
      <c r="B23" s="18"/>
      <c r="C23" s="18"/>
      <c r="D23" s="41" t="s">
        <v>43</v>
      </c>
      <c r="E23" s="41"/>
      <c r="F23" s="41"/>
      <c r="G23" s="41"/>
      <c r="H23" s="44">
        <f>SUM(H6:H15)+SUM(H18:H21)</f>
        <v>0</v>
      </c>
      <c r="I23" s="44">
        <f>SUM(I6:I15)</f>
        <v>6</v>
      </c>
    </row>
    <row r="24" spans="1:9" x14ac:dyDescent="0.25">
      <c r="A24" s="18"/>
      <c r="B24" s="18"/>
      <c r="C24" s="18"/>
      <c r="D24" s="41"/>
      <c r="E24" s="41"/>
      <c r="F24" s="41"/>
      <c r="G24" s="41"/>
      <c r="H24" s="44"/>
      <c r="I24" s="44"/>
    </row>
    <row r="25" spans="1:9" x14ac:dyDescent="0.25">
      <c r="A25" s="18"/>
      <c r="B25" s="18"/>
      <c r="C25" s="18"/>
      <c r="D25" s="41" t="s">
        <v>44</v>
      </c>
      <c r="E25" s="41"/>
      <c r="F25" s="41"/>
      <c r="G25" s="41"/>
      <c r="H25" s="42">
        <f>IF(I23&gt;0,H23/I23,0)</f>
        <v>0</v>
      </c>
      <c r="I25" s="22"/>
    </row>
    <row r="26" spans="1:9" x14ac:dyDescent="0.25">
      <c r="A26" s="18"/>
      <c r="B26" s="18"/>
      <c r="C26" s="18"/>
      <c r="D26" s="41"/>
      <c r="E26" s="41"/>
      <c r="F26" s="41"/>
      <c r="G26" s="41"/>
      <c r="H26" s="42"/>
      <c r="I26" s="22"/>
    </row>
    <row r="27" spans="1:9" x14ac:dyDescent="0.25">
      <c r="A27" s="18"/>
      <c r="B27" s="18"/>
      <c r="C27" s="18"/>
      <c r="D27" s="19"/>
      <c r="E27" s="18"/>
      <c r="F27" s="18"/>
      <c r="G27" s="18"/>
    </row>
    <row r="30" spans="1:9" x14ac:dyDescent="0.25">
      <c r="A30" s="33">
        <f>H25</f>
        <v>0</v>
      </c>
    </row>
  </sheetData>
  <mergeCells count="26">
    <mergeCell ref="A11:F11"/>
    <mergeCell ref="B1:C3"/>
    <mergeCell ref="D1:F3"/>
    <mergeCell ref="H2:I3"/>
    <mergeCell ref="A4:F5"/>
    <mergeCell ref="H4:H5"/>
    <mergeCell ref="I4:I5"/>
    <mergeCell ref="A6:F6"/>
    <mergeCell ref="A7:F7"/>
    <mergeCell ref="A8:F8"/>
    <mergeCell ref="A9:F9"/>
    <mergeCell ref="A10:F10"/>
    <mergeCell ref="I23:I24"/>
    <mergeCell ref="A12:F12"/>
    <mergeCell ref="A13:F13"/>
    <mergeCell ref="A14:F14"/>
    <mergeCell ref="A15:F15"/>
    <mergeCell ref="A16:F17"/>
    <mergeCell ref="A18:F18"/>
    <mergeCell ref="D25:G26"/>
    <mergeCell ref="H25:H26"/>
    <mergeCell ref="A19:F19"/>
    <mergeCell ref="A20:F20"/>
    <mergeCell ref="A21:F21"/>
    <mergeCell ref="D23:G24"/>
    <mergeCell ref="H23:H24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I27"/>
  <sheetViews>
    <sheetView view="pageLayout" zoomScaleNormal="100" workbookViewId="0">
      <selection activeCell="A6" sqref="A6:F6"/>
    </sheetView>
  </sheetViews>
  <sheetFormatPr defaultRowHeight="15" x14ac:dyDescent="0.25"/>
  <cols>
    <col min="1" max="2" width="9" style="17"/>
    <col min="3" max="3" width="11.125" style="17" customWidth="1"/>
    <col min="4" max="5" width="9" style="17"/>
    <col min="6" max="6" width="8.375" style="17" customWidth="1"/>
    <col min="7" max="7" width="4.25" style="17" customWidth="1"/>
    <col min="8" max="16384" width="9" style="17"/>
  </cols>
  <sheetData>
    <row r="1" spans="1:9" ht="15" customHeight="1" x14ac:dyDescent="0.25">
      <c r="A1" s="38">
        <f>H25</f>
        <v>0</v>
      </c>
      <c r="B1" s="48" t="s">
        <v>45</v>
      </c>
      <c r="C1" s="49"/>
      <c r="D1" s="54" t="s">
        <v>46</v>
      </c>
      <c r="E1" s="54"/>
      <c r="F1" s="55"/>
    </row>
    <row r="2" spans="1:9" ht="15.75" customHeight="1" x14ac:dyDescent="0.25">
      <c r="B2" s="50"/>
      <c r="C2" s="51"/>
      <c r="D2" s="56"/>
      <c r="E2" s="56"/>
      <c r="F2" s="57"/>
      <c r="H2" s="60" t="s">
        <v>38</v>
      </c>
      <c r="I2" s="60"/>
    </row>
    <row r="3" spans="1:9" ht="16.5" customHeight="1" thickBot="1" x14ac:dyDescent="0.3">
      <c r="B3" s="52"/>
      <c r="C3" s="53"/>
      <c r="D3" s="58"/>
      <c r="E3" s="58"/>
      <c r="F3" s="59"/>
      <c r="H3" s="60"/>
      <c r="I3" s="60"/>
    </row>
    <row r="4" spans="1:9" x14ac:dyDescent="0.25">
      <c r="A4" s="61" t="s">
        <v>39</v>
      </c>
      <c r="B4" s="61"/>
      <c r="C4" s="61"/>
      <c r="D4" s="61"/>
      <c r="E4" s="61"/>
      <c r="F4" s="61"/>
      <c r="H4" s="62" t="s">
        <v>40</v>
      </c>
      <c r="I4" s="62" t="s">
        <v>41</v>
      </c>
    </row>
    <row r="5" spans="1:9" x14ac:dyDescent="0.25">
      <c r="A5" s="46"/>
      <c r="B5" s="46"/>
      <c r="C5" s="46"/>
      <c r="D5" s="46"/>
      <c r="E5" s="46"/>
      <c r="F5" s="46"/>
      <c r="H5" s="62"/>
      <c r="I5" s="62"/>
    </row>
    <row r="6" spans="1:9" ht="28.35" customHeight="1" x14ac:dyDescent="0.25">
      <c r="A6" s="73" t="s">
        <v>30</v>
      </c>
      <c r="B6" s="73"/>
      <c r="C6" s="73"/>
      <c r="D6" s="73"/>
      <c r="E6" s="73"/>
      <c r="F6" s="73"/>
      <c r="H6" s="24">
        <v>0</v>
      </c>
      <c r="I6" s="23">
        <v>5</v>
      </c>
    </row>
    <row r="7" spans="1:9" ht="28.35" customHeight="1" x14ac:dyDescent="0.25">
      <c r="A7" s="66" t="s">
        <v>21</v>
      </c>
      <c r="B7" s="66"/>
      <c r="C7" s="66"/>
      <c r="D7" s="66"/>
      <c r="E7" s="66"/>
      <c r="F7" s="66"/>
      <c r="H7" s="24">
        <v>0</v>
      </c>
      <c r="I7" s="23">
        <v>5</v>
      </c>
    </row>
    <row r="8" spans="1:9" ht="28.35" customHeight="1" x14ac:dyDescent="0.25">
      <c r="A8" s="68" t="s">
        <v>90</v>
      </c>
      <c r="B8" s="68"/>
      <c r="C8" s="68"/>
      <c r="D8" s="68"/>
      <c r="E8" s="68"/>
      <c r="F8" s="68"/>
      <c r="H8" s="24">
        <v>0</v>
      </c>
      <c r="I8" s="23">
        <v>5</v>
      </c>
    </row>
    <row r="9" spans="1:9" ht="28.35" customHeight="1" x14ac:dyDescent="0.25">
      <c r="A9" s="66" t="s">
        <v>26</v>
      </c>
      <c r="B9" s="66"/>
      <c r="C9" s="66"/>
      <c r="D9" s="66"/>
      <c r="E9" s="66"/>
      <c r="F9" s="66"/>
      <c r="H9" s="24">
        <v>0</v>
      </c>
      <c r="I9" s="23">
        <v>4</v>
      </c>
    </row>
    <row r="10" spans="1:9" ht="28.35" customHeight="1" x14ac:dyDescent="0.25">
      <c r="A10" s="72" t="s">
        <v>18</v>
      </c>
      <c r="B10" s="72"/>
      <c r="C10" s="72"/>
      <c r="D10" s="72"/>
      <c r="E10" s="72"/>
      <c r="F10" s="72"/>
      <c r="H10" s="24">
        <v>0</v>
      </c>
      <c r="I10" s="23">
        <v>8</v>
      </c>
    </row>
    <row r="11" spans="1:9" ht="28.35" customHeight="1" x14ac:dyDescent="0.35">
      <c r="A11" s="43"/>
      <c r="B11" s="43"/>
      <c r="C11" s="43"/>
      <c r="D11" s="43"/>
      <c r="E11" s="43"/>
      <c r="F11" s="43"/>
      <c r="H11" s="24"/>
      <c r="I11" s="23"/>
    </row>
    <row r="12" spans="1:9" ht="28.35" customHeight="1" x14ac:dyDescent="0.35">
      <c r="A12" s="43"/>
      <c r="B12" s="43"/>
      <c r="C12" s="43"/>
      <c r="D12" s="43"/>
      <c r="E12" s="43"/>
      <c r="F12" s="43"/>
      <c r="H12" s="24"/>
      <c r="I12" s="23"/>
    </row>
    <row r="13" spans="1:9" ht="28.35" customHeight="1" x14ac:dyDescent="0.35">
      <c r="A13" s="43"/>
      <c r="B13" s="43"/>
      <c r="C13" s="43"/>
      <c r="D13" s="43"/>
      <c r="E13" s="43"/>
      <c r="F13" s="43"/>
      <c r="H13" s="24"/>
      <c r="I13" s="23"/>
    </row>
    <row r="14" spans="1:9" ht="28.35" customHeight="1" x14ac:dyDescent="0.35">
      <c r="A14" s="43"/>
      <c r="B14" s="43"/>
      <c r="C14" s="43"/>
      <c r="D14" s="43"/>
      <c r="E14" s="43"/>
      <c r="F14" s="43"/>
      <c r="H14" s="24"/>
      <c r="I14" s="23"/>
    </row>
    <row r="15" spans="1:9" ht="28.35" customHeight="1" x14ac:dyDescent="0.35">
      <c r="A15" s="43"/>
      <c r="B15" s="43"/>
      <c r="C15" s="43"/>
      <c r="D15" s="43"/>
      <c r="E15" s="43"/>
      <c r="F15" s="43"/>
      <c r="H15" s="24"/>
      <c r="I15" s="23"/>
    </row>
    <row r="16" spans="1:9" ht="18.75" x14ac:dyDescent="0.25">
      <c r="A16" s="45" t="s">
        <v>42</v>
      </c>
      <c r="B16" s="45"/>
      <c r="C16" s="45"/>
      <c r="D16" s="45"/>
      <c r="E16" s="45"/>
      <c r="F16" s="45"/>
      <c r="H16" s="21"/>
      <c r="I16" s="21"/>
    </row>
    <row r="17" spans="1:9" ht="18.75" x14ac:dyDescent="0.25">
      <c r="A17" s="46"/>
      <c r="B17" s="46"/>
      <c r="C17" s="46"/>
      <c r="D17" s="46"/>
      <c r="E17" s="46"/>
      <c r="F17" s="46"/>
      <c r="H17" s="21"/>
      <c r="I17" s="21"/>
    </row>
    <row r="18" spans="1:9" ht="28.35" customHeight="1" x14ac:dyDescent="0.25">
      <c r="A18" s="66" t="s">
        <v>28</v>
      </c>
      <c r="B18" s="66"/>
      <c r="C18" s="66"/>
      <c r="D18" s="66"/>
      <c r="E18" s="66"/>
      <c r="F18" s="66"/>
      <c r="H18" s="24">
        <v>0</v>
      </c>
      <c r="I18" s="20">
        <v>1</v>
      </c>
    </row>
    <row r="19" spans="1:9" ht="28.35" customHeight="1" x14ac:dyDescent="0.35">
      <c r="A19" s="43"/>
      <c r="B19" s="43"/>
      <c r="C19" s="43"/>
      <c r="D19" s="43"/>
      <c r="E19" s="43"/>
      <c r="F19" s="43"/>
      <c r="H19" s="24"/>
      <c r="I19" s="20"/>
    </row>
    <row r="20" spans="1:9" ht="28.35" customHeight="1" x14ac:dyDescent="0.35">
      <c r="A20" s="43"/>
      <c r="B20" s="43"/>
      <c r="C20" s="43"/>
      <c r="D20" s="43"/>
      <c r="E20" s="43"/>
      <c r="F20" s="43"/>
      <c r="H20" s="24"/>
      <c r="I20" s="20"/>
    </row>
    <row r="21" spans="1:9" ht="28.35" customHeight="1" x14ac:dyDescent="0.35">
      <c r="A21" s="43"/>
      <c r="B21" s="43"/>
      <c r="C21" s="43"/>
      <c r="D21" s="43"/>
      <c r="E21" s="43"/>
      <c r="F21" s="43"/>
      <c r="H21" s="24"/>
      <c r="I21" s="20"/>
    </row>
    <row r="22" spans="1:9" x14ac:dyDescent="0.25">
      <c r="A22" s="18"/>
      <c r="B22" s="18"/>
      <c r="C22" s="18"/>
      <c r="D22" s="18"/>
      <c r="E22" s="18"/>
      <c r="F22" s="18"/>
      <c r="G22" s="18"/>
      <c r="H22" s="22"/>
      <c r="I22" s="22"/>
    </row>
    <row r="23" spans="1:9" x14ac:dyDescent="0.25">
      <c r="A23" s="18"/>
      <c r="B23" s="18"/>
      <c r="C23" s="18"/>
      <c r="D23" s="41" t="s">
        <v>43</v>
      </c>
      <c r="E23" s="41"/>
      <c r="F23" s="41"/>
      <c r="G23" s="41"/>
      <c r="H23" s="44">
        <f>SUM(H6:H15)+SUM(H18:H21)</f>
        <v>0</v>
      </c>
      <c r="I23" s="44">
        <f>SUM(I6:I15)</f>
        <v>27</v>
      </c>
    </row>
    <row r="24" spans="1:9" ht="15.75" thickBot="1" x14ac:dyDescent="0.3">
      <c r="A24" s="18"/>
      <c r="B24" s="18"/>
      <c r="C24" s="18"/>
      <c r="D24" s="41"/>
      <c r="E24" s="41"/>
      <c r="F24" s="41"/>
      <c r="G24" s="41"/>
      <c r="H24" s="44"/>
      <c r="I24" s="44"/>
    </row>
    <row r="25" spans="1:9" x14ac:dyDescent="0.25">
      <c r="A25" s="18"/>
      <c r="B25" s="18"/>
      <c r="C25" s="18"/>
      <c r="D25" s="41" t="s">
        <v>44</v>
      </c>
      <c r="E25" s="41"/>
      <c r="F25" s="41"/>
      <c r="G25" s="41"/>
      <c r="H25" s="63">
        <f>IF(I23&gt;0,H23/I23,0)</f>
        <v>0</v>
      </c>
      <c r="I25" s="22"/>
    </row>
    <row r="26" spans="1:9" ht="15.75" thickBot="1" x14ac:dyDescent="0.3">
      <c r="A26" s="18"/>
      <c r="B26" s="18"/>
      <c r="C26" s="18"/>
      <c r="D26" s="41"/>
      <c r="E26" s="41"/>
      <c r="F26" s="41"/>
      <c r="G26" s="41"/>
      <c r="H26" s="64"/>
      <c r="I26" s="22"/>
    </row>
    <row r="27" spans="1:9" x14ac:dyDescent="0.25">
      <c r="A27" s="18"/>
      <c r="B27" s="18"/>
      <c r="C27" s="18"/>
      <c r="D27" s="19"/>
      <c r="E27" s="18"/>
      <c r="F27" s="18"/>
      <c r="G27" s="18"/>
    </row>
  </sheetData>
  <mergeCells count="26">
    <mergeCell ref="A11:F11"/>
    <mergeCell ref="B1:C3"/>
    <mergeCell ref="D1:F3"/>
    <mergeCell ref="H2:I3"/>
    <mergeCell ref="A4:F5"/>
    <mergeCell ref="H4:H5"/>
    <mergeCell ref="I4:I5"/>
    <mergeCell ref="A6:F6"/>
    <mergeCell ref="A7:F7"/>
    <mergeCell ref="A8:F8"/>
    <mergeCell ref="A9:F9"/>
    <mergeCell ref="A10:F10"/>
    <mergeCell ref="I23:I24"/>
    <mergeCell ref="A12:F12"/>
    <mergeCell ref="A13:F13"/>
    <mergeCell ref="A14:F14"/>
    <mergeCell ref="A15:F15"/>
    <mergeCell ref="A16:F17"/>
    <mergeCell ref="A18:F18"/>
    <mergeCell ref="D25:G26"/>
    <mergeCell ref="H25:H26"/>
    <mergeCell ref="A19:F19"/>
    <mergeCell ref="A20:F20"/>
    <mergeCell ref="A21:F21"/>
    <mergeCell ref="D23:G24"/>
    <mergeCell ref="H23:H24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I27"/>
  <sheetViews>
    <sheetView view="pageLayout" zoomScaleNormal="100" workbookViewId="0">
      <selection activeCell="H12" sqref="H12"/>
    </sheetView>
  </sheetViews>
  <sheetFormatPr defaultRowHeight="15" x14ac:dyDescent="0.25"/>
  <cols>
    <col min="1" max="2" width="9" style="17"/>
    <col min="3" max="3" width="11.125" style="17" customWidth="1"/>
    <col min="4" max="5" width="9" style="17"/>
    <col min="6" max="6" width="8.375" style="17" customWidth="1"/>
    <col min="7" max="7" width="4.25" style="17" customWidth="1"/>
    <col min="8" max="16384" width="9" style="17"/>
  </cols>
  <sheetData>
    <row r="1" spans="1:9" ht="15" customHeight="1" x14ac:dyDescent="0.25">
      <c r="A1" s="38">
        <f>H25</f>
        <v>0</v>
      </c>
      <c r="B1" s="48" t="s">
        <v>45</v>
      </c>
      <c r="C1" s="49"/>
      <c r="D1" s="54" t="s">
        <v>96</v>
      </c>
      <c r="E1" s="54"/>
      <c r="F1" s="55"/>
    </row>
    <row r="2" spans="1:9" ht="15.75" customHeight="1" x14ac:dyDescent="0.25">
      <c r="B2" s="50"/>
      <c r="C2" s="51"/>
      <c r="D2" s="56"/>
      <c r="E2" s="56"/>
      <c r="F2" s="57"/>
      <c r="H2" s="60" t="s">
        <v>38</v>
      </c>
      <c r="I2" s="60"/>
    </row>
    <row r="3" spans="1:9" ht="16.5" customHeight="1" thickBot="1" x14ac:dyDescent="0.3">
      <c r="B3" s="52"/>
      <c r="C3" s="53"/>
      <c r="D3" s="58"/>
      <c r="E3" s="58"/>
      <c r="F3" s="59"/>
      <c r="H3" s="60"/>
      <c r="I3" s="60"/>
    </row>
    <row r="4" spans="1:9" x14ac:dyDescent="0.25">
      <c r="A4" s="61" t="s">
        <v>39</v>
      </c>
      <c r="B4" s="61"/>
      <c r="C4" s="61"/>
      <c r="D4" s="61"/>
      <c r="E4" s="61"/>
      <c r="F4" s="61"/>
      <c r="H4" s="62" t="s">
        <v>40</v>
      </c>
      <c r="I4" s="62" t="s">
        <v>41</v>
      </c>
    </row>
    <row r="5" spans="1:9" x14ac:dyDescent="0.25">
      <c r="A5" s="46"/>
      <c r="B5" s="46"/>
      <c r="C5" s="46"/>
      <c r="D5" s="46"/>
      <c r="E5" s="46"/>
      <c r="F5" s="46"/>
      <c r="H5" s="62"/>
      <c r="I5" s="62"/>
    </row>
    <row r="6" spans="1:9" ht="28.35" customHeight="1" x14ac:dyDescent="0.3">
      <c r="A6" s="47"/>
      <c r="B6" s="47"/>
      <c r="C6" s="47"/>
      <c r="D6" s="47"/>
      <c r="E6" s="47"/>
      <c r="F6" s="47"/>
      <c r="H6" s="24"/>
      <c r="I6" s="23"/>
    </row>
    <row r="7" spans="1:9" ht="28.35" customHeight="1" x14ac:dyDescent="0.3">
      <c r="A7" s="47"/>
      <c r="B7" s="47"/>
      <c r="C7" s="47"/>
      <c r="D7" s="47"/>
      <c r="E7" s="47"/>
      <c r="F7" s="47"/>
      <c r="H7" s="24"/>
      <c r="I7" s="23"/>
    </row>
    <row r="8" spans="1:9" ht="28.35" customHeight="1" x14ac:dyDescent="0.3">
      <c r="A8" s="47"/>
      <c r="B8" s="47"/>
      <c r="C8" s="47"/>
      <c r="D8" s="47"/>
      <c r="E8" s="47"/>
      <c r="F8" s="47"/>
      <c r="H8" s="24"/>
      <c r="I8" s="23"/>
    </row>
    <row r="9" spans="1:9" ht="28.35" customHeight="1" x14ac:dyDescent="0.3">
      <c r="A9" s="47"/>
      <c r="B9" s="47"/>
      <c r="C9" s="47"/>
      <c r="D9" s="47"/>
      <c r="E9" s="47"/>
      <c r="F9" s="47"/>
      <c r="H9" s="24"/>
      <c r="I9" s="23"/>
    </row>
    <row r="10" spans="1:9" ht="28.35" customHeight="1" x14ac:dyDescent="0.25">
      <c r="A10" s="65"/>
      <c r="B10" s="65"/>
      <c r="C10" s="65"/>
      <c r="D10" s="65"/>
      <c r="E10" s="65"/>
      <c r="F10" s="65"/>
      <c r="H10" s="24"/>
      <c r="I10" s="23"/>
    </row>
    <row r="11" spans="1:9" ht="28.35" customHeight="1" x14ac:dyDescent="0.35">
      <c r="A11" s="43"/>
      <c r="B11" s="43"/>
      <c r="C11" s="43"/>
      <c r="D11" s="43"/>
      <c r="E11" s="43"/>
      <c r="F11" s="43"/>
      <c r="H11" s="24"/>
      <c r="I11" s="23"/>
    </row>
    <row r="12" spans="1:9" ht="28.35" customHeight="1" x14ac:dyDescent="0.35">
      <c r="A12" s="43"/>
      <c r="B12" s="43"/>
      <c r="C12" s="43"/>
      <c r="D12" s="43"/>
      <c r="E12" s="43"/>
      <c r="F12" s="43"/>
      <c r="H12" s="24"/>
      <c r="I12" s="23"/>
    </row>
    <row r="13" spans="1:9" ht="28.35" customHeight="1" x14ac:dyDescent="0.35">
      <c r="A13" s="43"/>
      <c r="B13" s="43"/>
      <c r="C13" s="43"/>
      <c r="D13" s="43"/>
      <c r="E13" s="43"/>
      <c r="F13" s="43"/>
      <c r="H13" s="24"/>
      <c r="I13" s="23"/>
    </row>
    <row r="14" spans="1:9" ht="28.35" customHeight="1" x14ac:dyDescent="0.35">
      <c r="A14" s="43"/>
      <c r="B14" s="43"/>
      <c r="C14" s="43"/>
      <c r="D14" s="43"/>
      <c r="E14" s="43"/>
      <c r="F14" s="43"/>
      <c r="H14" s="24"/>
      <c r="I14" s="23"/>
    </row>
    <row r="15" spans="1:9" ht="28.35" customHeight="1" x14ac:dyDescent="0.35">
      <c r="A15" s="43"/>
      <c r="B15" s="43"/>
      <c r="C15" s="43"/>
      <c r="D15" s="43"/>
      <c r="E15" s="43"/>
      <c r="F15" s="43"/>
      <c r="H15" s="24"/>
      <c r="I15" s="23"/>
    </row>
    <row r="16" spans="1:9" ht="18.75" x14ac:dyDescent="0.25">
      <c r="A16" s="45" t="s">
        <v>42</v>
      </c>
      <c r="B16" s="45"/>
      <c r="C16" s="45"/>
      <c r="D16" s="45"/>
      <c r="E16" s="45"/>
      <c r="F16" s="45"/>
      <c r="H16" s="21"/>
      <c r="I16" s="21"/>
    </row>
    <row r="17" spans="1:9" ht="18.75" x14ac:dyDescent="0.25">
      <c r="A17" s="46"/>
      <c r="B17" s="46"/>
      <c r="C17" s="46"/>
      <c r="D17" s="46"/>
      <c r="E17" s="46"/>
      <c r="F17" s="46"/>
      <c r="H17" s="21"/>
      <c r="I17" s="21"/>
    </row>
    <row r="18" spans="1:9" ht="28.35" customHeight="1" x14ac:dyDescent="0.3">
      <c r="A18" s="47"/>
      <c r="B18" s="47"/>
      <c r="C18" s="47"/>
      <c r="D18" s="47"/>
      <c r="E18" s="47"/>
      <c r="F18" s="47"/>
      <c r="H18" s="24"/>
      <c r="I18" s="20"/>
    </row>
    <row r="19" spans="1:9" ht="28.35" customHeight="1" x14ac:dyDescent="0.35">
      <c r="A19" s="43"/>
      <c r="B19" s="43"/>
      <c r="C19" s="43"/>
      <c r="D19" s="43"/>
      <c r="E19" s="43"/>
      <c r="F19" s="43"/>
      <c r="H19" s="24"/>
      <c r="I19" s="20"/>
    </row>
    <row r="20" spans="1:9" ht="28.35" customHeight="1" x14ac:dyDescent="0.35">
      <c r="A20" s="43"/>
      <c r="B20" s="43"/>
      <c r="C20" s="43"/>
      <c r="D20" s="43"/>
      <c r="E20" s="43"/>
      <c r="F20" s="43"/>
      <c r="H20" s="24"/>
      <c r="I20" s="20"/>
    </row>
    <row r="21" spans="1:9" ht="28.35" customHeight="1" x14ac:dyDescent="0.35">
      <c r="A21" s="43"/>
      <c r="B21" s="43"/>
      <c r="C21" s="43"/>
      <c r="D21" s="43"/>
      <c r="E21" s="43"/>
      <c r="F21" s="43"/>
      <c r="H21" s="24"/>
      <c r="I21" s="20"/>
    </row>
    <row r="22" spans="1:9" x14ac:dyDescent="0.25">
      <c r="A22" s="18"/>
      <c r="B22" s="18"/>
      <c r="C22" s="18"/>
      <c r="D22" s="18"/>
      <c r="E22" s="18"/>
      <c r="F22" s="18"/>
      <c r="G22" s="18"/>
      <c r="H22" s="22"/>
      <c r="I22" s="22"/>
    </row>
    <row r="23" spans="1:9" x14ac:dyDescent="0.25">
      <c r="A23" s="18"/>
      <c r="B23" s="18"/>
      <c r="C23" s="18"/>
      <c r="D23" s="41" t="s">
        <v>43</v>
      </c>
      <c r="E23" s="41"/>
      <c r="F23" s="41"/>
      <c r="G23" s="41"/>
      <c r="H23" s="44">
        <f>SUM(H6:H15)+SUM(H18:H21)</f>
        <v>0</v>
      </c>
      <c r="I23" s="44">
        <f>SUM(I6:I15)</f>
        <v>0</v>
      </c>
    </row>
    <row r="24" spans="1:9" ht="15.75" thickBot="1" x14ac:dyDescent="0.3">
      <c r="A24" s="18"/>
      <c r="B24" s="18"/>
      <c r="C24" s="18"/>
      <c r="D24" s="41"/>
      <c r="E24" s="41"/>
      <c r="F24" s="41"/>
      <c r="G24" s="41"/>
      <c r="H24" s="44"/>
      <c r="I24" s="44"/>
    </row>
    <row r="25" spans="1:9" x14ac:dyDescent="0.25">
      <c r="A25" s="18"/>
      <c r="B25" s="18"/>
      <c r="C25" s="18"/>
      <c r="D25" s="41" t="s">
        <v>44</v>
      </c>
      <c r="E25" s="41"/>
      <c r="F25" s="41"/>
      <c r="G25" s="41"/>
      <c r="H25" s="63">
        <f>IF(I23&gt;0,H23/I23,0)</f>
        <v>0</v>
      </c>
      <c r="I25" s="22"/>
    </row>
    <row r="26" spans="1:9" ht="15.75" thickBot="1" x14ac:dyDescent="0.3">
      <c r="A26" s="18"/>
      <c r="B26" s="18"/>
      <c r="C26" s="18"/>
      <c r="D26" s="41"/>
      <c r="E26" s="41"/>
      <c r="F26" s="41"/>
      <c r="G26" s="41"/>
      <c r="H26" s="64"/>
      <c r="I26" s="22"/>
    </row>
    <row r="27" spans="1:9" x14ac:dyDescent="0.25">
      <c r="A27" s="18"/>
      <c r="B27" s="18"/>
      <c r="C27" s="18"/>
      <c r="D27" s="19"/>
      <c r="E27" s="18"/>
      <c r="F27" s="18"/>
      <c r="G27" s="18"/>
    </row>
  </sheetData>
  <mergeCells count="26">
    <mergeCell ref="A11:F11"/>
    <mergeCell ref="B1:C3"/>
    <mergeCell ref="D1:F3"/>
    <mergeCell ref="H2:I3"/>
    <mergeCell ref="A4:F5"/>
    <mergeCell ref="H4:H5"/>
    <mergeCell ref="I4:I5"/>
    <mergeCell ref="A6:F6"/>
    <mergeCell ref="A7:F7"/>
    <mergeCell ref="A8:F8"/>
    <mergeCell ref="A9:F9"/>
    <mergeCell ref="A10:F10"/>
    <mergeCell ref="I23:I24"/>
    <mergeCell ref="A12:F12"/>
    <mergeCell ref="A13:F13"/>
    <mergeCell ref="A14:F14"/>
    <mergeCell ref="A15:F15"/>
    <mergeCell ref="A16:F17"/>
    <mergeCell ref="A18:F18"/>
    <mergeCell ref="D25:G26"/>
    <mergeCell ref="H25:H26"/>
    <mergeCell ref="A19:F19"/>
    <mergeCell ref="A20:F20"/>
    <mergeCell ref="A21:F21"/>
    <mergeCell ref="D23:G24"/>
    <mergeCell ref="H23:H24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I33"/>
  <sheetViews>
    <sheetView view="pageLayout" zoomScaleNormal="100" workbookViewId="0">
      <selection activeCell="A18" sqref="A18:F18"/>
    </sheetView>
  </sheetViews>
  <sheetFormatPr defaultRowHeight="15" x14ac:dyDescent="0.25"/>
  <cols>
    <col min="1" max="2" width="9" style="17"/>
    <col min="3" max="3" width="11.125" style="17" customWidth="1"/>
    <col min="4" max="5" width="9" style="17"/>
    <col min="6" max="6" width="8.375" style="17" customWidth="1"/>
    <col min="7" max="7" width="4.25" style="17" customWidth="1"/>
    <col min="8" max="16384" width="9" style="17"/>
  </cols>
  <sheetData>
    <row r="1" spans="1:9" ht="15" customHeight="1" x14ac:dyDescent="0.25">
      <c r="A1" s="38">
        <f>H25</f>
        <v>0</v>
      </c>
      <c r="B1" s="48" t="s">
        <v>45</v>
      </c>
      <c r="C1" s="49"/>
      <c r="D1" s="54" t="s">
        <v>97</v>
      </c>
      <c r="E1" s="54"/>
      <c r="F1" s="55"/>
    </row>
    <row r="2" spans="1:9" ht="15.75" customHeight="1" x14ac:dyDescent="0.25">
      <c r="B2" s="50"/>
      <c r="C2" s="51"/>
      <c r="D2" s="56"/>
      <c r="E2" s="56"/>
      <c r="F2" s="57"/>
      <c r="H2" s="60" t="s">
        <v>38</v>
      </c>
      <c r="I2" s="60"/>
    </row>
    <row r="3" spans="1:9" ht="16.5" customHeight="1" thickBot="1" x14ac:dyDescent="0.3">
      <c r="B3" s="52"/>
      <c r="C3" s="53"/>
      <c r="D3" s="58"/>
      <c r="E3" s="58"/>
      <c r="F3" s="59"/>
      <c r="H3" s="60"/>
      <c r="I3" s="60"/>
    </row>
    <row r="4" spans="1:9" x14ac:dyDescent="0.25">
      <c r="A4" s="61" t="s">
        <v>39</v>
      </c>
      <c r="B4" s="61"/>
      <c r="C4" s="61"/>
      <c r="D4" s="61"/>
      <c r="E4" s="61"/>
      <c r="F4" s="61"/>
      <c r="H4" s="62" t="s">
        <v>40</v>
      </c>
      <c r="I4" s="62" t="s">
        <v>41</v>
      </c>
    </row>
    <row r="5" spans="1:9" x14ac:dyDescent="0.25">
      <c r="A5" s="46"/>
      <c r="B5" s="46"/>
      <c r="C5" s="46"/>
      <c r="D5" s="46"/>
      <c r="E5" s="46"/>
      <c r="F5" s="46"/>
      <c r="H5" s="62"/>
      <c r="I5" s="62"/>
    </row>
    <row r="6" spans="1:9" ht="28.35" customHeight="1" x14ac:dyDescent="0.3">
      <c r="A6" s="47"/>
      <c r="B6" s="47"/>
      <c r="C6" s="47"/>
      <c r="D6" s="47"/>
      <c r="E6" s="47"/>
      <c r="F6" s="47"/>
      <c r="H6" s="24"/>
      <c r="I6" s="23"/>
    </row>
    <row r="7" spans="1:9" ht="28.35" customHeight="1" x14ac:dyDescent="0.3">
      <c r="A7" s="47"/>
      <c r="B7" s="47"/>
      <c r="C7" s="47"/>
      <c r="D7" s="47"/>
      <c r="E7" s="47"/>
      <c r="F7" s="47"/>
      <c r="H7" s="24"/>
      <c r="I7" s="23"/>
    </row>
    <row r="8" spans="1:9" ht="28.35" customHeight="1" x14ac:dyDescent="0.3">
      <c r="A8" s="47"/>
      <c r="B8" s="47"/>
      <c r="C8" s="47"/>
      <c r="D8" s="47"/>
      <c r="E8" s="47"/>
      <c r="F8" s="47"/>
      <c r="H8" s="24"/>
      <c r="I8" s="23"/>
    </row>
    <row r="9" spans="1:9" ht="28.35" customHeight="1" x14ac:dyDescent="0.3">
      <c r="A9" s="47"/>
      <c r="B9" s="47"/>
      <c r="C9" s="47"/>
      <c r="D9" s="47"/>
      <c r="E9" s="47"/>
      <c r="F9" s="47"/>
      <c r="H9" s="24"/>
      <c r="I9" s="23"/>
    </row>
    <row r="10" spans="1:9" ht="28.35" customHeight="1" x14ac:dyDescent="0.35">
      <c r="A10" s="43"/>
      <c r="B10" s="43"/>
      <c r="C10" s="43"/>
      <c r="D10" s="43"/>
      <c r="E10" s="43"/>
      <c r="F10" s="43"/>
      <c r="H10" s="24"/>
      <c r="I10" s="23"/>
    </row>
    <row r="11" spans="1:9" ht="28.35" customHeight="1" x14ac:dyDescent="0.35">
      <c r="A11" s="43"/>
      <c r="B11" s="43"/>
      <c r="C11" s="43"/>
      <c r="D11" s="43"/>
      <c r="E11" s="43"/>
      <c r="F11" s="43"/>
      <c r="H11" s="24"/>
      <c r="I11" s="23"/>
    </row>
    <row r="12" spans="1:9" ht="28.35" customHeight="1" x14ac:dyDescent="0.35">
      <c r="A12" s="43"/>
      <c r="B12" s="43"/>
      <c r="C12" s="43"/>
      <c r="D12" s="43"/>
      <c r="E12" s="43"/>
      <c r="F12" s="43"/>
      <c r="H12" s="24"/>
      <c r="I12" s="23"/>
    </row>
    <row r="13" spans="1:9" ht="28.35" customHeight="1" x14ac:dyDescent="0.35">
      <c r="A13" s="43"/>
      <c r="B13" s="43"/>
      <c r="C13" s="43"/>
      <c r="D13" s="43"/>
      <c r="E13" s="43"/>
      <c r="F13" s="43"/>
      <c r="H13" s="24"/>
      <c r="I13" s="23"/>
    </row>
    <row r="14" spans="1:9" ht="28.35" customHeight="1" x14ac:dyDescent="0.35">
      <c r="A14" s="43"/>
      <c r="B14" s="43"/>
      <c r="C14" s="43"/>
      <c r="D14" s="43"/>
      <c r="E14" s="43"/>
      <c r="F14" s="43"/>
      <c r="H14" s="24"/>
      <c r="I14" s="23"/>
    </row>
    <row r="15" spans="1:9" ht="28.35" customHeight="1" x14ac:dyDescent="0.35">
      <c r="A15" s="43"/>
      <c r="B15" s="43"/>
      <c r="C15" s="43"/>
      <c r="D15" s="43"/>
      <c r="E15" s="43"/>
      <c r="F15" s="43"/>
      <c r="H15" s="24"/>
      <c r="I15" s="23"/>
    </row>
    <row r="16" spans="1:9" ht="18.75" x14ac:dyDescent="0.25">
      <c r="A16" s="45" t="s">
        <v>42</v>
      </c>
      <c r="B16" s="45"/>
      <c r="C16" s="45"/>
      <c r="D16" s="45"/>
      <c r="E16" s="45"/>
      <c r="F16" s="45"/>
      <c r="H16" s="21"/>
      <c r="I16" s="21"/>
    </row>
    <row r="17" spans="1:9" ht="18.75" x14ac:dyDescent="0.25">
      <c r="A17" s="46"/>
      <c r="B17" s="46"/>
      <c r="C17" s="46"/>
      <c r="D17" s="46"/>
      <c r="E17" s="46"/>
      <c r="F17" s="46"/>
      <c r="H17" s="21"/>
      <c r="I17" s="21"/>
    </row>
    <row r="18" spans="1:9" ht="28.35" customHeight="1" x14ac:dyDescent="0.3">
      <c r="A18" s="47"/>
      <c r="B18" s="47"/>
      <c r="C18" s="47"/>
      <c r="D18" s="47"/>
      <c r="E18" s="47"/>
      <c r="F18" s="47"/>
      <c r="H18" s="24"/>
      <c r="I18" s="20"/>
    </row>
    <row r="19" spans="1:9" ht="28.35" customHeight="1" x14ac:dyDescent="0.35">
      <c r="A19" s="43"/>
      <c r="B19" s="43"/>
      <c r="C19" s="43"/>
      <c r="D19" s="43"/>
      <c r="E19" s="43"/>
      <c r="F19" s="43"/>
      <c r="H19" s="24"/>
      <c r="I19" s="20"/>
    </row>
    <row r="20" spans="1:9" ht="28.35" customHeight="1" x14ac:dyDescent="0.35">
      <c r="A20" s="43"/>
      <c r="B20" s="43"/>
      <c r="C20" s="43"/>
      <c r="D20" s="43"/>
      <c r="E20" s="43"/>
      <c r="F20" s="43"/>
      <c r="H20" s="24"/>
      <c r="I20" s="20"/>
    </row>
    <row r="21" spans="1:9" ht="28.35" customHeight="1" x14ac:dyDescent="0.35">
      <c r="A21" s="43"/>
      <c r="B21" s="43"/>
      <c r="C21" s="43"/>
      <c r="D21" s="43"/>
      <c r="E21" s="43"/>
      <c r="F21" s="43"/>
      <c r="H21" s="24"/>
      <c r="I21" s="20"/>
    </row>
    <row r="22" spans="1:9" x14ac:dyDescent="0.25">
      <c r="A22" s="18"/>
      <c r="B22" s="18"/>
      <c r="C22" s="18"/>
      <c r="D22" s="18"/>
      <c r="E22" s="18"/>
      <c r="F22" s="18"/>
      <c r="G22" s="18"/>
      <c r="H22" s="22"/>
      <c r="I22" s="22"/>
    </row>
    <row r="23" spans="1:9" x14ac:dyDescent="0.25">
      <c r="A23" s="18"/>
      <c r="B23" s="18"/>
      <c r="C23" s="18"/>
      <c r="D23" s="41" t="s">
        <v>43</v>
      </c>
      <c r="E23" s="41"/>
      <c r="F23" s="41"/>
      <c r="G23" s="41"/>
      <c r="H23" s="44">
        <f>SUM(H6:H15)+SUM(H18:H21)</f>
        <v>0</v>
      </c>
      <c r="I23" s="44">
        <f>SUM(I6:I15)</f>
        <v>0</v>
      </c>
    </row>
    <row r="24" spans="1:9" ht="15.75" thickBot="1" x14ac:dyDescent="0.3">
      <c r="A24" s="18"/>
      <c r="B24" s="18"/>
      <c r="C24" s="18"/>
      <c r="D24" s="41"/>
      <c r="E24" s="41"/>
      <c r="F24" s="41"/>
      <c r="G24" s="41"/>
      <c r="H24" s="44"/>
      <c r="I24" s="44"/>
    </row>
    <row r="25" spans="1:9" x14ac:dyDescent="0.25">
      <c r="A25" s="18"/>
      <c r="B25" s="18"/>
      <c r="C25" s="18"/>
      <c r="D25" s="41" t="s">
        <v>44</v>
      </c>
      <c r="E25" s="41"/>
      <c r="F25" s="41"/>
      <c r="G25" s="41"/>
      <c r="H25" s="63">
        <f>IF(I23&gt;0,H23/I23,0)</f>
        <v>0</v>
      </c>
      <c r="I25" s="37"/>
    </row>
    <row r="26" spans="1:9" ht="15.75" thickBot="1" x14ac:dyDescent="0.3">
      <c r="A26" s="18"/>
      <c r="B26" s="18"/>
      <c r="C26" s="18"/>
      <c r="D26" s="41"/>
      <c r="E26" s="41"/>
      <c r="F26" s="41"/>
      <c r="G26" s="41"/>
      <c r="H26" s="64"/>
      <c r="I26" s="37"/>
    </row>
    <row r="27" spans="1:9" x14ac:dyDescent="0.25">
      <c r="A27" s="35"/>
      <c r="B27" s="35"/>
      <c r="C27" s="35"/>
      <c r="D27" s="36"/>
      <c r="E27" s="35"/>
      <c r="F27" s="35"/>
      <c r="G27" s="35"/>
      <c r="H27" s="34"/>
      <c r="I27" s="34"/>
    </row>
    <row r="28" spans="1:9" x14ac:dyDescent="0.25">
      <c r="A28" s="34"/>
      <c r="B28" s="34"/>
      <c r="C28" s="34"/>
      <c r="D28" s="34"/>
      <c r="E28" s="34"/>
      <c r="F28" s="34"/>
      <c r="G28" s="34"/>
      <c r="H28" s="34"/>
      <c r="I28" s="34"/>
    </row>
    <row r="29" spans="1:9" x14ac:dyDescent="0.25">
      <c r="A29" s="34"/>
      <c r="B29" s="34"/>
      <c r="C29" s="34"/>
      <c r="D29" s="34"/>
      <c r="E29" s="34"/>
      <c r="F29" s="34"/>
      <c r="G29" s="34"/>
      <c r="H29" s="34"/>
      <c r="I29" s="34"/>
    </row>
    <row r="30" spans="1:9" x14ac:dyDescent="0.25">
      <c r="A30" s="34"/>
      <c r="B30" s="34"/>
      <c r="C30" s="34"/>
      <c r="D30" s="34"/>
      <c r="E30" s="34"/>
      <c r="F30" s="34"/>
      <c r="G30" s="34"/>
      <c r="H30" s="34"/>
      <c r="I30" s="34"/>
    </row>
    <row r="31" spans="1:9" x14ac:dyDescent="0.25">
      <c r="A31" s="34"/>
      <c r="B31" s="34"/>
      <c r="C31" s="34"/>
      <c r="D31" s="34"/>
      <c r="E31" s="34"/>
      <c r="F31" s="34"/>
      <c r="G31" s="34"/>
      <c r="H31" s="34"/>
      <c r="I31" s="34"/>
    </row>
    <row r="32" spans="1:9" x14ac:dyDescent="0.25">
      <c r="A32" s="34"/>
      <c r="B32" s="34"/>
      <c r="C32" s="34"/>
      <c r="D32" s="34"/>
      <c r="E32" s="34"/>
      <c r="F32" s="34"/>
      <c r="G32" s="34"/>
      <c r="H32" s="34"/>
      <c r="I32" s="34"/>
    </row>
    <row r="33" spans="1:9" x14ac:dyDescent="0.25">
      <c r="A33" s="34"/>
      <c r="B33" s="34"/>
      <c r="C33" s="34"/>
      <c r="D33" s="34"/>
      <c r="E33" s="34"/>
      <c r="F33" s="34"/>
      <c r="G33" s="34"/>
      <c r="H33" s="34"/>
      <c r="I33" s="34"/>
    </row>
  </sheetData>
  <mergeCells count="26">
    <mergeCell ref="A11:F11"/>
    <mergeCell ref="D1:F3"/>
    <mergeCell ref="H2:I3"/>
    <mergeCell ref="A4:F5"/>
    <mergeCell ref="H4:H5"/>
    <mergeCell ref="I4:I5"/>
    <mergeCell ref="B1:C3"/>
    <mergeCell ref="A6:F6"/>
    <mergeCell ref="A7:F7"/>
    <mergeCell ref="A8:F8"/>
    <mergeCell ref="A9:F9"/>
    <mergeCell ref="A10:F10"/>
    <mergeCell ref="I23:I24"/>
    <mergeCell ref="H23:H24"/>
    <mergeCell ref="H25:H26"/>
    <mergeCell ref="A12:F12"/>
    <mergeCell ref="A13:F13"/>
    <mergeCell ref="A14:F14"/>
    <mergeCell ref="A15:F15"/>
    <mergeCell ref="A16:F17"/>
    <mergeCell ref="A18:F18"/>
    <mergeCell ref="A19:F19"/>
    <mergeCell ref="A20:F20"/>
    <mergeCell ref="A21:F21"/>
    <mergeCell ref="D23:G24"/>
    <mergeCell ref="D25:G26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I27"/>
  <sheetViews>
    <sheetView view="pageLayout" zoomScaleNormal="100" workbookViewId="0">
      <selection activeCell="I7" sqref="I7"/>
    </sheetView>
  </sheetViews>
  <sheetFormatPr defaultRowHeight="15" x14ac:dyDescent="0.25"/>
  <cols>
    <col min="1" max="2" width="9" style="17"/>
    <col min="3" max="3" width="11.125" style="17" customWidth="1"/>
    <col min="4" max="5" width="9" style="17"/>
    <col min="6" max="6" width="8.375" style="17" customWidth="1"/>
    <col min="7" max="7" width="4.25" style="17" customWidth="1"/>
    <col min="8" max="16384" width="9" style="17"/>
  </cols>
  <sheetData>
    <row r="1" spans="1:9" ht="15" customHeight="1" x14ac:dyDescent="0.25">
      <c r="A1" s="38">
        <f>H25</f>
        <v>0</v>
      </c>
      <c r="B1" s="48" t="s">
        <v>45</v>
      </c>
      <c r="C1" s="49"/>
      <c r="D1" s="54" t="s">
        <v>82</v>
      </c>
      <c r="E1" s="54"/>
      <c r="F1" s="55"/>
    </row>
    <row r="2" spans="1:9" ht="15.75" customHeight="1" x14ac:dyDescent="0.25">
      <c r="B2" s="50"/>
      <c r="C2" s="51"/>
      <c r="D2" s="56"/>
      <c r="E2" s="56"/>
      <c r="F2" s="57"/>
      <c r="H2" s="60" t="s">
        <v>38</v>
      </c>
      <c r="I2" s="60"/>
    </row>
    <row r="3" spans="1:9" ht="16.5" customHeight="1" thickBot="1" x14ac:dyDescent="0.3">
      <c r="B3" s="52"/>
      <c r="C3" s="53"/>
      <c r="D3" s="58"/>
      <c r="E3" s="58"/>
      <c r="F3" s="59"/>
      <c r="H3" s="60"/>
      <c r="I3" s="60"/>
    </row>
    <row r="4" spans="1:9" x14ac:dyDescent="0.25">
      <c r="A4" s="61" t="s">
        <v>39</v>
      </c>
      <c r="B4" s="61"/>
      <c r="C4" s="61"/>
      <c r="D4" s="61"/>
      <c r="E4" s="61"/>
      <c r="F4" s="61"/>
      <c r="H4" s="62" t="s">
        <v>40</v>
      </c>
      <c r="I4" s="62" t="s">
        <v>41</v>
      </c>
    </row>
    <row r="5" spans="1:9" x14ac:dyDescent="0.25">
      <c r="A5" s="46"/>
      <c r="B5" s="46"/>
      <c r="C5" s="46"/>
      <c r="D5" s="46"/>
      <c r="E5" s="46"/>
      <c r="F5" s="46"/>
      <c r="H5" s="62"/>
      <c r="I5" s="62"/>
    </row>
    <row r="6" spans="1:9" ht="28.35" customHeight="1" x14ac:dyDescent="0.25">
      <c r="A6" s="66"/>
      <c r="B6" s="66"/>
      <c r="C6" s="66"/>
      <c r="D6" s="66"/>
      <c r="E6" s="66"/>
      <c r="F6" s="66"/>
      <c r="H6" s="24"/>
      <c r="I6" s="23"/>
    </row>
    <row r="7" spans="1:9" ht="28.35" customHeight="1" x14ac:dyDescent="0.3">
      <c r="A7" s="47"/>
      <c r="B7" s="47"/>
      <c r="C7" s="47"/>
      <c r="D7" s="47"/>
      <c r="E7" s="47"/>
      <c r="F7" s="47"/>
      <c r="H7" s="24"/>
      <c r="I7" s="23"/>
    </row>
    <row r="8" spans="1:9" ht="28.35" customHeight="1" x14ac:dyDescent="0.3">
      <c r="A8" s="47"/>
      <c r="B8" s="47"/>
      <c r="C8" s="47"/>
      <c r="D8" s="47"/>
      <c r="E8" s="47"/>
      <c r="F8" s="47"/>
      <c r="H8" s="24"/>
      <c r="I8" s="23"/>
    </row>
    <row r="9" spans="1:9" ht="28.35" customHeight="1" x14ac:dyDescent="0.3">
      <c r="A9" s="47"/>
      <c r="B9" s="47"/>
      <c r="C9" s="47"/>
      <c r="D9" s="47"/>
      <c r="E9" s="47"/>
      <c r="F9" s="47"/>
      <c r="H9" s="24"/>
      <c r="I9" s="23"/>
    </row>
    <row r="10" spans="1:9" ht="28.35" customHeight="1" x14ac:dyDescent="0.35">
      <c r="A10" s="43"/>
      <c r="B10" s="43"/>
      <c r="C10" s="43"/>
      <c r="D10" s="43"/>
      <c r="E10" s="43"/>
      <c r="F10" s="43"/>
      <c r="H10" s="24"/>
      <c r="I10" s="23"/>
    </row>
    <row r="11" spans="1:9" ht="28.35" customHeight="1" x14ac:dyDescent="0.35">
      <c r="A11" s="43"/>
      <c r="B11" s="43"/>
      <c r="C11" s="43"/>
      <c r="D11" s="43"/>
      <c r="E11" s="43"/>
      <c r="F11" s="43"/>
      <c r="H11" s="24"/>
      <c r="I11" s="23"/>
    </row>
    <row r="12" spans="1:9" ht="28.35" customHeight="1" x14ac:dyDescent="0.35">
      <c r="A12" s="43"/>
      <c r="B12" s="43"/>
      <c r="C12" s="43"/>
      <c r="D12" s="43"/>
      <c r="E12" s="43"/>
      <c r="F12" s="43"/>
      <c r="H12" s="24"/>
      <c r="I12" s="23"/>
    </row>
    <row r="13" spans="1:9" ht="28.35" customHeight="1" x14ac:dyDescent="0.35">
      <c r="A13" s="43"/>
      <c r="B13" s="43"/>
      <c r="C13" s="43"/>
      <c r="D13" s="43"/>
      <c r="E13" s="43"/>
      <c r="F13" s="43"/>
      <c r="H13" s="24"/>
      <c r="I13" s="23"/>
    </row>
    <row r="14" spans="1:9" ht="28.35" customHeight="1" x14ac:dyDescent="0.35">
      <c r="A14" s="43"/>
      <c r="B14" s="43"/>
      <c r="C14" s="43"/>
      <c r="D14" s="43"/>
      <c r="E14" s="43"/>
      <c r="F14" s="43"/>
      <c r="H14" s="24"/>
      <c r="I14" s="23"/>
    </row>
    <row r="15" spans="1:9" ht="28.35" customHeight="1" x14ac:dyDescent="0.35">
      <c r="A15" s="43"/>
      <c r="B15" s="43"/>
      <c r="C15" s="43"/>
      <c r="D15" s="43"/>
      <c r="E15" s="43"/>
      <c r="F15" s="43"/>
      <c r="H15" s="24"/>
      <c r="I15" s="23"/>
    </row>
    <row r="16" spans="1:9" ht="18.75" x14ac:dyDescent="0.25">
      <c r="A16" s="45" t="s">
        <v>42</v>
      </c>
      <c r="B16" s="45"/>
      <c r="C16" s="45"/>
      <c r="D16" s="45"/>
      <c r="E16" s="45"/>
      <c r="F16" s="45"/>
      <c r="H16" s="21"/>
      <c r="I16" s="21"/>
    </row>
    <row r="17" spans="1:9" ht="18.75" x14ac:dyDescent="0.25">
      <c r="A17" s="46"/>
      <c r="B17" s="46"/>
      <c r="C17" s="46"/>
      <c r="D17" s="46"/>
      <c r="E17" s="46"/>
      <c r="F17" s="46"/>
      <c r="H17" s="21"/>
      <c r="I17" s="21"/>
    </row>
    <row r="18" spans="1:9" ht="28.35" customHeight="1" x14ac:dyDescent="0.3">
      <c r="A18" s="47"/>
      <c r="B18" s="47"/>
      <c r="C18" s="47"/>
      <c r="D18" s="47"/>
      <c r="E18" s="47"/>
      <c r="F18" s="47"/>
      <c r="H18" s="24"/>
      <c r="I18" s="20"/>
    </row>
    <row r="19" spans="1:9" ht="28.35" customHeight="1" x14ac:dyDescent="0.35">
      <c r="A19" s="43"/>
      <c r="B19" s="43"/>
      <c r="C19" s="43"/>
      <c r="D19" s="43"/>
      <c r="E19" s="43"/>
      <c r="F19" s="43"/>
      <c r="H19" s="24"/>
      <c r="I19" s="20"/>
    </row>
    <row r="20" spans="1:9" ht="28.35" customHeight="1" x14ac:dyDescent="0.35">
      <c r="A20" s="43"/>
      <c r="B20" s="43"/>
      <c r="C20" s="43"/>
      <c r="D20" s="43"/>
      <c r="E20" s="43"/>
      <c r="F20" s="43"/>
      <c r="H20" s="24"/>
      <c r="I20" s="20"/>
    </row>
    <row r="21" spans="1:9" ht="28.35" customHeight="1" x14ac:dyDescent="0.35">
      <c r="A21" s="43"/>
      <c r="B21" s="43"/>
      <c r="C21" s="43"/>
      <c r="D21" s="43"/>
      <c r="E21" s="43"/>
      <c r="F21" s="43"/>
      <c r="H21" s="24"/>
      <c r="I21" s="20"/>
    </row>
    <row r="22" spans="1:9" x14ac:dyDescent="0.25">
      <c r="A22" s="18"/>
      <c r="B22" s="18"/>
      <c r="C22" s="18"/>
      <c r="D22" s="18"/>
      <c r="E22" s="18"/>
      <c r="F22" s="18"/>
      <c r="G22" s="18"/>
      <c r="H22" s="22"/>
      <c r="I22" s="22"/>
    </row>
    <row r="23" spans="1:9" x14ac:dyDescent="0.25">
      <c r="A23" s="18"/>
      <c r="B23" s="18"/>
      <c r="C23" s="18"/>
      <c r="D23" s="41" t="s">
        <v>43</v>
      </c>
      <c r="E23" s="41"/>
      <c r="F23" s="41"/>
      <c r="G23" s="41"/>
      <c r="H23" s="44">
        <f>SUM(H6:H15)+SUM(H18:H21)</f>
        <v>0</v>
      </c>
      <c r="I23" s="44">
        <f>SUM(I6:I15)</f>
        <v>0</v>
      </c>
    </row>
    <row r="24" spans="1:9" ht="15.75" thickBot="1" x14ac:dyDescent="0.3">
      <c r="A24" s="18"/>
      <c r="B24" s="18"/>
      <c r="C24" s="18"/>
      <c r="D24" s="41"/>
      <c r="E24" s="41"/>
      <c r="F24" s="41"/>
      <c r="G24" s="41"/>
      <c r="H24" s="44"/>
      <c r="I24" s="44"/>
    </row>
    <row r="25" spans="1:9" x14ac:dyDescent="0.25">
      <c r="A25" s="18"/>
      <c r="B25" s="18"/>
      <c r="C25" s="18"/>
      <c r="D25" s="41" t="s">
        <v>44</v>
      </c>
      <c r="E25" s="41"/>
      <c r="F25" s="41"/>
      <c r="G25" s="41"/>
      <c r="H25" s="63">
        <f>IF(I23&gt;0,H23/I23,0)</f>
        <v>0</v>
      </c>
      <c r="I25" s="22"/>
    </row>
    <row r="26" spans="1:9" ht="15.75" thickBot="1" x14ac:dyDescent="0.3">
      <c r="A26" s="18"/>
      <c r="B26" s="18"/>
      <c r="C26" s="18"/>
      <c r="D26" s="41"/>
      <c r="E26" s="41"/>
      <c r="F26" s="41"/>
      <c r="G26" s="41"/>
      <c r="H26" s="64"/>
      <c r="I26" s="22"/>
    </row>
    <row r="27" spans="1:9" x14ac:dyDescent="0.25">
      <c r="A27" s="18"/>
      <c r="B27" s="18"/>
      <c r="C27" s="18"/>
      <c r="D27" s="19"/>
      <c r="E27" s="18"/>
      <c r="F27" s="18"/>
      <c r="G27" s="18"/>
    </row>
  </sheetData>
  <mergeCells count="26">
    <mergeCell ref="A11:F11"/>
    <mergeCell ref="B1:C3"/>
    <mergeCell ref="D1:F3"/>
    <mergeCell ref="H2:I3"/>
    <mergeCell ref="A4:F5"/>
    <mergeCell ref="H4:H5"/>
    <mergeCell ref="I4:I5"/>
    <mergeCell ref="A6:F6"/>
    <mergeCell ref="A7:F7"/>
    <mergeCell ref="A8:F8"/>
    <mergeCell ref="A9:F9"/>
    <mergeCell ref="A10:F10"/>
    <mergeCell ref="I23:I24"/>
    <mergeCell ref="A12:F12"/>
    <mergeCell ref="A13:F13"/>
    <mergeCell ref="A14:F14"/>
    <mergeCell ref="A15:F15"/>
    <mergeCell ref="A16:F17"/>
    <mergeCell ref="A18:F18"/>
    <mergeCell ref="D25:G26"/>
    <mergeCell ref="H25:H26"/>
    <mergeCell ref="A19:F19"/>
    <mergeCell ref="A20:F20"/>
    <mergeCell ref="A21:F21"/>
    <mergeCell ref="D23:G24"/>
    <mergeCell ref="H23:H24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I27"/>
  <sheetViews>
    <sheetView view="pageLayout" zoomScaleNormal="100" workbookViewId="0">
      <selection activeCell="R18" sqref="R18"/>
    </sheetView>
  </sheetViews>
  <sheetFormatPr defaultRowHeight="15" x14ac:dyDescent="0.25"/>
  <cols>
    <col min="1" max="2" width="9" style="17"/>
    <col min="3" max="3" width="11.125" style="17" customWidth="1"/>
    <col min="4" max="5" width="9" style="17"/>
    <col min="6" max="6" width="8.375" style="17" customWidth="1"/>
    <col min="7" max="7" width="4.25" style="17" customWidth="1"/>
    <col min="8" max="16384" width="9" style="17"/>
  </cols>
  <sheetData>
    <row r="1" spans="1:9" ht="15" customHeight="1" x14ac:dyDescent="0.25">
      <c r="A1" s="38">
        <f>H25</f>
        <v>0</v>
      </c>
      <c r="B1" s="48" t="s">
        <v>45</v>
      </c>
      <c r="C1" s="49"/>
      <c r="D1" s="54" t="s">
        <v>83</v>
      </c>
      <c r="E1" s="54"/>
      <c r="F1" s="55"/>
    </row>
    <row r="2" spans="1:9" ht="15.75" customHeight="1" x14ac:dyDescent="0.25">
      <c r="B2" s="50"/>
      <c r="C2" s="51"/>
      <c r="D2" s="56"/>
      <c r="E2" s="56"/>
      <c r="F2" s="57"/>
      <c r="H2" s="60" t="s">
        <v>38</v>
      </c>
      <c r="I2" s="60"/>
    </row>
    <row r="3" spans="1:9" ht="16.5" customHeight="1" thickBot="1" x14ac:dyDescent="0.3">
      <c r="B3" s="52"/>
      <c r="C3" s="53"/>
      <c r="D3" s="58"/>
      <c r="E3" s="58"/>
      <c r="F3" s="59"/>
      <c r="H3" s="60"/>
      <c r="I3" s="60"/>
    </row>
    <row r="4" spans="1:9" x14ac:dyDescent="0.25">
      <c r="A4" s="61" t="s">
        <v>39</v>
      </c>
      <c r="B4" s="61"/>
      <c r="C4" s="61"/>
      <c r="D4" s="61"/>
      <c r="E4" s="61"/>
      <c r="F4" s="61"/>
      <c r="H4" s="62" t="s">
        <v>40</v>
      </c>
      <c r="I4" s="62" t="s">
        <v>41</v>
      </c>
    </row>
    <row r="5" spans="1:9" x14ac:dyDescent="0.25">
      <c r="A5" s="46"/>
      <c r="B5" s="46"/>
      <c r="C5" s="46"/>
      <c r="D5" s="46"/>
      <c r="E5" s="46"/>
      <c r="F5" s="46"/>
      <c r="H5" s="62"/>
      <c r="I5" s="62"/>
    </row>
    <row r="6" spans="1:9" ht="28.35" customHeight="1" x14ac:dyDescent="0.25">
      <c r="A6" s="66"/>
      <c r="B6" s="66"/>
      <c r="C6" s="66"/>
      <c r="D6" s="66"/>
      <c r="E6" s="66"/>
      <c r="F6" s="66"/>
      <c r="H6" s="24"/>
      <c r="I6" s="23"/>
    </row>
    <row r="7" spans="1:9" ht="28.35" customHeight="1" x14ac:dyDescent="0.25">
      <c r="A7" s="66"/>
      <c r="B7" s="66"/>
      <c r="C7" s="66"/>
      <c r="D7" s="66"/>
      <c r="E7" s="66"/>
      <c r="F7" s="66"/>
      <c r="H7" s="24"/>
      <c r="I7" s="23"/>
    </row>
    <row r="8" spans="1:9" ht="28.35" customHeight="1" x14ac:dyDescent="0.25">
      <c r="A8" s="67"/>
      <c r="B8" s="67"/>
      <c r="C8" s="67"/>
      <c r="D8" s="67"/>
      <c r="E8" s="67"/>
      <c r="F8" s="67"/>
      <c r="H8" s="24"/>
      <c r="I8" s="23"/>
    </row>
    <row r="9" spans="1:9" ht="28.35" customHeight="1" x14ac:dyDescent="0.25">
      <c r="A9" s="66"/>
      <c r="B9" s="66"/>
      <c r="C9" s="66"/>
      <c r="D9" s="66"/>
      <c r="E9" s="66"/>
      <c r="F9" s="66"/>
      <c r="H9" s="24"/>
      <c r="I9" s="23"/>
    </row>
    <row r="10" spans="1:9" ht="28.35" customHeight="1" x14ac:dyDescent="0.35">
      <c r="A10" s="43"/>
      <c r="B10" s="43"/>
      <c r="C10" s="43"/>
      <c r="D10" s="43"/>
      <c r="E10" s="43"/>
      <c r="F10" s="43"/>
      <c r="H10" s="24"/>
      <c r="I10" s="23"/>
    </row>
    <row r="11" spans="1:9" ht="28.35" customHeight="1" x14ac:dyDescent="0.35">
      <c r="A11" s="43"/>
      <c r="B11" s="43"/>
      <c r="C11" s="43"/>
      <c r="D11" s="43"/>
      <c r="E11" s="43"/>
      <c r="F11" s="43"/>
      <c r="H11" s="24"/>
      <c r="I11" s="23"/>
    </row>
    <row r="12" spans="1:9" ht="28.35" customHeight="1" x14ac:dyDescent="0.35">
      <c r="A12" s="43"/>
      <c r="B12" s="43"/>
      <c r="C12" s="43"/>
      <c r="D12" s="43"/>
      <c r="E12" s="43"/>
      <c r="F12" s="43"/>
      <c r="H12" s="24"/>
      <c r="I12" s="23"/>
    </row>
    <row r="13" spans="1:9" ht="28.35" customHeight="1" x14ac:dyDescent="0.35">
      <c r="A13" s="43"/>
      <c r="B13" s="43"/>
      <c r="C13" s="43"/>
      <c r="D13" s="43"/>
      <c r="E13" s="43"/>
      <c r="F13" s="43"/>
      <c r="H13" s="24"/>
      <c r="I13" s="23"/>
    </row>
    <row r="14" spans="1:9" ht="28.35" customHeight="1" x14ac:dyDescent="0.35">
      <c r="A14" s="43"/>
      <c r="B14" s="43"/>
      <c r="C14" s="43"/>
      <c r="D14" s="43"/>
      <c r="E14" s="43"/>
      <c r="F14" s="43"/>
      <c r="H14" s="24"/>
      <c r="I14" s="23"/>
    </row>
    <row r="15" spans="1:9" ht="28.35" customHeight="1" x14ac:dyDescent="0.35">
      <c r="A15" s="43"/>
      <c r="B15" s="43"/>
      <c r="C15" s="43"/>
      <c r="D15" s="43"/>
      <c r="E15" s="43"/>
      <c r="F15" s="43"/>
      <c r="H15" s="24"/>
      <c r="I15" s="23"/>
    </row>
    <row r="16" spans="1:9" ht="18.75" x14ac:dyDescent="0.25">
      <c r="A16" s="45" t="s">
        <v>42</v>
      </c>
      <c r="B16" s="45"/>
      <c r="C16" s="45"/>
      <c r="D16" s="45"/>
      <c r="E16" s="45"/>
      <c r="F16" s="45"/>
      <c r="H16" s="21"/>
      <c r="I16" s="21"/>
    </row>
    <row r="17" spans="1:9" ht="18.75" x14ac:dyDescent="0.25">
      <c r="A17" s="46"/>
      <c r="B17" s="46"/>
      <c r="C17" s="46"/>
      <c r="D17" s="46"/>
      <c r="E17" s="46"/>
      <c r="F17" s="46"/>
      <c r="H17" s="21"/>
      <c r="I17" s="21"/>
    </row>
    <row r="18" spans="1:9" ht="28.35" customHeight="1" x14ac:dyDescent="0.25">
      <c r="A18" s="66"/>
      <c r="B18" s="66"/>
      <c r="C18" s="66"/>
      <c r="D18" s="66"/>
      <c r="E18" s="66"/>
      <c r="F18" s="66"/>
      <c r="H18" s="24"/>
      <c r="I18" s="20"/>
    </row>
    <row r="19" spans="1:9" ht="28.35" customHeight="1" x14ac:dyDescent="0.35">
      <c r="A19" s="43"/>
      <c r="B19" s="43"/>
      <c r="C19" s="43"/>
      <c r="D19" s="43"/>
      <c r="E19" s="43"/>
      <c r="F19" s="43"/>
      <c r="H19" s="24"/>
      <c r="I19" s="20"/>
    </row>
    <row r="20" spans="1:9" ht="28.35" customHeight="1" x14ac:dyDescent="0.35">
      <c r="A20" s="43"/>
      <c r="B20" s="43"/>
      <c r="C20" s="43"/>
      <c r="D20" s="43"/>
      <c r="E20" s="43"/>
      <c r="F20" s="43"/>
      <c r="H20" s="24"/>
      <c r="I20" s="20"/>
    </row>
    <row r="21" spans="1:9" ht="28.35" customHeight="1" x14ac:dyDescent="0.35">
      <c r="A21" s="43"/>
      <c r="B21" s="43"/>
      <c r="C21" s="43"/>
      <c r="D21" s="43"/>
      <c r="E21" s="43"/>
      <c r="F21" s="43"/>
      <c r="H21" s="24"/>
      <c r="I21" s="20"/>
    </row>
    <row r="22" spans="1:9" x14ac:dyDescent="0.25">
      <c r="A22" s="18"/>
      <c r="B22" s="18"/>
      <c r="C22" s="18"/>
      <c r="D22" s="18"/>
      <c r="E22" s="18"/>
      <c r="F22" s="18"/>
      <c r="G22" s="18"/>
      <c r="H22" s="22"/>
      <c r="I22" s="22"/>
    </row>
    <row r="23" spans="1:9" x14ac:dyDescent="0.25">
      <c r="A23" s="18"/>
      <c r="B23" s="18"/>
      <c r="C23" s="18"/>
      <c r="D23" s="41" t="s">
        <v>43</v>
      </c>
      <c r="E23" s="41"/>
      <c r="F23" s="41"/>
      <c r="G23" s="41"/>
      <c r="H23" s="44">
        <f>SUM(H6:H15)+SUM(H18:H21)</f>
        <v>0</v>
      </c>
      <c r="I23" s="44">
        <f>SUM(I6:I15)</f>
        <v>0</v>
      </c>
    </row>
    <row r="24" spans="1:9" ht="15.75" thickBot="1" x14ac:dyDescent="0.3">
      <c r="A24" s="18"/>
      <c r="B24" s="18"/>
      <c r="C24" s="18"/>
      <c r="D24" s="41"/>
      <c r="E24" s="41"/>
      <c r="F24" s="41"/>
      <c r="G24" s="41"/>
      <c r="H24" s="44"/>
      <c r="I24" s="44"/>
    </row>
    <row r="25" spans="1:9" x14ac:dyDescent="0.25">
      <c r="A25" s="18"/>
      <c r="B25" s="18"/>
      <c r="C25" s="18"/>
      <c r="D25" s="41" t="s">
        <v>44</v>
      </c>
      <c r="E25" s="41"/>
      <c r="F25" s="41"/>
      <c r="G25" s="41"/>
      <c r="H25" s="63">
        <f>IF(I23&gt;0,H23/I23,0)</f>
        <v>0</v>
      </c>
      <c r="I25" s="22"/>
    </row>
    <row r="26" spans="1:9" ht="15.75" thickBot="1" x14ac:dyDescent="0.3">
      <c r="A26" s="18"/>
      <c r="B26" s="18"/>
      <c r="C26" s="18"/>
      <c r="D26" s="41"/>
      <c r="E26" s="41"/>
      <c r="F26" s="41"/>
      <c r="G26" s="41"/>
      <c r="H26" s="64"/>
      <c r="I26" s="22"/>
    </row>
    <row r="27" spans="1:9" x14ac:dyDescent="0.25">
      <c r="A27" s="18"/>
      <c r="B27" s="18"/>
      <c r="C27" s="18"/>
      <c r="D27" s="19"/>
      <c r="E27" s="18"/>
      <c r="F27" s="18"/>
      <c r="G27" s="18"/>
    </row>
  </sheetData>
  <mergeCells count="26">
    <mergeCell ref="A11:F11"/>
    <mergeCell ref="B1:C3"/>
    <mergeCell ref="D1:F3"/>
    <mergeCell ref="H2:I3"/>
    <mergeCell ref="A4:F5"/>
    <mergeCell ref="H4:H5"/>
    <mergeCell ref="I4:I5"/>
    <mergeCell ref="A6:F6"/>
    <mergeCell ref="A7:F7"/>
    <mergeCell ref="A8:F8"/>
    <mergeCell ref="A9:F9"/>
    <mergeCell ref="A10:F10"/>
    <mergeCell ref="I23:I24"/>
    <mergeCell ref="A12:F12"/>
    <mergeCell ref="A13:F13"/>
    <mergeCell ref="A14:F14"/>
    <mergeCell ref="A15:F15"/>
    <mergeCell ref="A16:F17"/>
    <mergeCell ref="A18:F18"/>
    <mergeCell ref="D25:G26"/>
    <mergeCell ref="H25:H26"/>
    <mergeCell ref="A19:F19"/>
    <mergeCell ref="A20:F20"/>
    <mergeCell ref="A21:F21"/>
    <mergeCell ref="D23:G24"/>
    <mergeCell ref="H23:H24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2:M10"/>
  <sheetViews>
    <sheetView workbookViewId="0">
      <selection activeCell="G33" sqref="G33"/>
    </sheetView>
  </sheetViews>
  <sheetFormatPr defaultColWidth="11" defaultRowHeight="15.75" x14ac:dyDescent="0.25"/>
  <cols>
    <col min="1" max="1" width="17.375" customWidth="1"/>
    <col min="2" max="2" width="9.875" customWidth="1"/>
    <col min="3" max="3" width="10.25" customWidth="1"/>
    <col min="4" max="4" width="41.5" customWidth="1"/>
    <col min="13" max="13" width="13" customWidth="1"/>
  </cols>
  <sheetData>
    <row r="2" spans="1:13" ht="21" x14ac:dyDescent="0.35">
      <c r="A2" s="4" t="s">
        <v>47</v>
      </c>
      <c r="B2" s="4" t="s">
        <v>48</v>
      </c>
      <c r="C2" s="4" t="s">
        <v>49</v>
      </c>
      <c r="D2" s="1" t="s">
        <v>6</v>
      </c>
      <c r="E2" s="4" t="s">
        <v>50</v>
      </c>
      <c r="F2" s="4" t="s">
        <v>51</v>
      </c>
      <c r="G2" s="4" t="s">
        <v>52</v>
      </c>
      <c r="H2" s="4" t="s">
        <v>53</v>
      </c>
      <c r="I2" s="4" t="s">
        <v>73</v>
      </c>
      <c r="J2" s="4" t="s">
        <v>74</v>
      </c>
      <c r="K2" s="4" t="s">
        <v>76</v>
      </c>
      <c r="L2" s="4"/>
      <c r="M2" s="4" t="s">
        <v>77</v>
      </c>
    </row>
    <row r="3" spans="1:13" ht="21" x14ac:dyDescent="0.35">
      <c r="D3" s="25" t="s">
        <v>84</v>
      </c>
      <c r="E3" s="26">
        <f>IF(SUM(E4:E7)&gt;0,AVERAGE(E4:E7),0)</f>
        <v>0.67</v>
      </c>
      <c r="F3" s="26">
        <f>IF(SUM(F4:F7)&gt;0,AVERAGE(F4:F7),0)</f>
        <v>0.62250000000000005</v>
      </c>
      <c r="G3" s="26">
        <f>IF(SUM(G4:G7)&gt;0,AVERAGE(G4:G7),0)</f>
        <v>0.51750000000000007</v>
      </c>
      <c r="H3" s="26">
        <f>IF(SUM(H4:H7)&gt;0,AVERAGE(H4:H7),0)</f>
        <v>0.82250000000000001</v>
      </c>
      <c r="I3" s="26">
        <f>IF(SUM(I4:I7)&gt;0,AVERAGE(I4:I7),0)</f>
        <v>0.40500000000000003</v>
      </c>
      <c r="J3" s="26">
        <f>IF(SUM(J4:J7)&gt;0,AVERAGE(J4:J7),0)</f>
        <v>0.6</v>
      </c>
      <c r="K3" s="26">
        <f>IF(SUM(K4:K7)&gt;0,AVERAGE(K4:K7),0)</f>
        <v>0.76999999999999991</v>
      </c>
      <c r="L3" s="26">
        <f>IF(SUM(L4:L9)&gt;0,AVERAGE(L4:L9),0)</f>
        <v>0.68166666666666664</v>
      </c>
      <c r="M3" s="26">
        <f>IF(SUM(M4:M9)&gt;0,AVERAGE(M4:M9),0)</f>
        <v>0</v>
      </c>
    </row>
    <row r="4" spans="1:13" ht="21" x14ac:dyDescent="0.35">
      <c r="C4" s="3"/>
      <c r="D4" s="2" t="s">
        <v>79</v>
      </c>
      <c r="E4" s="27">
        <v>0.85</v>
      </c>
      <c r="F4" s="27">
        <v>0.37</v>
      </c>
      <c r="G4" s="27">
        <v>0.57999999999999996</v>
      </c>
      <c r="H4" s="27">
        <v>0.62</v>
      </c>
      <c r="I4" s="27">
        <v>0.27</v>
      </c>
      <c r="J4" s="27">
        <v>0.5</v>
      </c>
      <c r="K4" s="27">
        <v>1</v>
      </c>
      <c r="L4" s="27">
        <v>0.6</v>
      </c>
      <c r="M4" s="27">
        <f>'PI-9 Objectives (Results)'!A1</f>
        <v>0</v>
      </c>
    </row>
    <row r="5" spans="1:13" ht="21" x14ac:dyDescent="0.35">
      <c r="B5" t="s">
        <v>54</v>
      </c>
      <c r="C5" s="3" t="s">
        <v>55</v>
      </c>
      <c r="D5" s="2" t="s">
        <v>78</v>
      </c>
      <c r="E5" s="27">
        <v>0.78</v>
      </c>
      <c r="F5" s="27">
        <v>0.75</v>
      </c>
      <c r="G5" s="27">
        <v>0.44</v>
      </c>
      <c r="H5" s="27">
        <v>1</v>
      </c>
      <c r="I5" s="27">
        <v>0.12</v>
      </c>
      <c r="J5" s="27">
        <v>0.75</v>
      </c>
      <c r="K5" s="27">
        <v>0.61</v>
      </c>
      <c r="L5" s="27">
        <v>0.86</v>
      </c>
      <c r="M5" s="27">
        <f>'PI-9 Objectives (MWP)'!A1</f>
        <v>0</v>
      </c>
    </row>
    <row r="6" spans="1:13" ht="21" x14ac:dyDescent="0.35">
      <c r="C6" s="3"/>
      <c r="D6" s="2" t="s">
        <v>80</v>
      </c>
      <c r="E6" s="27">
        <v>0.7</v>
      </c>
      <c r="F6" s="27">
        <v>0.6</v>
      </c>
      <c r="G6" s="27">
        <v>0.66</v>
      </c>
      <c r="H6" s="27">
        <v>0.76</v>
      </c>
      <c r="I6" s="27">
        <v>0.44</v>
      </c>
      <c r="J6" s="27">
        <v>0.55000000000000004</v>
      </c>
      <c r="K6" s="27">
        <v>0.7</v>
      </c>
      <c r="L6" s="27">
        <v>0.5</v>
      </c>
      <c r="M6" s="27">
        <f>'PI-9 Objectives (Pre-Awards)'!A1</f>
        <v>0</v>
      </c>
    </row>
    <row r="7" spans="1:13" ht="21" x14ac:dyDescent="0.35">
      <c r="C7" s="3"/>
      <c r="D7" s="2" t="s">
        <v>81</v>
      </c>
      <c r="E7" s="27">
        <v>0.35</v>
      </c>
      <c r="F7" s="27">
        <v>0.77</v>
      </c>
      <c r="G7" s="27">
        <v>0.39</v>
      </c>
      <c r="H7" s="27">
        <v>0.91</v>
      </c>
      <c r="I7" s="27">
        <v>0.79</v>
      </c>
      <c r="J7" s="27">
        <v>0.6</v>
      </c>
      <c r="K7" s="27">
        <v>0.77</v>
      </c>
      <c r="L7" s="27">
        <v>0.82</v>
      </c>
      <c r="M7" s="27">
        <f>'PI-9 Objectives (Post-Awards)'!A1</f>
        <v>0</v>
      </c>
    </row>
    <row r="8" spans="1:13" ht="21" x14ac:dyDescent="0.35">
      <c r="C8" s="3"/>
      <c r="D8" s="2" t="s">
        <v>82</v>
      </c>
      <c r="E8" s="27">
        <v>0.45</v>
      </c>
      <c r="F8" s="27">
        <v>0.75</v>
      </c>
      <c r="G8" s="27">
        <v>1.07</v>
      </c>
      <c r="H8" s="27">
        <v>1.26</v>
      </c>
      <c r="I8" s="27">
        <v>0.57999999999999996</v>
      </c>
      <c r="J8" s="27">
        <v>0.72</v>
      </c>
      <c r="K8" s="27">
        <v>0.44</v>
      </c>
      <c r="L8" s="27">
        <v>0.68</v>
      </c>
      <c r="M8" s="27">
        <f>'PI-9 Objectives (IOP)'!A1</f>
        <v>0</v>
      </c>
    </row>
    <row r="9" spans="1:13" ht="21" x14ac:dyDescent="0.35">
      <c r="D9" s="2" t="s">
        <v>98</v>
      </c>
      <c r="E9" s="27">
        <v>0.6</v>
      </c>
      <c r="F9" s="27">
        <v>0.74</v>
      </c>
      <c r="G9" s="27">
        <v>0.65</v>
      </c>
      <c r="H9" s="27">
        <v>1.05</v>
      </c>
      <c r="I9" s="27">
        <v>0.75</v>
      </c>
      <c r="J9" s="27">
        <v>0.71</v>
      </c>
      <c r="K9" s="27">
        <v>0.25</v>
      </c>
      <c r="L9" s="27">
        <v>0.63</v>
      </c>
      <c r="M9" s="27">
        <f>'PI-9 Objectives (Portal)'!A1</f>
        <v>0</v>
      </c>
    </row>
    <row r="10" spans="1:13" ht="21" x14ac:dyDescent="0.35">
      <c r="D10" s="2"/>
      <c r="E10" s="32"/>
      <c r="F10" s="32"/>
      <c r="G10" s="32"/>
      <c r="H10" s="32"/>
      <c r="I10" s="32"/>
      <c r="J10" s="32"/>
      <c r="K10" s="32"/>
      <c r="L10" s="32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EC_Collab_DocumentLanguage xmlns="01fb76ba-f1d6-4c22-8aad-389d5f9739b1">EN</EC_Collab_DocumentLanguage>
    <_Status xmlns="http://schemas.microsoft.com/sharepoint/v3/fields">Not Started</_Status>
    <EC_Collab_Reference xmlns="01fb76ba-f1d6-4c22-8aad-389d5f9739b1" xsi:nil="true"/>
    <EC_Collab_Status xmlns="01fb76ba-f1d6-4c22-8aad-389d5f9739b1">Not Started</EC_Collab_Status>
    <_dlc_DocId xmlns="1ceba764-4fb5-4af4-9e5b-089663bda63a">OPSYS-1847287575-1230</_dlc_DocId>
    <_dlc_DocIdUrl xmlns="1ceba764-4fb5-4af4-9e5b-089663bda63a">
      <Url>https://myintracomm-collab.ec.europa.eu/projects/Opsys/_layouts/15/DocIdRedir.aspx?ID=OPSYS-1847287575-1230</Url>
      <Description>OPSYS-1847287575-1230</Description>
    </_dlc_DocIdUrl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EC Document" ma:contentTypeID="0x010100258AA79CEB83498886A3A0868112325000B815E5D5322DC248B537749FDF4EA55B" ma:contentTypeVersion="3" ma:contentTypeDescription="Create a new document in this library." ma:contentTypeScope="" ma:versionID="6dfd52e8a508f04eab458b183111d719">
  <xsd:schema xmlns:xsd="http://www.w3.org/2001/XMLSchema" xmlns:xs="http://www.w3.org/2001/XMLSchema" xmlns:p="http://schemas.microsoft.com/office/2006/metadata/properties" xmlns:ns2="http://schemas.microsoft.com/sharepoint/v3/fields" xmlns:ns3="01fb76ba-f1d6-4c22-8aad-389d5f9739b1" xmlns:ns4="1ceba764-4fb5-4af4-9e5b-089663bda63a" targetNamespace="http://schemas.microsoft.com/office/2006/metadata/properties" ma:root="true" ma:fieldsID="66f8dc29175755876586b2d25c6562b5" ns2:_="" ns3:_="" ns4:_="">
    <xsd:import namespace="http://schemas.microsoft.com/sharepoint/v3/fields"/>
    <xsd:import namespace="01fb76ba-f1d6-4c22-8aad-389d5f9739b1"/>
    <xsd:import namespace="1ceba764-4fb5-4af4-9e5b-089663bda63a"/>
    <xsd:element name="properties">
      <xsd:complexType>
        <xsd:sequence>
          <xsd:element name="documentManagement">
            <xsd:complexType>
              <xsd:all>
                <xsd:element ref="ns3:EC_Collab_Reference" minOccurs="0"/>
                <xsd:element ref="ns2:_Status" minOccurs="0"/>
                <xsd:element ref="ns3:EC_Collab_DocumentLanguage"/>
                <xsd:element ref="ns3:EC_Collab_Status"/>
                <xsd:element ref="ns4:_dlc_DocId" minOccurs="0"/>
                <xsd:element ref="ns4:_dlc_DocIdUrl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Status" ma:index="13" nillable="true" ma:displayName="Status" ma:default="Not Started" ma:hidden="true" ma:internalName="_Status">
      <xsd:simpleType>
        <xsd:union memberTypes="dms:Text">
          <xsd:simpleType>
            <xsd:restriction base="dms:Choice">
              <xsd:enumeration value="Not Started"/>
              <xsd:enumeration value="Draft"/>
              <xsd:enumeration value="Reviewed"/>
              <xsd:enumeration value="Scheduled"/>
              <xsd:enumeration value="Published"/>
              <xsd:enumeration value="Final"/>
              <xsd:enumeration value="Expired"/>
            </xsd:restriction>
          </xsd:simpleType>
        </xsd:un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fb76ba-f1d6-4c22-8aad-389d5f9739b1" elementFormDefault="qualified">
    <xsd:import namespace="http://schemas.microsoft.com/office/2006/documentManagement/types"/>
    <xsd:import namespace="http://schemas.microsoft.com/office/infopath/2007/PartnerControls"/>
    <xsd:element name="EC_Collab_Reference" ma:index="12" nillable="true" ma:displayName="Reference" ma:internalName="EC_Collab_Reference">
      <xsd:simpleType>
        <xsd:restriction base="dms:Text"/>
      </xsd:simpleType>
    </xsd:element>
    <xsd:element name="EC_Collab_DocumentLanguage" ma:index="14" ma:displayName="Language" ma:default="EN" ma:internalName="EC_Collab_DocumentLanguage">
      <xsd:simpleType>
        <xsd:restriction base="dms:Choice">
          <xsd:enumeration value="BG"/>
          <xsd:enumeration value="ES"/>
          <xsd:enumeration value="CS"/>
          <xsd:enumeration value="DA"/>
          <xsd:enumeration value="DE"/>
          <xsd:enumeration value="ET"/>
          <xsd:enumeration value="EL"/>
          <xsd:enumeration value="EN"/>
          <xsd:enumeration value="FR"/>
          <xsd:enumeration value="GA"/>
          <xsd:enumeration value="IT"/>
          <xsd:enumeration value="LT"/>
          <xsd:enumeration value="LV"/>
          <xsd:enumeration value="HU"/>
          <xsd:enumeration value="MT"/>
          <xsd:enumeration value="NL"/>
          <xsd:enumeration value="PL"/>
          <xsd:enumeration value="PT"/>
          <xsd:enumeration value="RO"/>
          <xsd:enumeration value="SK"/>
          <xsd:enumeration value="SL"/>
          <xsd:enumeration value="FI"/>
          <xsd:enumeration value="SV"/>
          <xsd:enumeration value="HR"/>
          <xsd:enumeration value="MK"/>
          <xsd:enumeration value="TR"/>
          <xsd:enumeration value="EU"/>
          <xsd:enumeration value="CA"/>
          <xsd:enumeration value="GL"/>
          <xsd:enumeration value="AB"/>
          <xsd:enumeration value="AA"/>
          <xsd:enumeration value="AF"/>
          <xsd:enumeration value="AK"/>
          <xsd:enumeration value="SQ"/>
          <xsd:enumeration value="AM"/>
          <xsd:enumeration value="AR"/>
          <xsd:enumeration value="AN"/>
          <xsd:enumeration value="HY"/>
          <xsd:enumeration value="AS"/>
          <xsd:enumeration value="AV"/>
          <xsd:enumeration value="AE"/>
          <xsd:enumeration value="AY"/>
          <xsd:enumeration value="AZ"/>
          <xsd:enumeration value="BM"/>
          <xsd:enumeration value="BA"/>
          <xsd:enumeration value="BE"/>
          <xsd:enumeration value="BN"/>
          <xsd:enumeration value="BH"/>
          <xsd:enumeration value="BI"/>
          <xsd:enumeration value="NB"/>
          <xsd:enumeration value="BS"/>
          <xsd:enumeration value="BR"/>
          <xsd:enumeration value="MY"/>
          <xsd:enumeration value="KM"/>
          <xsd:enumeration value="CH"/>
          <xsd:enumeration value="CE"/>
          <xsd:enumeration value="NY"/>
          <xsd:enumeration value="ZH"/>
          <xsd:enumeration value="CU"/>
          <xsd:enumeration value="CV"/>
          <xsd:enumeration value="KW"/>
          <xsd:enumeration value="CO"/>
          <xsd:enumeration value="CR"/>
          <xsd:enumeration value="DV"/>
          <xsd:enumeration value="DZ"/>
          <xsd:enumeration value="EO"/>
          <xsd:enumeration value="EE"/>
          <xsd:enumeration value="FO"/>
          <xsd:enumeration value="FJ"/>
          <xsd:enumeration value="FF"/>
          <xsd:enumeration value="GD"/>
          <xsd:enumeration value="LG"/>
          <xsd:enumeration value="KA"/>
          <xsd:enumeration value="GN"/>
          <xsd:enumeration value="GU"/>
          <xsd:enumeration value="HT"/>
          <xsd:enumeration value="HA"/>
          <xsd:enumeration value="HE"/>
          <xsd:enumeration value="HZ"/>
          <xsd:enumeration value="HI"/>
          <xsd:enumeration value="HO"/>
          <xsd:enumeration value="IS"/>
          <xsd:enumeration value="IO"/>
          <xsd:enumeration value="IG"/>
          <xsd:enumeration value="ID"/>
          <xsd:enumeration value="IA"/>
          <xsd:enumeration value="IE"/>
          <xsd:enumeration value="IU"/>
          <xsd:enumeration value="IK"/>
          <xsd:enumeration value="JA"/>
          <xsd:enumeration value="JV"/>
          <xsd:enumeration value="KL"/>
          <xsd:enumeration value="KN"/>
          <xsd:enumeration value="KR"/>
          <xsd:enumeration value="KS"/>
          <xsd:enumeration value="KK"/>
          <xsd:enumeration value="KI"/>
          <xsd:enumeration value="RW"/>
          <xsd:enumeration value="KY"/>
          <xsd:enumeration value="KV"/>
          <xsd:enumeration value="KG"/>
          <xsd:enumeration value="KO"/>
          <xsd:enumeration value="KJ"/>
          <xsd:enumeration value="KU"/>
          <xsd:enumeration value="LO"/>
          <xsd:enumeration value="LA"/>
          <xsd:enumeration value="LI"/>
          <xsd:enumeration value="LN"/>
          <xsd:enumeration value="LU"/>
          <xsd:enumeration value="LB"/>
          <xsd:enumeration value="MG"/>
          <xsd:enumeration value="MS"/>
          <xsd:enumeration value="ML"/>
          <xsd:enumeration value="GV"/>
          <xsd:enumeration value="MI"/>
          <xsd:enumeration value="MR"/>
          <xsd:enumeration value="MH"/>
          <xsd:enumeration value="MN"/>
          <xsd:enumeration value="NA"/>
          <xsd:enumeration value="NV"/>
          <xsd:enumeration value="ND"/>
          <xsd:enumeration value="NR"/>
          <xsd:enumeration value="NG"/>
          <xsd:enumeration value="NE"/>
          <xsd:enumeration value="SE"/>
          <xsd:enumeration value="NO"/>
          <xsd:enumeration value="NN"/>
          <xsd:enumeration value="OC"/>
          <xsd:enumeration value="OJ"/>
          <xsd:enumeration value="OR"/>
          <xsd:enumeration value="OM"/>
          <xsd:enumeration value="OS"/>
          <xsd:enumeration value="PI"/>
          <xsd:enumeration value="PA"/>
          <xsd:enumeration value="FA"/>
          <xsd:enumeration value="PS"/>
          <xsd:enumeration value="QU"/>
          <xsd:enumeration value="RM"/>
          <xsd:enumeration value="RN"/>
          <xsd:enumeration value="RU"/>
          <xsd:enumeration value="SM"/>
          <xsd:enumeration value="SG"/>
          <xsd:enumeration value="SA"/>
          <xsd:enumeration value="SC"/>
          <xsd:enumeration value="SR"/>
          <xsd:enumeration value="SN"/>
          <xsd:enumeration value="II"/>
          <xsd:enumeration value="SD"/>
          <xsd:enumeration value="SI"/>
          <xsd:enumeration value="SO"/>
          <xsd:enumeration value="ST"/>
          <xsd:enumeration value="SU"/>
          <xsd:enumeration value="SW"/>
          <xsd:enumeration value="SS"/>
          <xsd:enumeration value="TL"/>
          <xsd:enumeration value="TY"/>
          <xsd:enumeration value="TG"/>
          <xsd:enumeration value="TA"/>
          <xsd:enumeration value="TT"/>
          <xsd:enumeration value="TE"/>
          <xsd:enumeration value="TH"/>
          <xsd:enumeration value="BO"/>
          <xsd:enumeration value="TI"/>
          <xsd:enumeration value="TO"/>
          <xsd:enumeration value="TS"/>
          <xsd:enumeration value="TN"/>
          <xsd:enumeration value="TK"/>
          <xsd:enumeration value="TW"/>
          <xsd:enumeration value="UG"/>
          <xsd:enumeration value="UK"/>
          <xsd:enumeration value="UR"/>
          <xsd:enumeration value="UZ"/>
          <xsd:enumeration value="VE"/>
          <xsd:enumeration value="VI"/>
          <xsd:enumeration value="VO"/>
          <xsd:enumeration value="WA"/>
          <xsd:enumeration value="CY"/>
          <xsd:enumeration value="FY"/>
          <xsd:enumeration value="WO"/>
          <xsd:enumeration value="XH"/>
          <xsd:enumeration value="YI"/>
          <xsd:enumeration value="YO"/>
          <xsd:enumeration value="ZA"/>
          <xsd:enumeration value="ZU"/>
        </xsd:restriction>
      </xsd:simpleType>
    </xsd:element>
    <xsd:element name="EC_Collab_Status" ma:index="15" ma:displayName="EC Status" ma:default="Not Started" ma:internalName="EC_Collab_Status">
      <xsd:simpleType>
        <xsd:restriction base="dms:Choice">
          <xsd:enumeration value="Not Started"/>
          <xsd:enumeration value="Draft"/>
          <xsd:enumeration value="Reviewed"/>
          <xsd:enumeration value="Scheduled"/>
          <xsd:enumeration value="Published"/>
          <xsd:enumeration value="Final"/>
          <xsd:enumeration value="Expired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ceba764-4fb5-4af4-9e5b-089663bda63a" elementFormDefault="qualified">
    <xsd:import namespace="http://schemas.microsoft.com/office/2006/documentManagement/types"/>
    <xsd:import namespace="http://schemas.microsoft.com/office/infopath/2007/PartnerControls"/>
    <xsd:element name="_dlc_DocId" ma:index="16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17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8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 ma:index="9" ma:displayName="Author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7" ma:displayName="Title"/>
        <xsd:element ref="dc:subject" minOccurs="0" maxOccurs="1" ma:index="8" ma:displayName="Subject"/>
        <xsd:element ref="dc:description" minOccurs="0" maxOccurs="1" ma:index="11" ma:displayName="Comments"/>
        <xsd:element name="keywords" minOccurs="0" maxOccurs="1" type="xsd:string" ma:index="10" ma:displayName="Keywords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 ma:displayName="Status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AE062EC-6B00-48A9-AC9E-81968ACF345E}">
  <ds:schemaRefs>
    <ds:schemaRef ds:uri="http://purl.org/dc/elements/1.1/"/>
    <ds:schemaRef ds:uri="http://schemas.microsoft.com/office/2006/documentManagement/types"/>
    <ds:schemaRef ds:uri="http://purl.org/dc/terms/"/>
    <ds:schemaRef ds:uri="http://schemas.microsoft.com/sharepoint/v3/fields"/>
    <ds:schemaRef ds:uri="http://schemas.microsoft.com/office/infopath/2007/PartnerControls"/>
    <ds:schemaRef ds:uri="http://purl.org/dc/dcmitype/"/>
    <ds:schemaRef ds:uri="http://schemas.openxmlformats.org/package/2006/metadata/core-properties"/>
    <ds:schemaRef ds:uri="1ceba764-4fb5-4af4-9e5b-089663bda63a"/>
    <ds:schemaRef ds:uri="01fb76ba-f1d6-4c22-8aad-389d5f9739b1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8C6877A0-1309-4F2C-B597-EF2DD16689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/fields"/>
    <ds:schemaRef ds:uri="01fb76ba-f1d6-4c22-8aad-389d5f9739b1"/>
    <ds:schemaRef ds:uri="1ceba764-4fb5-4af4-9e5b-089663bda63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00A166A-EF5A-4DA7-8B6E-9829EA5CE791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587CF075-E22A-47A8-BE8C-4B396EFAC1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Program Performance Metrics</vt:lpstr>
      <vt:lpstr>Objectives</vt:lpstr>
      <vt:lpstr>PI-9 Objectives (Results)</vt:lpstr>
      <vt:lpstr>PI-9 Objectives (MWP)</vt:lpstr>
      <vt:lpstr>PI-9 Objectives (Pre-Awards)</vt:lpstr>
      <vt:lpstr>PI-9 Objectives (Post-Awards)</vt:lpstr>
      <vt:lpstr>PI-9 Objectives (IOP)</vt:lpstr>
      <vt:lpstr>PI-9 Objectives (Portal)</vt:lpstr>
      <vt:lpstr>Program Predictability Measure</vt:lpstr>
      <vt:lpstr>'Program Predictability Measure'!ListOfTeams</vt:lpstr>
    </vt:vector>
  </TitlesOfParts>
  <Company>Smartouch-Empulsys III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BEGHAIN Olivier</dc:creator>
  <cp:lastModifiedBy>BEGHAIN Olivier</cp:lastModifiedBy>
  <cp:lastPrinted>2018-12-07T13:50:26Z</cp:lastPrinted>
  <dcterms:created xsi:type="dcterms:W3CDTF">2017-04-15T09:58:00Z</dcterms:created>
  <dcterms:modified xsi:type="dcterms:W3CDTF">2018-12-17T13:33:27Z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0x010100258AA79CEB83498886A3A0868112325000B815E5D5322DC248B537749FDF4EA55B</vt:lpwstr>
  </property>
  <property fmtid="{D5CDD505-2E9C-101B-9397-08002B2CF9AE}" pid="3" name="_dlc_DocIdItemGuid">
    <vt:lpwstr>843756b0-a97f-4e65-ac28-4f18b1ae77d6</vt:lpwstr>
  </property>
</Properties>
</file>